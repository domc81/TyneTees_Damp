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dominicclauzel/Development/Tyne_Tees_Damp_Proofing/"/>
    </mc:Choice>
  </mc:AlternateContent>
  <xr:revisionPtr revIDLastSave="0" documentId="13_ncr:1_{E61619D7-1CD9-8248-BD25-58A35F3E6A17}" xr6:coauthVersionLast="47" xr6:coauthVersionMax="47" xr10:uidLastSave="{00000000-0000-0000-0000-000000000000}"/>
  <bookViews>
    <workbookView xWindow="0" yWindow="880" windowWidth="30540" windowHeight="20260" xr2:uid="{7B1D20A2-8231-4FBE-8D91-474C0BEE8B28}"/>
  </bookViews>
  <sheets>
    <sheet name="Report" sheetId="8" r:id="rId1"/>
    <sheet name="Costing" sheetId="1" r:id="rId2"/>
    <sheet name="Customer Summary" sheetId="4" r:id="rId3"/>
    <sheet name="Office Notes" sheetId="15" r:id="rId4"/>
    <sheet name="CAF1 Form" sheetId="20" r:id="rId5"/>
    <sheet name="Access Email Template" sheetId="9" r:id="rId6"/>
    <sheet name="Party Wall Letter" sheetId="10" r:id="rId7"/>
    <sheet name="Sub Contractor Costs" sheetId="18" r:id="rId8"/>
    <sheet name="Sub Contractor Mats" sheetId="19" r:id="rId9"/>
    <sheet name="CF CSV Upload" sheetId="2" r:id="rId10"/>
    <sheet name="Data Lists" sheetId="3" r:id="rId11"/>
    <sheet name="Filter-Check" sheetId="13" r:id="rId12"/>
    <sheet name="Cell References" sheetId="12" r:id="rId13"/>
    <sheet name="Changes" sheetId="14" r:id="rId14"/>
  </sheets>
  <externalReferences>
    <externalReference r:id="rId15"/>
  </externalReferences>
  <definedNames>
    <definedName name="_xlnm._FilterDatabase" localSheetId="9" hidden="1">'CF CSV Upload'!$A$1:$M$169</definedName>
    <definedName name="_xlnm._FilterDatabase" localSheetId="0" hidden="1">Report!$A$3:$AI$926</definedName>
    <definedName name="_xlnm.Print_Area" localSheetId="5">'Access Email Template'!$A$1:$I$25</definedName>
    <definedName name="_xlnm.Print_Area" localSheetId="2">'Customer Summary'!$B$2:$F$20</definedName>
    <definedName name="_xlnm.Print_Area" localSheetId="6">'Party Wall Letter'!$A$1:$I$33</definedName>
    <definedName name="_xlnm.Print_Area" localSheetId="0">Report!$D$3:$Z$926</definedName>
    <definedName name="_xlnm.Print_Area" localSheetId="7">'Sub Contractor Costs'!$B$2:$E$21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41" i="8" l="1"/>
  <c r="AF240" i="8"/>
  <c r="A239" i="8"/>
  <c r="AF238" i="8"/>
  <c r="B237" i="8"/>
  <c r="B239" i="8" s="1"/>
  <c r="B240" i="8" s="1"/>
  <c r="B241" i="8" s="1"/>
  <c r="A237" i="8"/>
  <c r="A234" i="8"/>
  <c r="AF233" i="8"/>
  <c r="A232" i="8"/>
  <c r="AF231" i="8"/>
  <c r="B230" i="8"/>
  <c r="B232" i="8" s="1"/>
  <c r="B233" i="8" s="1"/>
  <c r="B234" i="8" s="1"/>
  <c r="A230" i="8"/>
  <c r="A168" i="8"/>
  <c r="AF167" i="8"/>
  <c r="A166" i="8"/>
  <c r="AF165" i="8"/>
  <c r="B164" i="8"/>
  <c r="B166" i="8" s="1"/>
  <c r="B167" i="8" s="1"/>
  <c r="B168" i="8" s="1"/>
  <c r="A164" i="8"/>
  <c r="H73" i="2"/>
  <c r="A91" i="2"/>
  <c r="A84" i="2"/>
  <c r="H167" i="2"/>
  <c r="H163" i="2"/>
  <c r="H162" i="2"/>
  <c r="H161" i="2"/>
  <c r="H160" i="2"/>
  <c r="H159" i="2"/>
  <c r="H158" i="2"/>
  <c r="H154" i="2"/>
  <c r="H153" i="2"/>
  <c r="H152" i="2"/>
  <c r="H151" i="2"/>
  <c r="H150" i="2"/>
  <c r="H149" i="2"/>
  <c r="H148" i="2"/>
  <c r="H147" i="2"/>
  <c r="H146" i="2"/>
  <c r="H145" i="2"/>
  <c r="H144" i="2"/>
  <c r="H143" i="2"/>
  <c r="H142" i="2"/>
  <c r="H141" i="2"/>
  <c r="H137" i="2"/>
  <c r="H136" i="2"/>
  <c r="H135" i="2"/>
  <c r="H134" i="2"/>
  <c r="H133" i="2"/>
  <c r="H132" i="2"/>
  <c r="H131" i="2"/>
  <c r="H130" i="2"/>
  <c r="H129" i="2"/>
  <c r="H128" i="2"/>
  <c r="H127" i="2"/>
  <c r="H126" i="2"/>
  <c r="H125" i="2"/>
  <c r="H124" i="2"/>
  <c r="H123" i="2"/>
  <c r="H122" i="2"/>
  <c r="H121" i="2"/>
  <c r="H120" i="2"/>
  <c r="H119" i="2"/>
  <c r="H118" i="2"/>
  <c r="H117" i="2"/>
  <c r="H116" i="2"/>
  <c r="H115" i="2"/>
  <c r="H114" i="2"/>
  <c r="H113" i="2"/>
  <c r="H112" i="2"/>
  <c r="H111" i="2"/>
  <c r="H110" i="2"/>
  <c r="H109" i="2"/>
  <c r="H108" i="2"/>
  <c r="H107" i="2"/>
  <c r="H106" i="2"/>
  <c r="H105" i="2"/>
  <c r="H104" i="2"/>
  <c r="H100" i="2"/>
  <c r="H99" i="2"/>
  <c r="H95" i="2"/>
  <c r="H94" i="2"/>
  <c r="H93" i="2"/>
  <c r="H92" i="2"/>
  <c r="H91" i="2"/>
  <c r="H90" i="2"/>
  <c r="H89" i="2"/>
  <c r="H88" i="2"/>
  <c r="H87" i="2"/>
  <c r="H86" i="2"/>
  <c r="H85" i="2"/>
  <c r="H84" i="2"/>
  <c r="H83" i="2"/>
  <c r="H82" i="2"/>
  <c r="H78" i="2"/>
  <c r="H77" i="2"/>
  <c r="H76" i="2"/>
  <c r="H75" i="2"/>
  <c r="H74" i="2"/>
  <c r="H69" i="2"/>
  <c r="H68" i="2"/>
  <c r="H67" i="2"/>
  <c r="H66" i="2"/>
  <c r="H65" i="2"/>
  <c r="H64" i="2"/>
  <c r="H63" i="2"/>
  <c r="H62" i="2"/>
  <c r="H58" i="2"/>
  <c r="H57" i="2"/>
  <c r="H56" i="2"/>
  <c r="H55" i="2"/>
  <c r="H54" i="2"/>
  <c r="H53" i="2"/>
  <c r="H52" i="2"/>
  <c r="H51" i="2"/>
  <c r="H50" i="2"/>
  <c r="H49" i="2"/>
  <c r="H48" i="2"/>
  <c r="H47" i="2"/>
  <c r="H46" i="2"/>
  <c r="H45" i="2"/>
  <c r="H44" i="2"/>
  <c r="H43" i="2"/>
  <c r="H42" i="2"/>
  <c r="H41" i="2"/>
  <c r="H40" i="2"/>
  <c r="H39" i="2"/>
  <c r="H38" i="2"/>
  <c r="H37" i="2"/>
  <c r="H36" i="2"/>
  <c r="H35" i="2"/>
  <c r="H31" i="2"/>
  <c r="H30" i="2"/>
  <c r="H29" i="2"/>
  <c r="H28" i="2"/>
  <c r="H27" i="2"/>
  <c r="H26" i="2"/>
  <c r="H25" i="2"/>
  <c r="H24" i="2"/>
  <c r="H23" i="2"/>
  <c r="H22" i="2"/>
  <c r="H21" i="2"/>
  <c r="H20" i="2"/>
  <c r="H19" i="2"/>
  <c r="H18" i="2"/>
  <c r="H17" i="2"/>
  <c r="H16" i="2"/>
  <c r="H15" i="2"/>
  <c r="H14" i="2"/>
  <c r="H13" i="2"/>
  <c r="H12" i="2"/>
  <c r="H11" i="2"/>
  <c r="H10" i="2"/>
  <c r="H9" i="2"/>
  <c r="H8" i="2"/>
  <c r="H7" i="2"/>
  <c r="H6" i="2"/>
  <c r="H5" i="2"/>
  <c r="H4" i="2"/>
  <c r="H3" i="2"/>
  <c r="H2" i="2"/>
  <c r="M135" i="2"/>
  <c r="C135" i="2"/>
  <c r="M118" i="2"/>
  <c r="F118" i="2"/>
  <c r="D118" i="2"/>
  <c r="C118" i="2"/>
  <c r="AT98" i="1"/>
  <c r="U98" i="1"/>
  <c r="P98" i="1"/>
  <c r="Q98" i="1" s="1"/>
  <c r="E135" i="2" s="1"/>
  <c r="O98" i="1"/>
  <c r="V98" i="1" s="1"/>
  <c r="M98" i="1"/>
  <c r="I98" i="1"/>
  <c r="M136" i="2"/>
  <c r="M119" i="2"/>
  <c r="F119" i="2"/>
  <c r="D119" i="2"/>
  <c r="C119" i="2"/>
  <c r="AT99" i="1"/>
  <c r="U99" i="1"/>
  <c r="P99" i="1"/>
  <c r="Q99" i="1" s="1"/>
  <c r="E136" i="2" s="1"/>
  <c r="O99" i="1"/>
  <c r="V99" i="1" s="1"/>
  <c r="M99" i="1"/>
  <c r="C136" i="2" s="1"/>
  <c r="I99" i="1"/>
  <c r="M117" i="2"/>
  <c r="F117" i="2"/>
  <c r="D117" i="2"/>
  <c r="C117" i="2"/>
  <c r="M134" i="2"/>
  <c r="C134" i="2"/>
  <c r="M95" i="1"/>
  <c r="M96" i="1"/>
  <c r="M97" i="1"/>
  <c r="M100" i="1"/>
  <c r="M94" i="1"/>
  <c r="AT97" i="1"/>
  <c r="U97" i="1"/>
  <c r="P97" i="1"/>
  <c r="Q97" i="1" s="1"/>
  <c r="E134" i="2" s="1"/>
  <c r="O97" i="1"/>
  <c r="V97" i="1" s="1"/>
  <c r="I97" i="1"/>
  <c r="K97" i="1" s="1"/>
  <c r="M95" i="2"/>
  <c r="M94" i="2"/>
  <c r="M93" i="2"/>
  <c r="M92" i="2"/>
  <c r="M91" i="2"/>
  <c r="M90" i="2"/>
  <c r="M88" i="2"/>
  <c r="F88" i="2"/>
  <c r="D88" i="2"/>
  <c r="C88" i="2"/>
  <c r="M87" i="2"/>
  <c r="F87" i="2"/>
  <c r="D87" i="2"/>
  <c r="C87" i="2"/>
  <c r="M86" i="2"/>
  <c r="F86" i="2"/>
  <c r="D86" i="2"/>
  <c r="C86" i="2"/>
  <c r="M85" i="2"/>
  <c r="F85" i="2"/>
  <c r="D85" i="2"/>
  <c r="C85" i="2"/>
  <c r="M84" i="2"/>
  <c r="F84" i="2"/>
  <c r="D84" i="2"/>
  <c r="C84" i="2"/>
  <c r="C83" i="2"/>
  <c r="D83" i="2"/>
  <c r="F83" i="2"/>
  <c r="M83" i="2"/>
  <c r="O78" i="1"/>
  <c r="D95" i="2" s="1"/>
  <c r="O77" i="1"/>
  <c r="D94" i="2" s="1"/>
  <c r="O76" i="1"/>
  <c r="V76" i="1" s="1"/>
  <c r="O75" i="1"/>
  <c r="D92" i="2" s="1"/>
  <c r="O74" i="1"/>
  <c r="V74" i="1" s="1"/>
  <c r="O72" i="1"/>
  <c r="D90" i="2" s="1"/>
  <c r="O71" i="1"/>
  <c r="N73" i="1"/>
  <c r="O73" i="1" s="1"/>
  <c r="N74" i="1"/>
  <c r="H77" i="1"/>
  <c r="H76" i="1"/>
  <c r="U76" i="1" s="1"/>
  <c r="H75" i="1"/>
  <c r="U75" i="1" s="1"/>
  <c r="H74" i="1"/>
  <c r="U74" i="1" s="1"/>
  <c r="H73" i="1"/>
  <c r="H72" i="1"/>
  <c r="M72" i="1"/>
  <c r="C90" i="2" s="1"/>
  <c r="M73" i="1"/>
  <c r="M74" i="1"/>
  <c r="C91" i="2" s="1"/>
  <c r="M75" i="1"/>
  <c r="C92" i="2" s="1"/>
  <c r="M76" i="1"/>
  <c r="C93" i="2" s="1"/>
  <c r="M77" i="1"/>
  <c r="C94" i="2" s="1"/>
  <c r="M78" i="1"/>
  <c r="C95" i="2" s="1"/>
  <c r="M71" i="1"/>
  <c r="AT74" i="1"/>
  <c r="P74" i="1"/>
  <c r="Q74" i="1" s="1"/>
  <c r="E91" i="2" s="1"/>
  <c r="AT75" i="1"/>
  <c r="P75" i="1"/>
  <c r="Q75" i="1" s="1"/>
  <c r="E92" i="2" s="1"/>
  <c r="AT76" i="1"/>
  <c r="P76" i="1"/>
  <c r="Q76" i="1" s="1"/>
  <c r="E93" i="2" s="1"/>
  <c r="M20" i="2"/>
  <c r="M5" i="2"/>
  <c r="F5" i="2"/>
  <c r="D5" i="2"/>
  <c r="C5" i="2"/>
  <c r="N21" i="1"/>
  <c r="O21" i="1" s="1"/>
  <c r="N22" i="1"/>
  <c r="O22" i="1" s="1"/>
  <c r="N25" i="1"/>
  <c r="H25" i="1"/>
  <c r="AT24" i="1"/>
  <c r="U24" i="1"/>
  <c r="P24" i="1"/>
  <c r="Q24" i="1" s="1"/>
  <c r="E20" i="2" s="1"/>
  <c r="O24" i="1"/>
  <c r="V24" i="1" s="1"/>
  <c r="M24" i="1"/>
  <c r="C20" i="2" s="1"/>
  <c r="I24" i="1"/>
  <c r="K24" i="1" s="1"/>
  <c r="K98" i="1" l="1"/>
  <c r="E118" i="2"/>
  <c r="N118" i="2" s="1"/>
  <c r="P118" i="2" s="1"/>
  <c r="K99" i="1"/>
  <c r="E119" i="2"/>
  <c r="N119" i="2"/>
  <c r="P119" i="2" s="1"/>
  <c r="D135" i="2"/>
  <c r="N135" i="2" s="1"/>
  <c r="P135" i="2" s="1"/>
  <c r="S98" i="1"/>
  <c r="T98" i="1" s="1"/>
  <c r="V75" i="1"/>
  <c r="D134" i="2"/>
  <c r="N134" i="2" s="1"/>
  <c r="P134" i="2" s="1"/>
  <c r="D136" i="2"/>
  <c r="N136" i="2" s="1"/>
  <c r="P136" i="2" s="1"/>
  <c r="S99" i="1"/>
  <c r="T99" i="1" s="1"/>
  <c r="D91" i="2"/>
  <c r="N91" i="2" s="1"/>
  <c r="P91" i="2" s="1"/>
  <c r="E117" i="2"/>
  <c r="N117" i="2" s="1"/>
  <c r="P117" i="2" s="1"/>
  <c r="N92" i="2"/>
  <c r="P92" i="2" s="1"/>
  <c r="S97" i="1"/>
  <c r="T97" i="1" s="1"/>
  <c r="D93" i="2"/>
  <c r="N93" i="2" s="1"/>
  <c r="P93" i="2" s="1"/>
  <c r="I74" i="1"/>
  <c r="S74" i="1"/>
  <c r="I75" i="1"/>
  <c r="S75" i="1"/>
  <c r="I76" i="1"/>
  <c r="S76" i="1"/>
  <c r="E5" i="2"/>
  <c r="N5" i="2" s="1"/>
  <c r="P5" i="2" s="1"/>
  <c r="D20" i="2"/>
  <c r="N20" i="2" s="1"/>
  <c r="P20" i="2" s="1"/>
  <c r="S24" i="1"/>
  <c r="T24" i="1" s="1"/>
  <c r="K74" i="1" l="1"/>
  <c r="T74" i="1" s="1"/>
  <c r="E84" i="2"/>
  <c r="N84" i="2" s="1"/>
  <c r="P84" i="2" s="1"/>
  <c r="K76" i="1"/>
  <c r="T76" i="1" s="1"/>
  <c r="E86" i="2"/>
  <c r="N86" i="2" s="1"/>
  <c r="P86" i="2" s="1"/>
  <c r="K75" i="1"/>
  <c r="T75" i="1" s="1"/>
  <c r="E85" i="2"/>
  <c r="N85" i="2" s="1"/>
  <c r="P85" i="2" s="1"/>
  <c r="C139" i="1" l="1"/>
  <c r="E169" i="2" s="1"/>
  <c r="AT135" i="1"/>
  <c r="AF809" i="8" l="1"/>
  <c r="I35" i="1"/>
  <c r="I45" i="1"/>
  <c r="I46" i="1"/>
  <c r="I47" i="1"/>
  <c r="V120" i="1" l="1"/>
  <c r="V38" i="1"/>
  <c r="C12" i="18"/>
  <c r="C13" i="18"/>
  <c r="C14" i="18"/>
  <c r="C15" i="18"/>
  <c r="C16" i="18"/>
  <c r="C17" i="18"/>
  <c r="C18" i="18"/>
  <c r="C19" i="18"/>
  <c r="C11" i="18"/>
  <c r="B12" i="18"/>
  <c r="B13" i="18" s="1"/>
  <c r="B14" i="18" s="1"/>
  <c r="B15" i="18" s="1"/>
  <c r="B16" i="18" s="1"/>
  <c r="B17" i="18" s="1"/>
  <c r="B18" i="18" s="1"/>
  <c r="B19" i="18" s="1"/>
  <c r="A167" i="2"/>
  <c r="A168" i="2" s="1"/>
  <c r="A169" i="2" s="1"/>
  <c r="A170" i="2" s="1"/>
  <c r="L164" i="2"/>
  <c r="L165" i="2" s="1"/>
  <c r="A158" i="2"/>
  <c r="A159" i="2" s="1"/>
  <c r="A160" i="2" s="1"/>
  <c r="A161" i="2" s="1"/>
  <c r="A162" i="2" s="1"/>
  <c r="A163" i="2" s="1"/>
  <c r="A164" i="2" s="1"/>
  <c r="A165" i="2" s="1"/>
  <c r="L155" i="2"/>
  <c r="L156" i="2" s="1"/>
  <c r="A141" i="2"/>
  <c r="A142" i="2" s="1"/>
  <c r="A143" i="2" s="1"/>
  <c r="A144" i="2" s="1"/>
  <c r="A145" i="2" s="1"/>
  <c r="A146" i="2" s="1"/>
  <c r="A147" i="2" s="1"/>
  <c r="A148" i="2" s="1"/>
  <c r="A149" i="2" s="1"/>
  <c r="A150" i="2" s="1"/>
  <c r="A151" i="2" s="1"/>
  <c r="A152" i="2" s="1"/>
  <c r="A153" i="2" s="1"/>
  <c r="A154" i="2" s="1"/>
  <c r="A155" i="2" s="1"/>
  <c r="A156" i="2" s="1"/>
  <c r="L138" i="2"/>
  <c r="L139" i="2" s="1"/>
  <c r="A104" i="2"/>
  <c r="A105" i="2" s="1"/>
  <c r="A106" i="2" s="1"/>
  <c r="A107" i="2" s="1"/>
  <c r="A108" i="2" s="1"/>
  <c r="A109" i="2" s="1"/>
  <c r="A110" i="2" s="1"/>
  <c r="A111" i="2" s="1"/>
  <c r="A112" i="2" s="1"/>
  <c r="A113" i="2" s="1"/>
  <c r="A114" i="2" s="1"/>
  <c r="A115" i="2" s="1"/>
  <c r="A116" i="2" s="1"/>
  <c r="A117" i="2" s="1"/>
  <c r="L101" i="2"/>
  <c r="L102" i="2" s="1"/>
  <c r="A99" i="2"/>
  <c r="A100" i="2" s="1"/>
  <c r="A101" i="2" s="1"/>
  <c r="A102" i="2" s="1"/>
  <c r="L96" i="2"/>
  <c r="L97" i="2" s="1"/>
  <c r="A82" i="2"/>
  <c r="L79" i="2"/>
  <c r="L80" i="2" s="1"/>
  <c r="A73" i="2"/>
  <c r="A74" i="2" s="1"/>
  <c r="A75" i="2" s="1"/>
  <c r="A76" i="2" s="1"/>
  <c r="A77" i="2" s="1"/>
  <c r="A78" i="2" s="1"/>
  <c r="A79" i="2" s="1"/>
  <c r="A80" i="2" s="1"/>
  <c r="L70" i="2"/>
  <c r="L71" i="2" s="1"/>
  <c r="L59" i="2"/>
  <c r="L60" i="2" s="1"/>
  <c r="A62" i="2"/>
  <c r="A63" i="2" s="1"/>
  <c r="A64" i="2" s="1"/>
  <c r="A65" i="2" s="1"/>
  <c r="A66" i="2" s="1"/>
  <c r="A67" i="2" s="1"/>
  <c r="A68" i="2" s="1"/>
  <c r="A69" i="2" s="1"/>
  <c r="A70" i="2" s="1"/>
  <c r="A71" i="2" s="1"/>
  <c r="A35" i="2"/>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K171" i="2"/>
  <c r="J171" i="2"/>
  <c r="M171" i="2" s="1"/>
  <c r="H171" i="2"/>
  <c r="F171" i="2"/>
  <c r="M170" i="2"/>
  <c r="B13" i="4"/>
  <c r="H51" i="1"/>
  <c r="I51" i="1" s="1"/>
  <c r="M54" i="1"/>
  <c r="M53" i="1"/>
  <c r="M49" i="1"/>
  <c r="M50" i="1"/>
  <c r="M51" i="1"/>
  <c r="P43" i="1"/>
  <c r="P44" i="1"/>
  <c r="P45" i="1"/>
  <c r="Q45" i="1" s="1"/>
  <c r="E50" i="2" s="1"/>
  <c r="P46" i="1"/>
  <c r="Q46" i="1" s="1"/>
  <c r="E51" i="2" s="1"/>
  <c r="P47" i="1"/>
  <c r="Q47" i="1" s="1"/>
  <c r="E52" i="2" s="1"/>
  <c r="P48" i="1"/>
  <c r="Q48" i="1" s="1"/>
  <c r="E53" i="2" s="1"/>
  <c r="C49" i="2"/>
  <c r="M49" i="2"/>
  <c r="C50" i="2"/>
  <c r="M50" i="2"/>
  <c r="C51" i="2"/>
  <c r="M51" i="2"/>
  <c r="C52" i="2"/>
  <c r="M52" i="2"/>
  <c r="C53" i="2"/>
  <c r="M53" i="2"/>
  <c r="C48" i="2"/>
  <c r="M48" i="2"/>
  <c r="C39" i="2"/>
  <c r="F39" i="2"/>
  <c r="M39" i="2"/>
  <c r="C40" i="2"/>
  <c r="F40" i="2"/>
  <c r="M40" i="2"/>
  <c r="C41" i="2"/>
  <c r="F41" i="2"/>
  <c r="M41" i="2"/>
  <c r="C37" i="2"/>
  <c r="F37" i="2"/>
  <c r="M37" i="2"/>
  <c r="C38" i="2"/>
  <c r="F38" i="2"/>
  <c r="M38" i="2"/>
  <c r="C36" i="2"/>
  <c r="F36" i="2"/>
  <c r="M36" i="2"/>
  <c r="M48" i="1"/>
  <c r="AT47" i="1"/>
  <c r="M47" i="1"/>
  <c r="E40" i="2"/>
  <c r="F47" i="1"/>
  <c r="O47" i="1" s="1"/>
  <c r="V47" i="1" s="1"/>
  <c r="AT46" i="1"/>
  <c r="M46" i="1"/>
  <c r="E39" i="2"/>
  <c r="F46" i="1"/>
  <c r="U46" i="1" s="1"/>
  <c r="AT45" i="1"/>
  <c r="M45" i="1"/>
  <c r="E38" i="2"/>
  <c r="F45" i="1"/>
  <c r="AT44" i="1"/>
  <c r="M44" i="1"/>
  <c r="F44" i="1"/>
  <c r="D37" i="2" s="1"/>
  <c r="AT43" i="1"/>
  <c r="M43" i="1"/>
  <c r="F43" i="1"/>
  <c r="O43" i="1" s="1"/>
  <c r="V43" i="1" s="1"/>
  <c r="A119" i="2" l="1"/>
  <c r="A120" i="2" s="1"/>
  <c r="A121" i="2" s="1"/>
  <c r="A122" i="2" s="1"/>
  <c r="A123" i="2" s="1"/>
  <c r="A124" i="2" s="1"/>
  <c r="A125" i="2" s="1"/>
  <c r="A126" i="2" s="1"/>
  <c r="A127" i="2" s="1"/>
  <c r="A128" i="2" s="1"/>
  <c r="A129" i="2" s="1"/>
  <c r="A130" i="2" s="1"/>
  <c r="A131" i="2" s="1"/>
  <c r="A132" i="2" s="1"/>
  <c r="A133" i="2" s="1"/>
  <c r="A134" i="2" s="1"/>
  <c r="A118" i="2"/>
  <c r="A83" i="2"/>
  <c r="Q44" i="1"/>
  <c r="E49" i="2" s="1"/>
  <c r="Q43" i="1"/>
  <c r="E48" i="2" s="1"/>
  <c r="D48" i="2"/>
  <c r="F49" i="1"/>
  <c r="H49" i="1" s="1"/>
  <c r="I49" i="1" s="1"/>
  <c r="D52" i="2"/>
  <c r="N52" i="2" s="1"/>
  <c r="P52" i="2" s="1"/>
  <c r="A171" i="2"/>
  <c r="C171" i="2" s="1"/>
  <c r="C170" i="2"/>
  <c r="F48" i="1"/>
  <c r="O48" i="1" s="1"/>
  <c r="V48" i="1" s="1"/>
  <c r="F54" i="1"/>
  <c r="H54" i="1" s="1"/>
  <c r="F50" i="1"/>
  <c r="H50" i="1" s="1"/>
  <c r="I50" i="1" s="1"/>
  <c r="D36" i="2"/>
  <c r="D38" i="2"/>
  <c r="N38" i="2" s="1"/>
  <c r="P38" i="2" s="1"/>
  <c r="O44" i="1"/>
  <c r="U47" i="1"/>
  <c r="D40" i="2"/>
  <c r="N40" i="2" s="1"/>
  <c r="P40" i="2" s="1"/>
  <c r="D39" i="2"/>
  <c r="N39" i="2" s="1"/>
  <c r="P39" i="2" s="1"/>
  <c r="S47" i="1"/>
  <c r="K45" i="1"/>
  <c r="O45" i="1"/>
  <c r="V45" i="1" s="1"/>
  <c r="K46" i="1"/>
  <c r="H43" i="1"/>
  <c r="I43" i="1" s="1"/>
  <c r="O46" i="1"/>
  <c r="V46" i="1" s="1"/>
  <c r="U45" i="1"/>
  <c r="K47" i="1"/>
  <c r="H44" i="1"/>
  <c r="I44" i="1" s="1"/>
  <c r="A136" i="2" l="1"/>
  <c r="A137" i="2" s="1"/>
  <c r="A138" i="2" s="1"/>
  <c r="A139" i="2" s="1"/>
  <c r="A135" i="2"/>
  <c r="S43" i="1"/>
  <c r="A85" i="2"/>
  <c r="A86" i="2" s="1"/>
  <c r="A87" i="2" s="1"/>
  <c r="A88" i="2" s="1"/>
  <c r="A89" i="2" s="1"/>
  <c r="A90" i="2" s="1"/>
  <c r="A92" i="2" s="1"/>
  <c r="A93" i="2" s="1"/>
  <c r="A94" i="2" s="1"/>
  <c r="A95" i="2" s="1"/>
  <c r="N48" i="2"/>
  <c r="P48" i="2" s="1"/>
  <c r="D49" i="2"/>
  <c r="N49" i="2" s="1"/>
  <c r="P49" i="2" s="1"/>
  <c r="V44" i="1"/>
  <c r="AT48" i="1"/>
  <c r="D53" i="2"/>
  <c r="N53" i="2" s="1"/>
  <c r="P53" i="2" s="1"/>
  <c r="D50" i="2"/>
  <c r="N50" i="2" s="1"/>
  <c r="P50" i="2" s="1"/>
  <c r="D41" i="2"/>
  <c r="H48" i="1"/>
  <c r="D51" i="2"/>
  <c r="N51" i="2" s="1"/>
  <c r="P51" i="2" s="1"/>
  <c r="S44" i="1"/>
  <c r="K43" i="1"/>
  <c r="T43" i="1" s="1"/>
  <c r="E36" i="2"/>
  <c r="N36" i="2" s="1"/>
  <c r="P36" i="2" s="1"/>
  <c r="T47" i="1"/>
  <c r="S48" i="1"/>
  <c r="S46" i="1"/>
  <c r="T46" i="1" s="1"/>
  <c r="U44" i="1"/>
  <c r="S45" i="1"/>
  <c r="T45" i="1" s="1"/>
  <c r="U43" i="1"/>
  <c r="A96" i="2" l="1"/>
  <c r="A97" i="2" s="1"/>
  <c r="I48" i="1"/>
  <c r="E41" i="2" s="1"/>
  <c r="N41" i="2" s="1"/>
  <c r="P41" i="2" s="1"/>
  <c r="U48" i="1"/>
  <c r="K44" i="1"/>
  <c r="T44" i="1" s="1"/>
  <c r="E37" i="2"/>
  <c r="N37" i="2" s="1"/>
  <c r="P37" i="2" s="1"/>
  <c r="K48" i="1" l="1"/>
  <c r="T48" i="1" s="1"/>
  <c r="A3" i="2" l="1"/>
  <c r="A4" i="2" s="1"/>
  <c r="H66" i="1"/>
  <c r="U66" i="1" s="1"/>
  <c r="H65" i="1"/>
  <c r="U65" i="1" s="1"/>
  <c r="H60" i="1"/>
  <c r="H58" i="1"/>
  <c r="I108" i="1"/>
  <c r="U67" i="1"/>
  <c r="U107" i="1"/>
  <c r="U106" i="1"/>
  <c r="U105" i="1"/>
  <c r="A6" i="2" l="1"/>
  <c r="A7" i="2" s="1"/>
  <c r="A8" i="2" s="1"/>
  <c r="A9" i="2" s="1"/>
  <c r="A10" i="2" s="1"/>
  <c r="A11" i="2" s="1"/>
  <c r="A12" i="2" s="1"/>
  <c r="A13" i="2" s="1"/>
  <c r="A14" i="2" s="1"/>
  <c r="A15" i="2" s="1"/>
  <c r="A16" i="2" s="1"/>
  <c r="A22" i="2" s="1"/>
  <c r="A23" i="2" s="1"/>
  <c r="A24" i="2" s="1"/>
  <c r="A25" i="2" s="1"/>
  <c r="A26" i="2" s="1"/>
  <c r="A27" i="2" s="1"/>
  <c r="A28" i="2" s="1"/>
  <c r="A29" i="2" s="1"/>
  <c r="A30" i="2" s="1"/>
  <c r="A31" i="2" s="1"/>
  <c r="A17" i="2" s="1"/>
  <c r="A18" i="2" s="1"/>
  <c r="A19" i="2" s="1"/>
  <c r="A5" i="2"/>
  <c r="P120" i="1"/>
  <c r="Q120" i="1" s="1"/>
  <c r="S120" i="1" s="1"/>
  <c r="I120" i="1"/>
  <c r="K120" i="1" s="1"/>
  <c r="P116" i="1"/>
  <c r="Q116" i="1" s="1"/>
  <c r="E163" i="2" s="1"/>
  <c r="P115" i="1"/>
  <c r="Q115" i="1" s="1"/>
  <c r="E162" i="2" s="1"/>
  <c r="P114" i="1"/>
  <c r="Q114" i="1" s="1"/>
  <c r="E161" i="2" s="1"/>
  <c r="I115" i="1"/>
  <c r="K115" i="1" s="1"/>
  <c r="I116" i="1"/>
  <c r="E160" i="2" s="1"/>
  <c r="I114" i="1"/>
  <c r="E158" i="2" s="1"/>
  <c r="P105" i="1"/>
  <c r="Q105" i="1" s="1"/>
  <c r="E149" i="2" s="1"/>
  <c r="P106" i="1"/>
  <c r="Q106" i="1" s="1"/>
  <c r="E150" i="2" s="1"/>
  <c r="P107" i="1"/>
  <c r="Q107" i="1" s="1"/>
  <c r="E151" i="2" s="1"/>
  <c r="P109" i="1"/>
  <c r="Q109" i="1" s="1"/>
  <c r="E153" i="2" s="1"/>
  <c r="P110" i="1"/>
  <c r="Q110" i="1" s="1"/>
  <c r="E154" i="2" s="1"/>
  <c r="P104" i="1"/>
  <c r="Q104" i="1" s="1"/>
  <c r="E148" i="2" s="1"/>
  <c r="I105" i="1"/>
  <c r="K105" i="1" s="1"/>
  <c r="I106" i="1"/>
  <c r="K106" i="1" s="1"/>
  <c r="I107" i="1"/>
  <c r="K107" i="1" s="1"/>
  <c r="I109" i="1"/>
  <c r="E146" i="2" s="1"/>
  <c r="I110" i="1"/>
  <c r="E147" i="2" s="1"/>
  <c r="I104" i="1"/>
  <c r="K104" i="1" s="1"/>
  <c r="P108" i="1"/>
  <c r="Q108" i="1" s="1"/>
  <c r="E152" i="2" s="1"/>
  <c r="P100" i="1"/>
  <c r="Q100" i="1" s="1"/>
  <c r="E137" i="2" s="1"/>
  <c r="P96" i="1"/>
  <c r="Q96" i="1" s="1"/>
  <c r="E133" i="2" s="1"/>
  <c r="P95" i="1"/>
  <c r="Q95" i="1" s="1"/>
  <c r="E132" i="2" s="1"/>
  <c r="P94" i="1"/>
  <c r="Q94" i="1" s="1"/>
  <c r="E131" i="2" s="1"/>
  <c r="P92" i="1"/>
  <c r="Q92" i="1" s="1"/>
  <c r="E130" i="2" s="1"/>
  <c r="P91" i="1"/>
  <c r="Q91" i="1" s="1"/>
  <c r="E129" i="2" s="1"/>
  <c r="P90" i="1"/>
  <c r="Q90" i="1" s="1"/>
  <c r="E128" i="2" s="1"/>
  <c r="P89" i="1"/>
  <c r="Q89" i="1" s="1"/>
  <c r="E127" i="2" s="1"/>
  <c r="P88" i="1"/>
  <c r="Q88" i="1" s="1"/>
  <c r="E126" i="2" s="1"/>
  <c r="P87" i="1"/>
  <c r="Q87" i="1" s="1"/>
  <c r="E125" i="2" s="1"/>
  <c r="P86" i="1"/>
  <c r="Q86" i="1" s="1"/>
  <c r="E124" i="2" s="1"/>
  <c r="P85" i="1"/>
  <c r="Q85" i="1" s="1"/>
  <c r="E123" i="2" s="1"/>
  <c r="P84" i="1"/>
  <c r="Q84" i="1" s="1"/>
  <c r="E122" i="2" s="1"/>
  <c r="I94" i="1"/>
  <c r="E114" i="2" s="1"/>
  <c r="I83" i="1"/>
  <c r="E104" i="2" s="1"/>
  <c r="P83" i="1"/>
  <c r="Q83" i="1" s="1"/>
  <c r="E121" i="2" s="1"/>
  <c r="K108" i="1"/>
  <c r="I100" i="1"/>
  <c r="E120" i="2" s="1"/>
  <c r="I96" i="1"/>
  <c r="K96" i="1" s="1"/>
  <c r="I95" i="1"/>
  <c r="K95" i="1" s="1"/>
  <c r="I84" i="1"/>
  <c r="E105" i="2" s="1"/>
  <c r="I85" i="1"/>
  <c r="E106" i="2" s="1"/>
  <c r="I86" i="1"/>
  <c r="E107" i="2" s="1"/>
  <c r="I87" i="1"/>
  <c r="E108" i="2" s="1"/>
  <c r="I88" i="1"/>
  <c r="E109" i="2" s="1"/>
  <c r="I89" i="1"/>
  <c r="E110" i="2" s="1"/>
  <c r="I90" i="1"/>
  <c r="E111" i="2" s="1"/>
  <c r="I91" i="1"/>
  <c r="E112" i="2" s="1"/>
  <c r="I92" i="1"/>
  <c r="E113" i="2" s="1"/>
  <c r="P72" i="1"/>
  <c r="Q72" i="1" s="1"/>
  <c r="E90" i="2" s="1"/>
  <c r="N90" i="2" s="1"/>
  <c r="P90" i="2" s="1"/>
  <c r="P73" i="1"/>
  <c r="Q73" i="1" s="1"/>
  <c r="P77" i="1"/>
  <c r="Q77" i="1" s="1"/>
  <c r="E94" i="2" s="1"/>
  <c r="N94" i="2" s="1"/>
  <c r="P94" i="2" s="1"/>
  <c r="P78" i="1"/>
  <c r="Q78" i="1" s="1"/>
  <c r="E95" i="2" s="1"/>
  <c r="N95" i="2" s="1"/>
  <c r="P95" i="2" s="1"/>
  <c r="P71" i="1"/>
  <c r="Q71" i="1" s="1"/>
  <c r="E89" i="2" s="1"/>
  <c r="I72" i="1"/>
  <c r="I78" i="1"/>
  <c r="E88" i="2" s="1"/>
  <c r="N88" i="2" s="1"/>
  <c r="P88" i="2" s="1"/>
  <c r="I71" i="1"/>
  <c r="K71" i="1" s="1"/>
  <c r="P66" i="1"/>
  <c r="Q66" i="1" s="1"/>
  <c r="E77" i="2" s="1"/>
  <c r="P67" i="1"/>
  <c r="Q67" i="1" s="1"/>
  <c r="E78" i="2" s="1"/>
  <c r="P65" i="1"/>
  <c r="Q65" i="1" s="1"/>
  <c r="E76" i="2" s="1"/>
  <c r="I66" i="1"/>
  <c r="K66" i="1" s="1"/>
  <c r="I67" i="1"/>
  <c r="K67" i="1" s="1"/>
  <c r="I65" i="1"/>
  <c r="K65" i="1" s="1"/>
  <c r="P61" i="1"/>
  <c r="Q61" i="1" s="1"/>
  <c r="E69" i="2" s="1"/>
  <c r="P60" i="1"/>
  <c r="Q60" i="1" s="1"/>
  <c r="E68" i="2" s="1"/>
  <c r="P59" i="1"/>
  <c r="Q59" i="1" s="1"/>
  <c r="P58" i="1"/>
  <c r="Q58" i="1" s="1"/>
  <c r="E66" i="2" s="1"/>
  <c r="I59" i="1"/>
  <c r="K59" i="1" s="1"/>
  <c r="I60" i="1"/>
  <c r="E64" i="2" s="1"/>
  <c r="I61" i="1"/>
  <c r="E65" i="2" s="1"/>
  <c r="I58" i="1"/>
  <c r="E62" i="2" s="1"/>
  <c r="P54" i="1"/>
  <c r="Q54" i="1" s="1"/>
  <c r="E58" i="2" s="1"/>
  <c r="P53" i="1"/>
  <c r="Q53" i="1" s="1"/>
  <c r="E57" i="2" s="1"/>
  <c r="P51" i="1"/>
  <c r="Q51" i="1" s="1"/>
  <c r="E56" i="2" s="1"/>
  <c r="P50" i="1"/>
  <c r="Q50" i="1" s="1"/>
  <c r="E55" i="2" s="1"/>
  <c r="P49" i="1"/>
  <c r="Q49" i="1" s="1"/>
  <c r="E54" i="2" s="1"/>
  <c r="P42" i="1"/>
  <c r="Q42" i="1" s="1"/>
  <c r="I54" i="1"/>
  <c r="E46" i="2" s="1"/>
  <c r="E42" i="2"/>
  <c r="I42" i="1"/>
  <c r="K42" i="1" s="1"/>
  <c r="P30" i="1"/>
  <c r="P31" i="1"/>
  <c r="P32" i="1"/>
  <c r="Q32" i="1" s="1"/>
  <c r="E25" i="2" s="1"/>
  <c r="P33" i="1"/>
  <c r="Q33" i="1" s="1"/>
  <c r="E26" i="2" s="1"/>
  <c r="P34" i="1"/>
  <c r="Q34" i="1" s="1"/>
  <c r="E27" i="2" s="1"/>
  <c r="P35" i="1"/>
  <c r="Q35" i="1" s="1"/>
  <c r="E28" i="2" s="1"/>
  <c r="P36" i="1"/>
  <c r="Q36" i="1" s="1"/>
  <c r="E29" i="2" s="1"/>
  <c r="P37" i="1"/>
  <c r="Q37" i="1" s="1"/>
  <c r="E30" i="2" s="1"/>
  <c r="P38" i="1"/>
  <c r="Q38" i="1" s="1"/>
  <c r="E31" i="2" s="1"/>
  <c r="P29" i="1"/>
  <c r="Q29" i="1" s="1"/>
  <c r="E22" i="2" s="1"/>
  <c r="I30" i="1"/>
  <c r="K30" i="1" s="1"/>
  <c r="I31" i="1"/>
  <c r="K31" i="1" s="1"/>
  <c r="I32" i="1"/>
  <c r="K32" i="1" s="1"/>
  <c r="I33" i="1"/>
  <c r="K33" i="1" s="1"/>
  <c r="I34" i="1"/>
  <c r="E12" i="2" s="1"/>
  <c r="E13" i="2"/>
  <c r="I36" i="1"/>
  <c r="K36" i="1" s="1"/>
  <c r="I37" i="1"/>
  <c r="E15" i="2" s="1"/>
  <c r="I29" i="1"/>
  <c r="K29" i="1" s="1"/>
  <c r="P22" i="1"/>
  <c r="Q22" i="1" s="1"/>
  <c r="E18" i="2" s="1"/>
  <c r="P23" i="1"/>
  <c r="Q23" i="1" s="1"/>
  <c r="E19" i="2" s="1"/>
  <c r="P25" i="1"/>
  <c r="Q25" i="1" s="1"/>
  <c r="E21" i="2" s="1"/>
  <c r="P21" i="1"/>
  <c r="Q21" i="1" s="1"/>
  <c r="E17" i="2" s="1"/>
  <c r="I23" i="1"/>
  <c r="E4" i="2" s="1"/>
  <c r="I25" i="1"/>
  <c r="E6" i="2" s="1"/>
  <c r="I21" i="1"/>
  <c r="E2" i="2" s="1"/>
  <c r="A77" i="3"/>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K72" i="1" l="1"/>
  <c r="E83" i="2"/>
  <c r="N83" i="2" s="1"/>
  <c r="P83" i="2" s="1"/>
  <c r="E100" i="2"/>
  <c r="A21" i="2"/>
  <c r="A32" i="2" s="1"/>
  <c r="A33" i="2" s="1"/>
  <c r="A20" i="2"/>
  <c r="Q31" i="1"/>
  <c r="E24" i="2" s="1"/>
  <c r="Q30" i="1"/>
  <c r="E23" i="2" s="1"/>
  <c r="E47" i="2"/>
  <c r="E14" i="2"/>
  <c r="E35" i="2"/>
  <c r="E7" i="2"/>
  <c r="E63" i="2"/>
  <c r="K21" i="1"/>
  <c r="E82" i="2"/>
  <c r="K23" i="1"/>
  <c r="K25" i="1"/>
  <c r="E145" i="2"/>
  <c r="K100" i="1"/>
  <c r="E115" i="2"/>
  <c r="K109" i="1"/>
  <c r="E159" i="2"/>
  <c r="K114" i="1"/>
  <c r="K68" i="1"/>
  <c r="K34" i="1"/>
  <c r="E167" i="2"/>
  <c r="K78" i="1"/>
  <c r="E67" i="2"/>
  <c r="E73" i="2"/>
  <c r="E74" i="2"/>
  <c r="K116" i="1"/>
  <c r="E11" i="2"/>
  <c r="E116" i="2"/>
  <c r="E10" i="2"/>
  <c r="E75" i="2"/>
  <c r="E9" i="2"/>
  <c r="E141" i="2"/>
  <c r="E8" i="2"/>
  <c r="E142" i="2"/>
  <c r="E143" i="2"/>
  <c r="K110" i="1"/>
  <c r="K58" i="1"/>
  <c r="E144" i="2"/>
  <c r="K60" i="1"/>
  <c r="K94" i="1"/>
  <c r="K35" i="1"/>
  <c r="K61" i="1"/>
  <c r="K111" i="1" l="1"/>
  <c r="K117" i="1"/>
  <c r="K62" i="1"/>
  <c r="U116" i="1"/>
  <c r="U115" i="1"/>
  <c r="U114" i="1"/>
  <c r="U110" i="1"/>
  <c r="U109" i="1"/>
  <c r="U104" i="1"/>
  <c r="U108" i="1"/>
  <c r="U100" i="1"/>
  <c r="U96" i="1"/>
  <c r="U95" i="1"/>
  <c r="U94" i="1"/>
  <c r="U78" i="1"/>
  <c r="U72" i="1"/>
  <c r="U71" i="1"/>
  <c r="F6" i="2"/>
  <c r="D6" i="2"/>
  <c r="C6" i="2"/>
  <c r="M21" i="2"/>
  <c r="M6" i="2"/>
  <c r="O25" i="1"/>
  <c r="V25" i="1" s="1"/>
  <c r="AT25" i="1"/>
  <c r="U25" i="1"/>
  <c r="M25" i="1"/>
  <c r="C21" i="2" s="1"/>
  <c r="AF870" i="8"/>
  <c r="B869" i="8"/>
  <c r="C4" i="2"/>
  <c r="C3" i="2"/>
  <c r="C2" i="2"/>
  <c r="U111" i="1" l="1"/>
  <c r="S25" i="1"/>
  <c r="T25" i="1" s="1"/>
  <c r="U68" i="1"/>
  <c r="D21" i="2"/>
  <c r="N21" i="2" s="1"/>
  <c r="P21" i="2" s="1"/>
  <c r="N6" i="2"/>
  <c r="P6" i="2" s="1"/>
  <c r="AF869" i="8"/>
  <c r="AT120" i="1" l="1"/>
  <c r="I22" i="1"/>
  <c r="A27" i="8"/>
  <c r="AF26" i="8"/>
  <c r="A25" i="8"/>
  <c r="AF24" i="8"/>
  <c r="B23" i="8"/>
  <c r="B25" i="8" s="1"/>
  <c r="B26" i="8" s="1"/>
  <c r="B27" i="8" s="1"/>
  <c r="A23" i="8"/>
  <c r="A21" i="8"/>
  <c r="E10" i="1"/>
  <c r="D8" i="18" s="1"/>
  <c r="E11" i="1"/>
  <c r="D9" i="18" s="1"/>
  <c r="E9" i="1"/>
  <c r="D7" i="18" s="1"/>
  <c r="E8" i="1"/>
  <c r="D6" i="18" s="1"/>
  <c r="E7" i="1"/>
  <c r="D5" i="18" s="1"/>
  <c r="E4" i="1"/>
  <c r="D4" i="18" s="1"/>
  <c r="S22" i="1" l="1"/>
  <c r="V22" i="1"/>
  <c r="E3" i="2"/>
  <c r="K22" i="1"/>
  <c r="K26" i="1" s="1"/>
  <c r="B884" i="8"/>
  <c r="B885" i="8" s="1"/>
  <c r="B886" i="8" s="1"/>
  <c r="B887" i="8" s="1"/>
  <c r="B888" i="8" s="1"/>
  <c r="B889" i="8" s="1"/>
  <c r="B890" i="8" s="1"/>
  <c r="B891" i="8" s="1"/>
  <c r="B892" i="8" s="1"/>
  <c r="B893" i="8" s="1"/>
  <c r="B894" i="8" s="1"/>
  <c r="B895" i="8" s="1"/>
  <c r="B896" i="8" s="1"/>
  <c r="B897" i="8" s="1"/>
  <c r="B898" i="8" s="1"/>
  <c r="B899" i="8" s="1"/>
  <c r="B900" i="8" s="1"/>
  <c r="B901" i="8" s="1"/>
  <c r="B902" i="8" s="1"/>
  <c r="B903" i="8" s="1"/>
  <c r="B904" i="8" s="1"/>
  <c r="B905" i="8" s="1"/>
  <c r="B906" i="8" s="1"/>
  <c r="B907" i="8" s="1"/>
  <c r="B908" i="8" s="1"/>
  <c r="B909" i="8" s="1"/>
  <c r="B910" i="8" s="1"/>
  <c r="B911" i="8" s="1"/>
  <c r="B912" i="8" s="1"/>
  <c r="B913" i="8" s="1"/>
  <c r="B914" i="8" s="1"/>
  <c r="B915" i="8" s="1"/>
  <c r="B916" i="8" s="1"/>
  <c r="B917" i="8" s="1"/>
  <c r="B918" i="8" s="1"/>
  <c r="B919" i="8" s="1"/>
  <c r="B920" i="8" s="1"/>
  <c r="B921" i="8" s="1"/>
  <c r="B922" i="8" s="1"/>
  <c r="B923" i="8" s="1"/>
  <c r="B924" i="8" s="1"/>
  <c r="B925" i="8" s="1"/>
  <c r="B926" i="8" s="1"/>
  <c r="B774" i="8" l="1"/>
  <c r="B754" i="8"/>
  <c r="B737" i="8"/>
  <c r="B736" i="8"/>
  <c r="B735" i="8"/>
  <c r="B734" i="8"/>
  <c r="B673" i="8"/>
  <c r="B713" i="8"/>
  <c r="B693" i="8"/>
  <c r="B676" i="8"/>
  <c r="B675" i="8"/>
  <c r="B674" i="8"/>
  <c r="B612" i="8"/>
  <c r="B652" i="8"/>
  <c r="B632" i="8"/>
  <c r="B615" i="8"/>
  <c r="B614" i="8"/>
  <c r="B613" i="8"/>
  <c r="B551" i="8"/>
  <c r="B591" i="8"/>
  <c r="B571" i="8"/>
  <c r="B554" i="8"/>
  <c r="B553" i="8"/>
  <c r="B552" i="8"/>
  <c r="B530" i="8"/>
  <c r="B510" i="8"/>
  <c r="B493" i="8"/>
  <c r="B492" i="8"/>
  <c r="B491" i="8"/>
  <c r="B490" i="8"/>
  <c r="B469" i="8"/>
  <c r="B449" i="8"/>
  <c r="B432" i="8"/>
  <c r="B431" i="8"/>
  <c r="B430" i="8"/>
  <c r="B429" i="8"/>
  <c r="B408" i="8"/>
  <c r="B388" i="8"/>
  <c r="B371" i="8"/>
  <c r="B370" i="8"/>
  <c r="B369" i="8"/>
  <c r="B368" i="8"/>
  <c r="B347" i="8"/>
  <c r="B327" i="8"/>
  <c r="B310" i="8"/>
  <c r="B309" i="8"/>
  <c r="B308" i="8"/>
  <c r="B307" i="8"/>
  <c r="B286" i="8"/>
  <c r="B266" i="8"/>
  <c r="B249" i="8"/>
  <c r="B248" i="8"/>
  <c r="B247" i="8"/>
  <c r="B246" i="8"/>
  <c r="AF172" i="8"/>
  <c r="AF173" i="8"/>
  <c r="AF162" i="8"/>
  <c r="AF161" i="8"/>
  <c r="AF160" i="8"/>
  <c r="AF159" i="8"/>
  <c r="AF158" i="8"/>
  <c r="AF157" i="8"/>
  <c r="AF156" i="8"/>
  <c r="AF155" i="8"/>
  <c r="AF154" i="8"/>
  <c r="AF153" i="8"/>
  <c r="AF152" i="8"/>
  <c r="AF151" i="8"/>
  <c r="AF150" i="8"/>
  <c r="A148" i="8"/>
  <c r="AF147" i="8"/>
  <c r="A146" i="8"/>
  <c r="AF145" i="8"/>
  <c r="B144" i="8"/>
  <c r="B146" i="8" s="1"/>
  <c r="B147" i="8" s="1"/>
  <c r="B148" i="8" s="1"/>
  <c r="A144" i="8"/>
  <c r="A141" i="8"/>
  <c r="AF140" i="8"/>
  <c r="A139" i="8"/>
  <c r="AF138" i="8"/>
  <c r="B137" i="8"/>
  <c r="B139" i="8" s="1"/>
  <c r="B140" i="8" s="1"/>
  <c r="B141" i="8" s="1"/>
  <c r="A137" i="8"/>
  <c r="A134" i="8"/>
  <c r="AF133" i="8"/>
  <c r="A132" i="8"/>
  <c r="AF131" i="8"/>
  <c r="B130" i="8"/>
  <c r="B132" i="8" s="1"/>
  <c r="B133" i="8" s="1"/>
  <c r="B134" i="8" s="1"/>
  <c r="A130" i="8"/>
  <c r="A128" i="8"/>
  <c r="AF127" i="8"/>
  <c r="AF126" i="8"/>
  <c r="AF125" i="8"/>
  <c r="A124" i="8"/>
  <c r="AF123" i="8"/>
  <c r="AF122" i="8"/>
  <c r="AF121" i="8"/>
  <c r="AF864" i="8" l="1"/>
  <c r="AF849" i="8"/>
  <c r="AF834" i="8"/>
  <c r="S38" i="1"/>
  <c r="B5" i="4"/>
  <c r="B6" i="4" s="1"/>
  <c r="B7" i="4" s="1"/>
  <c r="B8" i="4" s="1"/>
  <c r="B9" i="4" s="1"/>
  <c r="B10" i="4" s="1"/>
  <c r="B11" i="4" s="1"/>
  <c r="B12" i="4" s="1"/>
  <c r="M23" i="1" l="1"/>
  <c r="C19" i="2" s="1"/>
  <c r="M22" i="1"/>
  <c r="C18" i="2" s="1"/>
  <c r="M21" i="1"/>
  <c r="C17" i="2" s="1"/>
  <c r="M120" i="1"/>
  <c r="M119" i="1"/>
  <c r="U119" i="1" s="1"/>
  <c r="M113" i="1"/>
  <c r="U113" i="1" s="1"/>
  <c r="M103" i="1"/>
  <c r="U103" i="1" s="1"/>
  <c r="M93" i="1"/>
  <c r="U93" i="1" s="1"/>
  <c r="M81" i="1"/>
  <c r="U81" i="1" s="1"/>
  <c r="M70" i="1"/>
  <c r="U70" i="1" s="1"/>
  <c r="M64" i="1"/>
  <c r="U64" i="1" s="1"/>
  <c r="M57" i="1"/>
  <c r="U57" i="1" s="1"/>
  <c r="M41" i="1"/>
  <c r="U41" i="1" s="1"/>
  <c r="M28" i="1"/>
  <c r="U28" i="1" s="1"/>
  <c r="M20" i="1"/>
  <c r="U20" i="1" s="1"/>
  <c r="B47" i="8"/>
  <c r="M102" i="2" l="1"/>
  <c r="M101" i="2"/>
  <c r="D34" i="8" l="1"/>
  <c r="A35" i="8" l="1"/>
  <c r="M100" i="2" l="1"/>
  <c r="C100" i="2"/>
  <c r="M99" i="2"/>
  <c r="F99" i="2"/>
  <c r="D99" i="2"/>
  <c r="C99" i="2"/>
  <c r="O67" i="1"/>
  <c r="V73" i="1"/>
  <c r="U73" i="1"/>
  <c r="AT73" i="1"/>
  <c r="S67" i="1" l="1"/>
  <c r="V67" i="1"/>
  <c r="S73" i="1"/>
  <c r="G16" i="18"/>
  <c r="I73" i="1"/>
  <c r="D16" i="18"/>
  <c r="D100" i="2"/>
  <c r="A793" i="8"/>
  <c r="AF794" i="8"/>
  <c r="E99" i="2" l="1"/>
  <c r="N99" i="2" s="1"/>
  <c r="K73" i="1"/>
  <c r="T73" i="1" s="1"/>
  <c r="N100" i="2"/>
  <c r="D102" i="2"/>
  <c r="B1" i="13"/>
  <c r="AI927" i="8"/>
  <c r="B3" i="8" s="1"/>
  <c r="N102" i="2" l="1"/>
  <c r="E102" i="2" s="1"/>
  <c r="P100" i="2"/>
  <c r="P102" i="2" s="1"/>
  <c r="H102" i="2" s="1"/>
  <c r="P99" i="2"/>
  <c r="P101" i="2" s="1"/>
  <c r="N101" i="2"/>
  <c r="O101" i="2" s="1"/>
  <c r="O102" i="2"/>
  <c r="A7" i="12"/>
  <c r="A8" i="12" s="1"/>
  <c r="A9" i="12" s="1"/>
  <c r="A10" i="12" s="1"/>
  <c r="A11" i="12" s="1"/>
  <c r="A12" i="12" s="1"/>
  <c r="A13" i="12" s="1"/>
  <c r="A14" i="12" s="1"/>
  <c r="AF776" i="8"/>
  <c r="AF775" i="8"/>
  <c r="AF715" i="8"/>
  <c r="AF714" i="8"/>
  <c r="AF654" i="8"/>
  <c r="AF653" i="8"/>
  <c r="AF593" i="8"/>
  <c r="AF592" i="8"/>
  <c r="AF532" i="8"/>
  <c r="AF531" i="8"/>
  <c r="AF471" i="8"/>
  <c r="AF470" i="8"/>
  <c r="AF410" i="8"/>
  <c r="AF409" i="8"/>
  <c r="AF349" i="8"/>
  <c r="AF348" i="8"/>
  <c r="AF288" i="8"/>
  <c r="AF287" i="8"/>
  <c r="AF756" i="8"/>
  <c r="AF755" i="8"/>
  <c r="AF695" i="8"/>
  <c r="AF694" i="8"/>
  <c r="AF634" i="8"/>
  <c r="AF633" i="8"/>
  <c r="AF573" i="8"/>
  <c r="AF572" i="8"/>
  <c r="AF512" i="8"/>
  <c r="AF511" i="8"/>
  <c r="AF451" i="8"/>
  <c r="AF450" i="8"/>
  <c r="AF390" i="8"/>
  <c r="AF389" i="8"/>
  <c r="AF329" i="8"/>
  <c r="AF328" i="8"/>
  <c r="AF268" i="8"/>
  <c r="AF267" i="8"/>
  <c r="AF739" i="8"/>
  <c r="AF738" i="8"/>
  <c r="AF678" i="8"/>
  <c r="AF677" i="8"/>
  <c r="AF617" i="8"/>
  <c r="AF616" i="8"/>
  <c r="AF556" i="8"/>
  <c r="AF555" i="8"/>
  <c r="AF495" i="8"/>
  <c r="AF494" i="8"/>
  <c r="AF434" i="8"/>
  <c r="AF433" i="8"/>
  <c r="AF373" i="8"/>
  <c r="AF372" i="8"/>
  <c r="AF312" i="8"/>
  <c r="AF311" i="8"/>
  <c r="AF251" i="8"/>
  <c r="AF250" i="8"/>
  <c r="AF176" i="8"/>
  <c r="AF789" i="8"/>
  <c r="AF787" i="8"/>
  <c r="AF771" i="8"/>
  <c r="AF769" i="8"/>
  <c r="AF751" i="8"/>
  <c r="AF749" i="8"/>
  <c r="AF728" i="8"/>
  <c r="AF726" i="8"/>
  <c r="AF710" i="8"/>
  <c r="AF708" i="8"/>
  <c r="AF690" i="8"/>
  <c r="AF688" i="8"/>
  <c r="AF667" i="8"/>
  <c r="AF665" i="8"/>
  <c r="AF649" i="8"/>
  <c r="AF647" i="8"/>
  <c r="AF629" i="8"/>
  <c r="AF627" i="8"/>
  <c r="AF606" i="8"/>
  <c r="AF604" i="8"/>
  <c r="AF588" i="8"/>
  <c r="AF586" i="8"/>
  <c r="AF568" i="8"/>
  <c r="AF566" i="8"/>
  <c r="AF545" i="8"/>
  <c r="AF543" i="8"/>
  <c r="AF527" i="8"/>
  <c r="AF525" i="8"/>
  <c r="AF507" i="8"/>
  <c r="AF505" i="8"/>
  <c r="AF484" i="8"/>
  <c r="AF482" i="8"/>
  <c r="AF466" i="8"/>
  <c r="AF464" i="8"/>
  <c r="AF446" i="8"/>
  <c r="AF444" i="8"/>
  <c r="AF423" i="8"/>
  <c r="AF421" i="8"/>
  <c r="AF405" i="8"/>
  <c r="AF403" i="8"/>
  <c r="AF385" i="8"/>
  <c r="AF383" i="8"/>
  <c r="AF362" i="8"/>
  <c r="AF360" i="8"/>
  <c r="AF344" i="8"/>
  <c r="AF342" i="8"/>
  <c r="AF324" i="8"/>
  <c r="AF322" i="8"/>
  <c r="AF301" i="8"/>
  <c r="AF299" i="8"/>
  <c r="AF283" i="8"/>
  <c r="AF281" i="8"/>
  <c r="AF269" i="8"/>
  <c r="AF270" i="8"/>
  <c r="AF271" i="8"/>
  <c r="AF263" i="8"/>
  <c r="AF261" i="8"/>
  <c r="AF226" i="8"/>
  <c r="AF224" i="8"/>
  <c r="AF208" i="8"/>
  <c r="AF206" i="8"/>
  <c r="AF188" i="8"/>
  <c r="AF186" i="8"/>
  <c r="AF114" i="8"/>
  <c r="AF112" i="8"/>
  <c r="AF107" i="8"/>
  <c r="AF105" i="8"/>
  <c r="AF100" i="8"/>
  <c r="AF98" i="8"/>
  <c r="AF86" i="8"/>
  <c r="AF84" i="8"/>
  <c r="AF79" i="8"/>
  <c r="AF77" i="8"/>
  <c r="AF72" i="8"/>
  <c r="AF70" i="8"/>
  <c r="AF31" i="8"/>
  <c r="AF34" i="8"/>
  <c r="B8" i="12" a="1"/>
  <c r="B11" i="12" a="1"/>
  <c r="B7" i="12" a="1"/>
  <c r="B9" i="12" a="1"/>
  <c r="B14" i="12" a="1"/>
  <c r="B12" i="12" a="1"/>
  <c r="B10" i="12" a="1"/>
  <c r="B13" i="12" a="1"/>
  <c r="B6" i="12" a="1"/>
  <c r="H101" i="2" l="1"/>
  <c r="E101" i="2"/>
  <c r="B14" i="12"/>
  <c r="C14" i="12" s="1"/>
  <c r="E14" i="12" s="1"/>
  <c r="B13" i="12"/>
  <c r="C13" i="12" s="1"/>
  <c r="B12" i="12"/>
  <c r="C12" i="12" s="1"/>
  <c r="B11" i="12"/>
  <c r="C11" i="12" s="1"/>
  <c r="B10" i="12"/>
  <c r="C10" i="12" s="1"/>
  <c r="B9" i="12"/>
  <c r="B8" i="12"/>
  <c r="C8" i="12" s="1"/>
  <c r="B7" i="12"/>
  <c r="C7" i="12" s="1"/>
  <c r="B6" i="12"/>
  <c r="C6" i="12" s="1"/>
  <c r="B260" i="8"/>
  <c r="B262" i="8" s="1"/>
  <c r="B263" i="8" s="1"/>
  <c r="A262" i="8"/>
  <c r="A790" i="8"/>
  <c r="A788" i="8"/>
  <c r="B786" i="8"/>
  <c r="B788" i="8" s="1"/>
  <c r="B789" i="8" s="1"/>
  <c r="A786" i="8"/>
  <c r="A784" i="8"/>
  <c r="AF783" i="8"/>
  <c r="AF782" i="8"/>
  <c r="AF781" i="8"/>
  <c r="AF780" i="8"/>
  <c r="A779" i="8"/>
  <c r="AF778" i="8"/>
  <c r="AF777" i="8"/>
  <c r="A772" i="8"/>
  <c r="A770" i="8"/>
  <c r="B768" i="8"/>
  <c r="B770" i="8" s="1"/>
  <c r="B771" i="8" s="1"/>
  <c r="A768" i="8"/>
  <c r="A766" i="8"/>
  <c r="AF765" i="8"/>
  <c r="AF764" i="8"/>
  <c r="AF763" i="8"/>
  <c r="A762" i="8"/>
  <c r="AF761" i="8"/>
  <c r="AF760" i="8"/>
  <c r="AF759" i="8"/>
  <c r="AF758" i="8"/>
  <c r="AF757" i="8"/>
  <c r="A752" i="8"/>
  <c r="A750" i="8"/>
  <c r="B748" i="8"/>
  <c r="B750" i="8" s="1"/>
  <c r="B751" i="8" s="1"/>
  <c r="A748" i="8"/>
  <c r="A746" i="8"/>
  <c r="AF745" i="8"/>
  <c r="AF744" i="8"/>
  <c r="AF743" i="8"/>
  <c r="A742" i="8"/>
  <c r="AF741" i="8"/>
  <c r="AF740" i="8"/>
  <c r="AF736" i="8"/>
  <c r="AF735" i="8"/>
  <c r="A729" i="8"/>
  <c r="A727" i="8"/>
  <c r="B725" i="8"/>
  <c r="B727" i="8" s="1"/>
  <c r="B728" i="8" s="1"/>
  <c r="A725" i="8"/>
  <c r="A723" i="8"/>
  <c r="AF722" i="8"/>
  <c r="AF721" i="8"/>
  <c r="AF720" i="8"/>
  <c r="AF719" i="8"/>
  <c r="A718" i="8"/>
  <c r="AF717" i="8"/>
  <c r="AF716" i="8"/>
  <c r="A711" i="8"/>
  <c r="A709" i="8"/>
  <c r="B707" i="8"/>
  <c r="B709" i="8" s="1"/>
  <c r="B710" i="8" s="1"/>
  <c r="A707" i="8"/>
  <c r="A705" i="8"/>
  <c r="AF704" i="8"/>
  <c r="AF703" i="8"/>
  <c r="AF702" i="8"/>
  <c r="A701" i="8"/>
  <c r="AF700" i="8"/>
  <c r="AF699" i="8"/>
  <c r="AF698" i="8"/>
  <c r="AF697" i="8"/>
  <c r="AF696" i="8"/>
  <c r="A691" i="8"/>
  <c r="A689" i="8"/>
  <c r="B687" i="8"/>
  <c r="B689" i="8" s="1"/>
  <c r="B690" i="8" s="1"/>
  <c r="A687" i="8"/>
  <c r="A685" i="8"/>
  <c r="AF684" i="8"/>
  <c r="AF683" i="8"/>
  <c r="AF682" i="8"/>
  <c r="A681" i="8"/>
  <c r="AF680" i="8"/>
  <c r="AF679" i="8"/>
  <c r="AF675" i="8"/>
  <c r="AF674" i="8"/>
  <c r="A668" i="8"/>
  <c r="A666" i="8"/>
  <c r="B664" i="8"/>
  <c r="B666" i="8" s="1"/>
  <c r="B667" i="8" s="1"/>
  <c r="A664" i="8"/>
  <c r="A662" i="8"/>
  <c r="AF661" i="8"/>
  <c r="AF660" i="8"/>
  <c r="AF659" i="8"/>
  <c r="AF658" i="8"/>
  <c r="A657" i="8"/>
  <c r="AF656" i="8"/>
  <c r="AF655" i="8"/>
  <c r="A650" i="8"/>
  <c r="A648" i="8"/>
  <c r="B646" i="8"/>
  <c r="B648" i="8" s="1"/>
  <c r="B649" i="8" s="1"/>
  <c r="A646" i="8"/>
  <c r="A644" i="8"/>
  <c r="AF643" i="8"/>
  <c r="AF642" i="8"/>
  <c r="AF641" i="8"/>
  <c r="A640" i="8"/>
  <c r="AF639" i="8"/>
  <c r="AF638" i="8"/>
  <c r="AF637" i="8"/>
  <c r="AF636" i="8"/>
  <c r="AF635" i="8"/>
  <c r="A630" i="8"/>
  <c r="A628" i="8"/>
  <c r="B626" i="8"/>
  <c r="B628" i="8" s="1"/>
  <c r="B629" i="8" s="1"/>
  <c r="A626" i="8"/>
  <c r="A624" i="8"/>
  <c r="AF623" i="8"/>
  <c r="AF622" i="8"/>
  <c r="AF621" i="8"/>
  <c r="A620" i="8"/>
  <c r="AF619" i="8"/>
  <c r="AF618" i="8"/>
  <c r="AF614" i="8"/>
  <c r="AF613" i="8"/>
  <c r="A607" i="8"/>
  <c r="A605" i="8"/>
  <c r="B603" i="8"/>
  <c r="B605" i="8" s="1"/>
  <c r="B606" i="8" s="1"/>
  <c r="A603" i="8"/>
  <c r="A601" i="8"/>
  <c r="AF600" i="8"/>
  <c r="AF599" i="8"/>
  <c r="AF598" i="8"/>
  <c r="AF597" i="8"/>
  <c r="A596" i="8"/>
  <c r="AF595" i="8"/>
  <c r="AF594" i="8"/>
  <c r="A589" i="8"/>
  <c r="A587" i="8"/>
  <c r="B585" i="8"/>
  <c r="B587" i="8" s="1"/>
  <c r="B588" i="8" s="1"/>
  <c r="A585" i="8"/>
  <c r="A583" i="8"/>
  <c r="AF582" i="8"/>
  <c r="AF581" i="8"/>
  <c r="AF580" i="8"/>
  <c r="A579" i="8"/>
  <c r="AF578" i="8"/>
  <c r="AF577" i="8"/>
  <c r="AF576" i="8"/>
  <c r="AF575" i="8"/>
  <c r="AF574" i="8"/>
  <c r="A569" i="8"/>
  <c r="A567" i="8"/>
  <c r="B565" i="8"/>
  <c r="B567" i="8" s="1"/>
  <c r="B568" i="8" s="1"/>
  <c r="A565" i="8"/>
  <c r="A563" i="8"/>
  <c r="AF562" i="8"/>
  <c r="AF561" i="8"/>
  <c r="AF560" i="8"/>
  <c r="A559" i="8"/>
  <c r="AF558" i="8"/>
  <c r="AF557" i="8"/>
  <c r="AF553" i="8"/>
  <c r="AF552" i="8"/>
  <c r="A546" i="8"/>
  <c r="A544" i="8"/>
  <c r="B542" i="8"/>
  <c r="B544" i="8" s="1"/>
  <c r="B545" i="8" s="1"/>
  <c r="A542" i="8"/>
  <c r="A540" i="8"/>
  <c r="AF539" i="8"/>
  <c r="AF538" i="8"/>
  <c r="AF537" i="8"/>
  <c r="AF536" i="8"/>
  <c r="A535" i="8"/>
  <c r="AF534" i="8"/>
  <c r="AF533" i="8"/>
  <c r="A528" i="8"/>
  <c r="A526" i="8"/>
  <c r="B524" i="8"/>
  <c r="B526" i="8" s="1"/>
  <c r="B527" i="8" s="1"/>
  <c r="B528" i="8" s="1"/>
  <c r="A524" i="8"/>
  <c r="A522" i="8"/>
  <c r="AF521" i="8"/>
  <c r="AF520" i="8"/>
  <c r="AF519" i="8"/>
  <c r="A518" i="8"/>
  <c r="AF517" i="8"/>
  <c r="AF516" i="8"/>
  <c r="AF515" i="8"/>
  <c r="AF514" i="8"/>
  <c r="AF513" i="8"/>
  <c r="A508" i="8"/>
  <c r="A506" i="8"/>
  <c r="B504" i="8"/>
  <c r="B506" i="8" s="1"/>
  <c r="B507" i="8" s="1"/>
  <c r="B508" i="8" s="1"/>
  <c r="A504" i="8"/>
  <c r="A502" i="8"/>
  <c r="AF501" i="8"/>
  <c r="AF500" i="8"/>
  <c r="AF499" i="8"/>
  <c r="A498" i="8"/>
  <c r="AF497" i="8"/>
  <c r="AF496" i="8"/>
  <c r="AF492" i="8"/>
  <c r="AF491" i="8"/>
  <c r="A485" i="8"/>
  <c r="A483" i="8"/>
  <c r="B481" i="8"/>
  <c r="B483" i="8" s="1"/>
  <c r="B484" i="8" s="1"/>
  <c r="A481" i="8"/>
  <c r="A479" i="8"/>
  <c r="AF478" i="8"/>
  <c r="AF477" i="8"/>
  <c r="AF476" i="8"/>
  <c r="AF475" i="8"/>
  <c r="A474" i="8"/>
  <c r="AF473" i="8"/>
  <c r="AF472" i="8"/>
  <c r="A467" i="8"/>
  <c r="A465" i="8"/>
  <c r="B463" i="8"/>
  <c r="B465" i="8" s="1"/>
  <c r="B466" i="8" s="1"/>
  <c r="A463" i="8"/>
  <c r="A461" i="8"/>
  <c r="AF460" i="8"/>
  <c r="AF459" i="8"/>
  <c r="AF458" i="8"/>
  <c r="A457" i="8"/>
  <c r="AF456" i="8"/>
  <c r="AF455" i="8"/>
  <c r="AF454" i="8"/>
  <c r="AF453" i="8"/>
  <c r="AF452" i="8"/>
  <c r="A447" i="8"/>
  <c r="A445" i="8"/>
  <c r="B443" i="8"/>
  <c r="B445" i="8" s="1"/>
  <c r="B446" i="8" s="1"/>
  <c r="A443" i="8"/>
  <c r="A441" i="8"/>
  <c r="AF440" i="8"/>
  <c r="AF439" i="8"/>
  <c r="AF438" i="8"/>
  <c r="A437" i="8"/>
  <c r="AF436" i="8"/>
  <c r="AF435" i="8"/>
  <c r="AF431" i="8"/>
  <c r="AF430" i="8"/>
  <c r="A424" i="8"/>
  <c r="A422" i="8"/>
  <c r="B420" i="8"/>
  <c r="B422" i="8" s="1"/>
  <c r="B423" i="8" s="1"/>
  <c r="A420" i="8"/>
  <c r="A418" i="8"/>
  <c r="AF417" i="8"/>
  <c r="AF416" i="8"/>
  <c r="AF415" i="8"/>
  <c r="AF414" i="8"/>
  <c r="A413" i="8"/>
  <c r="AF412" i="8"/>
  <c r="AF411" i="8"/>
  <c r="A406" i="8"/>
  <c r="A404" i="8"/>
  <c r="B402" i="8"/>
  <c r="B404" i="8" s="1"/>
  <c r="B405" i="8" s="1"/>
  <c r="A402" i="8"/>
  <c r="A400" i="8"/>
  <c r="AF399" i="8"/>
  <c r="AF398" i="8"/>
  <c r="AF397" i="8"/>
  <c r="A396" i="8"/>
  <c r="AF395" i="8"/>
  <c r="AF394" i="8"/>
  <c r="AF393" i="8"/>
  <c r="AF392" i="8"/>
  <c r="AF391" i="8"/>
  <c r="A386" i="8"/>
  <c r="A384" i="8"/>
  <c r="B382" i="8"/>
  <c r="B384" i="8" s="1"/>
  <c r="B385" i="8" s="1"/>
  <c r="A382" i="8"/>
  <c r="A380" i="8"/>
  <c r="AF379" i="8"/>
  <c r="AF378" i="8"/>
  <c r="AF377" i="8"/>
  <c r="A376" i="8"/>
  <c r="AF375" i="8"/>
  <c r="AF374" i="8"/>
  <c r="AF370" i="8"/>
  <c r="AF369" i="8"/>
  <c r="N246" i="8"/>
  <c r="D245" i="8" s="1"/>
  <c r="D243" i="8"/>
  <c r="D170" i="8"/>
  <c r="A363" i="8"/>
  <c r="A361" i="8"/>
  <c r="B359" i="8"/>
  <c r="B361" i="8" s="1"/>
  <c r="B362" i="8" s="1"/>
  <c r="A359" i="8"/>
  <c r="A357" i="8"/>
  <c r="AF356" i="8"/>
  <c r="AF355" i="8"/>
  <c r="AF354" i="8"/>
  <c r="AF353" i="8"/>
  <c r="A352" i="8"/>
  <c r="AF351" i="8"/>
  <c r="AF350" i="8"/>
  <c r="A345" i="8"/>
  <c r="A343" i="8"/>
  <c r="B341" i="8"/>
  <c r="B343" i="8" s="1"/>
  <c r="B344" i="8" s="1"/>
  <c r="A341" i="8"/>
  <c r="A339" i="8"/>
  <c r="AF338" i="8"/>
  <c r="AF337" i="8"/>
  <c r="AF336" i="8"/>
  <c r="A335" i="8"/>
  <c r="AF334" i="8"/>
  <c r="AF333" i="8"/>
  <c r="AF332" i="8"/>
  <c r="AF331" i="8"/>
  <c r="AF330" i="8"/>
  <c r="A325" i="8"/>
  <c r="A323" i="8"/>
  <c r="B321" i="8"/>
  <c r="B323" i="8" s="1"/>
  <c r="B324" i="8" s="1"/>
  <c r="A321" i="8"/>
  <c r="A319" i="8"/>
  <c r="AF318" i="8"/>
  <c r="AF317" i="8"/>
  <c r="AF316" i="8"/>
  <c r="A315" i="8"/>
  <c r="AF314" i="8"/>
  <c r="AF313" i="8"/>
  <c r="AF309" i="8"/>
  <c r="AF308" i="8"/>
  <c r="A302" i="8"/>
  <c r="A300" i="8"/>
  <c r="B298" i="8"/>
  <c r="B300" i="8" s="1"/>
  <c r="B301" i="8" s="1"/>
  <c r="A298" i="8"/>
  <c r="A296" i="8"/>
  <c r="AF295" i="8"/>
  <c r="AF294" i="8"/>
  <c r="AF293" i="8"/>
  <c r="AF292" i="8"/>
  <c r="A291" i="8"/>
  <c r="AF290" i="8"/>
  <c r="AF289" i="8"/>
  <c r="A284" i="8"/>
  <c r="A282" i="8"/>
  <c r="B280" i="8"/>
  <c r="B282" i="8" s="1"/>
  <c r="B283" i="8" s="1"/>
  <c r="A280" i="8"/>
  <c r="A278" i="8"/>
  <c r="AF277" i="8"/>
  <c r="AF276" i="8"/>
  <c r="AF275" i="8"/>
  <c r="A274" i="8"/>
  <c r="AF273" i="8"/>
  <c r="AF272" i="8"/>
  <c r="A264" i="8"/>
  <c r="A260" i="8"/>
  <c r="A258" i="8"/>
  <c r="AF257" i="8"/>
  <c r="AF256" i="8"/>
  <c r="AF255" i="8"/>
  <c r="A254" i="8"/>
  <c r="AF253" i="8"/>
  <c r="AF252" i="8"/>
  <c r="AF248" i="8"/>
  <c r="AF247" i="8"/>
  <c r="E14" i="1"/>
  <c r="D7" i="12" l="1"/>
  <c r="E7" i="12"/>
  <c r="E8" i="12"/>
  <c r="D8" i="12"/>
  <c r="E10" i="12"/>
  <c r="D10" i="12"/>
  <c r="E11" i="12"/>
  <c r="D11" i="12"/>
  <c r="E12" i="12"/>
  <c r="D12" i="12"/>
  <c r="E13" i="12"/>
  <c r="D13" i="12"/>
  <c r="D14" i="12"/>
  <c r="F14" i="12" s="1"/>
  <c r="D6" i="12"/>
  <c r="E6" i="12"/>
  <c r="B880" i="8"/>
  <c r="B877" i="8"/>
  <c r="B874" i="8"/>
  <c r="C9" i="12"/>
  <c r="B772" i="8"/>
  <c r="B752" i="8"/>
  <c r="B790" i="8"/>
  <c r="B729" i="8"/>
  <c r="B711" i="8"/>
  <c r="B691" i="8"/>
  <c r="B630" i="8"/>
  <c r="B650" i="8"/>
  <c r="B668" i="8"/>
  <c r="B607" i="8"/>
  <c r="B589" i="8"/>
  <c r="B569" i="8"/>
  <c r="B546" i="8"/>
  <c r="B447" i="8"/>
  <c r="B485" i="8"/>
  <c r="B467" i="8"/>
  <c r="B386" i="8"/>
  <c r="B406" i="8"/>
  <c r="B424" i="8"/>
  <c r="D304" i="8"/>
  <c r="N307" i="8"/>
  <c r="D244" i="8"/>
  <c r="B325" i="8"/>
  <c r="B345" i="8"/>
  <c r="B363" i="8"/>
  <c r="B302" i="8"/>
  <c r="B264" i="8"/>
  <c r="B284" i="8"/>
  <c r="AF868" i="8"/>
  <c r="AF867" i="8"/>
  <c r="AF866" i="8"/>
  <c r="AF865" i="8"/>
  <c r="AF863" i="8"/>
  <c r="AF862" i="8"/>
  <c r="AF861" i="8"/>
  <c r="AF860" i="8"/>
  <c r="AF859" i="8"/>
  <c r="AF858" i="8"/>
  <c r="AF857" i="8"/>
  <c r="AF856" i="8"/>
  <c r="AF855" i="8"/>
  <c r="AF854" i="8"/>
  <c r="AF853" i="8"/>
  <c r="AF852" i="8"/>
  <c r="AF851" i="8"/>
  <c r="AF850" i="8"/>
  <c r="AF848" i="8"/>
  <c r="AF847" i="8"/>
  <c r="AF846" i="8"/>
  <c r="AF845" i="8"/>
  <c r="AF844" i="8"/>
  <c r="AF843" i="8"/>
  <c r="AF842" i="8"/>
  <c r="AF841" i="8"/>
  <c r="AF840" i="8"/>
  <c r="AF839" i="8"/>
  <c r="AF838" i="8"/>
  <c r="AF837" i="8"/>
  <c r="AF836" i="8"/>
  <c r="AF835" i="8"/>
  <c r="AF833" i="8"/>
  <c r="AF832" i="8"/>
  <c r="AF831" i="8"/>
  <c r="AF830" i="8"/>
  <c r="AF829" i="8"/>
  <c r="AF828" i="8"/>
  <c r="AF827" i="8"/>
  <c r="AF826" i="8"/>
  <c r="AF825" i="8"/>
  <c r="AF824" i="8"/>
  <c r="AF823" i="8"/>
  <c r="AF822" i="8"/>
  <c r="AF821" i="8"/>
  <c r="AF820" i="8"/>
  <c r="AF819" i="8"/>
  <c r="AF818" i="8"/>
  <c r="AF817" i="8"/>
  <c r="AF816" i="8"/>
  <c r="AF815" i="8"/>
  <c r="AF814" i="8"/>
  <c r="AF813" i="8"/>
  <c r="AF812" i="8"/>
  <c r="AF811" i="8"/>
  <c r="AF810" i="8"/>
  <c r="AF808" i="8"/>
  <c r="AF807" i="8"/>
  <c r="AF806" i="8"/>
  <c r="AF805" i="8"/>
  <c r="AF804" i="8"/>
  <c r="AF803" i="8"/>
  <c r="AF802" i="8"/>
  <c r="AF801" i="8"/>
  <c r="AF800" i="8"/>
  <c r="AF215" i="8"/>
  <c r="AF214" i="8"/>
  <c r="AF213" i="8"/>
  <c r="AF212" i="8"/>
  <c r="AF198" i="8"/>
  <c r="AF197" i="8"/>
  <c r="AF196" i="8"/>
  <c r="AF195" i="8"/>
  <c r="AF194" i="8"/>
  <c r="AF193" i="8"/>
  <c r="AF192" i="8"/>
  <c r="AF178" i="8"/>
  <c r="AF177" i="8"/>
  <c r="AF175" i="8"/>
  <c r="A44" i="8"/>
  <c r="A43" i="8"/>
  <c r="A795" i="8"/>
  <c r="AF797" i="8"/>
  <c r="AF796" i="8"/>
  <c r="AF799" i="8"/>
  <c r="AF798" i="8"/>
  <c r="A227" i="8"/>
  <c r="A225" i="8"/>
  <c r="B223" i="8"/>
  <c r="B225" i="8" s="1"/>
  <c r="B226" i="8" s="1"/>
  <c r="A223" i="8"/>
  <c r="A221" i="8"/>
  <c r="A209" i="8"/>
  <c r="A207" i="8"/>
  <c r="B205" i="8"/>
  <c r="B207" i="8" s="1"/>
  <c r="B208" i="8" s="1"/>
  <c r="A205" i="8"/>
  <c r="A203" i="8"/>
  <c r="A189" i="8"/>
  <c r="A187" i="8"/>
  <c r="B185" i="8"/>
  <c r="B187" i="8" s="1"/>
  <c r="B188" i="8" s="1"/>
  <c r="A185" i="8"/>
  <c r="A183" i="8"/>
  <c r="AF220" i="8"/>
  <c r="AF219" i="8"/>
  <c r="AF218" i="8"/>
  <c r="AF217" i="8"/>
  <c r="A216" i="8"/>
  <c r="AF202" i="8"/>
  <c r="AF201" i="8"/>
  <c r="AF200" i="8"/>
  <c r="A199" i="8"/>
  <c r="AF182" i="8"/>
  <c r="AF181" i="8"/>
  <c r="AF180" i="8"/>
  <c r="A179" i="8"/>
  <c r="A120" i="8"/>
  <c r="F10" i="12" l="1"/>
  <c r="F8" i="12"/>
  <c r="F12" i="12"/>
  <c r="F6" i="12"/>
  <c r="F13" i="12"/>
  <c r="F11" i="12"/>
  <c r="F7" i="12"/>
  <c r="E9" i="12"/>
  <c r="D9" i="12"/>
  <c r="D306" i="8"/>
  <c r="N368" i="8"/>
  <c r="N429" i="8" s="1"/>
  <c r="N490" i="8" s="1"/>
  <c r="N551" i="8" s="1"/>
  <c r="N612" i="8" s="1"/>
  <c r="N673" i="8" s="1"/>
  <c r="N734" i="8" s="1"/>
  <c r="D365" i="8"/>
  <c r="D305" i="8"/>
  <c r="B227" i="8"/>
  <c r="B209" i="8"/>
  <c r="B189" i="8"/>
  <c r="AF66" i="8"/>
  <c r="AF65" i="8"/>
  <c r="AF64" i="8"/>
  <c r="A63" i="8"/>
  <c r="F9" i="12" l="1"/>
  <c r="D792" i="8"/>
  <c r="D733" i="8"/>
  <c r="D732" i="8"/>
  <c r="D731" i="8"/>
  <c r="D672" i="8"/>
  <c r="D671" i="8"/>
  <c r="D670" i="8"/>
  <c r="D610" i="8"/>
  <c r="D611" i="8"/>
  <c r="D550" i="8"/>
  <c r="D549" i="8"/>
  <c r="D609" i="8"/>
  <c r="D548" i="8"/>
  <c r="D488" i="8"/>
  <c r="D489" i="8"/>
  <c r="D487" i="8"/>
  <c r="D428" i="8"/>
  <c r="D427" i="8"/>
  <c r="D426" i="8"/>
  <c r="D367" i="8"/>
  <c r="D366" i="8"/>
  <c r="AF57" i="8"/>
  <c r="A883" i="8" l="1"/>
  <c r="A882" i="8"/>
  <c r="A881" i="8"/>
  <c r="A880" i="8"/>
  <c r="A879" i="8"/>
  <c r="A878" i="8"/>
  <c r="A877" i="8"/>
  <c r="A876" i="8"/>
  <c r="A875" i="8"/>
  <c r="A874" i="8"/>
  <c r="A873" i="8"/>
  <c r="A872" i="8"/>
  <c r="A871" i="8"/>
  <c r="AF119" i="8"/>
  <c r="AF118" i="8"/>
  <c r="AF117" i="8"/>
  <c r="A115" i="8"/>
  <c r="A113" i="8"/>
  <c r="B111" i="8"/>
  <c r="B113" i="8" s="1"/>
  <c r="B114" i="8" s="1"/>
  <c r="A111" i="8"/>
  <c r="A108" i="8"/>
  <c r="A106" i="8"/>
  <c r="B104" i="8"/>
  <c r="B106" i="8" s="1"/>
  <c r="B107" i="8" s="1"/>
  <c r="A104" i="8"/>
  <c r="A101" i="8"/>
  <c r="A99" i="8"/>
  <c r="B97" i="8"/>
  <c r="B99" i="8" s="1"/>
  <c r="B100" i="8" s="1"/>
  <c r="A97" i="8"/>
  <c r="A95" i="8"/>
  <c r="AF94" i="8"/>
  <c r="AF93" i="8"/>
  <c r="AF92" i="8"/>
  <c r="AF91" i="8"/>
  <c r="AF90" i="8"/>
  <c r="AF89" i="8"/>
  <c r="A87" i="8"/>
  <c r="A85" i="8"/>
  <c r="B83" i="8"/>
  <c r="B85" i="8" s="1"/>
  <c r="B86" i="8" s="1"/>
  <c r="A83" i="8"/>
  <c r="A80" i="8"/>
  <c r="A78" i="8"/>
  <c r="B76" i="8"/>
  <c r="B78" i="8" s="1"/>
  <c r="B79" i="8" s="1"/>
  <c r="A76" i="8"/>
  <c r="A73" i="8"/>
  <c r="A71" i="8"/>
  <c r="B69" i="8"/>
  <c r="B71" i="8" s="1"/>
  <c r="B72" i="8" s="1"/>
  <c r="A69" i="8"/>
  <c r="A67" i="8"/>
  <c r="AF62" i="8"/>
  <c r="AF61" i="8"/>
  <c r="AF60" i="8"/>
  <c r="AF59" i="8"/>
  <c r="AF58" i="8"/>
  <c r="AF56" i="8"/>
  <c r="AF55" i="8"/>
  <c r="AF54" i="8"/>
  <c r="AF53" i="8"/>
  <c r="AF46" i="8"/>
  <c r="A42" i="8"/>
  <c r="A41" i="8"/>
  <c r="A40" i="8"/>
  <c r="A39" i="8"/>
  <c r="A38" i="8"/>
  <c r="A37" i="8"/>
  <c r="A33" i="8"/>
  <c r="A32" i="8"/>
  <c r="AF30" i="8"/>
  <c r="AF29" i="8"/>
  <c r="A20" i="8"/>
  <c r="AF19" i="8"/>
  <c r="AF18" i="8"/>
  <c r="AF17" i="8"/>
  <c r="A16" i="8"/>
  <c r="A15" i="8"/>
  <c r="A14" i="8"/>
  <c r="A7" i="8"/>
  <c r="A6" i="8"/>
  <c r="A5" i="8"/>
  <c r="A4" i="8"/>
  <c r="B73" i="8" l="1"/>
  <c r="B115" i="8"/>
  <c r="B80" i="8"/>
  <c r="B87" i="8"/>
  <c r="B101" i="8"/>
  <c r="B108" i="8"/>
  <c r="M156" i="2" l="1"/>
  <c r="M155" i="2"/>
  <c r="M165" i="2"/>
  <c r="M164" i="2"/>
  <c r="M139" i="2"/>
  <c r="M138" i="2"/>
  <c r="M97" i="2"/>
  <c r="M96" i="2"/>
  <c r="M80" i="2"/>
  <c r="M79" i="2"/>
  <c r="M71" i="2"/>
  <c r="M70" i="2"/>
  <c r="M60" i="2" l="1"/>
  <c r="M59" i="2"/>
  <c r="M33" i="2"/>
  <c r="M32" i="2"/>
  <c r="B11" i="1" l="1"/>
  <c r="B10" i="1"/>
  <c r="B9" i="1"/>
  <c r="B8" i="1"/>
  <c r="B7" i="1"/>
  <c r="A6" i="10"/>
  <c r="A12" i="9" l="1"/>
  <c r="A5" i="10"/>
  <c r="D11" i="8"/>
  <c r="AF11" i="8" s="1"/>
  <c r="A13" i="9"/>
  <c r="AT9" i="1"/>
  <c r="D10" i="8"/>
  <c r="AF10" i="8" s="1"/>
  <c r="AT10" i="1"/>
  <c r="K131" i="1"/>
  <c r="A7" i="10" l="1"/>
  <c r="A4" i="10"/>
  <c r="I13" i="8"/>
  <c r="AF13" i="8" s="1"/>
  <c r="M130" i="2"/>
  <c r="M129" i="2"/>
  <c r="M113" i="2"/>
  <c r="F113" i="2"/>
  <c r="C113" i="2"/>
  <c r="M112" i="2"/>
  <c r="F112" i="2"/>
  <c r="C112" i="2"/>
  <c r="M23" i="2"/>
  <c r="C23" i="2"/>
  <c r="M8" i="2"/>
  <c r="F8" i="2"/>
  <c r="D8" i="2"/>
  <c r="C8" i="2"/>
  <c r="U77" i="1" l="1"/>
  <c r="I77" i="1"/>
  <c r="E87" i="2" s="1"/>
  <c r="N87" i="2" s="1"/>
  <c r="P87" i="2" s="1"/>
  <c r="D8" i="8"/>
  <c r="AF8" i="8" s="1"/>
  <c r="D9" i="8"/>
  <c r="AF9" i="8" s="1"/>
  <c r="A11" i="9"/>
  <c r="D12" i="8"/>
  <c r="AF12" i="8" s="1"/>
  <c r="A14" i="9"/>
  <c r="N8" i="2"/>
  <c r="P8" i="2" s="1"/>
  <c r="M92" i="1"/>
  <c r="C130" i="2" s="1"/>
  <c r="M91" i="1"/>
  <c r="C129" i="2" s="1"/>
  <c r="AT92" i="1"/>
  <c r="F92" i="1"/>
  <c r="AT91" i="1"/>
  <c r="F91" i="1"/>
  <c r="U92" i="1" l="1"/>
  <c r="K92" i="1"/>
  <c r="U91" i="1"/>
  <c r="K91" i="1"/>
  <c r="K77" i="1"/>
  <c r="K79" i="1" s="1"/>
  <c r="D113" i="2"/>
  <c r="N113" i="2" s="1"/>
  <c r="P113" i="2" s="1"/>
  <c r="D112" i="2"/>
  <c r="N112" i="2" s="1"/>
  <c r="P112" i="2" s="1"/>
  <c r="O91" i="1"/>
  <c r="O92" i="1"/>
  <c r="S92" i="1" l="1"/>
  <c r="V92" i="1"/>
  <c r="S91" i="1"/>
  <c r="T91" i="1" s="1"/>
  <c r="V91" i="1"/>
  <c r="T92" i="1"/>
  <c r="D130" i="2"/>
  <c r="N130" i="2" s="1"/>
  <c r="P130" i="2" s="1"/>
  <c r="D129" i="2"/>
  <c r="N129" i="2" s="1"/>
  <c r="P129" i="2" s="1"/>
  <c r="F37" i="1"/>
  <c r="N29" i="1"/>
  <c r="M29" i="1"/>
  <c r="AT30" i="1"/>
  <c r="U30" i="1"/>
  <c r="O30" i="1"/>
  <c r="AT53" i="1"/>
  <c r="M56" i="2"/>
  <c r="C56" i="2"/>
  <c r="M44" i="2"/>
  <c r="F44" i="2"/>
  <c r="C44" i="2"/>
  <c r="F53" i="1"/>
  <c r="H53" i="1" s="1"/>
  <c r="I53" i="1" s="1"/>
  <c r="E45" i="2" s="1"/>
  <c r="N51" i="1"/>
  <c r="E44" i="2"/>
  <c r="E43" i="2"/>
  <c r="S30" i="1" l="1"/>
  <c r="T30" i="1" s="1"/>
  <c r="V30" i="1"/>
  <c r="K53" i="1"/>
  <c r="K54" i="1"/>
  <c r="K37" i="1"/>
  <c r="K50" i="1"/>
  <c r="D23" i="2"/>
  <c r="N23" i="2" s="1"/>
  <c r="P23" i="2" s="1"/>
  <c r="AT78" i="1"/>
  <c r="S78" i="1" l="1"/>
  <c r="T78" i="1" s="1"/>
  <c r="V78" i="1"/>
  <c r="S77" i="1"/>
  <c r="V77" i="1"/>
  <c r="U79" i="1"/>
  <c r="K49" i="1" l="1"/>
  <c r="F51" i="1"/>
  <c r="D44" i="2" l="1"/>
  <c r="N44" i="2" s="1"/>
  <c r="P44" i="2" s="1"/>
  <c r="K51" i="1"/>
  <c r="K55" i="1" s="1"/>
  <c r="O51" i="1"/>
  <c r="U51" i="1"/>
  <c r="C137" i="2"/>
  <c r="M137" i="2"/>
  <c r="F120" i="2"/>
  <c r="M120" i="2"/>
  <c r="C120" i="2"/>
  <c r="C145" i="2"/>
  <c r="D120" i="2"/>
  <c r="M29" i="2"/>
  <c r="M28" i="2"/>
  <c r="C28" i="2"/>
  <c r="C29" i="2"/>
  <c r="M14" i="2"/>
  <c r="M13" i="2"/>
  <c r="F13" i="2"/>
  <c r="F14" i="2"/>
  <c r="D13" i="2"/>
  <c r="D14" i="2"/>
  <c r="C13" i="2"/>
  <c r="C14" i="2"/>
  <c r="C7" i="2"/>
  <c r="C9" i="2"/>
  <c r="C10" i="2"/>
  <c r="C11" i="2"/>
  <c r="C12" i="2"/>
  <c r="C15" i="2"/>
  <c r="C16" i="2"/>
  <c r="C22" i="2"/>
  <c r="C24" i="2"/>
  <c r="C25" i="2"/>
  <c r="C26" i="2"/>
  <c r="C27" i="2"/>
  <c r="C30" i="2"/>
  <c r="C31" i="2"/>
  <c r="C35" i="2"/>
  <c r="C42" i="2"/>
  <c r="C43" i="2"/>
  <c r="C45" i="2"/>
  <c r="C46" i="2"/>
  <c r="C47" i="2"/>
  <c r="C54" i="2"/>
  <c r="C55" i="2"/>
  <c r="C57" i="2"/>
  <c r="C58" i="2"/>
  <c r="C62" i="2"/>
  <c r="C63" i="2"/>
  <c r="C64" i="2"/>
  <c r="C65" i="2"/>
  <c r="C66" i="2"/>
  <c r="C67" i="2"/>
  <c r="C68" i="2"/>
  <c r="C69" i="2"/>
  <c r="C73" i="2"/>
  <c r="C74" i="2"/>
  <c r="C75" i="2"/>
  <c r="C76" i="2"/>
  <c r="C77" i="2"/>
  <c r="C78" i="2"/>
  <c r="C82" i="2"/>
  <c r="C89" i="2"/>
  <c r="C104" i="2"/>
  <c r="C105" i="2"/>
  <c r="C106" i="2"/>
  <c r="C107" i="2"/>
  <c r="C108" i="2"/>
  <c r="C109" i="2"/>
  <c r="C110" i="2"/>
  <c r="C111" i="2"/>
  <c r="C114" i="2"/>
  <c r="C115" i="2"/>
  <c r="C116" i="2"/>
  <c r="C127" i="2"/>
  <c r="C128" i="2"/>
  <c r="C131" i="2"/>
  <c r="C132" i="2"/>
  <c r="C133" i="2"/>
  <c r="C152" i="2"/>
  <c r="C141" i="2"/>
  <c r="C142" i="2"/>
  <c r="C143" i="2"/>
  <c r="C144" i="2"/>
  <c r="C146" i="2"/>
  <c r="C147" i="2"/>
  <c r="C148" i="2"/>
  <c r="C149" i="2"/>
  <c r="C150" i="2"/>
  <c r="C151" i="2"/>
  <c r="C153" i="2"/>
  <c r="C154" i="2"/>
  <c r="C158" i="2"/>
  <c r="C159" i="2"/>
  <c r="C160" i="2"/>
  <c r="C161" i="2"/>
  <c r="C162" i="2"/>
  <c r="C163" i="2"/>
  <c r="AT100" i="1"/>
  <c r="O100" i="1"/>
  <c r="S100" i="1" l="1"/>
  <c r="T100" i="1" s="1"/>
  <c r="V100" i="1"/>
  <c r="D56" i="2"/>
  <c r="N56" i="2" s="1"/>
  <c r="P56" i="2" s="1"/>
  <c r="V51" i="1"/>
  <c r="S51" i="1"/>
  <c r="T51" i="1" s="1"/>
  <c r="N120" i="2"/>
  <c r="P120" i="2" s="1"/>
  <c r="N14" i="2"/>
  <c r="P14" i="2" s="1"/>
  <c r="N13" i="2"/>
  <c r="P13" i="2" s="1"/>
  <c r="D137" i="2"/>
  <c r="N137" i="2" s="1"/>
  <c r="P137" i="2" s="1"/>
  <c r="U53" i="1"/>
  <c r="AT36" i="1" l="1"/>
  <c r="U36" i="1"/>
  <c r="O36" i="1"/>
  <c r="AT35" i="1"/>
  <c r="U35" i="1"/>
  <c r="O35" i="1"/>
  <c r="B73" i="3"/>
  <c r="S36" i="1" l="1"/>
  <c r="T36" i="1" s="1"/>
  <c r="V36" i="1"/>
  <c r="S35" i="1"/>
  <c r="T35" i="1" s="1"/>
  <c r="V35" i="1"/>
  <c r="B72" i="3"/>
  <c r="B71" i="3"/>
  <c r="B68" i="3"/>
  <c r="D28" i="2"/>
  <c r="N28" i="2" s="1"/>
  <c r="P28" i="2" s="1"/>
  <c r="D29" i="2"/>
  <c r="N29" i="2" s="1"/>
  <c r="P29" i="2" s="1"/>
  <c r="D144" i="2"/>
  <c r="D143" i="2"/>
  <c r="D142" i="2"/>
  <c r="E168" i="2" l="1"/>
  <c r="E171" i="2"/>
  <c r="F167" i="2"/>
  <c r="D167" i="2"/>
  <c r="F159" i="2"/>
  <c r="F160" i="2"/>
  <c r="F158" i="2"/>
  <c r="D159" i="2"/>
  <c r="D160" i="2"/>
  <c r="D158" i="2"/>
  <c r="F146" i="2"/>
  <c r="F147" i="2"/>
  <c r="F141" i="2"/>
  <c r="N142" i="2"/>
  <c r="P142" i="2" s="1"/>
  <c r="N143" i="2"/>
  <c r="P143" i="2" s="1"/>
  <c r="N144" i="2"/>
  <c r="P144" i="2" s="1"/>
  <c r="D146" i="2"/>
  <c r="D147" i="2"/>
  <c r="D141" i="2"/>
  <c r="F115" i="2"/>
  <c r="F116" i="2"/>
  <c r="F145" i="2"/>
  <c r="F114" i="2"/>
  <c r="D115" i="2"/>
  <c r="D116" i="2"/>
  <c r="D145" i="2"/>
  <c r="D114" i="2"/>
  <c r="F105" i="2"/>
  <c r="F106" i="2"/>
  <c r="F107" i="2"/>
  <c r="F108" i="2"/>
  <c r="F109" i="2"/>
  <c r="F110" i="2"/>
  <c r="F111" i="2"/>
  <c r="F104" i="2"/>
  <c r="F82" i="2"/>
  <c r="D82" i="2"/>
  <c r="D75" i="2"/>
  <c r="D74" i="2"/>
  <c r="D73" i="2"/>
  <c r="N146" i="2" l="1"/>
  <c r="P146" i="2" s="1"/>
  <c r="N73" i="2"/>
  <c r="P73" i="2" s="1"/>
  <c r="N115" i="2"/>
  <c r="P115" i="2" s="1"/>
  <c r="N114" i="2"/>
  <c r="P114" i="2" s="1"/>
  <c r="N145" i="2"/>
  <c r="P145" i="2" s="1"/>
  <c r="N116" i="2"/>
  <c r="P116" i="2" s="1"/>
  <c r="N167" i="2"/>
  <c r="P167" i="2" s="1"/>
  <c r="N141" i="2"/>
  <c r="P141" i="2" s="1"/>
  <c r="N159" i="2"/>
  <c r="P159" i="2" s="1"/>
  <c r="N147" i="2"/>
  <c r="P147" i="2" s="1"/>
  <c r="N74" i="2"/>
  <c r="P74" i="2" s="1"/>
  <c r="N75" i="2"/>
  <c r="P75" i="2" s="1"/>
  <c r="N82" i="2"/>
  <c r="P82" i="2" s="1"/>
  <c r="N158" i="2"/>
  <c r="P158" i="2" s="1"/>
  <c r="N160" i="2"/>
  <c r="P160" i="2" s="1"/>
  <c r="F3" i="2"/>
  <c r="F4" i="2"/>
  <c r="F2" i="2"/>
  <c r="N155" i="2" l="1"/>
  <c r="P79" i="2"/>
  <c r="P155" i="2"/>
  <c r="H155" i="2" s="1"/>
  <c r="N164" i="2"/>
  <c r="N96" i="2"/>
  <c r="N79" i="2"/>
  <c r="F63" i="2"/>
  <c r="F64" i="2"/>
  <c r="F65" i="2"/>
  <c r="F62" i="2"/>
  <c r="D63" i="2"/>
  <c r="D64" i="2"/>
  <c r="D65" i="2"/>
  <c r="D62" i="2"/>
  <c r="F42" i="2"/>
  <c r="F43" i="2"/>
  <c r="F45" i="2"/>
  <c r="F46" i="2"/>
  <c r="F35" i="2"/>
  <c r="D42" i="2"/>
  <c r="D43" i="2"/>
  <c r="D45" i="2"/>
  <c r="D46" i="2"/>
  <c r="D35" i="2"/>
  <c r="D31" i="2"/>
  <c r="F9" i="2"/>
  <c r="F10" i="2"/>
  <c r="F11" i="2"/>
  <c r="F12" i="2"/>
  <c r="F15" i="2"/>
  <c r="F16" i="2"/>
  <c r="F7" i="2"/>
  <c r="D9" i="2"/>
  <c r="D10" i="2"/>
  <c r="D11" i="2"/>
  <c r="D12" i="2"/>
  <c r="D7" i="2"/>
  <c r="M169" i="2"/>
  <c r="M168" i="2"/>
  <c r="M167" i="2"/>
  <c r="M163" i="2"/>
  <c r="M162" i="2"/>
  <c r="M161" i="2"/>
  <c r="M160" i="2"/>
  <c r="M159" i="2"/>
  <c r="M158" i="2"/>
  <c r="M154" i="2"/>
  <c r="M153" i="2"/>
  <c r="M151" i="2"/>
  <c r="M150" i="2"/>
  <c r="M149" i="2"/>
  <c r="M148" i="2"/>
  <c r="M147" i="2"/>
  <c r="M146" i="2"/>
  <c r="M144" i="2"/>
  <c r="M143" i="2"/>
  <c r="M142" i="2"/>
  <c r="M141" i="2"/>
  <c r="M152" i="2"/>
  <c r="M133" i="2"/>
  <c r="M132" i="2"/>
  <c r="M131" i="2"/>
  <c r="M128" i="2"/>
  <c r="M127" i="2"/>
  <c r="M126" i="2"/>
  <c r="M125" i="2"/>
  <c r="M124" i="2"/>
  <c r="M123" i="2"/>
  <c r="M122" i="2"/>
  <c r="M121" i="2"/>
  <c r="M145" i="2"/>
  <c r="M116" i="2"/>
  <c r="M115" i="2"/>
  <c r="M114" i="2"/>
  <c r="M111" i="2"/>
  <c r="M110" i="2"/>
  <c r="M109" i="2"/>
  <c r="M108" i="2"/>
  <c r="M107" i="2"/>
  <c r="M106" i="2"/>
  <c r="M105" i="2"/>
  <c r="M104" i="2"/>
  <c r="M89" i="2"/>
  <c r="M82" i="2"/>
  <c r="M78" i="2"/>
  <c r="M77" i="2"/>
  <c r="M76" i="2"/>
  <c r="M75" i="2"/>
  <c r="M74" i="2"/>
  <c r="M73" i="2"/>
  <c r="M69" i="2"/>
  <c r="M68" i="2"/>
  <c r="M67" i="2"/>
  <c r="M66" i="2"/>
  <c r="M65" i="2"/>
  <c r="M64" i="2"/>
  <c r="M63" i="2"/>
  <c r="M62" i="2"/>
  <c r="M58" i="2"/>
  <c r="M57" i="2"/>
  <c r="M55" i="2"/>
  <c r="M54" i="2"/>
  <c r="M47" i="2"/>
  <c r="M46" i="2"/>
  <c r="M45" i="2"/>
  <c r="M43" i="2"/>
  <c r="M42" i="2"/>
  <c r="M35" i="2"/>
  <c r="M31" i="2"/>
  <c r="M30" i="2"/>
  <c r="M27" i="2"/>
  <c r="M26" i="2"/>
  <c r="M25" i="2"/>
  <c r="M24" i="2"/>
  <c r="M22" i="2"/>
  <c r="M16" i="2"/>
  <c r="M15" i="2"/>
  <c r="M12" i="2"/>
  <c r="M11" i="2"/>
  <c r="M10" i="2"/>
  <c r="M9" i="2"/>
  <c r="M7" i="2"/>
  <c r="D3" i="2"/>
  <c r="D4" i="2"/>
  <c r="D2" i="2"/>
  <c r="H79" i="2" l="1"/>
  <c r="P96" i="2"/>
  <c r="H96" i="2" s="1"/>
  <c r="P164" i="2"/>
  <c r="H164" i="2" s="1"/>
  <c r="N64" i="2"/>
  <c r="P64" i="2" s="1"/>
  <c r="O96" i="2"/>
  <c r="E96" i="2"/>
  <c r="N35" i="2"/>
  <c r="P35" i="2" s="1"/>
  <c r="N31" i="2"/>
  <c r="P31" i="2" s="1"/>
  <c r="N46" i="2"/>
  <c r="P46" i="2" s="1"/>
  <c r="N45" i="2"/>
  <c r="P45" i="2" s="1"/>
  <c r="E79" i="2"/>
  <c r="O79" i="2"/>
  <c r="N43" i="2"/>
  <c r="P43" i="2" s="1"/>
  <c r="N42" i="2"/>
  <c r="P42" i="2" s="1"/>
  <c r="N65" i="2"/>
  <c r="P65" i="2" s="1"/>
  <c r="N3" i="2"/>
  <c r="P3" i="2" s="1"/>
  <c r="N9" i="2"/>
  <c r="P9" i="2" s="1"/>
  <c r="N62" i="2"/>
  <c r="P62" i="2" s="1"/>
  <c r="N4" i="2"/>
  <c r="P4" i="2" s="1"/>
  <c r="N63" i="2"/>
  <c r="P63" i="2" s="1"/>
  <c r="N7" i="2"/>
  <c r="P7" i="2" s="1"/>
  <c r="N12" i="2"/>
  <c r="P12" i="2" s="1"/>
  <c r="N2" i="2"/>
  <c r="P2" i="2" s="1"/>
  <c r="N11" i="2"/>
  <c r="P11" i="2" s="1"/>
  <c r="N10" i="2"/>
  <c r="P10" i="2" s="1"/>
  <c r="M84" i="1"/>
  <c r="C122" i="2" s="1"/>
  <c r="M85" i="1"/>
  <c r="C123" i="2" s="1"/>
  <c r="M86" i="1"/>
  <c r="C124" i="2" s="1"/>
  <c r="M87" i="1"/>
  <c r="C125" i="2" s="1"/>
  <c r="M88" i="1"/>
  <c r="C126" i="2" s="1"/>
  <c r="M83" i="1"/>
  <c r="C121" i="2" s="1"/>
  <c r="AT132" i="1"/>
  <c r="AT131" i="1"/>
  <c r="AT116" i="1"/>
  <c r="AT115" i="1"/>
  <c r="AT114" i="1"/>
  <c r="AT110" i="1"/>
  <c r="AT109" i="1"/>
  <c r="AT107" i="1"/>
  <c r="AT106" i="1"/>
  <c r="AT105" i="1"/>
  <c r="AT104" i="1"/>
  <c r="AT108" i="1"/>
  <c r="AT96" i="1"/>
  <c r="AT95" i="1"/>
  <c r="AT94" i="1"/>
  <c r="AT83" i="1"/>
  <c r="AT89" i="1"/>
  <c r="AT90" i="1"/>
  <c r="AT84" i="1"/>
  <c r="AT85" i="1"/>
  <c r="AT86" i="1"/>
  <c r="AT87" i="1"/>
  <c r="AT88" i="1"/>
  <c r="AT77" i="1"/>
  <c r="AT72" i="1"/>
  <c r="AT71" i="1"/>
  <c r="AT67" i="1"/>
  <c r="AT66" i="1"/>
  <c r="AT65" i="1"/>
  <c r="AT61" i="1"/>
  <c r="AT60" i="1"/>
  <c r="AT59" i="1"/>
  <c r="AT58" i="1"/>
  <c r="AT42" i="1"/>
  <c r="AT34" i="1"/>
  <c r="AT21" i="1"/>
  <c r="AT29" i="1"/>
  <c r="AT33" i="1"/>
  <c r="AT32" i="1"/>
  <c r="AT31" i="1"/>
  <c r="AT23" i="1"/>
  <c r="AT22" i="1"/>
  <c r="A5" i="1"/>
  <c r="A6" i="1"/>
  <c r="A12" i="1"/>
  <c r="A13" i="1"/>
  <c r="A15" i="1"/>
  <c r="A16" i="1"/>
  <c r="A17" i="1"/>
  <c r="A18" i="1"/>
  <c r="A20" i="1"/>
  <c r="A26" i="1"/>
  <c r="A28" i="1"/>
  <c r="A39" i="1"/>
  <c r="A41" i="1"/>
  <c r="A55" i="1"/>
  <c r="A57" i="1"/>
  <c r="A62" i="1"/>
  <c r="A64" i="1"/>
  <c r="A68" i="1"/>
  <c r="A70" i="1"/>
  <c r="A79" i="1"/>
  <c r="A81" i="1"/>
  <c r="A82" i="1"/>
  <c r="A101" i="1"/>
  <c r="A103" i="1"/>
  <c r="A111" i="1"/>
  <c r="A113" i="1"/>
  <c r="A117" i="1"/>
  <c r="A119" i="1"/>
  <c r="A122" i="1"/>
  <c r="A123" i="1"/>
  <c r="A124" i="1"/>
  <c r="A125" i="1"/>
  <c r="A126" i="1"/>
  <c r="A127" i="1"/>
  <c r="A128" i="1"/>
  <c r="A129" i="1"/>
  <c r="A130" i="1"/>
  <c r="A133" i="1"/>
  <c r="A3" i="1"/>
  <c r="AT7" i="1"/>
  <c r="AT4" i="1"/>
  <c r="N59" i="2" l="1"/>
  <c r="O59" i="2" s="1"/>
  <c r="N70" i="2"/>
  <c r="P70" i="2"/>
  <c r="H70" i="2" s="1"/>
  <c r="F89" i="1"/>
  <c r="T120" i="1"/>
  <c r="M19" i="2"/>
  <c r="M18" i="2"/>
  <c r="M17" i="2"/>
  <c r="M4" i="2"/>
  <c r="M3" i="2"/>
  <c r="M2" i="2"/>
  <c r="AT14" i="1"/>
  <c r="AT11" i="1"/>
  <c r="AT8" i="1"/>
  <c r="AU97" i="1" l="1"/>
  <c r="A97" i="1" s="1"/>
  <c r="AU98" i="1"/>
  <c r="A98" i="1" s="1"/>
  <c r="AU99" i="1"/>
  <c r="A99" i="1" s="1"/>
  <c r="AU24" i="1"/>
  <c r="A24" i="1" s="1"/>
  <c r="AU74" i="1"/>
  <c r="A74" i="1" s="1"/>
  <c r="AU75" i="1"/>
  <c r="A75" i="1" s="1"/>
  <c r="AU76" i="1"/>
  <c r="A76" i="1" s="1"/>
  <c r="AU44" i="1"/>
  <c r="A44" i="1" s="1"/>
  <c r="AU135" i="1"/>
  <c r="A135" i="1" s="1"/>
  <c r="AU43" i="1"/>
  <c r="A43" i="1" s="1"/>
  <c r="AU48" i="1"/>
  <c r="A48" i="1" s="1"/>
  <c r="AU45" i="1"/>
  <c r="A45" i="1" s="1"/>
  <c r="AU47" i="1"/>
  <c r="A47" i="1" s="1"/>
  <c r="AU46" i="1"/>
  <c r="A46" i="1" s="1"/>
  <c r="U89" i="1"/>
  <c r="K89" i="1"/>
  <c r="AU120" i="1"/>
  <c r="A120" i="1" s="1"/>
  <c r="AU25" i="1"/>
  <c r="A25" i="1" s="1"/>
  <c r="T67" i="1"/>
  <c r="AU73" i="1"/>
  <c r="A73" i="1" s="1"/>
  <c r="E59" i="2"/>
  <c r="AU9" i="1"/>
  <c r="A9" i="1" s="1"/>
  <c r="P59" i="2"/>
  <c r="H59" i="2" s="1"/>
  <c r="O70" i="2"/>
  <c r="E70" i="2"/>
  <c r="AU10" i="1"/>
  <c r="A10" i="1" s="1"/>
  <c r="AU91" i="1"/>
  <c r="A91" i="1" s="1"/>
  <c r="AU92" i="1"/>
  <c r="A92" i="1" s="1"/>
  <c r="AU30" i="1"/>
  <c r="A30" i="1" s="1"/>
  <c r="AU78" i="1"/>
  <c r="A78" i="1" s="1"/>
  <c r="AU53" i="1"/>
  <c r="A51" i="1"/>
  <c r="AU100" i="1"/>
  <c r="A100" i="1" s="1"/>
  <c r="AU35" i="1"/>
  <c r="A35" i="1" s="1"/>
  <c r="AU36" i="1"/>
  <c r="A36" i="1" s="1"/>
  <c r="AU132" i="1"/>
  <c r="AU108" i="1"/>
  <c r="AU131" i="1"/>
  <c r="AU94" i="1"/>
  <c r="AU84" i="1"/>
  <c r="AU83" i="1"/>
  <c r="AU42" i="1"/>
  <c r="AU95" i="1"/>
  <c r="AU88" i="1"/>
  <c r="A88" i="1" s="1"/>
  <c r="AU86" i="1"/>
  <c r="AU96" i="1"/>
  <c r="AU87" i="1"/>
  <c r="AU85" i="1"/>
  <c r="AU115" i="1"/>
  <c r="AU104" i="1"/>
  <c r="AU116" i="1"/>
  <c r="AU77" i="1"/>
  <c r="AU105" i="1"/>
  <c r="AU61" i="1"/>
  <c r="AU110" i="1"/>
  <c r="AU60" i="1"/>
  <c r="AU114" i="1"/>
  <c r="AU59" i="1"/>
  <c r="AU67" i="1"/>
  <c r="AU90" i="1"/>
  <c r="A90" i="1" s="1"/>
  <c r="AU89" i="1"/>
  <c r="A89" i="1" s="1"/>
  <c r="AU106" i="1"/>
  <c r="AU58" i="1"/>
  <c r="AU107" i="1"/>
  <c r="AU72" i="1"/>
  <c r="AU71" i="1"/>
  <c r="AU65" i="1"/>
  <c r="AU66" i="1"/>
  <c r="AU109" i="1"/>
  <c r="D110" i="2"/>
  <c r="N110" i="2" s="1"/>
  <c r="P110" i="2" s="1"/>
  <c r="A37" i="1"/>
  <c r="A38" i="1"/>
  <c r="O89" i="1"/>
  <c r="O116" i="1"/>
  <c r="O115" i="1"/>
  <c r="O114" i="1"/>
  <c r="S116" i="1" l="1"/>
  <c r="T116" i="1" s="1"/>
  <c r="V116" i="1"/>
  <c r="S115" i="1"/>
  <c r="V115" i="1"/>
  <c r="S114" i="1"/>
  <c r="V114" i="1"/>
  <c r="S89" i="1"/>
  <c r="T89" i="1" s="1"/>
  <c r="V89" i="1"/>
  <c r="T114" i="1"/>
  <c r="D161" i="2"/>
  <c r="O117" i="1"/>
  <c r="G19" i="18" s="1"/>
  <c r="D163" i="2"/>
  <c r="N163" i="2" s="1"/>
  <c r="P163" i="2" s="1"/>
  <c r="D162" i="2"/>
  <c r="N162" i="2" s="1"/>
  <c r="P162" i="2" s="1"/>
  <c r="D127" i="2"/>
  <c r="N127" i="2" s="1"/>
  <c r="P127" i="2" s="1"/>
  <c r="U117" i="1"/>
  <c r="T115" i="1" l="1"/>
  <c r="S117" i="1"/>
  <c r="N161" i="2"/>
  <c r="D165" i="2"/>
  <c r="T117" i="1"/>
  <c r="V117" i="1"/>
  <c r="D19" i="18" s="1"/>
  <c r="O108" i="1"/>
  <c r="O104" i="1"/>
  <c r="O105" i="1"/>
  <c r="O106" i="1"/>
  <c r="O107" i="1"/>
  <c r="V107" i="1" s="1"/>
  <c r="O109" i="1"/>
  <c r="O110" i="1"/>
  <c r="N165" i="2" l="1"/>
  <c r="P161" i="2"/>
  <c r="P165" i="2" s="1"/>
  <c r="S110" i="1"/>
  <c r="T110" i="1" s="1"/>
  <c r="V110" i="1"/>
  <c r="S109" i="1"/>
  <c r="T109" i="1" s="1"/>
  <c r="V109" i="1"/>
  <c r="S108" i="1"/>
  <c r="V108" i="1"/>
  <c r="S106" i="1"/>
  <c r="T106" i="1" s="1"/>
  <c r="V106" i="1"/>
  <c r="S105" i="1"/>
  <c r="T105" i="1" s="1"/>
  <c r="V105" i="1"/>
  <c r="S104" i="1"/>
  <c r="T104" i="1" s="1"/>
  <c r="V104" i="1"/>
  <c r="S107" i="1"/>
  <c r="T107" i="1" s="1"/>
  <c r="D149" i="2"/>
  <c r="N149" i="2" s="1"/>
  <c r="P149" i="2" s="1"/>
  <c r="D150" i="2"/>
  <c r="N150" i="2" s="1"/>
  <c r="P150" i="2" s="1"/>
  <c r="O111" i="1"/>
  <c r="G18" i="18" s="1"/>
  <c r="D153" i="2"/>
  <c r="N153" i="2" s="1"/>
  <c r="P153" i="2" s="1"/>
  <c r="D154" i="2"/>
  <c r="N154" i="2" s="1"/>
  <c r="P154" i="2" s="1"/>
  <c r="D151" i="2"/>
  <c r="N151" i="2" s="1"/>
  <c r="P151" i="2" s="1"/>
  <c r="D148" i="2"/>
  <c r="D152" i="2"/>
  <c r="N152" i="2" s="1"/>
  <c r="P152" i="2" s="1"/>
  <c r="O94" i="1"/>
  <c r="F84" i="1"/>
  <c r="F85" i="1"/>
  <c r="F86" i="1"/>
  <c r="F87" i="1"/>
  <c r="F88" i="1"/>
  <c r="F90" i="1"/>
  <c r="F83" i="1"/>
  <c r="E165" i="2" l="1"/>
  <c r="O165" i="2"/>
  <c r="F12" i="4"/>
  <c r="E12" i="4" s="1"/>
  <c r="H165" i="2"/>
  <c r="S94" i="1"/>
  <c r="T94" i="1" s="1"/>
  <c r="V94" i="1"/>
  <c r="V111" i="1"/>
  <c r="D18" i="18" s="1"/>
  <c r="U85" i="1"/>
  <c r="K85" i="1"/>
  <c r="U84" i="1"/>
  <c r="K84" i="1"/>
  <c r="U83" i="1"/>
  <c r="K83" i="1"/>
  <c r="U90" i="1"/>
  <c r="K90" i="1"/>
  <c r="U88" i="1"/>
  <c r="K88" i="1"/>
  <c r="U86" i="1"/>
  <c r="K86" i="1"/>
  <c r="U87" i="1"/>
  <c r="K87" i="1"/>
  <c r="N148" i="2"/>
  <c r="D156" i="2"/>
  <c r="S111" i="1"/>
  <c r="D107" i="2"/>
  <c r="N107" i="2" s="1"/>
  <c r="P107" i="2" s="1"/>
  <c r="D105" i="2"/>
  <c r="N105" i="2" s="1"/>
  <c r="P105" i="2" s="1"/>
  <c r="D131" i="2"/>
  <c r="N131" i="2" s="1"/>
  <c r="P131" i="2" s="1"/>
  <c r="O83" i="1"/>
  <c r="D104" i="2"/>
  <c r="N104" i="2" s="1"/>
  <c r="P104" i="2" s="1"/>
  <c r="O90" i="1"/>
  <c r="D111" i="2"/>
  <c r="N111" i="2" s="1"/>
  <c r="P111" i="2" s="1"/>
  <c r="D106" i="2"/>
  <c r="N106" i="2" s="1"/>
  <c r="P106" i="2" s="1"/>
  <c r="D109" i="2"/>
  <c r="N109" i="2" s="1"/>
  <c r="P109" i="2" s="1"/>
  <c r="D108" i="2"/>
  <c r="N108" i="2" s="1"/>
  <c r="P108" i="2" s="1"/>
  <c r="O85" i="1"/>
  <c r="O84" i="1"/>
  <c r="O88" i="1"/>
  <c r="O86" i="1"/>
  <c r="O87" i="1"/>
  <c r="N156" i="2" l="1"/>
  <c r="P148" i="2"/>
  <c r="S90" i="1"/>
  <c r="T90" i="1" s="1"/>
  <c r="V90" i="1"/>
  <c r="S88" i="1"/>
  <c r="T88" i="1" s="1"/>
  <c r="V88" i="1"/>
  <c r="S87" i="1"/>
  <c r="T87" i="1" s="1"/>
  <c r="V87" i="1"/>
  <c r="S86" i="1"/>
  <c r="T86" i="1" s="1"/>
  <c r="V86" i="1"/>
  <c r="S85" i="1"/>
  <c r="T85" i="1" s="1"/>
  <c r="V85" i="1"/>
  <c r="S84" i="1"/>
  <c r="T84" i="1" s="1"/>
  <c r="V84" i="1"/>
  <c r="S83" i="1"/>
  <c r="V83" i="1"/>
  <c r="U101" i="1"/>
  <c r="K101" i="1"/>
  <c r="N138" i="2"/>
  <c r="D123" i="2"/>
  <c r="N123" i="2" s="1"/>
  <c r="P123" i="2" s="1"/>
  <c r="D121" i="2"/>
  <c r="D124" i="2"/>
  <c r="N124" i="2" s="1"/>
  <c r="P124" i="2" s="1"/>
  <c r="O155" i="2"/>
  <c r="E155" i="2"/>
  <c r="O164" i="2"/>
  <c r="E164" i="2"/>
  <c r="D125" i="2"/>
  <c r="N125" i="2" s="1"/>
  <c r="P125" i="2" s="1"/>
  <c r="D126" i="2"/>
  <c r="N126" i="2" s="1"/>
  <c r="P126" i="2" s="1"/>
  <c r="D128" i="2"/>
  <c r="N128" i="2" s="1"/>
  <c r="P128" i="2" s="1"/>
  <c r="D122" i="2"/>
  <c r="N122" i="2" s="1"/>
  <c r="P122" i="2" s="1"/>
  <c r="O156" i="2" l="1"/>
  <c r="E156" i="2"/>
  <c r="P138" i="2"/>
  <c r="H138" i="2" s="1"/>
  <c r="P156" i="2"/>
  <c r="H156" i="2" s="1"/>
  <c r="N121" i="2"/>
  <c r="P121" i="2" s="1"/>
  <c r="T83" i="1"/>
  <c r="T77" i="1"/>
  <c r="T108" i="1"/>
  <c r="T111" i="1" s="1"/>
  <c r="O95" i="1"/>
  <c r="O96" i="1"/>
  <c r="V96" i="1" s="1"/>
  <c r="F11" i="4" l="1"/>
  <c r="E11" i="4" s="1"/>
  <c r="S95" i="1"/>
  <c r="V95" i="1"/>
  <c r="S96" i="1"/>
  <c r="T96" i="1" s="1"/>
  <c r="O101" i="1"/>
  <c r="G17" i="18" s="1"/>
  <c r="D132" i="2"/>
  <c r="D133" i="2"/>
  <c r="N133" i="2" s="1"/>
  <c r="P133" i="2" s="1"/>
  <c r="S101" i="1" l="1"/>
  <c r="V101" i="1"/>
  <c r="D17" i="18" s="1"/>
  <c r="D139" i="2"/>
  <c r="N132" i="2"/>
  <c r="T95" i="1"/>
  <c r="T101" i="1" s="1"/>
  <c r="A54" i="1"/>
  <c r="A42" i="1"/>
  <c r="A49" i="1"/>
  <c r="A50" i="1"/>
  <c r="AU21" i="1"/>
  <c r="A21" i="1" s="1"/>
  <c r="AU34" i="1"/>
  <c r="A34" i="1" s="1"/>
  <c r="AU23" i="1"/>
  <c r="A23" i="1" s="1"/>
  <c r="AU29" i="1"/>
  <c r="A29" i="1" s="1"/>
  <c r="AU31" i="1"/>
  <c r="A31" i="1" s="1"/>
  <c r="AU22" i="1"/>
  <c r="A22" i="1" s="1"/>
  <c r="AU32" i="1"/>
  <c r="A32" i="1" s="1"/>
  <c r="AU33" i="1"/>
  <c r="A33" i="1" s="1"/>
  <c r="A107" i="1"/>
  <c r="A105" i="1"/>
  <c r="A94" i="1"/>
  <c r="A71" i="1"/>
  <c r="A83" i="1"/>
  <c r="A58" i="1"/>
  <c r="A110" i="1"/>
  <c r="A96" i="1"/>
  <c r="AU8" i="1"/>
  <c r="A8" i="1" s="1"/>
  <c r="AU4" i="1"/>
  <c r="A4" i="1" s="1"/>
  <c r="A87" i="1"/>
  <c r="A109" i="1"/>
  <c r="A59" i="1"/>
  <c r="A115" i="1"/>
  <c r="AU14" i="1"/>
  <c r="A14" i="1" s="1"/>
  <c r="A114" i="1"/>
  <c r="A116" i="1"/>
  <c r="A132" i="1"/>
  <c r="A131" i="1"/>
  <c r="A77" i="1"/>
  <c r="A84" i="1"/>
  <c r="A72" i="1"/>
  <c r="AU7" i="1"/>
  <c r="A7" i="1" s="1"/>
  <c r="A108" i="1"/>
  <c r="A66" i="1"/>
  <c r="A65" i="1"/>
  <c r="A60" i="1"/>
  <c r="AU11" i="1"/>
  <c r="A11" i="1" s="1"/>
  <c r="A106" i="1"/>
  <c r="A67" i="1"/>
  <c r="A61" i="1"/>
  <c r="A86" i="1"/>
  <c r="A104" i="1"/>
  <c r="A95" i="1"/>
  <c r="A85" i="1"/>
  <c r="A93" i="1"/>
  <c r="U21" i="1"/>
  <c r="U22" i="1"/>
  <c r="U29" i="1"/>
  <c r="U31" i="1"/>
  <c r="U32" i="1"/>
  <c r="N67" i="1"/>
  <c r="U33" i="1"/>
  <c r="O31" i="1"/>
  <c r="O32" i="1"/>
  <c r="O33" i="1"/>
  <c r="U34" i="1"/>
  <c r="U23" i="1"/>
  <c r="U42" i="1"/>
  <c r="U58" i="1"/>
  <c r="U59" i="1"/>
  <c r="U60" i="1"/>
  <c r="U61" i="1"/>
  <c r="O49" i="1"/>
  <c r="V49" i="1" s="1"/>
  <c r="O42" i="1"/>
  <c r="V42" i="1" s="1"/>
  <c r="O50" i="1"/>
  <c r="O53" i="1"/>
  <c r="V53" i="1" s="1"/>
  <c r="O66" i="1"/>
  <c r="V66" i="1" s="1"/>
  <c r="O65" i="1"/>
  <c r="O29" i="1"/>
  <c r="O34" i="1"/>
  <c r="O23" i="1"/>
  <c r="O58" i="1"/>
  <c r="O59" i="1"/>
  <c r="O60" i="1"/>
  <c r="O61" i="1"/>
  <c r="V72" i="1"/>
  <c r="N139" i="2" l="1"/>
  <c r="E139" i="2" s="1"/>
  <c r="P132" i="2"/>
  <c r="P139" i="2" s="1"/>
  <c r="S71" i="1"/>
  <c r="T71" i="1" s="1"/>
  <c r="V71" i="1"/>
  <c r="S65" i="1"/>
  <c r="V65" i="1"/>
  <c r="S61" i="1"/>
  <c r="T61" i="1" s="1"/>
  <c r="V61" i="1"/>
  <c r="S59" i="1"/>
  <c r="T59" i="1" s="1"/>
  <c r="V59" i="1"/>
  <c r="S60" i="1"/>
  <c r="T60" i="1" s="1"/>
  <c r="V60" i="1"/>
  <c r="S58" i="1"/>
  <c r="V58" i="1"/>
  <c r="D55" i="2"/>
  <c r="N55" i="2" s="1"/>
  <c r="P55" i="2" s="1"/>
  <c r="V50" i="1"/>
  <c r="S34" i="1"/>
  <c r="T34" i="1" s="1"/>
  <c r="V34" i="1"/>
  <c r="S33" i="1"/>
  <c r="T33" i="1" s="1"/>
  <c r="V33" i="1"/>
  <c r="S32" i="1"/>
  <c r="T32" i="1" s="1"/>
  <c r="V32" i="1"/>
  <c r="S31" i="1"/>
  <c r="T31" i="1" s="1"/>
  <c r="V31" i="1"/>
  <c r="S29" i="1"/>
  <c r="T29" i="1" s="1"/>
  <c r="V29" i="1"/>
  <c r="S23" i="1"/>
  <c r="T23" i="1" s="1"/>
  <c r="V23" i="1"/>
  <c r="S21" i="1"/>
  <c r="V21" i="1"/>
  <c r="S49" i="1"/>
  <c r="T49" i="1" s="1"/>
  <c r="D54" i="2"/>
  <c r="N54" i="2" s="1"/>
  <c r="P54" i="2" s="1"/>
  <c r="S53" i="1"/>
  <c r="T53" i="1" s="1"/>
  <c r="D57" i="2"/>
  <c r="N57" i="2" s="1"/>
  <c r="P57" i="2" s="1"/>
  <c r="S42" i="1"/>
  <c r="T42" i="1" s="1"/>
  <c r="S50" i="1"/>
  <c r="T50" i="1" s="1"/>
  <c r="S66" i="1"/>
  <c r="T66" i="1" s="1"/>
  <c r="S72" i="1"/>
  <c r="T72" i="1" s="1"/>
  <c r="U62" i="1"/>
  <c r="U26" i="1"/>
  <c r="O26" i="1"/>
  <c r="O68" i="1"/>
  <c r="G14" i="18" s="1"/>
  <c r="T22" i="1"/>
  <c r="O79" i="1"/>
  <c r="G15" i="18" s="1"/>
  <c r="D89" i="2"/>
  <c r="D78" i="2"/>
  <c r="N78" i="2" s="1"/>
  <c r="P78" i="2" s="1"/>
  <c r="D77" i="2"/>
  <c r="N77" i="2" s="1"/>
  <c r="P77" i="2" s="1"/>
  <c r="D76" i="2"/>
  <c r="D67" i="2"/>
  <c r="N67" i="2" s="1"/>
  <c r="P67" i="2" s="1"/>
  <c r="D69" i="2"/>
  <c r="N69" i="2" s="1"/>
  <c r="P69" i="2" s="1"/>
  <c r="D68" i="2"/>
  <c r="N68" i="2" s="1"/>
  <c r="P68" i="2" s="1"/>
  <c r="D66" i="2"/>
  <c r="D47" i="2"/>
  <c r="D19" i="2"/>
  <c r="N19" i="2" s="1"/>
  <c r="P19" i="2" s="1"/>
  <c r="D17" i="2"/>
  <c r="D27" i="2"/>
  <c r="N27" i="2" s="1"/>
  <c r="P27" i="2" s="1"/>
  <c r="D25" i="2"/>
  <c r="N25" i="2" s="1"/>
  <c r="P25" i="2" s="1"/>
  <c r="D24" i="2"/>
  <c r="N24" i="2" s="1"/>
  <c r="P24" i="2" s="1"/>
  <c r="D22" i="2"/>
  <c r="D26" i="2"/>
  <c r="N26" i="2" s="1"/>
  <c r="P26" i="2" s="1"/>
  <c r="D15" i="2"/>
  <c r="N15" i="2" s="1"/>
  <c r="P15" i="2" s="1"/>
  <c r="D18" i="2"/>
  <c r="N18" i="2" s="1"/>
  <c r="P18" i="2" s="1"/>
  <c r="A53" i="1"/>
  <c r="E1" i="1"/>
  <c r="B1" i="4" s="1"/>
  <c r="U54" i="1"/>
  <c r="U50" i="1"/>
  <c r="U49" i="1"/>
  <c r="U37" i="1"/>
  <c r="F38" i="1"/>
  <c r="O54" i="1"/>
  <c r="O62" i="1"/>
  <c r="G13" i="18" s="1"/>
  <c r="O37" i="1"/>
  <c r="H139" i="2" l="1"/>
  <c r="S62" i="1"/>
  <c r="S26" i="1"/>
  <c r="T58" i="1"/>
  <c r="T62" i="1" s="1"/>
  <c r="D58" i="2"/>
  <c r="N58" i="2" s="1"/>
  <c r="P58" i="2" s="1"/>
  <c r="V54" i="1"/>
  <c r="S37" i="1"/>
  <c r="S39" i="1" s="1"/>
  <c r="V37" i="1"/>
  <c r="S79" i="1"/>
  <c r="S68" i="1"/>
  <c r="D60" i="2"/>
  <c r="N17" i="2"/>
  <c r="P17" i="2" s="1"/>
  <c r="T79" i="1"/>
  <c r="H38" i="1"/>
  <c r="I38" i="1" s="1"/>
  <c r="E16" i="2" s="1"/>
  <c r="S54" i="1"/>
  <c r="T54" i="1" s="1"/>
  <c r="T55" i="1" s="1"/>
  <c r="T21" i="1"/>
  <c r="T26" i="1" s="1"/>
  <c r="V26" i="1"/>
  <c r="N89" i="2"/>
  <c r="P89" i="2" s="1"/>
  <c r="D97" i="2"/>
  <c r="N76" i="2"/>
  <c r="D80" i="2"/>
  <c r="T65" i="1"/>
  <c r="T68" i="1" s="1"/>
  <c r="N66" i="2"/>
  <c r="D71" i="2"/>
  <c r="N47" i="2"/>
  <c r="P47" i="2" s="1"/>
  <c r="N22" i="2"/>
  <c r="P22" i="2" s="1"/>
  <c r="O39" i="1"/>
  <c r="V79" i="1"/>
  <c r="D15" i="18" s="1"/>
  <c r="D16" i="2"/>
  <c r="V62" i="1"/>
  <c r="D13" i="18" s="1"/>
  <c r="V68" i="1"/>
  <c r="D14" i="18" s="1"/>
  <c r="O55" i="1"/>
  <c r="G12" i="18" s="1"/>
  <c r="D30" i="2"/>
  <c r="N30" i="2" s="1"/>
  <c r="P30" i="2" s="1"/>
  <c r="U39" i="1"/>
  <c r="U55" i="1"/>
  <c r="N71" i="2" l="1"/>
  <c r="O71" i="2" s="1"/>
  <c r="P66" i="2"/>
  <c r="N80" i="2"/>
  <c r="P76" i="2"/>
  <c r="P33" i="2"/>
  <c r="N33" i="2"/>
  <c r="T37" i="1"/>
  <c r="U124" i="1"/>
  <c r="O124" i="1"/>
  <c r="G11" i="18"/>
  <c r="G21" i="18" s="1"/>
  <c r="D33" i="2"/>
  <c r="S55" i="1"/>
  <c r="K124" i="1" s="1"/>
  <c r="K38" i="1"/>
  <c r="K39" i="1" s="1"/>
  <c r="K123" i="1" s="1"/>
  <c r="N97" i="2"/>
  <c r="E97" i="2" s="1"/>
  <c r="N60" i="2"/>
  <c r="O60" i="2" s="1"/>
  <c r="P80" i="2"/>
  <c r="V55" i="1"/>
  <c r="D12" i="18" s="1"/>
  <c r="V39" i="1"/>
  <c r="D11" i="18" s="1"/>
  <c r="E71" i="2"/>
  <c r="P71" i="2"/>
  <c r="P97" i="2"/>
  <c r="P60" i="2"/>
  <c r="N16" i="2"/>
  <c r="O80" i="2" l="1"/>
  <c r="E80" i="2"/>
  <c r="H33" i="2"/>
  <c r="H60" i="2"/>
  <c r="F6" i="4"/>
  <c r="E6" i="4" s="1"/>
  <c r="H71" i="2"/>
  <c r="F7" i="4"/>
  <c r="E7" i="4" s="1"/>
  <c r="H80" i="2"/>
  <c r="H97" i="2"/>
  <c r="N32" i="2"/>
  <c r="O32" i="2" s="1"/>
  <c r="P16" i="2"/>
  <c r="P32" i="2" s="1"/>
  <c r="F5" i="4"/>
  <c r="E5" i="4" s="1"/>
  <c r="D21" i="18"/>
  <c r="V124" i="1"/>
  <c r="O97" i="2"/>
  <c r="E60" i="2"/>
  <c r="E33" i="2"/>
  <c r="T38" i="1"/>
  <c r="T39" i="1" s="1"/>
  <c r="F8" i="4"/>
  <c r="F9" i="4"/>
  <c r="O33" i="2"/>
  <c r="H32" i="2" l="1"/>
  <c r="E9" i="4"/>
  <c r="E8" i="4"/>
  <c r="F4" i="4"/>
  <c r="E32" i="2"/>
  <c r="E4" i="4" l="1"/>
  <c r="AF52" i="8" l="1"/>
  <c r="AF50" i="8"/>
  <c r="AF51" i="8"/>
  <c r="AF49" i="8"/>
  <c r="A36" i="8" l="1"/>
  <c r="A45" i="8"/>
  <c r="B875" i="8" l="1"/>
  <c r="B876" i="8" s="1"/>
  <c r="B878" i="8"/>
  <c r="B879" i="8" s="1"/>
  <c r="B881" i="8"/>
  <c r="B882" i="8" s="1"/>
  <c r="AF48" i="8" l="1"/>
  <c r="AF47" i="8"/>
  <c r="AG240" i="8" l="1"/>
  <c r="A240" i="8" s="1"/>
  <c r="AG238" i="8"/>
  <c r="A238" i="8" s="1"/>
  <c r="AG233" i="8"/>
  <c r="A233" i="8" s="1"/>
  <c r="AG231" i="8"/>
  <c r="A231" i="8" s="1"/>
  <c r="AG167" i="8"/>
  <c r="A167" i="8" s="1"/>
  <c r="AG165" i="8"/>
  <c r="A165" i="8" s="1"/>
  <c r="AG809" i="8"/>
  <c r="A809" i="8" s="1"/>
  <c r="AG870" i="8"/>
  <c r="A870" i="8" s="1"/>
  <c r="AG869" i="8"/>
  <c r="A869" i="8" s="1"/>
  <c r="AG24" i="8"/>
  <c r="A24" i="8" s="1"/>
  <c r="AG26" i="8"/>
  <c r="A26" i="8" s="1"/>
  <c r="AG154" i="8"/>
  <c r="A154" i="8" s="1"/>
  <c r="AG172" i="8"/>
  <c r="A172" i="8" s="1"/>
  <c r="AG247" i="8"/>
  <c r="A247" i="8" s="1"/>
  <c r="AG173" i="8"/>
  <c r="A173" i="8" s="1"/>
  <c r="AG156" i="8"/>
  <c r="A156" i="8" s="1"/>
  <c r="AG161" i="8"/>
  <c r="A161" i="8" s="1"/>
  <c r="AG157" i="8"/>
  <c r="A157" i="8" s="1"/>
  <c r="AG160" i="8"/>
  <c r="A160" i="8" s="1"/>
  <c r="AG159" i="8"/>
  <c r="A159" i="8" s="1"/>
  <c r="AG162" i="8"/>
  <c r="A162" i="8" s="1"/>
  <c r="AG158" i="8"/>
  <c r="A158" i="8" s="1"/>
  <c r="AG155" i="8"/>
  <c r="A155" i="8" s="1"/>
  <c r="AG150" i="8"/>
  <c r="A150" i="8" s="1"/>
  <c r="AG152" i="8"/>
  <c r="A152" i="8" s="1"/>
  <c r="AG125" i="8"/>
  <c r="A125" i="8" s="1"/>
  <c r="AG151" i="8"/>
  <c r="A151" i="8" s="1"/>
  <c r="AG140" i="8"/>
  <c r="A140" i="8" s="1"/>
  <c r="AG145" i="8"/>
  <c r="A145" i="8" s="1"/>
  <c r="AG133" i="8"/>
  <c r="A133" i="8" s="1"/>
  <c r="AG126" i="8"/>
  <c r="A126" i="8" s="1"/>
  <c r="AG123" i="8"/>
  <c r="A123" i="8" s="1"/>
  <c r="AG147" i="8"/>
  <c r="A147" i="8" s="1"/>
  <c r="AG122" i="8"/>
  <c r="A122" i="8" s="1"/>
  <c r="AG131" i="8"/>
  <c r="A131" i="8" s="1"/>
  <c r="AG153" i="8"/>
  <c r="A153" i="8" s="1"/>
  <c r="AG127" i="8"/>
  <c r="A127" i="8" s="1"/>
  <c r="AG138" i="8"/>
  <c r="A138" i="8" s="1"/>
  <c r="AG121" i="8"/>
  <c r="A121" i="8" s="1"/>
  <c r="AG684" i="8"/>
  <c r="A684" i="8" s="1"/>
  <c r="AG849" i="8"/>
  <c r="A849" i="8" s="1"/>
  <c r="AG864" i="8"/>
  <c r="A864" i="8" s="1"/>
  <c r="A368" i="8"/>
  <c r="AG834" i="8"/>
  <c r="A834" i="8" s="1"/>
  <c r="AG637" i="8"/>
  <c r="A637" i="8" s="1"/>
  <c r="AG374" i="8"/>
  <c r="A374" i="8" s="1"/>
  <c r="AG588" i="8"/>
  <c r="A588" i="8" s="1"/>
  <c r="A191" i="8"/>
  <c r="AG634" i="8"/>
  <c r="A634" i="8" s="1"/>
  <c r="AG411" i="8"/>
  <c r="A411" i="8" s="1"/>
  <c r="AG577" i="8"/>
  <c r="A577" i="8" s="1"/>
  <c r="AG317" i="8"/>
  <c r="A317" i="8" s="1"/>
  <c r="AG635" i="8"/>
  <c r="A635" i="8" s="1"/>
  <c r="AG475" i="8"/>
  <c r="A475" i="8" s="1"/>
  <c r="AG86" i="8"/>
  <c r="A86" i="8" s="1"/>
  <c r="AG586" i="8"/>
  <c r="A586" i="8" s="1"/>
  <c r="AG815" i="8"/>
  <c r="A815" i="8" s="1"/>
  <c r="AG595" i="8"/>
  <c r="A595" i="8" s="1"/>
  <c r="AG702" i="8"/>
  <c r="A702" i="8" s="1"/>
  <c r="A737" i="8"/>
  <c r="AG452" i="8"/>
  <c r="A452" i="8" s="1"/>
  <c r="AG219" i="8"/>
  <c r="A219" i="8" s="1"/>
  <c r="AG716" i="8"/>
  <c r="A716" i="8" s="1"/>
  <c r="A266" i="8"/>
  <c r="AG98" i="8"/>
  <c r="A98" i="8" s="1"/>
  <c r="AG344" i="8"/>
  <c r="A344" i="8" s="1"/>
  <c r="AG494" i="8"/>
  <c r="A494" i="8" s="1"/>
  <c r="AG552" i="8"/>
  <c r="A552" i="8" s="1"/>
  <c r="AG682" i="8"/>
  <c r="A682" i="8" s="1"/>
  <c r="AG114" i="8"/>
  <c r="A114" i="8" s="1"/>
  <c r="AG756" i="8"/>
  <c r="A756" i="8" s="1"/>
  <c r="A327" i="8"/>
  <c r="AG379" i="8"/>
  <c r="A379" i="8" s="1"/>
  <c r="AG592" i="8"/>
  <c r="A592" i="8" s="1"/>
  <c r="AG49" i="8"/>
  <c r="A49" i="8" s="1"/>
  <c r="AG823" i="8"/>
  <c r="A823" i="8" s="1"/>
  <c r="AG575" i="8"/>
  <c r="A575" i="8" s="1"/>
  <c r="AG52" i="8"/>
  <c r="A52" i="8" s="1"/>
  <c r="AG813" i="8"/>
  <c r="A813" i="8" s="1"/>
  <c r="AG655" i="8"/>
  <c r="A655" i="8" s="1"/>
  <c r="A554" i="8"/>
  <c r="AG594" i="8"/>
  <c r="A594" i="8" s="1"/>
  <c r="AG619" i="8"/>
  <c r="A619" i="8" s="1"/>
  <c r="AG520" i="8"/>
  <c r="A520" i="8" s="1"/>
  <c r="AG466" i="8"/>
  <c r="A466" i="8" s="1"/>
  <c r="AG636" i="8"/>
  <c r="A636" i="8" s="1"/>
  <c r="AG859" i="8"/>
  <c r="A859" i="8" s="1"/>
  <c r="AG613" i="8"/>
  <c r="A613" i="8" s="1"/>
  <c r="A693" i="8"/>
  <c r="AG495" i="8"/>
  <c r="A495" i="8" s="1"/>
  <c r="AG193" i="8"/>
  <c r="A193" i="8" s="1"/>
  <c r="AG275" i="8"/>
  <c r="A275" i="8" s="1"/>
  <c r="AG383" i="8"/>
  <c r="A383" i="8" s="1"/>
  <c r="A371" i="8"/>
  <c r="AG810" i="8"/>
  <c r="A810" i="8" s="1"/>
  <c r="AG398" i="8"/>
  <c r="A398" i="8" s="1"/>
  <c r="AG51" i="8"/>
  <c r="A51" i="8" s="1"/>
  <c r="AG13" i="8"/>
  <c r="A13" i="8" s="1"/>
  <c r="AG338" i="8"/>
  <c r="A338" i="8" s="1"/>
  <c r="AG568" i="8"/>
  <c r="A568" i="8" s="1"/>
  <c r="AG385" i="8"/>
  <c r="A385" i="8" s="1"/>
  <c r="AG399" i="8"/>
  <c r="A399" i="8" s="1"/>
  <c r="AG251" i="8"/>
  <c r="A251" i="8" s="1"/>
  <c r="AG311" i="8"/>
  <c r="A311" i="8" s="1"/>
  <c r="AG819" i="8"/>
  <c r="A819" i="8" s="1"/>
  <c r="AG431" i="8"/>
  <c r="A431" i="8" s="1"/>
  <c r="AG616" i="8"/>
  <c r="A616" i="8" s="1"/>
  <c r="AG188" i="8"/>
  <c r="A188" i="8" s="1"/>
  <c r="AG178" i="8"/>
  <c r="A178" i="8" s="1"/>
  <c r="AG491" i="8"/>
  <c r="A491" i="8" s="1"/>
  <c r="AG717" i="8"/>
  <c r="A717" i="8" s="1"/>
  <c r="AG293" i="8"/>
  <c r="A293" i="8" s="1"/>
  <c r="AG656" i="8"/>
  <c r="A656" i="8" s="1"/>
  <c r="AG521" i="8"/>
  <c r="A521" i="8" s="1"/>
  <c r="AG312" i="8"/>
  <c r="A312" i="8" s="1"/>
  <c r="A676" i="8"/>
  <c r="AG703" i="8"/>
  <c r="A703" i="8" s="1"/>
  <c r="AG206" i="8"/>
  <c r="A206" i="8" s="1"/>
  <c r="AG854" i="8"/>
  <c r="A854" i="8" s="1"/>
  <c r="AG654" i="8"/>
  <c r="A654" i="8" s="1"/>
  <c r="AG578" i="8"/>
  <c r="A578" i="8" s="1"/>
  <c r="AG846" i="8"/>
  <c r="A846" i="8" s="1"/>
  <c r="AG659" i="8"/>
  <c r="A659" i="8" s="1"/>
  <c r="AG824" i="8"/>
  <c r="A824" i="8" s="1"/>
  <c r="AG847" i="8"/>
  <c r="A847" i="8" s="1"/>
  <c r="AG60" i="8"/>
  <c r="A60" i="8" s="1"/>
  <c r="AG48" i="8"/>
  <c r="A48" i="8" s="1"/>
  <c r="AG699" i="8"/>
  <c r="A699" i="8" s="1"/>
  <c r="AG18" i="8"/>
  <c r="A18" i="8" s="1"/>
  <c r="AG348" i="8"/>
  <c r="A348" i="8" s="1"/>
  <c r="AG92" i="8"/>
  <c r="A92" i="8" s="1"/>
  <c r="AG64" i="8"/>
  <c r="A64" i="8" s="1"/>
  <c r="AG353" i="8"/>
  <c r="A353" i="8" s="1"/>
  <c r="AG572" i="8"/>
  <c r="A572" i="8" s="1"/>
  <c r="AG292" i="8"/>
  <c r="A292" i="8" s="1"/>
  <c r="AG212" i="8"/>
  <c r="A212" i="8" s="1"/>
  <c r="AG720" i="8"/>
  <c r="A720" i="8" s="1"/>
  <c r="AG759" i="8"/>
  <c r="A759" i="8" s="1"/>
  <c r="AG749" i="8"/>
  <c r="A749" i="8" s="1"/>
  <c r="AG226" i="8"/>
  <c r="A226" i="8" s="1"/>
  <c r="AG256" i="8"/>
  <c r="A256" i="8" s="1"/>
  <c r="AG453" i="8"/>
  <c r="A453" i="8" s="1"/>
  <c r="AG688" i="8"/>
  <c r="A688" i="8" s="1"/>
  <c r="AG638" i="8"/>
  <c r="A638" i="8" s="1"/>
  <c r="AG728" i="8"/>
  <c r="A728" i="8" s="1"/>
  <c r="AG860" i="8"/>
  <c r="A860" i="8" s="1"/>
  <c r="AG360" i="8"/>
  <c r="A360" i="8" s="1"/>
  <c r="AG621" i="8"/>
  <c r="A621" i="8" s="1"/>
  <c r="AG537" i="8"/>
  <c r="A537" i="8" s="1"/>
  <c r="AG435" i="8"/>
  <c r="A435" i="8" s="1"/>
  <c r="AG248" i="8"/>
  <c r="A248" i="8" s="1"/>
  <c r="AG760" i="8"/>
  <c r="A760" i="8" s="1"/>
  <c r="AG118" i="8"/>
  <c r="A118" i="8" s="1"/>
  <c r="AG771" i="8"/>
  <c r="A771" i="8" s="1"/>
  <c r="AG807" i="8"/>
  <c r="A807" i="8" s="1"/>
  <c r="AG739" i="8"/>
  <c r="A739" i="8" s="1"/>
  <c r="AG100" i="8"/>
  <c r="A100" i="8" s="1"/>
  <c r="AG414" i="8"/>
  <c r="A414" i="8" s="1"/>
  <c r="AG436" i="8"/>
  <c r="A436" i="8" s="1"/>
  <c r="AG837" i="8"/>
  <c r="A837" i="8" s="1"/>
  <c r="AG393" i="8"/>
  <c r="A393" i="8" s="1"/>
  <c r="AG566" i="8"/>
  <c r="A566" i="8" s="1"/>
  <c r="AG622" i="8"/>
  <c r="A622" i="8" s="1"/>
  <c r="AG532" i="8"/>
  <c r="A532" i="8" s="1"/>
  <c r="AG604" i="8"/>
  <c r="A604" i="8" s="1"/>
  <c r="AG455" i="8"/>
  <c r="A455" i="8" s="1"/>
  <c r="AG17" i="8"/>
  <c r="A17" i="8" s="1"/>
  <c r="AG623" i="8"/>
  <c r="A623" i="8" s="1"/>
  <c r="AG808" i="8"/>
  <c r="A808" i="8" s="1"/>
  <c r="AG561" i="8"/>
  <c r="A561" i="8" s="1"/>
  <c r="AG439" i="8"/>
  <c r="A439" i="8" s="1"/>
  <c r="AG186" i="8"/>
  <c r="A186" i="8" s="1"/>
  <c r="AG862" i="8"/>
  <c r="A862" i="8" s="1"/>
  <c r="AG828" i="8"/>
  <c r="A828" i="8" s="1"/>
  <c r="AG61" i="8"/>
  <c r="A61" i="8" s="1"/>
  <c r="AG839" i="8"/>
  <c r="A839" i="8" s="1"/>
  <c r="AG177" i="8"/>
  <c r="A177" i="8" s="1"/>
  <c r="AG764" i="8"/>
  <c r="A764" i="8" s="1"/>
  <c r="AG679" i="8"/>
  <c r="A679" i="8" s="1"/>
  <c r="AG197" i="8"/>
  <c r="A197" i="8" s="1"/>
  <c r="AG252" i="8"/>
  <c r="A252" i="8" s="1"/>
  <c r="AG817" i="8"/>
  <c r="A817" i="8" s="1"/>
  <c r="A530" i="8"/>
  <c r="AG557" i="8"/>
  <c r="A557" i="8" s="1"/>
  <c r="AG804" i="8"/>
  <c r="A804" i="8" s="1"/>
  <c r="AG470" i="8"/>
  <c r="A470" i="8" s="1"/>
  <c r="AG192" i="8"/>
  <c r="A192" i="8" s="1"/>
  <c r="A171" i="8"/>
  <c r="AG598" i="8"/>
  <c r="A598" i="8" s="1"/>
  <c r="AG844" i="8"/>
  <c r="A844" i="8" s="1"/>
  <c r="AG599" i="8"/>
  <c r="A599" i="8" s="1"/>
  <c r="AG70" i="8"/>
  <c r="A70" i="8" s="1"/>
  <c r="AG600" i="8"/>
  <c r="A600" i="8" s="1"/>
  <c r="A591" i="8"/>
  <c r="AG117" i="8"/>
  <c r="A117" i="8" s="1"/>
  <c r="AG444" i="8"/>
  <c r="A444" i="8" s="1"/>
  <c r="AG46" i="8"/>
  <c r="A46" i="8" s="1"/>
  <c r="AG710" i="8"/>
  <c r="A710" i="8" s="1"/>
  <c r="AG324" i="8"/>
  <c r="A324" i="8" s="1"/>
  <c r="AG796" i="8"/>
  <c r="A796" i="8" s="1"/>
  <c r="AG268" i="8"/>
  <c r="A268" i="8" s="1"/>
  <c r="AG866" i="8"/>
  <c r="A866" i="8" s="1"/>
  <c r="AG820" i="8"/>
  <c r="A820" i="8" s="1"/>
  <c r="AG423" i="8"/>
  <c r="A423" i="8" s="1"/>
  <c r="AG84" i="8"/>
  <c r="A84" i="8" s="1"/>
  <c r="AG722" i="8"/>
  <c r="A722" i="8" s="1"/>
  <c r="A449" i="8"/>
  <c r="AG350" i="8"/>
  <c r="A350" i="8" s="1"/>
  <c r="AG107" i="8"/>
  <c r="A107" i="8" s="1"/>
  <c r="AG690" i="8"/>
  <c r="A690" i="8" s="1"/>
  <c r="AG195" i="8"/>
  <c r="A195" i="8" s="1"/>
  <c r="A551" i="8"/>
  <c r="AG202" i="8"/>
  <c r="A202" i="8" s="1"/>
  <c r="AG460" i="8"/>
  <c r="A460" i="8" s="1"/>
  <c r="A347" i="8"/>
  <c r="AG661" i="8"/>
  <c r="A661" i="8" s="1"/>
  <c r="AG850" i="8"/>
  <c r="A850" i="8" s="1"/>
  <c r="AG531" i="8"/>
  <c r="A531" i="8" s="1"/>
  <c r="AG805" i="8"/>
  <c r="A805" i="8" s="1"/>
  <c r="A652" i="8"/>
  <c r="AG290" i="8"/>
  <c r="A290" i="8" s="1"/>
  <c r="AG736" i="8"/>
  <c r="A736" i="8" s="1"/>
  <c r="AG695" i="8"/>
  <c r="A695" i="8" s="1"/>
  <c r="AG31" i="8"/>
  <c r="A31" i="8" s="1"/>
  <c r="AG811" i="8"/>
  <c r="A811" i="8" s="1"/>
  <c r="AG47" i="8"/>
  <c r="A47" i="8" s="1"/>
  <c r="AG261" i="8"/>
  <c r="A261" i="8" s="1"/>
  <c r="AG355" i="8"/>
  <c r="A355" i="8" s="1"/>
  <c r="AG832" i="8"/>
  <c r="A832" i="8" s="1"/>
  <c r="AG53" i="8"/>
  <c r="A53" i="8" s="1"/>
  <c r="AG50" i="8"/>
  <c r="A50" i="8" s="1"/>
  <c r="AG91" i="8"/>
  <c r="A91" i="8" s="1"/>
  <c r="AG224" i="8"/>
  <c r="A224" i="8" s="1"/>
  <c r="AG405" i="8"/>
  <c r="A405" i="8" s="1"/>
  <c r="AG477" i="8"/>
  <c r="A477" i="8" s="1"/>
  <c r="AG721" i="8"/>
  <c r="A721" i="8" s="1"/>
  <c r="AG826" i="8"/>
  <c r="A826" i="8" s="1"/>
  <c r="AG658" i="8"/>
  <c r="A658" i="8" s="1"/>
  <c r="AG72" i="8"/>
  <c r="A72" i="8" s="1"/>
  <c r="AG354" i="8"/>
  <c r="A354" i="8" s="1"/>
  <c r="AG789" i="8"/>
  <c r="A789" i="8" s="1"/>
  <c r="AG743" i="8"/>
  <c r="A743" i="8" s="1"/>
  <c r="AG328" i="8"/>
  <c r="A328" i="8" s="1"/>
  <c r="AG89" i="8"/>
  <c r="A89" i="8" s="1"/>
  <c r="AG841" i="8"/>
  <c r="A841" i="8" s="1"/>
  <c r="AG827" i="8"/>
  <c r="A827" i="8" s="1"/>
  <c r="AG538" i="8"/>
  <c r="A538" i="8" s="1"/>
  <c r="AG800" i="8"/>
  <c r="A800" i="8" s="1"/>
  <c r="AG58" i="8"/>
  <c r="A58" i="8" s="1"/>
  <c r="AG558" i="8"/>
  <c r="A558" i="8" s="1"/>
  <c r="AG288" i="8"/>
  <c r="A288" i="8" s="1"/>
  <c r="AG822" i="8"/>
  <c r="A822" i="8" s="1"/>
  <c r="AG519" i="8"/>
  <c r="A519" i="8" s="1"/>
  <c r="AG758" i="8"/>
  <c r="A758" i="8" s="1"/>
  <c r="AG450" i="8"/>
  <c r="A450" i="8" s="1"/>
  <c r="AG318" i="8"/>
  <c r="A318" i="8" s="1"/>
  <c r="AG417" i="8"/>
  <c r="A417" i="8" s="1"/>
  <c r="AG308" i="8"/>
  <c r="A308" i="8" s="1"/>
  <c r="AG332" i="8"/>
  <c r="A332" i="8" s="1"/>
  <c r="AG751" i="8"/>
  <c r="A751" i="8" s="1"/>
  <c r="AG8" i="8"/>
  <c r="AG642" i="8"/>
  <c r="A642" i="8" s="1"/>
  <c r="AG496" i="8"/>
  <c r="A496" i="8" s="1"/>
  <c r="AG77" i="8"/>
  <c r="A77" i="8" s="1"/>
  <c r="AG740" i="8"/>
  <c r="A740" i="8" s="1"/>
  <c r="AG527" i="8"/>
  <c r="A527" i="8" s="1"/>
  <c r="AG370" i="8"/>
  <c r="A370" i="8" s="1"/>
  <c r="AG769" i="8"/>
  <c r="A769" i="8" s="1"/>
  <c r="AG868" i="8"/>
  <c r="A868" i="8" s="1"/>
  <c r="AG484" i="8"/>
  <c r="A484" i="8" s="1"/>
  <c r="AG416" i="8"/>
  <c r="A416" i="8" s="1"/>
  <c r="AG500" i="8"/>
  <c r="A500" i="8" s="1"/>
  <c r="AG446" i="8"/>
  <c r="A446" i="8" s="1"/>
  <c r="AG555" i="8"/>
  <c r="A555" i="8" s="1"/>
  <c r="AG848" i="8"/>
  <c r="A848" i="8" s="1"/>
  <c r="AG700" i="8"/>
  <c r="A700" i="8" s="1"/>
  <c r="AG301" i="8"/>
  <c r="A301" i="8" s="1"/>
  <c r="AG757" i="8"/>
  <c r="A757" i="8" s="1"/>
  <c r="AG373" i="8"/>
  <c r="A373" i="8" s="1"/>
  <c r="AG556" i="8"/>
  <c r="A556" i="8" s="1"/>
  <c r="AG476" i="8"/>
  <c r="A476" i="8" s="1"/>
  <c r="AG175" i="8"/>
  <c r="A175" i="8" s="1"/>
  <c r="AG597" i="8"/>
  <c r="A597" i="8" s="1"/>
  <c r="AG512" i="8"/>
  <c r="A512" i="8" s="1"/>
  <c r="AG273" i="8"/>
  <c r="A273" i="8" s="1"/>
  <c r="AG674" i="8"/>
  <c r="A674" i="8" s="1"/>
  <c r="AG220" i="8"/>
  <c r="A220" i="8" s="1"/>
  <c r="AG250" i="8"/>
  <c r="A250" i="8" s="1"/>
  <c r="AG299" i="8"/>
  <c r="A299" i="8" s="1"/>
  <c r="AG314" i="8"/>
  <c r="A314" i="8" s="1"/>
  <c r="AG372" i="8"/>
  <c r="A372" i="8" s="1"/>
  <c r="AG843" i="8"/>
  <c r="A843" i="8" s="1"/>
  <c r="AG458" i="8"/>
  <c r="A458" i="8" s="1"/>
  <c r="AG180" i="8"/>
  <c r="A180" i="8" s="1"/>
  <c r="AG698" i="8"/>
  <c r="A698" i="8" s="1"/>
  <c r="AG270" i="8"/>
  <c r="A270" i="8" s="1"/>
  <c r="AG331" i="8"/>
  <c r="A331" i="8" s="1"/>
  <c r="AG294" i="8"/>
  <c r="A294" i="8" s="1"/>
  <c r="AG553" i="8"/>
  <c r="A553" i="8" s="1"/>
  <c r="AG66" i="8"/>
  <c r="A66" i="8" s="1"/>
  <c r="AG281" i="8"/>
  <c r="A281" i="8" s="1"/>
  <c r="AG11" i="8"/>
  <c r="A11" i="8" s="1"/>
  <c r="AG806" i="8"/>
  <c r="A806" i="8" s="1"/>
  <c r="AG617" i="8"/>
  <c r="A617" i="8" s="1"/>
  <c r="AG580" i="8"/>
  <c r="A580" i="8" s="1"/>
  <c r="AG667" i="8"/>
  <c r="A667" i="8" s="1"/>
  <c r="AG761" i="8"/>
  <c r="A761" i="8" s="1"/>
  <c r="AG295" i="8"/>
  <c r="A295" i="8" s="1"/>
  <c r="AG765" i="8"/>
  <c r="A765" i="8" s="1"/>
  <c r="AG213" i="8"/>
  <c r="A213" i="8" s="1"/>
  <c r="AG812" i="8"/>
  <c r="A812" i="8" s="1"/>
  <c r="AG629" i="8"/>
  <c r="A629" i="8" s="1"/>
  <c r="AG744" i="8"/>
  <c r="A744" i="8" s="1"/>
  <c r="AG421" i="8"/>
  <c r="A421" i="8" s="1"/>
  <c r="AG855" i="8"/>
  <c r="A855" i="8" s="1"/>
  <c r="AG708" i="8"/>
  <c r="A708" i="8" s="1"/>
  <c r="AG369" i="8"/>
  <c r="A369" i="8" s="1"/>
  <c r="AG271" i="8"/>
  <c r="A271" i="8" s="1"/>
  <c r="AG516" i="8"/>
  <c r="A516" i="8" s="1"/>
  <c r="AG375" i="8"/>
  <c r="A375" i="8" s="1"/>
  <c r="A310" i="8"/>
  <c r="AG515" i="8"/>
  <c r="A515" i="8" s="1"/>
  <c r="AG415" i="8"/>
  <c r="A415" i="8" s="1"/>
  <c r="AG618" i="8"/>
  <c r="A618" i="8" s="1"/>
  <c r="AG90" i="8"/>
  <c r="A90" i="8" s="1"/>
  <c r="AG818" i="8"/>
  <c r="A818" i="8" s="1"/>
  <c r="AG287" i="8"/>
  <c r="A287" i="8" s="1"/>
  <c r="AG473" i="8"/>
  <c r="A473" i="8" s="1"/>
  <c r="AG378" i="8"/>
  <c r="A378" i="8" s="1"/>
  <c r="AG665" i="8"/>
  <c r="A665" i="8" s="1"/>
  <c r="AG253" i="8"/>
  <c r="A253" i="8" s="1"/>
  <c r="AG57" i="8"/>
  <c r="A57" i="8" s="1"/>
  <c r="AG277" i="8"/>
  <c r="A277" i="8" s="1"/>
  <c r="A510" i="8"/>
  <c r="AG119" i="8"/>
  <c r="A119" i="8" s="1"/>
  <c r="AG19" i="8"/>
  <c r="A19" i="8" s="1"/>
  <c r="AG704" i="8"/>
  <c r="A704" i="8" s="1"/>
  <c r="AG715" i="8"/>
  <c r="A715" i="8" s="1"/>
  <c r="AG852" i="8"/>
  <c r="A852" i="8" s="1"/>
  <c r="A388" i="8"/>
  <c r="AG62" i="8"/>
  <c r="A62" i="8" s="1"/>
  <c r="AG218" i="8"/>
  <c r="A218" i="8" s="1"/>
  <c r="AG719" i="8"/>
  <c r="A719" i="8" s="1"/>
  <c r="AG787" i="8"/>
  <c r="A787" i="8" s="1"/>
  <c r="AG472" i="8"/>
  <c r="A472" i="8" s="1"/>
  <c r="AG865" i="8"/>
  <c r="A865" i="8" s="1"/>
  <c r="AG633" i="8"/>
  <c r="A633" i="8" s="1"/>
  <c r="AG198" i="8"/>
  <c r="A198" i="8" s="1"/>
  <c r="AG821" i="8"/>
  <c r="A821" i="8" s="1"/>
  <c r="AG533" i="8"/>
  <c r="A533" i="8" s="1"/>
  <c r="AG606" i="8"/>
  <c r="A606" i="8" s="1"/>
  <c r="AG573" i="8"/>
  <c r="A573" i="8" s="1"/>
  <c r="AG513" i="8"/>
  <c r="A513" i="8" s="1"/>
  <c r="AG456" i="8"/>
  <c r="A456" i="8" s="1"/>
  <c r="AG112" i="8"/>
  <c r="A112" i="8" s="1"/>
  <c r="AG276" i="8"/>
  <c r="A276" i="8" s="1"/>
  <c r="AG801" i="8"/>
  <c r="A801" i="8" s="1"/>
  <c r="AG858" i="8"/>
  <c r="A858" i="8" s="1"/>
  <c r="AG269" i="8"/>
  <c r="A269" i="8" s="1"/>
  <c r="AG799" i="8"/>
  <c r="A799" i="8" s="1"/>
  <c r="AG574" i="8"/>
  <c r="A574" i="8" s="1"/>
  <c r="AG582" i="8"/>
  <c r="A582" i="8" s="1"/>
  <c r="AG54" i="8"/>
  <c r="A54" i="8" s="1"/>
  <c r="AG349" i="8"/>
  <c r="A349" i="8" s="1"/>
  <c r="AG755" i="8"/>
  <c r="A755" i="8" s="1"/>
  <c r="AG392" i="8"/>
  <c r="A392" i="8" s="1"/>
  <c r="AG410" i="8"/>
  <c r="A410" i="8" s="1"/>
  <c r="AG208" i="8"/>
  <c r="A208" i="8" s="1"/>
  <c r="AG511" i="8"/>
  <c r="A511" i="8" s="1"/>
  <c r="AG745" i="8"/>
  <c r="A745" i="8" s="1"/>
  <c r="AG543" i="8"/>
  <c r="A543" i="8" s="1"/>
  <c r="A469" i="8"/>
  <c r="AG362" i="8"/>
  <c r="A362" i="8" s="1"/>
  <c r="AG778" i="8"/>
  <c r="A778" i="8" s="1"/>
  <c r="AG181" i="8"/>
  <c r="A181" i="8" s="1"/>
  <c r="AG696" i="8"/>
  <c r="A696" i="8" s="1"/>
  <c r="AG499" i="8"/>
  <c r="A499" i="8" s="1"/>
  <c r="AG309" i="8"/>
  <c r="A309" i="8" s="1"/>
  <c r="AG330" i="8"/>
  <c r="A330" i="8" s="1"/>
  <c r="AG797" i="8"/>
  <c r="A797" i="8" s="1"/>
  <c r="AG802" i="8"/>
  <c r="A802" i="8" s="1"/>
  <c r="AG390" i="8"/>
  <c r="A390" i="8" s="1"/>
  <c r="AG763" i="8"/>
  <c r="A763" i="8" s="1"/>
  <c r="AG856" i="8"/>
  <c r="A856" i="8" s="1"/>
  <c r="AG576" i="8"/>
  <c r="A576" i="8" s="1"/>
  <c r="AG440" i="8"/>
  <c r="A440" i="8" s="1"/>
  <c r="AG694" i="8"/>
  <c r="A694" i="8" s="1"/>
  <c r="AG12" i="8"/>
  <c r="A12" i="8" s="1"/>
  <c r="AG433" i="8"/>
  <c r="A433" i="8" s="1"/>
  <c r="AG507" i="8"/>
  <c r="A507" i="8" s="1"/>
  <c r="AG438" i="8"/>
  <c r="A438" i="8" s="1"/>
  <c r="AG214" i="8"/>
  <c r="A214" i="8" s="1"/>
  <c r="AG451" i="8"/>
  <c r="A451" i="8" s="1"/>
  <c r="AG660" i="8"/>
  <c r="A660" i="8" s="1"/>
  <c r="AG647" i="8"/>
  <c r="A647" i="8" s="1"/>
  <c r="AG639" i="8"/>
  <c r="A639" i="8" s="1"/>
  <c r="AG829" i="8"/>
  <c r="A829" i="8" s="1"/>
  <c r="AG194" i="8"/>
  <c r="A194" i="8" s="1"/>
  <c r="AG738" i="8"/>
  <c r="A738" i="8" s="1"/>
  <c r="AG412" i="8"/>
  <c r="A412" i="8" s="1"/>
  <c r="A571" i="8"/>
  <c r="AG29" i="8"/>
  <c r="A29" i="8" s="1"/>
  <c r="A432" i="8"/>
  <c r="AG726" i="8"/>
  <c r="A726" i="8" s="1"/>
  <c r="AG835" i="8"/>
  <c r="A835" i="8" s="1"/>
  <c r="AG217" i="8"/>
  <c r="A217" i="8" s="1"/>
  <c r="AG680" i="8"/>
  <c r="A680" i="8" s="1"/>
  <c r="AG333" i="8"/>
  <c r="A333" i="8" s="1"/>
  <c r="AG842" i="8"/>
  <c r="A842" i="8" s="1"/>
  <c r="AG780" i="8"/>
  <c r="A780" i="8" s="1"/>
  <c r="AG863" i="8"/>
  <c r="A863" i="8" s="1"/>
  <c r="AG316" i="8"/>
  <c r="A316" i="8" s="1"/>
  <c r="A754" i="8"/>
  <c r="AG397" i="8"/>
  <c r="A397" i="8" s="1"/>
  <c r="AG377" i="8"/>
  <c r="A377" i="8" s="1"/>
  <c r="AG794" i="8"/>
  <c r="A794" i="8" s="1"/>
  <c r="AG55" i="8"/>
  <c r="A55" i="8" s="1"/>
  <c r="AG560" i="8"/>
  <c r="A560" i="8" s="1"/>
  <c r="AG30" i="8"/>
  <c r="A30" i="8" s="1"/>
  <c r="AG79" i="8"/>
  <c r="A79" i="8" s="1"/>
  <c r="AG334" i="8"/>
  <c r="A334" i="8" s="1"/>
  <c r="AG641" i="8"/>
  <c r="A641" i="8" s="1"/>
  <c r="AG459" i="8"/>
  <c r="A459" i="8" s="1"/>
  <c r="AG581" i="8"/>
  <c r="A581" i="8" s="1"/>
  <c r="AG836" i="8"/>
  <c r="A836" i="8" s="1"/>
  <c r="AG9" i="8"/>
  <c r="A9" i="8" s="1"/>
  <c r="AG783" i="8"/>
  <c r="A783" i="8" s="1"/>
  <c r="AG478" i="8"/>
  <c r="A478" i="8" s="1"/>
  <c r="AG389" i="8"/>
  <c r="A389" i="8" s="1"/>
  <c r="AG272" i="8"/>
  <c r="A272" i="8" s="1"/>
  <c r="AG409" i="8"/>
  <c r="A409" i="8" s="1"/>
  <c r="AG545" i="8"/>
  <c r="A545" i="8" s="1"/>
  <c r="AG525" i="8"/>
  <c r="A525" i="8" s="1"/>
  <c r="AG782" i="8"/>
  <c r="A782" i="8" s="1"/>
  <c r="AG482" i="8"/>
  <c r="A482" i="8" s="1"/>
  <c r="AG677" i="8"/>
  <c r="A677" i="8" s="1"/>
  <c r="A408" i="8"/>
  <c r="AG517" i="8"/>
  <c r="A517" i="8" s="1"/>
  <c r="AG798" i="8"/>
  <c r="A798" i="8" s="1"/>
  <c r="AG434" i="8"/>
  <c r="A434" i="8" s="1"/>
  <c r="AG336" i="8"/>
  <c r="A336" i="8" s="1"/>
  <c r="AG851" i="8"/>
  <c r="A851" i="8" s="1"/>
  <c r="AG649" i="8"/>
  <c r="A649" i="8" s="1"/>
  <c r="AG454" i="8"/>
  <c r="A454" i="8" s="1"/>
  <c r="AG539" i="8"/>
  <c r="A539" i="8" s="1"/>
  <c r="AG182" i="8"/>
  <c r="A182" i="8" s="1"/>
  <c r="AG683" i="8"/>
  <c r="A683" i="8" s="1"/>
  <c r="AG329" i="8"/>
  <c r="A329" i="8" s="1"/>
  <c r="AG65" i="8"/>
  <c r="A65" i="8" s="1"/>
  <c r="AG289" i="8"/>
  <c r="A289" i="8" s="1"/>
  <c r="AG840" i="8"/>
  <c r="A840" i="8" s="1"/>
  <c r="AG501" i="8"/>
  <c r="A501" i="8" s="1"/>
  <c r="AG395" i="8"/>
  <c r="A395" i="8" s="1"/>
  <c r="AG776" i="8"/>
  <c r="A776" i="8" s="1"/>
  <c r="AG93" i="8"/>
  <c r="A93" i="8" s="1"/>
  <c r="AG257" i="8"/>
  <c r="A257" i="8" s="1"/>
  <c r="AG562" i="8"/>
  <c r="A562" i="8" s="1"/>
  <c r="AG803" i="8"/>
  <c r="A803" i="8" s="1"/>
  <c r="A286" i="8"/>
  <c r="AG714" i="8"/>
  <c r="A714" i="8" s="1"/>
  <c r="AG497" i="8"/>
  <c r="A497" i="8" s="1"/>
  <c r="AG697" i="8"/>
  <c r="A697" i="8" s="1"/>
  <c r="AG176" i="8"/>
  <c r="A176" i="8" s="1"/>
  <c r="AG643" i="8"/>
  <c r="A643" i="8" s="1"/>
  <c r="AG356" i="8"/>
  <c r="A356" i="8" s="1"/>
  <c r="A249" i="8"/>
  <c r="AG830" i="8"/>
  <c r="A830" i="8" s="1"/>
  <c r="AG861" i="8"/>
  <c r="A861" i="8" s="1"/>
  <c r="AG514" i="8"/>
  <c r="A514" i="8" s="1"/>
  <c r="AG342" i="8"/>
  <c r="A342" i="8" s="1"/>
  <c r="AG471" i="8"/>
  <c r="A471" i="8" s="1"/>
  <c r="AG627" i="8"/>
  <c r="A627" i="8" s="1"/>
  <c r="AG105" i="8"/>
  <c r="A105" i="8" s="1"/>
  <c r="AG814" i="8"/>
  <c r="A814" i="8" s="1"/>
  <c r="AG351" i="8"/>
  <c r="A351" i="8" s="1"/>
  <c r="AG505" i="8"/>
  <c r="A505" i="8" s="1"/>
  <c r="AG255" i="8"/>
  <c r="A255" i="8" s="1"/>
  <c r="AG825" i="8"/>
  <c r="A825" i="8" s="1"/>
  <c r="AG201" i="8"/>
  <c r="A201" i="8" s="1"/>
  <c r="AG10" i="8"/>
  <c r="A10" i="8" s="1"/>
  <c r="AG775" i="8"/>
  <c r="A775" i="8" s="1"/>
  <c r="AG831" i="8"/>
  <c r="A831" i="8" s="1"/>
  <c r="AG853" i="8"/>
  <c r="A853" i="8" s="1"/>
  <c r="AG492" i="8"/>
  <c r="A492" i="8" s="1"/>
  <c r="AG267" i="8"/>
  <c r="A267" i="8" s="1"/>
  <c r="AG653" i="8"/>
  <c r="A653" i="8" s="1"/>
  <c r="AG534" i="8"/>
  <c r="A534" i="8" s="1"/>
  <c r="AG200" i="8"/>
  <c r="A200" i="8" s="1"/>
  <c r="A713" i="8"/>
  <c r="AG283" i="8"/>
  <c r="A283" i="8" s="1"/>
  <c r="AG614" i="8"/>
  <c r="A614" i="8" s="1"/>
  <c r="AG263" i="8"/>
  <c r="A263" i="8" s="1"/>
  <c r="AG867" i="8"/>
  <c r="A867" i="8" s="1"/>
  <c r="AG59" i="8"/>
  <c r="A59" i="8" s="1"/>
  <c r="AG391" i="8"/>
  <c r="A391" i="8" s="1"/>
  <c r="AG838" i="8"/>
  <c r="A838" i="8" s="1"/>
  <c r="AG741" i="8"/>
  <c r="A741" i="8" s="1"/>
  <c r="A174" i="8"/>
  <c r="AG56" i="8"/>
  <c r="A56" i="8" s="1"/>
  <c r="AG593" i="8"/>
  <c r="A593" i="8" s="1"/>
  <c r="AG857" i="8"/>
  <c r="A857" i="8" s="1"/>
  <c r="AG337" i="8"/>
  <c r="A337" i="8" s="1"/>
  <c r="AG215" i="8"/>
  <c r="A215" i="8" s="1"/>
  <c r="AG678" i="8"/>
  <c r="A678" i="8" s="1"/>
  <c r="AG196" i="8"/>
  <c r="A196" i="8" s="1"/>
  <c r="A615" i="8"/>
  <c r="AG403" i="8"/>
  <c r="A403" i="8" s="1"/>
  <c r="AG735" i="8"/>
  <c r="A735" i="8" s="1"/>
  <c r="A632" i="8"/>
  <c r="AG313" i="8"/>
  <c r="A313" i="8" s="1"/>
  <c r="AG430" i="8"/>
  <c r="A430" i="8" s="1"/>
  <c r="A211" i="8"/>
  <c r="AG322" i="8"/>
  <c r="A322" i="8" s="1"/>
  <c r="AG675" i="8"/>
  <c r="A675" i="8" s="1"/>
  <c r="AG781" i="8"/>
  <c r="A781" i="8" s="1"/>
  <c r="AG34" i="8"/>
  <c r="A34" i="8" s="1"/>
  <c r="AG394" i="8"/>
  <c r="A394" i="8" s="1"/>
  <c r="AG833" i="8"/>
  <c r="A833" i="8" s="1"/>
  <c r="A774" i="8"/>
  <c r="AG94" i="8"/>
  <c r="A94" i="8" s="1"/>
  <c r="A493" i="8"/>
  <c r="AG777" i="8"/>
  <c r="A777" i="8" s="1"/>
  <c r="AG816" i="8"/>
  <c r="A816" i="8" s="1"/>
  <c r="AG845" i="8"/>
  <c r="A845" i="8" s="1"/>
  <c r="AG464" i="8"/>
  <c r="A464" i="8" s="1"/>
  <c r="AG536" i="8"/>
  <c r="A536" i="8" s="1"/>
  <c r="A305" i="8" l="1"/>
  <c r="A307" i="8"/>
  <c r="A488" i="8"/>
  <c r="A490" i="8"/>
  <c r="A8" i="8"/>
  <c r="J1" i="8"/>
  <c r="A734" i="8"/>
  <c r="A732" i="8"/>
  <c r="A427" i="8"/>
  <c r="A429" i="8"/>
  <c r="A244" i="8"/>
  <c r="A246" i="8"/>
  <c r="A671" i="8"/>
  <c r="A673" i="8"/>
  <c r="A549" i="8"/>
  <c r="A612" i="8"/>
  <c r="A610" i="8"/>
  <c r="A366" i="8"/>
  <c r="E138" i="2" l="1"/>
  <c r="O138" i="2"/>
  <c r="O139" i="2"/>
  <c r="F10" i="4" l="1"/>
  <c r="E10" i="4" l="1"/>
  <c r="H124" i="1"/>
  <c r="K130" i="1" l="1"/>
  <c r="V126" i="1" s="1"/>
  <c r="D168" i="2" l="1"/>
  <c r="N168" i="2" s="1"/>
  <c r="O125" i="1"/>
  <c r="N170" i="2" l="1"/>
  <c r="O170" i="2" s="1"/>
  <c r="P168" i="2"/>
  <c r="P170" i="2" s="1"/>
  <c r="D169" i="2"/>
  <c r="F139" i="1"/>
  <c r="O126" i="1"/>
  <c r="H170" i="2" l="1"/>
  <c r="E170" i="2"/>
  <c r="K139" i="1"/>
  <c r="K125" i="1"/>
  <c r="K126" i="1" s="1"/>
  <c r="N169" i="2"/>
  <c r="D171" i="2"/>
  <c r="H139" i="1"/>
  <c r="K127" i="1" l="1"/>
  <c r="K128" i="1" s="1"/>
  <c r="N171" i="2"/>
  <c r="O171" i="2" s="1"/>
  <c r="P169" i="2"/>
  <c r="P171" i="2" s="1"/>
  <c r="U131" i="1" l="1"/>
  <c r="U132" i="1" s="1"/>
  <c r="U133" i="1" s="1"/>
  <c r="V137" i="1" s="1"/>
  <c r="F13" i="4"/>
  <c r="V127" i="1"/>
  <c r="E13" i="4" l="1"/>
  <c r="E15" i="4" s="1"/>
  <c r="E16" i="4" s="1"/>
  <c r="E17" i="4" s="1"/>
  <c r="E20" i="4" s="1"/>
  <c r="E19" i="4" s="1"/>
  <c r="F15" i="4"/>
  <c r="F16" i="4" s="1"/>
  <c r="F17" i="4" s="1"/>
  <c r="F20" i="4" s="1"/>
  <c r="F19"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Wayne Neesam</author>
  </authors>
  <commentList>
    <comment ref="AI3" authorId="0" shapeId="0" xr:uid="{CD6DE534-D9F9-42A9-A295-D49614F8845B}">
      <text>
        <r>
          <rPr>
            <b/>
            <sz val="9"/>
            <color indexed="81"/>
            <rFont val="Tahoma"/>
            <family val="2"/>
          </rPr>
          <t>Wayne Neesam:</t>
        </r>
        <r>
          <rPr>
            <sz val="9"/>
            <color indexed="81"/>
            <rFont val="Tahoma"/>
            <family val="2"/>
          </rPr>
          <t xml:space="preserve">
This is used to check if a filter has been applied or not so that if the filter is used then I can check to see if we need to re--hide rows as the filter always unhides hidden rows.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Wayne Neesam</author>
  </authors>
  <commentList>
    <comment ref="H24" authorId="0" shapeId="0" xr:uid="{77C52E97-20CD-4AEB-9D4F-3323E663D565}">
      <text>
        <r>
          <rPr>
            <b/>
            <sz val="9"/>
            <color indexed="81"/>
            <rFont val="Tahoma"/>
            <family val="2"/>
          </rPr>
          <t>Wayne Neesam:</t>
        </r>
        <r>
          <rPr>
            <sz val="9"/>
            <color indexed="81"/>
            <rFont val="Tahoma"/>
            <family val="2"/>
          </rPr>
          <t xml:space="preserve">
approx 2 bags per m2</t>
        </r>
      </text>
    </comment>
    <comment ref="H43" authorId="0" shapeId="0" xr:uid="{3D2873BA-17CE-4A3D-8C77-36A79E763FFB}">
      <text>
        <r>
          <rPr>
            <b/>
            <sz val="9"/>
            <color indexed="81"/>
            <rFont val="Tahoma"/>
            <family val="2"/>
          </rPr>
          <t>Wayne Neesam:</t>
        </r>
        <r>
          <rPr>
            <sz val="9"/>
            <color indexed="81"/>
            <rFont val="Tahoma"/>
            <family val="2"/>
          </rPr>
          <t xml:space="preserve">
Price is dynamic based upon multiples of 5m2 which is what contractors buy at the trade counter</t>
        </r>
      </text>
    </comment>
    <comment ref="H44" authorId="0" shapeId="0" xr:uid="{EAE15056-9527-46DC-84E3-C3B6A62FB30F}">
      <text>
        <r>
          <rPr>
            <b/>
            <sz val="9"/>
            <color indexed="81"/>
            <rFont val="Tahoma"/>
            <family val="2"/>
          </rPr>
          <t>Wayne Neesam:</t>
        </r>
        <r>
          <rPr>
            <sz val="9"/>
            <color indexed="81"/>
            <rFont val="Tahoma"/>
            <family val="2"/>
          </rPr>
          <t xml:space="preserve">
Price is dynamic based upon multiples of 5m2 which is what contractors buy at the trade counter</t>
        </r>
      </text>
    </comment>
    <comment ref="H48" authorId="0" shapeId="0" xr:uid="{DF84915D-9D25-43C5-802E-CA98F50AD894}">
      <text>
        <r>
          <rPr>
            <b/>
            <sz val="9"/>
            <color indexed="81"/>
            <rFont val="Tahoma"/>
            <family val="2"/>
          </rPr>
          <t>Wayne Neesam:</t>
        </r>
        <r>
          <rPr>
            <sz val="9"/>
            <color indexed="81"/>
            <rFont val="Tahoma"/>
            <family val="2"/>
          </rPr>
          <t xml:space="preserve">
Price is dynamic based upon multiples of 5m2 which is what contractors buy at the trade counter</t>
        </r>
      </text>
    </comment>
    <comment ref="H49" authorId="0" shapeId="0" xr:uid="{1ED7E4F8-3AD9-411C-AB12-340B53B4E5D4}">
      <text>
        <r>
          <rPr>
            <b/>
            <sz val="9"/>
            <color indexed="81"/>
            <rFont val="Tahoma"/>
            <family val="2"/>
          </rPr>
          <t>Wayne Neesam:</t>
        </r>
        <r>
          <rPr>
            <sz val="9"/>
            <color indexed="81"/>
            <rFont val="Tahoma"/>
            <family val="2"/>
          </rPr>
          <t xml:space="preserve">
Price is dynamic based upon multiples of 2m2 which is what contractors can buy the plugs in at the trade counter</t>
        </r>
      </text>
    </comment>
    <comment ref="H50" authorId="0" shapeId="0" xr:uid="{76F4B1DD-1FB8-429C-A44B-10D83EE8EDCD}">
      <text>
        <r>
          <rPr>
            <b/>
            <sz val="9"/>
            <color indexed="81"/>
            <rFont val="Tahoma"/>
            <family val="2"/>
          </rPr>
          <t>Wayne Neesam:</t>
        </r>
        <r>
          <rPr>
            <sz val="9"/>
            <color indexed="81"/>
            <rFont val="Tahoma"/>
            <family val="2"/>
          </rPr>
          <t xml:space="preserve">
Price is dynamic based upon multiples of 22m rolls which is what contractors buy at the trade counter</t>
        </r>
      </text>
    </comment>
    <comment ref="H51" authorId="0" shapeId="0" xr:uid="{614D32EA-100F-4B96-994E-8578D8BD188F}">
      <text>
        <r>
          <rPr>
            <b/>
            <sz val="9"/>
            <color indexed="81"/>
            <rFont val="Tahoma"/>
            <family val="2"/>
          </rPr>
          <t>Wayne Neesam:</t>
        </r>
        <r>
          <rPr>
            <sz val="9"/>
            <color indexed="81"/>
            <rFont val="Tahoma"/>
            <family val="2"/>
          </rPr>
          <t xml:space="preserve">
Assumed 80 lm per 5ltr tub and we are charging £80 per tub to cover contractor costs as we may not get some of it back to re-use.</t>
        </r>
      </text>
    </comment>
    <comment ref="H53" authorId="0" shapeId="0" xr:uid="{578A0CB4-5586-49BE-8D54-C09F25A8A87A}">
      <text>
        <r>
          <rPr>
            <b/>
            <sz val="9"/>
            <color indexed="81"/>
            <rFont val="Tahoma"/>
            <family val="2"/>
          </rPr>
          <t>Wayne Neesam:</t>
        </r>
        <r>
          <rPr>
            <sz val="9"/>
            <color indexed="81"/>
            <rFont val="Tahoma"/>
            <family val="2"/>
          </rPr>
          <t xml:space="preserve">
Price is dynamic based upon multiples of 5m rolls which is what contractors buy at the trade counter</t>
        </r>
      </text>
    </comment>
    <comment ref="H54" authorId="0" shapeId="0" xr:uid="{35327646-8B4A-4C7F-9CE0-A2C5940E917B}">
      <text>
        <r>
          <rPr>
            <b/>
            <sz val="9"/>
            <color indexed="81"/>
            <rFont val="Tahoma"/>
            <family val="2"/>
          </rPr>
          <t>Wayne Neesam:</t>
        </r>
        <r>
          <rPr>
            <sz val="9"/>
            <color indexed="81"/>
            <rFont val="Tahoma"/>
            <family val="2"/>
          </rPr>
          <t xml:space="preserve">
Price is dynamic based upon multiples of 5m rolls which is what contractors buy at the trade counter</t>
        </r>
      </text>
    </comment>
    <comment ref="H72" authorId="0" shapeId="0" xr:uid="{0E733E79-EDF6-4E40-B6C5-05DF12A356AE}">
      <text>
        <r>
          <rPr>
            <b/>
            <sz val="9"/>
            <color indexed="81"/>
            <rFont val="Tahoma"/>
            <family val="2"/>
          </rPr>
          <t>Wayne Neesam:</t>
        </r>
        <r>
          <rPr>
            <sz val="9"/>
            <color indexed="81"/>
            <rFont val="Tahoma"/>
            <family val="2"/>
          </rPr>
          <t xml:space="preserve">
Added on 30% wastage for the boards rather than standard 10%</t>
        </r>
      </text>
    </comment>
    <comment ref="H73" authorId="0" shapeId="0" xr:uid="{463DA588-8BB8-49B5-89D6-37B8678B1D23}">
      <text>
        <r>
          <rPr>
            <b/>
            <sz val="9"/>
            <color indexed="81"/>
            <rFont val="Tahoma"/>
            <family val="2"/>
          </rPr>
          <t>Wayne Neesam:</t>
        </r>
        <r>
          <rPr>
            <sz val="9"/>
            <color indexed="81"/>
            <rFont val="Tahoma"/>
            <family val="2"/>
          </rPr>
          <t xml:space="preserve">
Min charge of half a roll which is £7.125m2 per roll = 3.5625 m2 per half roll.
Costs are rounded up to half rolls.
1 tub of adhesive covers 1 roll but costs are rounded upto full buckets needed as unlikely to be re-used once opened.
</t>
        </r>
      </text>
    </comment>
    <comment ref="N73" authorId="0" shapeId="0" xr:uid="{6EE99CAB-4BFF-43D3-9897-5E013D65E3EB}">
      <text>
        <r>
          <rPr>
            <b/>
            <sz val="9"/>
            <color indexed="81"/>
            <rFont val="Tahoma"/>
            <family val="2"/>
          </rPr>
          <t>Wayne Neesam:</t>
        </r>
        <r>
          <rPr>
            <sz val="9"/>
            <color indexed="81"/>
            <rFont val="Tahoma"/>
            <family val="2"/>
          </rPr>
          <t xml:space="preserve">
Min charge of 2.5 hours which is 20 mins per m2 for a 7 meter roll of isotherm</t>
        </r>
      </text>
    </comment>
    <comment ref="H74" authorId="0" shapeId="0" xr:uid="{BA4CED15-5A72-431F-85FF-80B7ECE00743}">
      <text>
        <r>
          <rPr>
            <b/>
            <sz val="9"/>
            <color indexed="81"/>
            <rFont val="Tahoma"/>
            <family val="2"/>
          </rPr>
          <t>Wayne Neesam:</t>
        </r>
        <r>
          <rPr>
            <sz val="9"/>
            <color indexed="81"/>
            <rFont val="Tahoma"/>
            <family val="2"/>
          </rPr>
          <t xml:space="preserve">
Price is dynamic based upon full 25kg bag which cover 10m2 which is what the contractors purchase.</t>
        </r>
      </text>
    </comment>
    <comment ref="N75" authorId="0" shapeId="0" xr:uid="{E0AD3423-6376-4699-B156-F2E30E190AC9}">
      <text>
        <r>
          <rPr>
            <b/>
            <sz val="9"/>
            <color indexed="81"/>
            <rFont val="Tahoma"/>
            <family val="2"/>
          </rPr>
          <t>Wayne Neesam:</t>
        </r>
        <r>
          <rPr>
            <sz val="9"/>
            <color indexed="81"/>
            <rFont val="Tahoma"/>
            <family val="2"/>
          </rPr>
          <t xml:space="preserve">
Built into the hours for skimming</t>
        </r>
      </text>
    </comment>
    <comment ref="N76" authorId="0" shapeId="0" xr:uid="{B347F853-8260-44F2-B10F-858C84580FD1}">
      <text>
        <r>
          <rPr>
            <b/>
            <sz val="9"/>
            <color indexed="81"/>
            <rFont val="Tahoma"/>
            <family val="2"/>
          </rPr>
          <t>Wayne Neesam:</t>
        </r>
        <r>
          <rPr>
            <sz val="9"/>
            <color indexed="81"/>
            <rFont val="Tahoma"/>
            <family val="2"/>
          </rPr>
          <t xml:space="preserve">
Built into the hours for skimming</t>
        </r>
      </text>
    </comment>
    <comment ref="N77" authorId="0" shapeId="0" xr:uid="{83AB7817-D208-4EDE-88F8-FB9DA00A564F}">
      <text>
        <r>
          <rPr>
            <b/>
            <sz val="9"/>
            <color indexed="81"/>
            <rFont val="Tahoma"/>
            <family val="2"/>
          </rPr>
          <t>Wayne Neesam:</t>
        </r>
        <r>
          <rPr>
            <sz val="9"/>
            <color indexed="81"/>
            <rFont val="Tahoma"/>
            <family val="2"/>
          </rPr>
          <t xml:space="preserve">
Built into the hours for skimming</t>
        </r>
      </text>
    </comment>
    <comment ref="H105" authorId="0" shapeId="0" xr:uid="{2A5B1B0B-8846-4A91-AF74-BA92486EB458}">
      <text>
        <r>
          <rPr>
            <b/>
            <sz val="9"/>
            <color indexed="81"/>
            <rFont val="Tahoma"/>
            <family val="2"/>
          </rPr>
          <t>Wayne Neesam:</t>
        </r>
        <r>
          <rPr>
            <sz val="9"/>
            <color indexed="81"/>
            <rFont val="Tahoma"/>
            <family val="2"/>
          </rPr>
          <t xml:space="preserve">
cost of 5ltr container</t>
        </r>
      </text>
    </comment>
    <comment ref="H106" authorId="0" shapeId="0" xr:uid="{0300D424-0BE6-416F-A6AC-1C61FC805E72}">
      <text>
        <r>
          <rPr>
            <b/>
            <sz val="9"/>
            <color indexed="81"/>
            <rFont val="Tahoma"/>
            <family val="2"/>
          </rPr>
          <t>Wayne Neesam:</t>
        </r>
        <r>
          <rPr>
            <sz val="9"/>
            <color indexed="81"/>
            <rFont val="Tahoma"/>
            <family val="2"/>
          </rPr>
          <t xml:space="preserve">
Cost of Wykamol Microtech Dual Purpose Concentrate 400g which can do 25m2</t>
        </r>
      </text>
    </comment>
    <comment ref="H107" authorId="0" shapeId="0" xr:uid="{C0681291-A652-44F5-8523-F08C61629DBF}">
      <text>
        <r>
          <rPr>
            <b/>
            <sz val="9"/>
            <color indexed="81"/>
            <rFont val="Tahoma"/>
            <family val="2"/>
          </rPr>
          <t>Wayne Neesam:</t>
        </r>
        <r>
          <rPr>
            <sz val="9"/>
            <color indexed="81"/>
            <rFont val="Tahoma"/>
            <family val="2"/>
          </rPr>
          <t xml:space="preserve">
Cost of Wykamol Wykabor 40.1 Wood Treatment – 400ml - assumed 4m2 usage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Wayne Neesam</author>
  </authors>
  <commentList>
    <comment ref="F73" authorId="0" shapeId="0" xr:uid="{EE2250B6-1C7D-4BB2-B6E7-75E80D518268}">
      <text>
        <r>
          <rPr>
            <b/>
            <sz val="9"/>
            <color indexed="81"/>
            <rFont val="Tahoma"/>
            <family val="2"/>
          </rPr>
          <t>Wayne Neesam:</t>
        </r>
        <r>
          <rPr>
            <sz val="9"/>
            <color indexed="81"/>
            <rFont val="Tahoma"/>
            <family val="2"/>
          </rPr>
          <t xml:space="preserve">
Not linked to the Calcs sheet as this is in M2 but we need this to show as packs as bought from PS shop</t>
        </r>
      </text>
    </comment>
    <comment ref="F74" authorId="0" shapeId="0" xr:uid="{67E7E930-9A4D-4B6C-A8C6-C2BA24B78C0E}">
      <text>
        <r>
          <rPr>
            <b/>
            <sz val="9"/>
            <color indexed="81"/>
            <rFont val="Tahoma"/>
            <family val="2"/>
          </rPr>
          <t>Wayne Neesam:</t>
        </r>
        <r>
          <rPr>
            <sz val="9"/>
            <color indexed="81"/>
            <rFont val="Tahoma"/>
            <family val="2"/>
          </rPr>
          <t xml:space="preserve">
Not linked to the Calcs sheet as this is in M2 but we need this to show as packs as bought from PS shop</t>
        </r>
      </text>
    </comment>
    <comment ref="F75" authorId="0" shapeId="0" xr:uid="{03C7A240-AA1A-4B1D-BAD7-12D9B02F4F24}">
      <text>
        <r>
          <rPr>
            <b/>
            <sz val="9"/>
            <color indexed="81"/>
            <rFont val="Tahoma"/>
            <family val="2"/>
          </rPr>
          <t>Wayne Neesam:</t>
        </r>
        <r>
          <rPr>
            <sz val="9"/>
            <color indexed="81"/>
            <rFont val="Tahoma"/>
            <family val="2"/>
          </rPr>
          <t xml:space="preserve">
Not linked to the Calcs sheet as this is in M2 but we need this to show as bags as bought from PS shop</t>
        </r>
      </text>
    </comment>
    <comment ref="D142" authorId="0" shapeId="0" xr:uid="{E74C625B-838F-4AAA-BCB6-DD6F07D08366}">
      <text>
        <r>
          <rPr>
            <b/>
            <sz val="9"/>
            <color indexed="81"/>
            <rFont val="Tahoma"/>
            <family val="2"/>
          </rPr>
          <t>Wayne Neesam:</t>
        </r>
        <r>
          <rPr>
            <sz val="9"/>
            <color indexed="81"/>
            <rFont val="Tahoma"/>
            <family val="2"/>
          </rPr>
          <t xml:space="preserve">
Has round up formula to match calc sheet</t>
        </r>
      </text>
    </comment>
    <comment ref="D143" authorId="0" shapeId="0" xr:uid="{05B99FC9-8092-4F90-880D-AF0B4E6D1448}">
      <text>
        <r>
          <rPr>
            <b/>
            <sz val="9"/>
            <color indexed="81"/>
            <rFont val="Tahoma"/>
            <family val="2"/>
          </rPr>
          <t>Wayne Neesam:</t>
        </r>
        <r>
          <rPr>
            <sz val="9"/>
            <color indexed="81"/>
            <rFont val="Tahoma"/>
            <family val="2"/>
          </rPr>
          <t xml:space="preserve">
Has round up formula to match calc sheet</t>
        </r>
      </text>
    </comment>
    <comment ref="D144" authorId="0" shapeId="0" xr:uid="{554BF6CA-2E9D-4191-95C0-DFB6188671C6}">
      <text>
        <r>
          <rPr>
            <b/>
            <sz val="9"/>
            <color indexed="81"/>
            <rFont val="Tahoma"/>
            <family val="2"/>
          </rPr>
          <t>Wayne Neesam:</t>
        </r>
        <r>
          <rPr>
            <sz val="9"/>
            <color indexed="81"/>
            <rFont val="Tahoma"/>
            <family val="2"/>
          </rPr>
          <t xml:space="preserve">
Has round up formula to match calc 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<sst xmlns="http://schemas.openxmlformats.org/spreadsheetml/2006/main" count="4467" uniqueCount="597">
  <si>
    <t>Walls</t>
  </si>
  <si>
    <t>Materials</t>
  </si>
  <si>
    <t>Mats Tot</t>
  </si>
  <si>
    <t>Hours</t>
  </si>
  <si>
    <t>Strip out</t>
  </si>
  <si>
    <t>Plaster/render Removal (Ceilings)</t>
  </si>
  <si>
    <t>Removal of stud walls etc (Bag &amp; cart away)</t>
  </si>
  <si>
    <t>Removal of stud walls etc</t>
  </si>
  <si>
    <t>Preparatory work</t>
  </si>
  <si>
    <t>Plaster/render Removal (Walls)</t>
  </si>
  <si>
    <t>Apply Sand cement dubbing coat</t>
  </si>
  <si>
    <t>2 coat tanking slurry</t>
  </si>
  <si>
    <t>Brush apply tanking slurry</t>
  </si>
  <si>
    <t>Wall/floor fillet joint</t>
  </si>
  <si>
    <t>Cut fillet to slab and apply fillet seal</t>
  </si>
  <si>
    <t>Construct stud wall to perimiter</t>
  </si>
  <si>
    <t>Skimming walls (multi finish plaster)</t>
  </si>
  <si>
    <t>Labour hours sub total</t>
  </si>
  <si>
    <t>Rubbish removal skips</t>
  </si>
  <si>
    <t>Materials sub tot</t>
  </si>
  <si>
    <t>Labour sub tot</t>
  </si>
  <si>
    <t xml:space="preserve"> Price</t>
  </si>
  <si>
    <t>Vat</t>
  </si>
  <si>
    <t>Area/No.</t>
  </si>
  <si>
    <t>M/U</t>
  </si>
  <si>
    <t>Cementitious tanking system</t>
  </si>
  <si>
    <t>Dubbing out coat (sand/cement/SBR)</t>
  </si>
  <si>
    <t>Renovating plaster</t>
  </si>
  <si>
    <t>Grip grit</t>
  </si>
  <si>
    <t>Grip grit application</t>
  </si>
  <si>
    <t>LMU</t>
  </si>
  <si>
    <t>EP40 2 Pack resin Primer</t>
  </si>
  <si>
    <t>EP40 2 Pack resin top coat</t>
  </si>
  <si>
    <t>Plasterboarding (inc dab/screws)</t>
  </si>
  <si>
    <t xml:space="preserve">Trimol 40  primer </t>
  </si>
  <si>
    <t xml:space="preserve">Trimol 40 Top Coat </t>
  </si>
  <si>
    <t>Total price inc vat</t>
  </si>
  <si>
    <t>Skip hire 8yd</t>
  </si>
  <si>
    <t>Travel</t>
  </si>
  <si>
    <t>No of days</t>
  </si>
  <si>
    <t xml:space="preserve">Bag up debris cart outside </t>
  </si>
  <si>
    <t>Hours travel</t>
  </si>
  <si>
    <t xml:space="preserve">Floor - Liquid Resin floor Membranes </t>
  </si>
  <si>
    <t>Membrane plugs for m2 listed</t>
  </si>
  <si>
    <t>Sealing Tape Lm</t>
  </si>
  <si>
    <t>Overtape Lm</t>
  </si>
  <si>
    <t>Fixing Rope Lm</t>
  </si>
  <si>
    <t xml:space="preserve">Bag up debris &amp; cart outside </t>
  </si>
  <si>
    <t>Disposal via licensed transfer agent</t>
  </si>
  <si>
    <t>Tot</t>
  </si>
  <si>
    <t>Scrape back/clear sub floors</t>
  </si>
  <si>
    <t>Strip out existing timber floor (GF)</t>
  </si>
  <si>
    <t>Remove socket fronts and isolate</t>
  </si>
  <si>
    <t>Remove plaster/render (Walls)</t>
  </si>
  <si>
    <t>TT Totals</t>
  </si>
  <si>
    <t>Total hours</t>
  </si>
  <si>
    <t>Skirting board removal &amp; set aside</t>
  </si>
  <si>
    <t>Install Wall plate</t>
  </si>
  <si>
    <t>mens travel</t>
  </si>
  <si>
    <t>Total</t>
  </si>
  <si>
    <t>Approx Travel cost</t>
  </si>
  <si>
    <t>No of men travelling</t>
  </si>
  <si>
    <t>Joists, 100 x 50</t>
  </si>
  <si>
    <t>Joists, 125 x 50</t>
  </si>
  <si>
    <t>Joists, 150 x 50</t>
  </si>
  <si>
    <t>Joists, 175 x 50</t>
  </si>
  <si>
    <t>Joists, 200 x 50</t>
  </si>
  <si>
    <t>Joists, 225 x 50</t>
  </si>
  <si>
    <t>Length</t>
  </si>
  <si>
    <t>Wall plate 100x25</t>
  </si>
  <si>
    <t>Install Weyrock flooring 18mm (M2)</t>
  </si>
  <si>
    <t>Install Weyrock flooring 22mm (M2)</t>
  </si>
  <si>
    <t>Install std T&amp;G Floorboards (M2)</t>
  </si>
  <si>
    <t>Install victorian T&amp;G Floorboards (M2)</t>
  </si>
  <si>
    <t>Floor Joists LM @ 400mm centres</t>
  </si>
  <si>
    <t>Joists Size</t>
  </si>
  <si>
    <t>Flooring deck type (M2)</t>
  </si>
  <si>
    <t>Contractor Totals</t>
  </si>
  <si>
    <t>Vehicle cost</t>
  </si>
  <si>
    <t>Distance from office to job (one way)</t>
  </si>
  <si>
    <t>Survey sheet end</t>
  </si>
  <si>
    <t xml:space="preserve">Quantity </t>
  </si>
  <si>
    <t>Clear debris from sub floor</t>
  </si>
  <si>
    <t>40.1 Gel injection @100mm centres, plug with dowel</t>
  </si>
  <si>
    <t xml:space="preserve">Protective treatment, new timbers </t>
  </si>
  <si>
    <t xml:space="preserve">Gel injection @100mm centres and plug </t>
  </si>
  <si>
    <t>Clean out airbrick/fit new face</t>
  </si>
  <si>
    <t>Lift existing airbrick/fit new face</t>
  </si>
  <si>
    <t>Install additional  airbrick</t>
  </si>
  <si>
    <t>Airbricks</t>
  </si>
  <si>
    <t>Sheet Validation</t>
  </si>
  <si>
    <t>Sheet Validation to right</t>
  </si>
  <si>
    <t>Check if any data is entered</t>
  </si>
  <si>
    <t>Check if field needs to be completed</t>
  </si>
  <si>
    <t>Enquiry Details</t>
  </si>
  <si>
    <t>Enquiry number</t>
  </si>
  <si>
    <t>Site Details</t>
  </si>
  <si>
    <t>Survey Carried Out By</t>
  </si>
  <si>
    <t>Surveyor</t>
  </si>
  <si>
    <t>Section</t>
  </si>
  <si>
    <t>Item Name</t>
  </si>
  <si>
    <t>Quantity</t>
  </si>
  <si>
    <t>Unit Cost</t>
  </si>
  <si>
    <t>Unit</t>
  </si>
  <si>
    <t>Cost Code</t>
  </si>
  <si>
    <t>Markup</t>
  </si>
  <si>
    <t>Markup Type</t>
  </si>
  <si>
    <t>Item Type</t>
  </si>
  <si>
    <t>Is Taxable</t>
  </si>
  <si>
    <t>Is Optional</t>
  </si>
  <si>
    <t>Assigned To</t>
  </si>
  <si>
    <t>%</t>
  </si>
  <si>
    <t>MTL</t>
  </si>
  <si>
    <t>Yes</t>
  </si>
  <si>
    <t>No</t>
  </si>
  <si>
    <t>LBR</t>
  </si>
  <si>
    <t>Floor Joists &amp; Floor Decking</t>
  </si>
  <si>
    <t>Timber Treatments</t>
  </si>
  <si>
    <t>Waste Removal</t>
  </si>
  <si>
    <t>Other</t>
  </si>
  <si>
    <t>Travel Costs</t>
  </si>
  <si>
    <t>Miles</t>
  </si>
  <si>
    <t>Data Lists For Contractor Foreman</t>
  </si>
  <si>
    <t>These are used to differentiate between the types of items and used for the labor calculations.</t>
  </si>
  <si>
    <t>Contractor Foreman Item Types</t>
  </si>
  <si>
    <t>Item</t>
  </si>
  <si>
    <t>Comments</t>
  </si>
  <si>
    <t>EQUIP</t>
  </si>
  <si>
    <t>Equipment Items</t>
  </si>
  <si>
    <t>Labor items</t>
  </si>
  <si>
    <t>Material Items</t>
  </si>
  <si>
    <t>Other Items</t>
  </si>
  <si>
    <t>SUB</t>
  </si>
  <si>
    <t>Subcontractors</t>
  </si>
  <si>
    <t>This is used to 'Group' items in a logical order on the estimate.</t>
  </si>
  <si>
    <t>Sections</t>
  </si>
  <si>
    <t>n/a</t>
  </si>
  <si>
    <t>This is used in the projects to determine costs by the 'Cost Code' category (lets you see which areas you are over or under budget on).</t>
  </si>
  <si>
    <t>Cost Codes</t>
  </si>
  <si>
    <t>This is used to on the items for costing reference</t>
  </si>
  <si>
    <t>Unit of measures</t>
  </si>
  <si>
    <t>Each</t>
  </si>
  <si>
    <t>M2</t>
  </si>
  <si>
    <t>M3</t>
  </si>
  <si>
    <t>LM</t>
  </si>
  <si>
    <t>Bags</t>
  </si>
  <si>
    <t>Pairs</t>
  </si>
  <si>
    <t>UOM</t>
  </si>
  <si>
    <t>Treat and endwrap joist</t>
  </si>
  <si>
    <t>Endwrap</t>
  </si>
  <si>
    <t xml:space="preserve">Base Labour Hourly rate </t>
  </si>
  <si>
    <t>Timber Equipment</t>
  </si>
  <si>
    <t>Timber Labour</t>
  </si>
  <si>
    <t>Timber Materials</t>
  </si>
  <si>
    <t>Timber Other</t>
  </si>
  <si>
    <t>Timber Sub Contractors</t>
  </si>
  <si>
    <t>Fogging staircase - open rear treads Per step</t>
  </si>
  <si>
    <t xml:space="preserve">Fogging staircase - open rear treads </t>
  </si>
  <si>
    <t>Fogging staircase - rear closed, drill and plug per step</t>
  </si>
  <si>
    <t xml:space="preserve">Fogging staircase - closed,  rear treads </t>
  </si>
  <si>
    <t>Protective treatment following new timbers installation (DP or bug)</t>
  </si>
  <si>
    <t>Container</t>
  </si>
  <si>
    <t>Bottle</t>
  </si>
  <si>
    <t>Tube</t>
  </si>
  <si>
    <t>CSV Import File Name Creator</t>
  </si>
  <si>
    <t>CSV File Name</t>
  </si>
  <si>
    <t>Current Date</t>
  </si>
  <si>
    <t>Full File Name</t>
  </si>
  <si>
    <t>CF-Timber-</t>
  </si>
  <si>
    <t>Plaster &amp; stud Removal (Ceilings)</t>
  </si>
  <si>
    <t>Grind back mortar courses on brickwork</t>
  </si>
  <si>
    <t>Wire scrub brickwork faces</t>
  </si>
  <si>
    <t>Grind back mortar</t>
  </si>
  <si>
    <t>Wire brush</t>
  </si>
  <si>
    <t>Apply 2 x Brunosol + 1 x Wykabor 20.1</t>
  </si>
  <si>
    <t>Brumasol/Wykabor 20.1</t>
  </si>
  <si>
    <t>Difficulty hours (fireplace, corners etc)</t>
  </si>
  <si>
    <t>Technoseal Lm</t>
  </si>
  <si>
    <t>Height</t>
  </si>
  <si>
    <t>Remove carpet/tiles/overlays</t>
  </si>
  <si>
    <t>Bower beams (pair)</t>
  </si>
  <si>
    <t>Flitch plates (pair)</t>
  </si>
  <si>
    <t>CF IGNORE - LINE VALUE</t>
  </si>
  <si>
    <t>CF IGNORE - Zero value Section Validation</t>
  </si>
  <si>
    <t>Customer Pricing Summary</t>
  </si>
  <si>
    <t>#</t>
  </si>
  <si>
    <t>Area of Works</t>
  </si>
  <si>
    <t>Totals</t>
  </si>
  <si>
    <t>Sub Total</t>
  </si>
  <si>
    <t>Vat at 20%</t>
  </si>
  <si>
    <t>Start of works deposit at 30%</t>
  </si>
  <si>
    <t>CF IGNORE - LINE VALUE FOR CUSTOMER SUMMARY</t>
  </si>
  <si>
    <t>CF IGNORE - INCLUDE PRICE IN CUSTOMER SUMMARY</t>
  </si>
  <si>
    <t>DELETE</t>
  </si>
  <si>
    <t>Stripping out - Materials</t>
  </si>
  <si>
    <t>EACH</t>
  </si>
  <si>
    <t>Stripping out - Labour</t>
  </si>
  <si>
    <t>Walls (install membrane system) - Materials</t>
  </si>
  <si>
    <t>Walls (install membrane system) - Labour</t>
  </si>
  <si>
    <t>Cementitious tanking system - Materials</t>
  </si>
  <si>
    <t>Cementitious tanking system - Labour</t>
  </si>
  <si>
    <t>Floor - Liquid Resin floor Membranes  - Materials</t>
  </si>
  <si>
    <t>Floor - Liquid Resin floor Membranes  - Labour</t>
  </si>
  <si>
    <t>Plastering/finishing  - Materials</t>
  </si>
  <si>
    <t>Plastering/finishing  - Labour</t>
  </si>
  <si>
    <t>Floor Joists &amp; Floor Decking  - Materials</t>
  </si>
  <si>
    <t>Floor Joists &amp; Floor Decking  - Labour</t>
  </si>
  <si>
    <t>Airbricks/Spray treatments  - Materials</t>
  </si>
  <si>
    <t>Airbricks/Spray treatments  - Labour</t>
  </si>
  <si>
    <t>Timber Treatments  - Materials</t>
  </si>
  <si>
    <t>Timber Treatments  - Labour</t>
  </si>
  <si>
    <t>For Office Only</t>
  </si>
  <si>
    <t xml:space="preserve">Tax: VAT (20%)	</t>
  </si>
  <si>
    <t>Optional Item?</t>
  </si>
  <si>
    <r>
      <t xml:space="preserve">Price 
</t>
    </r>
    <r>
      <rPr>
        <b/>
        <sz val="9"/>
        <rFont val="Calibri"/>
        <family val="2"/>
      </rPr>
      <t>(Without Optional items)</t>
    </r>
  </si>
  <si>
    <r>
      <t xml:space="preserve">Price 
</t>
    </r>
    <r>
      <rPr>
        <b/>
        <sz val="8"/>
        <color rgb="FFFF0000"/>
        <rFont val="Calibri"/>
        <family val="2"/>
      </rPr>
      <t>(With Optional Items)</t>
    </r>
  </si>
  <si>
    <t>Walls (Install membrane system)</t>
  </si>
  <si>
    <t>Weather Conditions</t>
  </si>
  <si>
    <t>Defective pointing to chimney stack</t>
  </si>
  <si>
    <t>Defective flashings to chimney stack</t>
  </si>
  <si>
    <t>Missing roof slates</t>
  </si>
  <si>
    <t>Defective rainwater goods</t>
  </si>
  <si>
    <t>Perished external paintwork</t>
  </si>
  <si>
    <t>Wet rot noted to external joinery timbers</t>
  </si>
  <si>
    <t>Report</t>
  </si>
  <si>
    <t>Comments for Surveyors</t>
  </si>
  <si>
    <t>Visibility</t>
  </si>
  <si>
    <t>Always show</t>
  </si>
  <si>
    <t>Client Name And Site Details</t>
  </si>
  <si>
    <t>Will always show</t>
  </si>
  <si>
    <t>Will always show (pre-populated)</t>
  </si>
  <si>
    <t>Internal Reference ID:</t>
  </si>
  <si>
    <t>← Enter Data Here</t>
  </si>
  <si>
    <t xml:space="preserve">The weather conditions were: </t>
  </si>
  <si>
    <t xml:space="preserve">The weather temperature was: </t>
  </si>
  <si>
    <t>(°C).</t>
  </si>
  <si>
    <t>The Property</t>
  </si>
  <si>
    <t>The property is a:</t>
  </si>
  <si>
    <t>The property is constructed of :</t>
  </si>
  <si>
    <t>The property was built approximately :</t>
  </si>
  <si>
    <t>The Survey/Specific Defects Inspection</t>
  </si>
  <si>
    <t xml:space="preserve">In accordance with your instructions, we carried out a survey/specific defects inspection to the above property for the reported problem which was:  </t>
  </si>
  <si>
    <t xml:space="preserve">Our findings and proposals are set out below and should be read in conjunction with the enclosed document 'General Notes for clients and Health and Safety precautions'. </t>
  </si>
  <si>
    <t>Orientation</t>
  </si>
  <si>
    <t>The terms left, right, front and rear are used in accordance with facing the front elevation from the outside of the building.</t>
  </si>
  <si>
    <t>The Scope</t>
  </si>
  <si>
    <t>We must draw to your attention to the scope of our inspection. The inspection was solely to identify evidence of problems which were within those areas pointed out to us at the time of our visit which are listed above. Any areas not specifically referred to in this report have not been included and are not covered by the report or estimate.</t>
  </si>
  <si>
    <t>Abbreviations Used In Report</t>
  </si>
  <si>
    <t>← Enter Visibility</t>
  </si>
  <si>
    <t>Determined by surveyor</t>
  </si>
  <si>
    <t>No building defects were noted at the time of our inspection.</t>
  </si>
  <si>
    <t>We noted the following building defects:</t>
  </si>
  <si>
    <t>•</t>
  </si>
  <si>
    <t>Defective pointing to ridge tiles</t>
  </si>
  <si>
    <t>Defective pointing to verge</t>
  </si>
  <si>
    <t>Defective pointing to hips</t>
  </si>
  <si>
    <t>Slipped roof slates</t>
  </si>
  <si>
    <t>Loose roof slates</t>
  </si>
  <si>
    <t>Use the alt key and the mouse to 'snap' the image to the top and bottom of the cell for alignment.</t>
  </si>
  <si>
    <t>This line will NOT show on the report</t>
  </si>
  <si>
    <t>Always Hide</t>
  </si>
  <si>
    <t>↓ Image Section 1 ↓</t>
  </si>
  <si>
    <t>← Enter Image Visibility</t>
  </si>
  <si>
    <t>← Add Images</t>
  </si>
  <si>
    <t>← Enter Images Descriptions</t>
  </si>
  <si>
    <t>↑ Image Section 1 ↑</t>
  </si>
  <si>
    <t>↓ Image Section 2 ↓</t>
  </si>
  <si>
    <t>Hide</t>
  </si>
  <si>
    <t>↑ Image Section 2 ↑</t>
  </si>
  <si>
    <t>↓ Image Section 3 ↓</t>
  </si>
  <si>
    <t>↑ Image Section 3 ↑</t>
  </si>
  <si>
    <t xml:space="preserve">The above items should be checked and addressed in the short term (3 months maximum) as they have been identified as possible causes of moisture ingress to the fabric of the building, Failure to correct the defects may affect your guarantee. </t>
  </si>
  <si>
    <t>You should check your lease and find who is responsible for the upkeep of the roof, it is possible the upstairs flat may need to carry out the repairs or it could be shared cost. Whilst the roof repairs are not causing any problems with your property at present they may do so in future if not addressed.</t>
  </si>
  <si>
    <t>Recommendation</t>
  </si>
  <si>
    <t>External Ground Levels</t>
  </si>
  <si>
    <t>There were no apparent ground level issues.</t>
  </si>
  <si>
    <t>We noted high ground levels to the following areas:</t>
  </si>
  <si>
    <t>← Enter Visibility &amp; Area Here</t>
  </si>
  <si>
    <t>External ground was falling towards building at:</t>
  </si>
  <si>
    <t>All ground levels to be maintained at a minimum of 150mm below DPC level, paths, drives, yards etc should not cause rainwater etc to run against your property walls. You should  arrange work to correct the above issues to be carried out as soon as possible, under separate contract and costs.</t>
  </si>
  <si>
    <t>The rear yard would benefit from the installation of an aco drain channel to carry water to the drain.</t>
  </si>
  <si>
    <t>← Enter Visibility &amp; Data</t>
  </si>
  <si>
    <t>Report produced under the guidance of Tyne Tees Damp Proofing Ltd by:</t>
  </si>
  <si>
    <t>Steven Robinson</t>
  </si>
  <si>
    <t>Show dependant on Surveyor</t>
  </si>
  <si>
    <t>Steve Robinson A.Inst.SSE.</t>
  </si>
  <si>
    <t>Remedial Consultant</t>
  </si>
  <si>
    <t>Graeme Hazel</t>
  </si>
  <si>
    <t>Mike Davison</t>
  </si>
  <si>
    <t xml:space="preserve">Mike Davison CSSW  M.inst.SSE </t>
  </si>
  <si>
    <t>Technical Director</t>
  </si>
  <si>
    <t>Sketch Plan</t>
  </si>
  <si>
    <t xml:space="preserve">Office tasks when submitting an estimate </t>
  </si>
  <si>
    <t>You need to attach the following items to the estimate:</t>
  </si>
  <si>
    <r>
      <t xml:space="preserve">• </t>
    </r>
    <r>
      <rPr>
        <b/>
        <sz val="11"/>
        <color theme="1"/>
        <rFont val="Arial"/>
        <family val="2"/>
      </rPr>
      <t>The Survey Inspection Report</t>
    </r>
    <r>
      <rPr>
        <sz val="11"/>
        <color theme="1"/>
        <rFont val="Arial"/>
        <family val="2"/>
      </rPr>
      <t xml:space="preserve"> (generated from the Report tab in this document).</t>
    </r>
  </si>
  <si>
    <r>
      <t xml:space="preserve">• </t>
    </r>
    <r>
      <rPr>
        <b/>
        <sz val="11"/>
        <color theme="1"/>
        <rFont val="Arial"/>
        <family val="2"/>
      </rPr>
      <t>Our Terms and Conditions</t>
    </r>
    <r>
      <rPr>
        <sz val="11"/>
        <color theme="1"/>
        <rFont val="Arial"/>
        <family val="2"/>
      </rPr>
      <t xml:space="preserve"> (latest version always found in the folder '1.Current Documentation'). </t>
    </r>
  </si>
  <si>
    <r>
      <t xml:space="preserve">• </t>
    </r>
    <r>
      <rPr>
        <b/>
        <sz val="11"/>
        <color theme="1"/>
        <rFont val="Arial"/>
        <family val="2"/>
      </rPr>
      <t>General Notes for clients and Health and Safety precautions</t>
    </r>
    <r>
      <rPr>
        <sz val="11"/>
        <color theme="1"/>
        <rFont val="Arial"/>
        <family val="2"/>
      </rPr>
      <t xml:space="preserve"> (latest version always found in the folder '1.Current Documentation'). </t>
    </r>
  </si>
  <si>
    <r>
      <t xml:space="preserve">• </t>
    </r>
    <r>
      <rPr>
        <b/>
        <sz val="11"/>
        <color theme="1"/>
        <rFont val="Arial"/>
        <family val="2"/>
      </rPr>
      <t>Access Permission Email Template</t>
    </r>
    <r>
      <rPr>
        <sz val="11"/>
        <color theme="1"/>
        <rFont val="Arial"/>
        <family val="2"/>
      </rPr>
      <t xml:space="preserve"> (generated from the Access Email Template tab in this document).</t>
    </r>
  </si>
  <si>
    <t>Notes for office</t>
  </si>
  <si>
    <t>Page Breaks:</t>
  </si>
  <si>
    <t>To understand page breaks the link below will be of assistance:</t>
  </si>
  <si>
    <t>https://support.microsoft.com/en-gb/office/insert-move-or-delete-page-breaks-in-a-worksheet-ad3dc726-beec-4a4c-861f-ed640612bdc2</t>
  </si>
  <si>
    <t>Image Best Practices:</t>
  </si>
  <si>
    <t>• Use the 'Alt' key to align an image to the bottom of the cell.</t>
  </si>
  <si>
    <t>• To format an image right click on it to set the height and/or crop ( a good starting height is 6cm).</t>
  </si>
  <si>
    <t>• Try to keep images the same height especially if on the same row and ensure you use the 'alt' key to align the image to the bottom of the cell.</t>
  </si>
  <si>
    <t>• Try and keep the images a fraction smaller than the cell height to prevent overspill if the image cell falls on a page break.</t>
  </si>
  <si>
    <t>• Try and keep the images centrally above their descriptions.</t>
  </si>
  <si>
    <t>Blockage/vegetation to rainwater goods</t>
  </si>
  <si>
    <t>Defective pointing to external walls</t>
  </si>
  <si>
    <t>Cracks/movement to walls</t>
  </si>
  <si>
    <t>Cracks/movement to lintels</t>
  </si>
  <si>
    <t>Other not covered by above - (state below)</t>
  </si>
  <si>
    <t>Ceiling</t>
  </si>
  <si>
    <t>Floors and floor voids</t>
  </si>
  <si>
    <t>Cracking</t>
  </si>
  <si>
    <t>Staining</t>
  </si>
  <si>
    <t>Joinery timbers (skirtings, backmoulds, panelling)</t>
  </si>
  <si>
    <t>Woodworm</t>
  </si>
  <si>
    <t>Dampness</t>
  </si>
  <si>
    <t xml:space="preserve">Moisture reading taken from the timbers was recorded as: </t>
  </si>
  <si>
    <t>%.</t>
  </si>
  <si>
    <t>Proposals below</t>
  </si>
  <si>
    <t>A woodworm infestation, the attack was of common furniture beetle (anobium punctatum)</t>
  </si>
  <si>
    <t>An attack of wood rotting fungi, this was identified as wet rot</t>
  </si>
  <si>
    <t>Rotting timbers were also suffering from an infestation of woodboring weevil (Pentarthrum Huttoni)</t>
  </si>
  <si>
    <t>Notes for the surveyor: Write where problem is e.g., joists 1,2 and 3 counting from left of front elevation.</t>
  </si>
  <si>
    <t>An attack of wood rotting fungi, this was identified as dry rot (sepulae lacrymans)</t>
  </si>
  <si>
    <t>Please find attached letter of notification to print out and pass to your neighbour, this should also assist with your party wall obligations (you are legally required to tell your neighbour of anything affecting the party wall).</t>
  </si>
  <si>
    <t>Dry Rot - Treatment And Party Wall Act</t>
  </si>
  <si>
    <t>Timber replacement and treatment for wood rot and woodboring insects, as per the schedule specified below.</t>
  </si>
  <si>
    <t>Timber replacement and treatment for wood rot, as per the schedule specified below.</t>
  </si>
  <si>
    <t>Treatment for woodworm infestation, as per the schedule specified below.</t>
  </si>
  <si>
    <t>Schedule For Treatment Of Woodworm</t>
  </si>
  <si>
    <t>Schedule For Treatment Of Dry Rot</t>
  </si>
  <si>
    <t>Schedule For Treatment Of Wet Rot</t>
  </si>
  <si>
    <t>Schedule For Treatment Of Wet Rot And Woodboring Weevil</t>
  </si>
  <si>
    <t>Apply fog to voids/surfaces as per SOP.</t>
  </si>
  <si>
    <t>Make good to all areas treated.</t>
  </si>
  <si>
    <t>Prepare and place new timbers, do not fix.</t>
  </si>
  <si>
    <t>Clean and tidy site.</t>
  </si>
  <si>
    <t>Open up affected area.</t>
  </si>
  <si>
    <t>Create openings/lift floorboards as required ensuring no nails left sticking out of removed boards.</t>
  </si>
  <si>
    <t>Cover open electric outlets with polythene to prevent wetting (electric shock hazard).</t>
  </si>
  <si>
    <t>Support any structural bearing timbers for duration of works.</t>
  </si>
  <si>
    <t>Treat all remaining timber cut ends as per SOP.</t>
  </si>
  <si>
    <t>Cut out affected timbers as per SOP.</t>
  </si>
  <si>
    <t>Remove new timbers.</t>
  </si>
  <si>
    <t>Treat all masonry as per SOP.</t>
  </si>
  <si>
    <t>Clean out and sterilise joist wall socket holes as per SOP.</t>
  </si>
  <si>
    <t>Apply fungal treatment gel to walls.</t>
  </si>
  <si>
    <t>Install membrane system to protect walls and promote drying of masonry.</t>
  </si>
  <si>
    <t>Treat all surfaces of new timbers.</t>
  </si>
  <si>
    <t>Treat and endwrap joists as per SOP.</t>
  </si>
  <si>
    <t>Install and fix new timbers as per SOP.</t>
  </si>
  <si>
    <t>Bag up and remove debris to safe external area. Clean and tidy site.</t>
  </si>
  <si>
    <t xml:space="preserve">Bag up and remove debris to safe external area. </t>
  </si>
  <si>
    <t>Treat all surfaces of new timbers with dual purpose application.</t>
  </si>
  <si>
    <t>W/W = Water Weight, SOP = Standard Operating Procedures.</t>
  </si>
  <si>
    <t>ACCESS PERMISSION EMAIL TEMPLATE</t>
  </si>
  <si>
    <t>Email Subject Line:</t>
  </si>
  <si>
    <t>Email Content:</t>
  </si>
  <si>
    <t>Site:</t>
  </si>
  <si>
    <t>During the survey it was not possible for the surveyor to inspect the floor timbers in certain areas, this was due to lack of access because of overlays/stained polished floors/fitted carpets.</t>
  </si>
  <si>
    <t>Acceptance and Permission to Proceed</t>
  </si>
  <si>
    <t>Kind Regards,</t>
  </si>
  <si>
    <t>ffsdf</t>
  </si>
  <si>
    <t>sfsf</t>
  </si>
  <si>
    <t>Access Email Template Name</t>
  </si>
  <si>
    <t>PDF Report Name</t>
  </si>
  <si>
    <t>File Name Creator</t>
  </si>
  <si>
    <t>Address:</t>
  </si>
  <si>
    <t>Dear sir or madam,</t>
  </si>
  <si>
    <t>Party Wall Notification</t>
  </si>
  <si>
    <t>Mike Davison CSSW, M.Inst.SSE</t>
  </si>
  <si>
    <t>Managing Director</t>
  </si>
  <si>
    <t>Yours faithfully,</t>
  </si>
  <si>
    <t>https://www.tyneteesdampproofing.co.uk/</t>
  </si>
  <si>
    <t>Tyne Tees Damp Proofing Ltd</t>
  </si>
  <si>
    <t>We have identified an attack of Dry Rot to the adjoining property (listed above). This attack affects the party wall (the wall between your property and your neighbours). The fungi involved is Dry Rot (serpiae lacrymans). This type of fungal attack is probably one of the worst things that can happen to a property, it can travel and spread quite easily. The attack can consume timbers which will lose there structural integrity and eventually collapse.</t>
  </si>
  <si>
    <t>This will involve our surveyor lifting (if and where possible) floorboards to check beneath the floor and a quick look at the joinery timbers.</t>
  </si>
  <si>
    <t>The inspection will not take long, we will tidy/make good as we go and afterwards you will probably not even be able to tell we have been.</t>
  </si>
  <si>
    <t>Whilst our surveyor is in attendance he will be happy to check out any other concerns you may have, Damp, Woodworm, Basements, Condensation and Mould etc. Just ask.</t>
  </si>
  <si>
    <t>We will be happy to inspect the relevant areas of your property so we can identify any visible signs of the fungal attack.</t>
  </si>
  <si>
    <t xml:space="preserve">We realise this may be inconvenient, however we must stress that it is extremely important to stop any attack as early as possible. </t>
  </si>
  <si>
    <t>Following the inspection we will (with your permission) send you a detailed written report of our findings.</t>
  </si>
  <si>
    <t xml:space="preserve">It is therefore important that we treat the whole of the attack, at this stage we do not know if the attack is also in your property, this fungi will travel through brick walls, timber, across earth oversite and also releases millions of spores which can travel on the breeze or through floor airways to infect further timbers. </t>
  </si>
  <si>
    <t>You may have already seen signs of attack which you may not have recognised, these include spore deposits, these are rust/orange coloured dust appearing on floors, under skirtings. Smell of damp mushrooms in affected areas, signs of wrinkling paintwork on skirting bards/joinery timbers, hyphae or tendrils from the fungi growing on surfaces.</t>
  </si>
  <si>
    <t>Access Email Template: Will show if access permission is needed</t>
  </si>
  <si>
    <t>Party Wall Letter: Will show if letter is needed</t>
  </si>
  <si>
    <r>
      <t xml:space="preserve">• </t>
    </r>
    <r>
      <rPr>
        <b/>
        <sz val="11"/>
        <color theme="1"/>
        <rFont val="Arial"/>
        <family val="2"/>
      </rPr>
      <t>Party Wall Letter</t>
    </r>
    <r>
      <rPr>
        <sz val="11"/>
        <color theme="1"/>
        <rFont val="Arial"/>
        <family val="2"/>
      </rPr>
      <t xml:space="preserve"> (generated from the Party Wall Letter tab in this document).</t>
    </r>
  </si>
  <si>
    <t>External Building Defects</t>
  </si>
  <si>
    <t>Room (current use):</t>
  </si>
  <si>
    <t>Room designation:</t>
  </si>
  <si>
    <t>Area</t>
  </si>
  <si>
    <t>sdf</t>
  </si>
  <si>
    <t>Blistering cracking or warping</t>
  </si>
  <si>
    <t>At the time of inspection there were no defects to the ceilings of this room.</t>
  </si>
  <si>
    <t>At the time of inspection the following defects were observed to the ceiling of this room:</t>
  </si>
  <si>
    <t>At the time of inspection there were no defects to the walls of this room.</t>
  </si>
  <si>
    <t>At the time of inspection the following defects were observed to the walls of this room:</t>
  </si>
  <si>
    <t>At the time of inspection there were no defects to the floor voids of this room.</t>
  </si>
  <si>
    <t>At the time of inspection the following defects were observed to the floor voids of this room:</t>
  </si>
  <si>
    <t>Treatment for Dry Rot attack, as per the schedule specified below.</t>
  </si>
  <si>
    <t>Internal Room Inspection Details:</t>
  </si>
  <si>
    <t>Wood rot</t>
  </si>
  <si>
    <t>Should an attack of dry rot affect the party wall (the wall between you and your neighbouring property) It is important that we treat the fungal attack in it's entirety, that is from both sides. The hyphae from dry rot can travel through soil, brickwork and other media to affect one, two or even several properties. Unless and until the full attack is treated we cannot issue a guarantee. We therefore need to arrange to check the other side of any affected party walls (to your neighbouring properties) which may also be affected by the  same attack.</t>
  </si>
  <si>
    <t>Filter Checker</t>
  </si>
  <si>
    <t>Cell References for Room Sections for VBA Code</t>
  </si>
  <si>
    <t>Room</t>
  </si>
  <si>
    <t>Visibilty Choice Cell (Full Reference)</t>
  </si>
  <si>
    <t>Visibilty Choice Cell 
(Short Reference)</t>
  </si>
  <si>
    <t>Hide Row Start</t>
  </si>
  <si>
    <t>Hide Row End</t>
  </si>
  <si>
    <t>This is used to check if a filter has changed on the report sheet for VBA to rehide rows</t>
  </si>
  <si>
    <t>Summary</t>
  </si>
  <si>
    <t>Date of Inspection:</t>
  </si>
  <si>
    <t xml:space="preserve">If the reported defect above, which pulls through from the master document, is no longer appropriate you can overwrite it by inputting a new one below otherwise leave it blank.  </t>
  </si>
  <si>
    <t>RE: CREATION OF ACCESS POINTS FOR FURTHER INSPECTION</t>
  </si>
  <si>
    <t>Obtain permission from the vendor to carry out a destructive survey. For your convenience we have included a pre-filled email template for you to request permission from the property owner. You can use this email template to request access permission.</t>
  </si>
  <si>
    <t>Dear property owner,</t>
  </si>
  <si>
    <t xml:space="preserve">We have carried out a survey of your property (property details below) </t>
  </si>
  <si>
    <t>To complete the survey, permission is needed to access sub-floor voids etc. On completion of the inspection the access points will be closed up and made safe. All work will be carried out as carefully as possible however it should be noted that following completion damage may be evident and laminate floors etc may be affected irreparably. Fitted carpets may disintegrate or may require professional re-fitting and stained floors may have bright unstained areas of timber evident where cuts have been made. It is also possible that cut lines will remain openly visible in laminates/overlays and that plywood overlays may not be able to be re-used depending on damage caused, and due the fixing method originally employed.</t>
  </si>
  <si>
    <t>The cost of any re-fitting/repair/replacement will have to be bourn by yourself post completion of the required access work .</t>
  </si>
  <si>
    <t>By allowing a surveyor/ technician to open up access points as required, you will be confirming acceptance of the above consequences and agreeing not to hold the company responsible for the cost of any associated repairs or replacements.</t>
  </si>
  <si>
    <t xml:space="preserve">To confirm that you have read and understood the above and agree to allow a surveyor/ technician to open up access points as required please respond to this email granting permission. </t>
  </si>
  <si>
    <t>Warmline - Thin Wall Insulation</t>
  </si>
  <si>
    <t>Contractor Materials</t>
  </si>
  <si>
    <t>Contractor hours pay</t>
  </si>
  <si>
    <t>Labour</t>
  </si>
  <si>
    <t>Hour Mult</t>
  </si>
  <si>
    <t>Total Hours</t>
  </si>
  <si>
    <t>Line total</t>
  </si>
  <si>
    <t>Plastering &amp; finishing</t>
  </si>
  <si>
    <t xml:space="preserve">Timber Treatments </t>
  </si>
  <si>
    <t>Lab Total</t>
  </si>
  <si>
    <t>TIMBER SHEET</t>
  </si>
  <si>
    <t>Install bower beam metal plating system.</t>
  </si>
  <si>
    <t>Sub Floor Ventilation</t>
  </si>
  <si>
    <t>There were no airbricks installed.</t>
  </si>
  <si>
    <t>It was not possible to inspect the airbricks due to the following:</t>
  </si>
  <si>
    <t>State below - ensure that images are taken of the obstructions to be added to the report.</t>
  </si>
  <si>
    <t>The sub floor voids were ventilated by the following 'visible' number of airbricks:</t>
  </si>
  <si>
    <t>To the front elevations</t>
  </si>
  <si>
    <t>← Enter number of air bricks.</t>
  </si>
  <si>
    <t>To the left elevations</t>
  </si>
  <si>
    <t>To the right elevations</t>
  </si>
  <si>
    <t>To the rear elevations</t>
  </si>
  <si>
    <t>To the rear offshoot</t>
  </si>
  <si>
    <t>Proposal (Airbricks)</t>
  </si>
  <si>
    <t>Remove</t>
  </si>
  <si>
    <t>number air bricks, check airflow, adjust as necessary, clean debris &amp; reinstall.</t>
  </si>
  <si>
    <t>← Enter number of air bricks</t>
  </si>
  <si>
    <t>Install</t>
  </si>
  <si>
    <t>x</t>
  </si>
  <si>
    <t>225 x 150 additional airbricks.</t>
  </si>
  <si>
    <t>This will increase the airflow through the floor voids, reduce the humidity and the moisture content of linked timbers, which will greatly reduce the chances of attack by wood rotting fungi such as dry rot (serpulae lacrymans) in the future.</t>
  </si>
  <si>
    <t>Lift</t>
  </si>
  <si>
    <t>of the existing air bricks.</t>
  </si>
  <si>
    <t>Lifting the airbricks will help to prevent water ponding and snow melting, causing water to run into the sub floor void, elevating the moisture levels of the timbers within.</t>
  </si>
  <si>
    <t>No further works required.</t>
  </si>
  <si>
    <t>Cell Range for VBA</t>
  </si>
  <si>
    <t>This line will always show on the report</t>
  </si>
  <si>
    <t>Always Shows</t>
  </si>
  <si>
    <t>← Enter Data</t>
  </si>
  <si>
    <t>Will always dependant on visibility</t>
  </si>
  <si>
    <t>Determined by office</t>
  </si>
  <si>
    <t>A high W/W moisture level to the floor timbers, this was due to a lack of ventilation to the sub floor voids</t>
  </si>
  <si>
    <t>We would propose for the following works to be carried out:</t>
  </si>
  <si>
    <t>Show</t>
  </si>
  <si>
    <t>Front Elevation</t>
  </si>
  <si>
    <t>Lift/upgrade existing airbrick/fit new face</t>
  </si>
  <si>
    <t>Fog subfloor void (M2)</t>
  </si>
  <si>
    <t>Masonry sterilant (Wyakbor 20) - brush applied</t>
  </si>
  <si>
    <t>Masonry sterilant - brush applied</t>
  </si>
  <si>
    <r>
      <rPr>
        <b/>
        <sz val="10"/>
        <rFont val="Arial Narrow"/>
        <family val="2"/>
      </rPr>
      <t xml:space="preserve">The value of the csv import on upload should match the figures to the right </t>
    </r>
    <r>
      <rPr>
        <sz val="10"/>
        <rFont val="Arial Narrow"/>
        <family val="2"/>
      </rPr>
      <t xml:space="preserve">
</t>
    </r>
    <r>
      <rPr>
        <sz val="9"/>
        <rFont val="Arial Narrow"/>
        <family val="2"/>
      </rPr>
      <t>(this may be less than the totals to the left as optional items are not calculated up on the import until the customer selects them)</t>
    </r>
  </si>
  <si>
    <t>Remove radiators &amp; cap valves</t>
  </si>
  <si>
    <t>Additional Supporting Comments From Surveyor</t>
  </si>
  <si>
    <t>Version From</t>
  </si>
  <si>
    <t>Change</t>
  </si>
  <si>
    <t>Changed the refitting of ancilliaries (refit sockets, radiator and skirting boards) to be costed in chunks of 3 hours (approx half day).  E.g. If the total calculated hours equaled 2 hours then this would be would be charged as 3 hours and if it was 5 hours we would charge as 6.</t>
  </si>
  <si>
    <t>Strip Wall Paper</t>
  </si>
  <si>
    <t>Party Wall Letter Template Name</t>
  </si>
  <si>
    <t>Date</t>
  </si>
  <si>
    <t>Added stripping wall paper to costing.</t>
  </si>
  <si>
    <t>Added Sub Contractor 'clarity' section on costing sheet - Vat registered and non vat registered</t>
  </si>
  <si>
    <t>Add VBA to updated the file name (date) on each click as the file names only changed on open so if clicking multiple times it was trying to save the same file again which is confusing)</t>
  </si>
  <si>
    <t>Version To</t>
  </si>
  <si>
    <t>Ex. VAT</t>
  </si>
  <si>
    <t>Inc. VAT</t>
  </si>
  <si>
    <t>Added deposit value ex vat and inc vat for card readers.</t>
  </si>
  <si>
    <t>Default 
Mats Cost</t>
  </si>
  <si>
    <t>Adjusted 
Mats Cost</t>
  </si>
  <si>
    <t>Default 
Lab Cost</t>
  </si>
  <si>
    <t>Adjusted 
Lab Cost</t>
  </si>
  <si>
    <t>Section Price Adjustment % Values</t>
  </si>
  <si>
    <t>Section Price Adjustment %</t>
  </si>
  <si>
    <t>Stock lengths 2.4, 3.0, 3.6, 4.2, 4.8, 5.4</t>
  </si>
  <si>
    <t>Costing: Added in percentage adjuster to sections.
Costing: Added in questions and conditional logic for skirting boards refit.</t>
  </si>
  <si>
    <t>Add notes below that the office need to consider when compiling the estimate and report.</t>
  </si>
  <si>
    <t>Removed the Office comments section at the bottom of the report as it is hiiden when the filter is applied so this is replaced with an 'Office Notes' tab.</t>
  </si>
  <si>
    <t>Sub Contractor Costs</t>
  </si>
  <si>
    <t>Client Name</t>
  </si>
  <si>
    <t>Enquiry ID:</t>
  </si>
  <si>
    <t>Sub Contractor Materials</t>
  </si>
  <si>
    <t>Added Sub Contractor Costs and Sub Contractor Mats Tabs</t>
  </si>
  <si>
    <t>Changed wording on Projects Specific Overheads to make it look more generic and to cover more areas and removed the vehicle costs statement.
Added the On Site Approval Form Tab.</t>
  </si>
  <si>
    <t>On Site Acceptance Form (CAF1).</t>
  </si>
  <si>
    <t>Address 1</t>
  </si>
  <si>
    <t>Address 2</t>
  </si>
  <si>
    <t>Address 3</t>
  </si>
  <si>
    <t>Address 4</t>
  </si>
  <si>
    <t>Postcode</t>
  </si>
  <si>
    <t>Operation</t>
  </si>
  <si>
    <t>I accept the company terms and conditions of contract which I have viewed at the link below and I have paid my deposit with this order.</t>
  </si>
  <si>
    <t>https://www.tyneteesdampproofing.co.uk/terms-and-conditions/</t>
  </si>
  <si>
    <t>I wish the work to commence before the 14 day cooling off period and waive my consumer rights (please sign to confirm)</t>
  </si>
  <si>
    <t>Signed:</t>
  </si>
  <si>
    <t>Date:</t>
  </si>
  <si>
    <t>Costing sheet - removed fogging under floor in Decking section to the Timber Treatments section.</t>
  </si>
  <si>
    <t>Updated material pricing on:
Dubbing out coat, Renovating Plaster, EP40 Top Coat, EP40 Primer, Plasterboards, Isotherm rolls and adhesive.
Updated hourly rate from £30.00 to £30.63 to cover the Employers NI increase.</t>
  </si>
  <si>
    <t>Project Specific Overheads</t>
  </si>
  <si>
    <t>Stripping out of items as required to proceed with works</t>
  </si>
  <si>
    <t>Wall membrane CM3  - 1mtr</t>
  </si>
  <si>
    <t>Wall membrane CM3  - 1.2mtr</t>
  </si>
  <si>
    <t>Wall membrane CM3  - 2mtr #1</t>
  </si>
  <si>
    <t>Wall membrane CM3  - 2mtr #2</t>
  </si>
  <si>
    <t>Wall membrane CM3  - 2mtr #3</t>
  </si>
  <si>
    <t>Wall membrane CM3 - Subtotals for above 3 lines</t>
  </si>
  <si>
    <t>Section Description</t>
  </si>
  <si>
    <t>I wish to proceed with the woks specified below. (tick items required and total cost)</t>
  </si>
  <si>
    <t>Price</t>
  </si>
  <si>
    <t>Tick</t>
  </si>
  <si>
    <t>Damp Proofing</t>
  </si>
  <si>
    <t>Timber treatments/replacements</t>
  </si>
  <si>
    <t>Condensation</t>
  </si>
  <si>
    <t>Wall Ties</t>
  </si>
  <si>
    <t>Other works</t>
  </si>
  <si>
    <t>Subtotal</t>
  </si>
  <si>
    <t>VAT</t>
  </si>
  <si>
    <t>Deposit</t>
  </si>
  <si>
    <t>Project Details</t>
  </si>
  <si>
    <t xml:space="preserve">Area of Works </t>
  </si>
  <si>
    <t>Costs
(Ex VAT)</t>
  </si>
  <si>
    <t>Assigned to / Comments:</t>
  </si>
  <si>
    <t>Total Projected Hours</t>
  </si>
  <si>
    <t xml:space="preserve">Contractor Labour Hourly rate </t>
  </si>
  <si>
    <t>TBC</t>
  </si>
  <si>
    <t>Added extra line in on costing for CM3 20 metre rolls</t>
  </si>
  <si>
    <t>Updated Contractor cost sheet with hours.
Amalgamated the strip out costs to one line.
Allowed the editing of the customer summary lines for the surveyors including being able to set something as optional.</t>
  </si>
  <si>
    <t>Updated the wording etc on the 'Overheads' sections to only show as Lab and Mats and added the description field to the csv upload as the wording was being cut off in the title.</t>
  </si>
  <si>
    <t>Skips</t>
  </si>
  <si>
    <t>Vehicle Costs (Fuel)</t>
  </si>
  <si>
    <t>Travel Costs for Tradesmen</t>
  </si>
  <si>
    <t>Non-guaranteed work: The work in this quotation is carried out as per your instructions and not as per our recommendations, we have no way of knowing if the attack has spread to adjoining properties The treatment is therefore not covered by our long term, or any other guarantee.</t>
  </si>
  <si>
    <t>Added the following note to the report: 
Non-guaranteed work: The work in this quotation is carried out as per your instructions and not as per our recommendations, we have no way of knowing if the attack has spread to adjoining properties The treatment is therefore not covered by our long term, or any other guarantee.</t>
  </si>
  <si>
    <t>Choose Estimate Cover Sheet Image To Use (dropdown)</t>
  </si>
  <si>
    <t>View Images (this link will take you to the the Estimates Coversheet Images Tab)</t>
  </si>
  <si>
    <t xml:space="preserve">Base Travel Hourly rate </t>
  </si>
  <si>
    <t>Warmline Internal Wall Insulation</t>
  </si>
  <si>
    <t>Added Estimate Coversheet Selections To Cost Sheet.
Updated material pricing for HandyBoards and Multi Finish Plaster
Re-named Warmline Thin Wall Insulation to Warmline Internal Wall Insulation as per MD request.</t>
  </si>
  <si>
    <t>Added more coversheet images</t>
  </si>
  <si>
    <t>Image 5: Single Female (Elderly)</t>
  </si>
  <si>
    <t>0191 8141613</t>
  </si>
  <si>
    <t>(May cover any or all of the following: Covers Health &amp; Safety, Tooling Equipment, Access Equipment, Specialist Equipment, Waste Removal &amp; Disposal, Project Management Administration etc.)</t>
  </si>
  <si>
    <t>Antinox HD Floor Protection Boards – 2.4m x 1.2m</t>
  </si>
  <si>
    <t>Plastering Stop Bead - 3m length</t>
  </si>
  <si>
    <t>Plastering Thin Coat Angle/Corner Bead - 2.4m length</t>
  </si>
  <si>
    <t>Plastering Thin Coat Angle/Corner Bead - 3m length</t>
  </si>
  <si>
    <t>Provide insulation to suspended flooring</t>
  </si>
  <si>
    <t>Difficulty hours (additional hours if required)</t>
  </si>
  <si>
    <t>Project Specifics Overhead description amended on csv upload for change to CF estimate to make it clear that the overheads may contain all or some of the items mentioned.
Added floor insulation line and updated plasterboard pricing.</t>
  </si>
  <si>
    <t>It was noted that you had issues in the following timbers:</t>
  </si>
  <si>
    <t>The timbers were suffering from the following issues:</t>
  </si>
  <si>
    <t>First Line of site address</t>
  </si>
  <si>
    <t>Town / City</t>
  </si>
  <si>
    <t>County</t>
  </si>
  <si>
    <t>Site Post Code</t>
  </si>
  <si>
    <t>Added line in for Engineered flooring</t>
  </si>
  <si>
    <t>Install Engineered Flooring sheet (M2)</t>
  </si>
  <si>
    <t>"Fixed margin value column on csv import for beta estimates.
Applied filter to costing sheet for the headers."</t>
  </si>
  <si>
    <t>Updated master password.</t>
  </si>
  <si>
    <t>Dry overcast</t>
  </si>
  <si>
    <t>Brick slate</t>
  </si>
  <si>
    <t>Mid terrace ground floor flat</t>
  </si>
  <si>
    <t>1900s</t>
  </si>
  <si>
    <t xml:space="preserve">Rear room </t>
  </si>
  <si>
    <t>Living room</t>
  </si>
  <si>
    <t xml:space="preserve">Woodboring insects </t>
  </si>
  <si>
    <t>High moisture</t>
  </si>
  <si>
    <t>Rot and woodboring insects</t>
  </si>
  <si>
    <t xml:space="preserve">New floor to living room </t>
  </si>
  <si>
    <t>Remove airbricks clean re-adjust and install additional airbricks</t>
  </si>
  <si>
    <t xml:space="preserve">Remove airbricks clean re-adjust and install additional airbricks </t>
  </si>
  <si>
    <t>Apply liquid membrane to concrete hearth</t>
  </si>
  <si>
    <t>We have quoted to carry out a guaranteed solution to resolve the issue fully this will come with a 25 year guarantee. The floor is bouncing, and I was able to push a screw driver through the joist ends, both rot and woodboring insects were noted. I would advise to carry these works out rather than trying to patch sections of the floor up, this has already been done in areas of the floor and would only be a short term fix. Apply liquid membrane to the concrete hearth as this was damp. Install wayrock sheet flooring to the living room.</t>
  </si>
  <si>
    <t>10-12-25-12-36-01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</si>
</sst>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00_-;\-&quot;£&quot;* #,##0.00_-;_-&quot;£&quot;* &quot;-&quot;??_-;_-@_-"/>
    <numFmt numFmtId="165" formatCode="#,##0.00_ ;\-#,##0.00\ "/>
    <numFmt numFmtId="166" formatCode="0.000"/>
    <numFmt numFmtId="167" formatCode="0.0"/>
    <numFmt numFmtId="168" formatCode="0.0000"/>
    <numFmt numFmtId="169" formatCode="0.0000000000"/>
    <numFmt numFmtId="170" formatCode="&quot;£&quot;#,##0.00"/>
  </numFmts>
  <fonts count="59" x14ac:knownFonts="1">
    <font>
      <sz val="11"/>
      <color theme="1"/>
      <name val="Calibri"/>
      <family val="2"/>
      <scheme val="minor"/>
    </font>
    <font>
      <sz val="11"/>
      <color theme="1"/>
      <name val="Calibri"/>
      <family val="2"/>
      <scheme val="minor"/>
    </font>
    <font>
      <sz val="10"/>
      <name val="Arial"/>
      <family val="2"/>
    </font>
    <font>
      <sz val="10"/>
      <name val="Arial Narrow"/>
      <family val="2"/>
    </font>
    <font>
      <b/>
      <u/>
      <sz val="10"/>
      <name val="Arial Narrow"/>
      <family val="2"/>
    </font>
    <font>
      <b/>
      <sz val="10"/>
      <name val="Arial Narrow"/>
      <family val="2"/>
    </font>
    <font>
      <sz val="10"/>
      <color theme="1"/>
      <name val="Arial Narrow"/>
      <family val="2"/>
    </font>
    <font>
      <sz val="10"/>
      <color indexed="8"/>
      <name val="Arial Narrow"/>
      <family val="2"/>
    </font>
    <font>
      <b/>
      <u/>
      <sz val="10"/>
      <color indexed="8"/>
      <name val="Arial Narrow"/>
      <family val="2"/>
    </font>
    <font>
      <sz val="9"/>
      <color rgb="FFFF0000"/>
      <name val="Arial Narrow"/>
      <family val="2"/>
    </font>
    <font>
      <sz val="9"/>
      <name val="Arial Narrow"/>
      <family val="2"/>
    </font>
    <font>
      <b/>
      <u/>
      <sz val="9"/>
      <name val="Arial Narrow"/>
      <family val="2"/>
    </font>
    <font>
      <sz val="9"/>
      <color theme="1"/>
      <name val="Arial Narrow"/>
      <family val="2"/>
    </font>
    <font>
      <sz val="9"/>
      <color indexed="8"/>
      <name val="Arial Narrow"/>
      <family val="2"/>
    </font>
    <font>
      <b/>
      <sz val="9"/>
      <name val="Arial Narrow"/>
      <family val="2"/>
    </font>
    <font>
      <sz val="12"/>
      <name val="Arial Narrow"/>
      <family val="2"/>
    </font>
    <font>
      <sz val="8"/>
      <name val="Arial Narrow"/>
      <family val="2"/>
    </font>
    <font>
      <b/>
      <sz val="11"/>
      <color theme="1"/>
      <name val="Calibri"/>
      <family val="2"/>
      <scheme val="minor"/>
    </font>
    <font>
      <b/>
      <sz val="14"/>
      <color theme="1"/>
      <name val="Arial"/>
      <family val="2"/>
    </font>
    <font>
      <b/>
      <sz val="16"/>
      <color theme="1"/>
      <name val="Arial"/>
      <family val="2"/>
    </font>
    <font>
      <b/>
      <sz val="10"/>
      <color theme="1"/>
      <name val="Arial"/>
      <family val="2"/>
    </font>
    <font>
      <sz val="10"/>
      <color theme="1"/>
      <name val="Arial"/>
      <family val="2"/>
    </font>
    <font>
      <sz val="11"/>
      <color theme="1"/>
      <name val="Arial"/>
      <family val="2"/>
    </font>
    <font>
      <b/>
      <sz val="10"/>
      <color rgb="FFFF0000"/>
      <name val="Arial Narrow"/>
      <family val="2"/>
    </font>
    <font>
      <b/>
      <sz val="12"/>
      <name val="Arial Narrow"/>
      <family val="2"/>
    </font>
    <font>
      <b/>
      <sz val="16"/>
      <color theme="1"/>
      <name val="Calibri"/>
      <family val="2"/>
      <scheme val="minor"/>
    </font>
    <font>
      <b/>
      <sz val="14"/>
      <color theme="1"/>
      <name val="Calibri"/>
      <family val="2"/>
      <scheme val="minor"/>
    </font>
    <font>
      <b/>
      <sz val="9"/>
      <color indexed="81"/>
      <name val="Tahoma"/>
      <family val="2"/>
    </font>
    <font>
      <sz val="9"/>
      <color indexed="81"/>
      <name val="Tahoma"/>
      <family val="2"/>
    </font>
    <font>
      <b/>
      <u/>
      <sz val="20"/>
      <color theme="1"/>
      <name val="Calibri"/>
      <family val="2"/>
      <scheme val="minor"/>
    </font>
    <font>
      <b/>
      <sz val="11"/>
      <name val="Calibri"/>
      <family val="2"/>
    </font>
    <font>
      <sz val="11"/>
      <color theme="0"/>
      <name val="Calibri"/>
      <family val="2"/>
      <scheme val="minor"/>
    </font>
    <font>
      <b/>
      <i/>
      <u/>
      <sz val="10"/>
      <name val="Arial Narrow"/>
      <family val="2"/>
    </font>
    <font>
      <b/>
      <sz val="9"/>
      <name val="Calibri"/>
      <family val="2"/>
    </font>
    <font>
      <b/>
      <sz val="8"/>
      <color rgb="FFFF0000"/>
      <name val="Calibri"/>
      <family val="2"/>
    </font>
    <font>
      <b/>
      <sz val="11"/>
      <color theme="1"/>
      <name val="Arial"/>
      <family val="2"/>
    </font>
    <font>
      <b/>
      <u/>
      <sz val="11"/>
      <color theme="1"/>
      <name val="Arial"/>
      <family val="2"/>
    </font>
    <font>
      <sz val="11"/>
      <name val="Arial"/>
      <family val="2"/>
    </font>
    <font>
      <sz val="14"/>
      <name val="Arial"/>
      <family val="2"/>
    </font>
    <font>
      <b/>
      <u/>
      <sz val="16"/>
      <color theme="1"/>
      <name val="Arial"/>
      <family val="2"/>
    </font>
    <font>
      <b/>
      <sz val="11"/>
      <color rgb="FFFF0000"/>
      <name val="Arial"/>
      <family val="2"/>
    </font>
    <font>
      <b/>
      <sz val="11"/>
      <color theme="0" tint="-0.499984740745262"/>
      <name val="Arial"/>
      <family val="2"/>
    </font>
    <font>
      <sz val="11"/>
      <color theme="0"/>
      <name val="Arial"/>
      <family val="2"/>
    </font>
    <font>
      <sz val="22"/>
      <color rgb="FF0070C0"/>
      <name val="Vladimir Script"/>
      <family val="4"/>
    </font>
    <font>
      <sz val="22"/>
      <color theme="1"/>
      <name val="Vladimir Script"/>
      <family val="4"/>
    </font>
    <font>
      <sz val="24"/>
      <color rgb="FF0070C0"/>
      <name val="Vladimir Script"/>
      <family val="4"/>
    </font>
    <font>
      <b/>
      <sz val="11"/>
      <color theme="0"/>
      <name val="Arial"/>
      <family val="2"/>
    </font>
    <font>
      <u/>
      <sz val="11"/>
      <color theme="10"/>
      <name val="Calibri"/>
      <family val="2"/>
      <scheme val="minor"/>
    </font>
    <font>
      <u/>
      <sz val="11"/>
      <color theme="10"/>
      <name val="Arial"/>
      <family val="2"/>
    </font>
    <font>
      <b/>
      <u/>
      <sz val="14"/>
      <color theme="1"/>
      <name val="Arial"/>
      <family val="2"/>
    </font>
    <font>
      <sz val="16"/>
      <color theme="0"/>
      <name val="Arial"/>
      <family val="2"/>
    </font>
    <font>
      <b/>
      <u/>
      <sz val="11"/>
      <color theme="1"/>
      <name val="Calibri"/>
      <family val="2"/>
      <scheme val="minor"/>
    </font>
    <font>
      <b/>
      <sz val="10"/>
      <color indexed="8"/>
      <name val="Arial Narrow"/>
      <family val="2"/>
    </font>
    <font>
      <sz val="11"/>
      <name val="Calibri"/>
      <family val="2"/>
      <scheme val="minor"/>
    </font>
    <font>
      <sz val="9"/>
      <color theme="1"/>
      <name val="Arial"/>
      <family val="2"/>
    </font>
    <font>
      <b/>
      <i/>
      <sz val="10"/>
      <name val="Arial Narrow"/>
      <family val="2"/>
    </font>
    <font>
      <b/>
      <sz val="20"/>
      <color theme="1"/>
      <name val="Aptos"/>
      <family val="2"/>
    </font>
    <font>
      <b/>
      <sz val="11"/>
      <color rgb="FFFF0000"/>
      <name val="Calibri"/>
      <family val="2"/>
      <scheme val="minor"/>
    </font>
    <font>
      <u/>
      <sz val="10"/>
      <color theme="10"/>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rgb="FF7030A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style="thin">
        <color theme="1"/>
      </left>
      <right style="thin">
        <color theme="1"/>
      </right>
      <top style="thin">
        <color theme="1"/>
      </top>
      <bottom style="thin">
        <color theme="1"/>
      </bottom>
      <diagonal/>
    </border>
    <border>
      <left/>
      <right style="thin">
        <color indexed="64"/>
      </right>
      <top style="thin">
        <color indexed="64"/>
      </top>
      <bottom/>
      <diagonal/>
    </border>
    <border>
      <left/>
      <right/>
      <top style="thin">
        <color theme="1"/>
      </top>
      <bottom style="thin">
        <color theme="1"/>
      </bottom>
      <diagonal/>
    </border>
    <border>
      <left style="medium">
        <color theme="1"/>
      </left>
      <right style="medium">
        <color theme="1"/>
      </right>
      <top style="medium">
        <color theme="1"/>
      </top>
      <bottom style="medium">
        <color theme="1"/>
      </bottom>
      <diagonal/>
    </border>
    <border>
      <left style="medium">
        <color theme="1"/>
      </left>
      <right style="medium">
        <color theme="1"/>
      </right>
      <top/>
      <bottom style="medium">
        <color theme="1"/>
      </bottom>
      <diagonal/>
    </border>
    <border>
      <left/>
      <right/>
      <top style="thin">
        <color theme="1"/>
      </top>
      <bottom/>
      <diagonal/>
    </border>
    <border>
      <left/>
      <right style="thin">
        <color theme="1"/>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theme="1"/>
      </top>
      <bottom style="thin">
        <color theme="1"/>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bottom/>
      <diagonal/>
    </border>
    <border>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theme="1"/>
      </top>
      <bottom style="double">
        <color theme="1"/>
      </bottom>
      <diagonal/>
    </border>
    <border>
      <left/>
      <right style="thin">
        <color indexed="64"/>
      </right>
      <top style="double">
        <color theme="1"/>
      </top>
      <bottom style="double">
        <color theme="1"/>
      </bottom>
      <diagonal/>
    </border>
    <border>
      <left style="thin">
        <color indexed="64"/>
      </left>
      <right style="medium">
        <color indexed="64"/>
      </right>
      <top/>
      <bottom style="double">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right/>
      <top/>
      <bottom style="double">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thin">
        <color indexed="64"/>
      </right>
      <top/>
      <bottom style="thin">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s>
  <cellStyleXfs count="13">
    <xf numFmtId="0" fontId="0" fillId="0" borderId="0"/>
    <xf numFmtId="44" fontId="1"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2" fillId="0" borderId="0"/>
    <xf numFmtId="0" fontId="47" fillId="0" borderId="0" applyNumberFormat="0" applyFill="0" applyBorder="0" applyAlignment="0" applyProtection="0"/>
    <xf numFmtId="0" fontId="47" fillId="0" borderId="0" applyNumberFormat="0" applyFill="0" applyBorder="0" applyAlignment="0" applyProtection="0"/>
    <xf numFmtId="164" fontId="1" fillId="0" borderId="0" applyFont="0" applyFill="0" applyBorder="0" applyAlignment="0" applyProtection="0"/>
  </cellStyleXfs>
  <cellXfs count="645">
    <xf numFmtId="0" fontId="0" fillId="0" borderId="0" xfId="0"/>
    <xf numFmtId="44" fontId="10" fillId="0" borderId="0" xfId="1" applyFont="1" applyAlignment="1" applyProtection="1">
      <alignment vertical="center"/>
    </xf>
    <xf numFmtId="44" fontId="22" fillId="0" borderId="0" xfId="8" applyFont="1" applyBorder="1" applyProtection="1"/>
    <xf numFmtId="0" fontId="25" fillId="2" borderId="0" xfId="0" applyFont="1" applyFill="1"/>
    <xf numFmtId="0" fontId="0" fillId="2" borderId="0" xfId="0" applyFill="1"/>
    <xf numFmtId="0" fontId="17" fillId="2" borderId="28" xfId="0" applyFont="1" applyFill="1" applyBorder="1"/>
    <xf numFmtId="0" fontId="17" fillId="2" borderId="46" xfId="0" applyFont="1" applyFill="1" applyBorder="1"/>
    <xf numFmtId="0" fontId="0" fillId="2" borderId="28" xfId="0" applyFill="1" applyBorder="1"/>
    <xf numFmtId="0" fontId="0" fillId="2" borderId="46" xfId="0" applyFill="1" applyBorder="1"/>
    <xf numFmtId="0" fontId="0" fillId="2" borderId="53" xfId="0" applyFill="1" applyBorder="1"/>
    <xf numFmtId="0" fontId="0" fillId="2" borderId="52" xfId="0" applyFill="1" applyBorder="1"/>
    <xf numFmtId="0" fontId="0" fillId="2" borderId="54" xfId="0" applyFill="1" applyBorder="1"/>
    <xf numFmtId="0" fontId="0" fillId="2" borderId="55" xfId="0" applyFill="1" applyBorder="1"/>
    <xf numFmtId="167" fontId="10" fillId="2" borderId="22" xfId="2" applyNumberFormat="1" applyFont="1" applyFill="1" applyBorder="1" applyAlignment="1" applyProtection="1">
      <alignment horizontal="center" vertical="center"/>
      <protection locked="0"/>
    </xf>
    <xf numFmtId="44" fontId="12" fillId="3" borderId="1" xfId="1" applyFont="1" applyFill="1" applyBorder="1" applyAlignment="1" applyProtection="1">
      <alignment horizontal="center" vertical="center"/>
    </xf>
    <xf numFmtId="44" fontId="12" fillId="3" borderId="3" xfId="1" applyFont="1" applyFill="1" applyBorder="1" applyAlignment="1" applyProtection="1">
      <alignment horizontal="center" vertical="center"/>
    </xf>
    <xf numFmtId="0" fontId="3" fillId="0" borderId="0" xfId="2" applyFont="1" applyAlignment="1">
      <alignment vertical="center"/>
    </xf>
    <xf numFmtId="0" fontId="20" fillId="3" borderId="1" xfId="5" applyFont="1" applyFill="1" applyBorder="1" applyAlignment="1">
      <alignment horizontal="center" vertical="center" wrapText="1"/>
    </xf>
    <xf numFmtId="0" fontId="21" fillId="2" borderId="1" xfId="5" applyFont="1" applyFill="1" applyBorder="1" applyAlignment="1">
      <alignment horizontal="center" vertical="center" wrapText="1"/>
    </xf>
    <xf numFmtId="0" fontId="10" fillId="0" borderId="0" xfId="2" applyFont="1" applyAlignment="1">
      <alignment horizontal="center" vertical="center"/>
    </xf>
    <xf numFmtId="0" fontId="10" fillId="0" borderId="0" xfId="2" applyFont="1" applyAlignment="1">
      <alignment vertical="center"/>
    </xf>
    <xf numFmtId="0" fontId="22" fillId="0" borderId="0" xfId="5" applyFont="1"/>
    <xf numFmtId="0" fontId="22" fillId="4" borderId="1" xfId="5" applyFont="1" applyFill="1" applyBorder="1" applyAlignment="1">
      <alignment horizontal="center" vertical="center"/>
    </xf>
    <xf numFmtId="0" fontId="23" fillId="0" borderId="0" xfId="2" applyFont="1" applyAlignment="1">
      <alignment vertical="center"/>
    </xf>
    <xf numFmtId="0" fontId="22" fillId="0" borderId="0" xfId="5" applyFont="1" applyAlignment="1">
      <alignment horizontal="center" vertical="center"/>
    </xf>
    <xf numFmtId="0" fontId="22" fillId="0" borderId="0" xfId="5" applyFont="1" applyAlignment="1">
      <alignment horizontal="center"/>
    </xf>
    <xf numFmtId="0" fontId="22" fillId="2" borderId="1" xfId="5" applyFont="1" applyFill="1" applyBorder="1" applyAlignment="1">
      <alignment horizontal="center" vertical="center"/>
    </xf>
    <xf numFmtId="0" fontId="15" fillId="0" borderId="0" xfId="2" applyFont="1" applyAlignment="1">
      <alignment vertical="center"/>
    </xf>
    <xf numFmtId="0" fontId="10" fillId="3" borderId="0" xfId="2" applyFont="1" applyFill="1" applyAlignment="1">
      <alignment horizontal="center" vertical="center"/>
    </xf>
    <xf numFmtId="0" fontId="3" fillId="3" borderId="16" xfId="2" applyFont="1" applyFill="1" applyBorder="1" applyAlignment="1">
      <alignment vertical="center"/>
    </xf>
    <xf numFmtId="2" fontId="10" fillId="3" borderId="0" xfId="2" applyNumberFormat="1" applyFont="1" applyFill="1" applyAlignment="1">
      <alignment horizontal="right" vertical="center"/>
    </xf>
    <xf numFmtId="0" fontId="10" fillId="3" borderId="21" xfId="2" applyFont="1" applyFill="1" applyBorder="1" applyAlignment="1">
      <alignment horizontal="center" vertical="center"/>
    </xf>
    <xf numFmtId="0" fontId="10" fillId="3" borderId="13" xfId="2" applyFont="1" applyFill="1" applyBorder="1" applyAlignment="1">
      <alignment horizontal="right" vertical="center"/>
    </xf>
    <xf numFmtId="44" fontId="10" fillId="5" borderId="33" xfId="1" applyFont="1" applyFill="1" applyBorder="1" applyAlignment="1" applyProtection="1">
      <alignment vertical="center"/>
    </xf>
    <xf numFmtId="167" fontId="10" fillId="3" borderId="3" xfId="2" applyNumberFormat="1" applyFont="1" applyFill="1" applyBorder="1" applyAlignment="1">
      <alignment horizontal="center" vertical="center"/>
    </xf>
    <xf numFmtId="44" fontId="13" fillId="3" borderId="3" xfId="1" applyFont="1" applyFill="1" applyBorder="1" applyAlignment="1" applyProtection="1">
      <alignment horizontal="left" vertical="center"/>
    </xf>
    <xf numFmtId="0" fontId="10" fillId="3" borderId="0" xfId="2" applyFont="1" applyFill="1" applyAlignment="1">
      <alignment horizontal="right" vertical="center"/>
    </xf>
    <xf numFmtId="0" fontId="3" fillId="3" borderId="15" xfId="2" applyFont="1" applyFill="1" applyBorder="1" applyAlignment="1">
      <alignment vertical="center"/>
    </xf>
    <xf numFmtId="0" fontId="3" fillId="3" borderId="0" xfId="2" applyFont="1" applyFill="1" applyAlignment="1">
      <alignment vertical="center"/>
    </xf>
    <xf numFmtId="0" fontId="9" fillId="3" borderId="0" xfId="2" applyFont="1" applyFill="1" applyAlignment="1">
      <alignment horizontal="right" vertical="center"/>
    </xf>
    <xf numFmtId="0" fontId="10" fillId="3" borderId="0" xfId="2" applyFont="1" applyFill="1" applyAlignment="1">
      <alignment vertical="center"/>
    </xf>
    <xf numFmtId="2" fontId="10" fillId="3" borderId="27" xfId="2" applyNumberFormat="1" applyFont="1" applyFill="1" applyBorder="1" applyAlignment="1">
      <alignment horizontal="center" vertical="center"/>
    </xf>
    <xf numFmtId="2" fontId="10" fillId="3" borderId="24" xfId="2" applyNumberFormat="1" applyFont="1" applyFill="1" applyBorder="1" applyAlignment="1">
      <alignment horizontal="center" vertical="center"/>
    </xf>
    <xf numFmtId="2" fontId="10" fillId="3" borderId="0" xfId="2" applyNumberFormat="1" applyFont="1" applyFill="1" applyAlignment="1">
      <alignment horizontal="center" vertical="center"/>
    </xf>
    <xf numFmtId="44" fontId="10" fillId="3" borderId="3" xfId="1" applyFont="1" applyFill="1" applyBorder="1" applyAlignment="1" applyProtection="1">
      <alignment horizontal="center" vertical="center"/>
    </xf>
    <xf numFmtId="44" fontId="3" fillId="3" borderId="16" xfId="1" applyFont="1" applyFill="1" applyBorder="1" applyAlignment="1" applyProtection="1">
      <alignment horizontal="center" vertical="center"/>
    </xf>
    <xf numFmtId="44" fontId="10" fillId="3" borderId="0" xfId="1" applyFont="1" applyFill="1" applyBorder="1" applyAlignment="1" applyProtection="1">
      <alignment horizontal="center" vertical="center"/>
    </xf>
    <xf numFmtId="44" fontId="10" fillId="3" borderId="0" xfId="1" applyFont="1" applyFill="1" applyBorder="1" applyAlignment="1" applyProtection="1">
      <alignment horizontal="right" vertical="center"/>
    </xf>
    <xf numFmtId="44" fontId="10" fillId="3" borderId="6" xfId="1" applyFont="1" applyFill="1" applyBorder="1" applyAlignment="1" applyProtection="1">
      <alignment horizontal="center" vertical="center"/>
    </xf>
    <xf numFmtId="44" fontId="12" fillId="3" borderId="11" xfId="1" applyFont="1" applyFill="1" applyBorder="1" applyAlignment="1" applyProtection="1">
      <alignment horizontal="center" vertical="center"/>
    </xf>
    <xf numFmtId="44" fontId="10" fillId="3" borderId="11" xfId="1" applyFont="1" applyFill="1" applyBorder="1" applyAlignment="1" applyProtection="1">
      <alignment horizontal="center" vertical="center"/>
    </xf>
    <xf numFmtId="0" fontId="14" fillId="3" borderId="1" xfId="2" applyFont="1" applyFill="1" applyBorder="1" applyAlignment="1">
      <alignment horizontal="center" vertical="center"/>
    </xf>
    <xf numFmtId="2" fontId="14" fillId="3" borderId="1" xfId="2" applyNumberFormat="1" applyFont="1" applyFill="1" applyBorder="1" applyAlignment="1">
      <alignment horizontal="center" vertical="center" wrapText="1"/>
    </xf>
    <xf numFmtId="2" fontId="9" fillId="5" borderId="15" xfId="2" applyNumberFormat="1" applyFont="1" applyFill="1" applyBorder="1" applyAlignment="1">
      <alignment horizontal="right" vertical="center"/>
    </xf>
    <xf numFmtId="44" fontId="10" fillId="5" borderId="33" xfId="2" applyNumberFormat="1" applyFont="1" applyFill="1" applyBorder="1" applyAlignment="1">
      <alignment vertical="center"/>
    </xf>
    <xf numFmtId="44" fontId="10" fillId="0" borderId="0" xfId="2" applyNumberFormat="1" applyFont="1" applyAlignment="1">
      <alignment vertical="center"/>
    </xf>
    <xf numFmtId="44" fontId="10" fillId="3" borderId="1" xfId="1" applyFont="1" applyFill="1" applyBorder="1" applyAlignment="1" applyProtection="1">
      <alignment horizontal="left" vertical="center" wrapText="1"/>
    </xf>
    <xf numFmtId="0" fontId="12" fillId="0" borderId="0" xfId="0" applyFont="1" applyAlignment="1">
      <alignment horizontal="left" vertical="center"/>
    </xf>
    <xf numFmtId="0" fontId="10" fillId="3" borderId="1" xfId="2" applyFont="1" applyFill="1" applyBorder="1" applyAlignment="1">
      <alignment horizontal="center" vertical="center"/>
    </xf>
    <xf numFmtId="0" fontId="10" fillId="3" borderId="16" xfId="2" applyFont="1" applyFill="1" applyBorder="1" applyAlignment="1">
      <alignment vertical="center"/>
    </xf>
    <xf numFmtId="44" fontId="10" fillId="3" borderId="16" xfId="2" applyNumberFormat="1" applyFont="1" applyFill="1" applyBorder="1" applyAlignment="1">
      <alignment vertical="center"/>
    </xf>
    <xf numFmtId="44" fontId="22" fillId="0" borderId="0" xfId="5" applyNumberFormat="1" applyFont="1"/>
    <xf numFmtId="44" fontId="12" fillId="3" borderId="6" xfId="1" applyFont="1" applyFill="1" applyBorder="1" applyAlignment="1" applyProtection="1">
      <alignment horizontal="center" vertical="center"/>
    </xf>
    <xf numFmtId="0" fontId="3" fillId="3" borderId="0" xfId="2" applyFont="1" applyFill="1" applyAlignment="1">
      <alignment horizontal="right" vertical="center"/>
    </xf>
    <xf numFmtId="0" fontId="5" fillId="3" borderId="15" xfId="2" applyFont="1" applyFill="1" applyBorder="1" applyAlignment="1">
      <alignment horizontal="right" vertical="center"/>
    </xf>
    <xf numFmtId="44" fontId="10" fillId="5" borderId="39" xfId="1" applyFont="1" applyFill="1" applyBorder="1" applyAlignment="1" applyProtection="1">
      <alignment vertical="center"/>
    </xf>
    <xf numFmtId="44" fontId="12" fillId="3" borderId="5" xfId="3" applyFont="1" applyFill="1" applyBorder="1" applyAlignment="1" applyProtection="1">
      <alignment horizontal="center" vertical="center"/>
    </xf>
    <xf numFmtId="2" fontId="10" fillId="3" borderId="5" xfId="2" applyNumberFormat="1" applyFont="1" applyFill="1" applyBorder="1" applyAlignment="1">
      <alignment horizontal="center" vertical="center"/>
    </xf>
    <xf numFmtId="0" fontId="3" fillId="3" borderId="10" xfId="2" applyFont="1" applyFill="1" applyBorder="1" applyAlignment="1">
      <alignment horizontal="right" vertical="center"/>
    </xf>
    <xf numFmtId="2" fontId="14" fillId="3" borderId="0" xfId="2" applyNumberFormat="1" applyFont="1" applyFill="1" applyAlignment="1">
      <alignment horizontal="right" vertical="center"/>
    </xf>
    <xf numFmtId="0" fontId="5" fillId="3" borderId="20" xfId="2" applyFont="1" applyFill="1" applyBorder="1" applyAlignment="1">
      <alignment horizontal="right" vertical="center"/>
    </xf>
    <xf numFmtId="0" fontId="10" fillId="3" borderId="21" xfId="2" applyFont="1" applyFill="1" applyBorder="1" applyAlignment="1">
      <alignment horizontal="right" vertical="center"/>
    </xf>
    <xf numFmtId="0" fontId="10" fillId="3" borderId="21" xfId="2" applyFont="1" applyFill="1" applyBorder="1" applyAlignment="1">
      <alignment vertical="center"/>
    </xf>
    <xf numFmtId="44" fontId="10" fillId="5" borderId="34" xfId="1" applyFont="1" applyFill="1" applyBorder="1" applyAlignment="1" applyProtection="1">
      <alignment vertical="center"/>
    </xf>
    <xf numFmtId="0" fontId="14" fillId="3" borderId="0" xfId="2" applyFont="1" applyFill="1" applyAlignment="1">
      <alignment horizontal="right" vertical="center"/>
    </xf>
    <xf numFmtId="44" fontId="10" fillId="3" borderId="37" xfId="2" applyNumberFormat="1" applyFont="1" applyFill="1" applyBorder="1" applyAlignment="1">
      <alignment vertical="center"/>
    </xf>
    <xf numFmtId="0" fontId="10" fillId="0" borderId="0" xfId="2" applyFont="1" applyAlignment="1">
      <alignment horizontal="right" vertical="center"/>
    </xf>
    <xf numFmtId="44" fontId="10" fillId="3" borderId="38" xfId="2" applyNumberFormat="1" applyFont="1" applyFill="1" applyBorder="1" applyAlignment="1">
      <alignment vertical="center"/>
    </xf>
    <xf numFmtId="0" fontId="11" fillId="3" borderId="0" xfId="2" applyFont="1" applyFill="1" applyAlignment="1">
      <alignment horizontal="right" vertical="center"/>
    </xf>
    <xf numFmtId="44" fontId="10" fillId="3" borderId="9" xfId="2" applyNumberFormat="1" applyFont="1" applyFill="1" applyBorder="1" applyAlignment="1">
      <alignment vertical="center"/>
    </xf>
    <xf numFmtId="2" fontId="3" fillId="3" borderId="33" xfId="2" applyNumberFormat="1" applyFont="1" applyFill="1" applyBorder="1" applyAlignment="1">
      <alignment horizontal="center" vertical="center"/>
    </xf>
    <xf numFmtId="1" fontId="9" fillId="3" borderId="8" xfId="2" applyNumberFormat="1" applyFont="1" applyFill="1" applyBorder="1" applyAlignment="1">
      <alignment horizontal="center" vertical="center"/>
    </xf>
    <xf numFmtId="0" fontId="3" fillId="3" borderId="20" xfId="2" applyFont="1" applyFill="1" applyBorder="1" applyAlignment="1">
      <alignment vertical="center"/>
    </xf>
    <xf numFmtId="0" fontId="3" fillId="3" borderId="21" xfId="2" applyFont="1" applyFill="1" applyBorder="1" applyAlignment="1">
      <alignment vertical="center"/>
    </xf>
    <xf numFmtId="0" fontId="3" fillId="3" borderId="21" xfId="2" applyFont="1" applyFill="1" applyBorder="1" applyAlignment="1">
      <alignment horizontal="right" vertical="center"/>
    </xf>
    <xf numFmtId="2" fontId="3" fillId="3" borderId="29" xfId="2" applyNumberFormat="1" applyFont="1" applyFill="1" applyBorder="1" applyAlignment="1">
      <alignment horizontal="center" vertical="center"/>
    </xf>
    <xf numFmtId="2" fontId="10" fillId="0" borderId="0" xfId="2" applyNumberFormat="1" applyFont="1" applyAlignment="1">
      <alignment horizontal="right" vertical="center"/>
    </xf>
    <xf numFmtId="0" fontId="10" fillId="0" borderId="0" xfId="2" applyFont="1" applyAlignment="1">
      <alignment vertical="center" wrapText="1"/>
    </xf>
    <xf numFmtId="0" fontId="10" fillId="0" borderId="0" xfId="2" applyFont="1" applyAlignment="1">
      <alignment horizontal="right" vertical="center" wrapText="1"/>
    </xf>
    <xf numFmtId="2" fontId="10" fillId="0" borderId="0" xfId="2" applyNumberFormat="1" applyFont="1" applyAlignment="1">
      <alignment horizontal="right" vertical="center" wrapText="1"/>
    </xf>
    <xf numFmtId="44" fontId="10" fillId="0" borderId="0" xfId="2" applyNumberFormat="1" applyFont="1" applyAlignment="1">
      <alignment vertical="center" wrapText="1"/>
    </xf>
    <xf numFmtId="44" fontId="10" fillId="0" borderId="0" xfId="1" applyFont="1" applyAlignment="1" applyProtection="1">
      <alignment vertical="center" wrapText="1"/>
    </xf>
    <xf numFmtId="0" fontId="9" fillId="0" borderId="0" xfId="2" applyFont="1" applyAlignment="1">
      <alignment horizontal="right" vertical="center"/>
    </xf>
    <xf numFmtId="2" fontId="10" fillId="2" borderId="25" xfId="2" applyNumberFormat="1" applyFont="1" applyFill="1" applyBorder="1" applyAlignment="1" applyProtection="1">
      <alignment horizontal="center" vertical="center"/>
      <protection locked="0"/>
    </xf>
    <xf numFmtId="2" fontId="10" fillId="2" borderId="22" xfId="2" applyNumberFormat="1" applyFont="1" applyFill="1" applyBorder="1" applyAlignment="1" applyProtection="1">
      <alignment horizontal="center" vertical="center"/>
      <protection locked="0"/>
    </xf>
    <xf numFmtId="2" fontId="10" fillId="2" borderId="26" xfId="2" applyNumberFormat="1" applyFont="1" applyFill="1" applyBorder="1" applyAlignment="1" applyProtection="1">
      <alignment horizontal="center" vertical="center"/>
      <protection locked="0"/>
    </xf>
    <xf numFmtId="0" fontId="10" fillId="0" borderId="8" xfId="2" applyFont="1" applyBorder="1" applyAlignment="1" applyProtection="1">
      <alignment horizontal="center" vertical="center"/>
      <protection locked="0"/>
    </xf>
    <xf numFmtId="0" fontId="0" fillId="6" borderId="0" xfId="0" applyFill="1"/>
    <xf numFmtId="2" fontId="12" fillId="3" borderId="1" xfId="0" applyNumberFormat="1" applyFont="1" applyFill="1" applyBorder="1" applyAlignment="1">
      <alignment horizontal="center" vertical="center"/>
    </xf>
    <xf numFmtId="44" fontId="3" fillId="0" borderId="0" xfId="2" applyNumberFormat="1" applyFont="1" applyAlignment="1">
      <alignment vertical="center"/>
    </xf>
    <xf numFmtId="22" fontId="0" fillId="2" borderId="46" xfId="0" applyNumberFormat="1" applyFill="1" applyBorder="1"/>
    <xf numFmtId="0" fontId="3" fillId="4" borderId="0" xfId="2" applyFont="1" applyFill="1" applyAlignment="1">
      <alignment vertical="center"/>
    </xf>
    <xf numFmtId="44" fontId="15" fillId="0" borderId="0" xfId="2" applyNumberFormat="1" applyFont="1" applyAlignment="1">
      <alignment vertical="center"/>
    </xf>
    <xf numFmtId="0" fontId="10" fillId="3" borderId="61" xfId="2" applyFont="1" applyFill="1" applyBorder="1" applyAlignment="1">
      <alignment horizontal="center" vertical="center"/>
    </xf>
    <xf numFmtId="2" fontId="10" fillId="3" borderId="22" xfId="2" applyNumberFormat="1" applyFont="1" applyFill="1" applyBorder="1" applyAlignment="1">
      <alignment horizontal="center" vertical="center"/>
    </xf>
    <xf numFmtId="166" fontId="10" fillId="2" borderId="22" xfId="2" applyNumberFormat="1" applyFont="1" applyFill="1" applyBorder="1" applyAlignment="1" applyProtection="1">
      <alignment horizontal="center" vertical="center"/>
      <protection locked="0"/>
    </xf>
    <xf numFmtId="0" fontId="0" fillId="0" borderId="0" xfId="0" applyAlignment="1">
      <alignment horizontal="center"/>
    </xf>
    <xf numFmtId="169" fontId="0" fillId="0" borderId="0" xfId="0" applyNumberFormat="1"/>
    <xf numFmtId="169" fontId="0" fillId="6" borderId="0" xfId="0" applyNumberFormat="1" applyFill="1"/>
    <xf numFmtId="0" fontId="10" fillId="3" borderId="8" xfId="2" applyFont="1" applyFill="1" applyBorder="1" applyAlignment="1">
      <alignment horizontal="center" vertical="center"/>
    </xf>
    <xf numFmtId="0" fontId="0" fillId="3" borderId="0" xfId="0" applyFill="1"/>
    <xf numFmtId="0" fontId="30" fillId="7" borderId="59" xfId="9" applyFont="1" applyFill="1" applyBorder="1" applyAlignment="1">
      <alignment horizontal="center" vertical="center"/>
    </xf>
    <xf numFmtId="0" fontId="30" fillId="7" borderId="63" xfId="9" applyFont="1" applyFill="1" applyBorder="1" applyAlignment="1">
      <alignment horizontal="center" vertical="center"/>
    </xf>
    <xf numFmtId="0" fontId="0" fillId="2" borderId="28" xfId="0" applyFill="1" applyBorder="1" applyAlignment="1">
      <alignment horizontal="center" vertical="center"/>
    </xf>
    <xf numFmtId="0" fontId="0" fillId="2" borderId="1" xfId="0" applyFill="1" applyBorder="1" applyAlignment="1">
      <alignment horizontal="center" vertical="center"/>
    </xf>
    <xf numFmtId="170" fontId="0" fillId="2" borderId="46" xfId="0" applyNumberFormat="1" applyFill="1" applyBorder="1" applyAlignment="1">
      <alignment horizontal="center" vertical="center"/>
    </xf>
    <xf numFmtId="170" fontId="0" fillId="3" borderId="0" xfId="0" applyNumberFormat="1" applyFill="1"/>
    <xf numFmtId="170" fontId="0" fillId="4" borderId="60" xfId="0" applyNumberFormat="1" applyFill="1" applyBorder="1" applyAlignment="1">
      <alignment horizontal="center" vertical="center"/>
    </xf>
    <xf numFmtId="0" fontId="0" fillId="4" borderId="1" xfId="0" applyFill="1" applyBorder="1" applyAlignment="1">
      <alignment horizontal="right" indent="1"/>
    </xf>
    <xf numFmtId="170" fontId="0" fillId="4" borderId="46" xfId="0" applyNumberFormat="1" applyFill="1" applyBorder="1" applyAlignment="1">
      <alignment horizontal="center" vertical="center"/>
    </xf>
    <xf numFmtId="170" fontId="0" fillId="2" borderId="52" xfId="0" applyNumberFormat="1" applyFill="1" applyBorder="1" applyAlignment="1">
      <alignment horizontal="center" vertical="center"/>
    </xf>
    <xf numFmtId="0" fontId="0" fillId="4" borderId="0" xfId="0" applyFill="1"/>
    <xf numFmtId="169" fontId="0" fillId="4" borderId="0" xfId="0" applyNumberFormat="1" applyFill="1"/>
    <xf numFmtId="0" fontId="0" fillId="4" borderId="0" xfId="0" applyFill="1" applyAlignment="1">
      <alignment horizontal="center"/>
    </xf>
    <xf numFmtId="0" fontId="31" fillId="4" borderId="0" xfId="0" applyFont="1" applyFill="1" applyAlignment="1">
      <alignment horizontal="center"/>
    </xf>
    <xf numFmtId="0" fontId="0" fillId="9" borderId="0" xfId="0" applyFill="1"/>
    <xf numFmtId="169" fontId="0" fillId="9" borderId="0" xfId="0" applyNumberFormat="1" applyFill="1"/>
    <xf numFmtId="169" fontId="0" fillId="9" borderId="0" xfId="0" applyNumberFormat="1" applyFill="1" applyAlignment="1">
      <alignment horizontal="center"/>
    </xf>
    <xf numFmtId="0" fontId="0" fillId="9" borderId="0" xfId="0" applyFill="1" applyAlignment="1">
      <alignment horizontal="center"/>
    </xf>
    <xf numFmtId="169" fontId="0" fillId="0" borderId="0" xfId="0" applyNumberFormat="1" applyAlignment="1">
      <alignment horizontal="center"/>
    </xf>
    <xf numFmtId="169" fontId="0" fillId="4" borderId="0" xfId="0" applyNumberFormat="1" applyFill="1" applyAlignment="1">
      <alignment horizontal="center"/>
    </xf>
    <xf numFmtId="0" fontId="0" fillId="8" borderId="0" xfId="0" applyFill="1" applyAlignment="1">
      <alignment horizontal="center"/>
    </xf>
    <xf numFmtId="2" fontId="3" fillId="3" borderId="0" xfId="2" applyNumberFormat="1" applyFont="1" applyFill="1" applyAlignment="1">
      <alignment horizontal="center" vertical="center"/>
    </xf>
    <xf numFmtId="2" fontId="10" fillId="3" borderId="56" xfId="2" applyNumberFormat="1" applyFont="1" applyFill="1" applyBorder="1" applyAlignment="1">
      <alignment horizontal="right" vertical="center"/>
    </xf>
    <xf numFmtId="44" fontId="10" fillId="5" borderId="0" xfId="2" applyNumberFormat="1" applyFont="1" applyFill="1" applyAlignment="1">
      <alignment vertical="center"/>
    </xf>
    <xf numFmtId="0" fontId="10" fillId="5" borderId="29" xfId="2" applyFont="1" applyFill="1" applyBorder="1" applyAlignment="1">
      <alignment vertical="center"/>
    </xf>
    <xf numFmtId="44" fontId="10" fillId="5" borderId="16" xfId="1" applyFont="1" applyFill="1" applyBorder="1" applyAlignment="1" applyProtection="1">
      <alignment vertical="center"/>
    </xf>
    <xf numFmtId="44" fontId="10" fillId="5" borderId="31" xfId="2" applyNumberFormat="1" applyFont="1" applyFill="1" applyBorder="1" applyAlignment="1">
      <alignment vertical="center"/>
    </xf>
    <xf numFmtId="44" fontId="10" fillId="5" borderId="65" xfId="2" applyNumberFormat="1" applyFont="1" applyFill="1" applyBorder="1" applyAlignment="1">
      <alignment vertical="center"/>
    </xf>
    <xf numFmtId="0" fontId="10" fillId="5" borderId="21" xfId="2" applyFont="1" applyFill="1" applyBorder="1" applyAlignment="1">
      <alignment vertical="center"/>
    </xf>
    <xf numFmtId="0" fontId="5" fillId="3" borderId="12" xfId="2" applyFont="1" applyFill="1" applyBorder="1" applyAlignment="1">
      <alignment horizontal="right" vertical="center"/>
    </xf>
    <xf numFmtId="2" fontId="10" fillId="3" borderId="44" xfId="2" applyNumberFormat="1" applyFont="1" applyFill="1" applyBorder="1" applyAlignment="1">
      <alignment horizontal="right" vertical="center"/>
    </xf>
    <xf numFmtId="0" fontId="9" fillId="3" borderId="13" xfId="2" applyFont="1" applyFill="1" applyBorder="1" applyAlignment="1">
      <alignment horizontal="right" vertical="center"/>
    </xf>
    <xf numFmtId="44" fontId="10" fillId="3" borderId="14" xfId="2" applyNumberFormat="1" applyFont="1" applyFill="1" applyBorder="1" applyAlignment="1">
      <alignment vertical="center"/>
    </xf>
    <xf numFmtId="0" fontId="10" fillId="3" borderId="29" xfId="2" applyFont="1" applyFill="1" applyBorder="1" applyAlignment="1">
      <alignment vertical="center"/>
    </xf>
    <xf numFmtId="44" fontId="10" fillId="5" borderId="68" xfId="2" applyNumberFormat="1" applyFont="1" applyFill="1" applyBorder="1" applyAlignment="1">
      <alignment vertical="center"/>
    </xf>
    <xf numFmtId="0" fontId="10" fillId="3" borderId="29" xfId="2" applyFont="1" applyFill="1" applyBorder="1" applyAlignment="1">
      <alignment horizontal="right" vertical="center"/>
    </xf>
    <xf numFmtId="0" fontId="0" fillId="4" borderId="69" xfId="0" applyFill="1" applyBorder="1" applyAlignment="1">
      <alignment horizontal="right" indent="1"/>
    </xf>
    <xf numFmtId="0" fontId="30" fillId="7" borderId="63" xfId="9" applyFont="1" applyFill="1" applyBorder="1" applyAlignment="1">
      <alignment horizontal="center" vertical="center" wrapText="1"/>
    </xf>
    <xf numFmtId="0" fontId="30" fillId="7" borderId="60" xfId="9" applyFont="1" applyFill="1" applyBorder="1" applyAlignment="1">
      <alignment horizontal="center" vertical="center" wrapText="1"/>
    </xf>
    <xf numFmtId="170" fontId="0" fillId="2" borderId="1" xfId="0" applyNumberFormat="1" applyFill="1" applyBorder="1" applyAlignment="1">
      <alignment horizontal="center" vertical="center"/>
    </xf>
    <xf numFmtId="0" fontId="22" fillId="5" borderId="0" xfId="0" applyFont="1" applyFill="1" applyAlignment="1">
      <alignment horizontal="left" vertical="center"/>
    </xf>
    <xf numFmtId="0" fontId="37" fillId="5"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applyAlignment="1">
      <alignment horizontal="left" vertical="center"/>
    </xf>
    <xf numFmtId="0" fontId="22" fillId="5" borderId="0" xfId="5" applyFont="1" applyFill="1" applyAlignment="1">
      <alignment vertical="center"/>
    </xf>
    <xf numFmtId="0" fontId="22" fillId="5" borderId="0" xfId="5" applyFont="1" applyFill="1"/>
    <xf numFmtId="0" fontId="22" fillId="5" borderId="0" xfId="0" applyFont="1" applyFill="1" applyAlignment="1">
      <alignment horizontal="center" vertical="center"/>
    </xf>
    <xf numFmtId="0" fontId="38" fillId="5" borderId="0" xfId="0" applyFont="1" applyFill="1" applyAlignment="1">
      <alignment horizontal="center" vertical="center"/>
    </xf>
    <xf numFmtId="0" fontId="40" fillId="5" borderId="0" xfId="5" applyFont="1" applyFill="1" applyAlignment="1">
      <alignment horizontal="center" vertical="center"/>
    </xf>
    <xf numFmtId="0" fontId="35" fillId="8" borderId="0" xfId="5" applyFont="1" applyFill="1" applyAlignment="1">
      <alignment horizontal="center" vertical="center"/>
    </xf>
    <xf numFmtId="0" fontId="20" fillId="5" borderId="1" xfId="5" applyFont="1" applyFill="1" applyBorder="1" applyAlignment="1">
      <alignment horizontal="center" vertical="center" wrapText="1"/>
    </xf>
    <xf numFmtId="0" fontId="21" fillId="5" borderId="1" xfId="5" applyFont="1" applyFill="1" applyBorder="1" applyAlignment="1">
      <alignment horizontal="center" vertical="center" wrapText="1"/>
    </xf>
    <xf numFmtId="0" fontId="23" fillId="5" borderId="0" xfId="2" applyFont="1" applyFill="1" applyAlignment="1">
      <alignment vertical="center"/>
    </xf>
    <xf numFmtId="0" fontId="22" fillId="5" borderId="1" xfId="5" applyFont="1" applyFill="1" applyBorder="1" applyAlignment="1">
      <alignment horizontal="center" vertical="center"/>
    </xf>
    <xf numFmtId="0" fontId="22" fillId="8" borderId="0" xfId="5" applyFont="1" applyFill="1" applyAlignment="1">
      <alignment horizontal="center" vertical="center"/>
    </xf>
    <xf numFmtId="0" fontId="41" fillId="5" borderId="0" xfId="5" applyFont="1" applyFill="1" applyAlignment="1">
      <alignment horizontal="center" vertical="center"/>
    </xf>
    <xf numFmtId="0" fontId="15" fillId="5" borderId="0" xfId="2" applyFont="1" applyFill="1" applyAlignment="1">
      <alignment vertical="center"/>
    </xf>
    <xf numFmtId="0" fontId="22" fillId="5" borderId="0" xfId="0" applyFont="1" applyFill="1" applyAlignment="1">
      <alignment vertical="center" wrapText="1"/>
    </xf>
    <xf numFmtId="0" fontId="22" fillId="5" borderId="0" xfId="0" applyFont="1" applyFill="1" applyAlignment="1">
      <alignment horizontal="left" vertical="center" wrapText="1"/>
    </xf>
    <xf numFmtId="0" fontId="22" fillId="2" borderId="1" xfId="5" applyFont="1" applyFill="1" applyBorder="1" applyAlignment="1" applyProtection="1">
      <alignment horizontal="center" vertical="center"/>
      <protection locked="0"/>
    </xf>
    <xf numFmtId="0" fontId="35" fillId="5" borderId="0" xfId="5" applyFont="1" applyFill="1" applyAlignment="1">
      <alignment vertical="center"/>
    </xf>
    <xf numFmtId="0" fontId="22" fillId="9" borderId="0" xfId="5" applyFont="1" applyFill="1" applyAlignment="1">
      <alignment horizontal="center" vertical="center"/>
    </xf>
    <xf numFmtId="0" fontId="1" fillId="2" borderId="0" xfId="0" applyFont="1" applyFill="1" applyAlignment="1">
      <alignment horizontal="right" vertical="center"/>
    </xf>
    <xf numFmtId="0" fontId="22" fillId="5" borderId="0" xfId="5" applyFont="1" applyFill="1" applyAlignment="1">
      <alignment horizontal="left" vertical="center"/>
    </xf>
    <xf numFmtId="0" fontId="22" fillId="2" borderId="0" xfId="0" applyFont="1" applyFill="1" applyAlignment="1">
      <alignment vertical="center"/>
    </xf>
    <xf numFmtId="0" fontId="35" fillId="5" borderId="0" xfId="0" applyFont="1" applyFill="1" applyAlignment="1">
      <alignment horizontal="left" vertical="center" wrapText="1"/>
    </xf>
    <xf numFmtId="0" fontId="37" fillId="5" borderId="0" xfId="5" applyFont="1" applyFill="1" applyAlignment="1">
      <alignment horizontal="center" vertical="center"/>
    </xf>
    <xf numFmtId="0" fontId="22" fillId="5" borderId="0" xfId="0" applyFont="1" applyFill="1"/>
    <xf numFmtId="0" fontId="0" fillId="2" borderId="0" xfId="0" applyFill="1" applyAlignment="1">
      <alignment horizontal="right" vertical="center" wrapText="1"/>
    </xf>
    <xf numFmtId="0" fontId="22" fillId="5" borderId="0" xfId="0" applyFont="1" applyFill="1" applyAlignment="1">
      <alignment vertical="center"/>
    </xf>
    <xf numFmtId="0" fontId="22" fillId="2" borderId="0" xfId="0" applyFont="1" applyFill="1" applyAlignment="1">
      <alignment horizontal="left" vertical="center"/>
    </xf>
    <xf numFmtId="44" fontId="3" fillId="5" borderId="0" xfId="2" applyNumberFormat="1" applyFont="1" applyFill="1" applyAlignment="1">
      <alignment vertical="center"/>
    </xf>
    <xf numFmtId="0" fontId="45" fillId="2" borderId="0" xfId="0" applyFont="1" applyFill="1" applyAlignment="1">
      <alignment horizontal="left" vertical="center"/>
    </xf>
    <xf numFmtId="0" fontId="22" fillId="5" borderId="0" xfId="5" applyFont="1" applyFill="1" applyAlignment="1">
      <alignment horizontal="center" vertical="center"/>
    </xf>
    <xf numFmtId="0" fontId="3" fillId="5" borderId="0" xfId="2" applyFont="1" applyFill="1" applyAlignment="1">
      <alignment vertical="center"/>
    </xf>
    <xf numFmtId="0" fontId="41" fillId="5" borderId="0" xfId="5" applyFont="1" applyFill="1" applyAlignment="1">
      <alignment horizontal="center" vertical="center" wrapText="1"/>
    </xf>
    <xf numFmtId="0" fontId="0" fillId="2" borderId="0" xfId="0" applyFill="1" applyAlignment="1" applyProtection="1">
      <alignment vertical="center" wrapText="1"/>
      <protection locked="0"/>
    </xf>
    <xf numFmtId="0" fontId="22" fillId="4" borderId="0" xfId="0" applyFont="1" applyFill="1"/>
    <xf numFmtId="15" fontId="0" fillId="2" borderId="0" xfId="0" applyNumberFormat="1" applyFill="1" applyAlignment="1">
      <alignment vertical="center"/>
    </xf>
    <xf numFmtId="0" fontId="22" fillId="5" borderId="1" xfId="0" applyFont="1" applyFill="1" applyBorder="1" applyAlignment="1">
      <alignment horizontal="center" vertical="center"/>
    </xf>
    <xf numFmtId="0" fontId="0" fillId="2" borderId="1" xfId="0" applyFill="1" applyBorder="1" applyAlignment="1">
      <alignment horizontal="center"/>
    </xf>
    <xf numFmtId="0" fontId="0" fillId="2" borderId="1" xfId="0" applyFill="1" applyBorder="1" applyAlignment="1">
      <alignment horizontal="center" wrapText="1"/>
    </xf>
    <xf numFmtId="0" fontId="0" fillId="2" borderId="1" xfId="0" applyFill="1" applyBorder="1" applyAlignment="1">
      <alignment horizontal="center" vertical="center" wrapText="1"/>
    </xf>
    <xf numFmtId="0" fontId="0" fillId="2" borderId="0" xfId="0" applyFill="1" applyAlignment="1">
      <alignment wrapText="1"/>
    </xf>
    <xf numFmtId="0" fontId="51" fillId="2" borderId="0" xfId="0" applyFont="1" applyFill="1"/>
    <xf numFmtId="1" fontId="0" fillId="2" borderId="0" xfId="0" applyNumberFormat="1" applyFill="1" applyAlignment="1" applyProtection="1">
      <alignment horizontal="left" vertical="center"/>
      <protection locked="0"/>
    </xf>
    <xf numFmtId="0" fontId="0" fillId="2" borderId="0" xfId="0" applyFill="1" applyAlignment="1">
      <alignment vertical="center"/>
    </xf>
    <xf numFmtId="0" fontId="3" fillId="3" borderId="28" xfId="2" applyFont="1" applyFill="1" applyBorder="1" applyAlignment="1">
      <alignment vertical="center"/>
    </xf>
    <xf numFmtId="0" fontId="3" fillId="3" borderId="28" xfId="2" applyFont="1" applyFill="1" applyBorder="1" applyAlignment="1">
      <alignment vertical="center" wrapText="1"/>
    </xf>
    <xf numFmtId="0" fontId="3" fillId="3" borderId="28" xfId="2" applyFont="1" applyFill="1" applyBorder="1" applyAlignment="1">
      <alignment horizontal="left" vertical="center"/>
    </xf>
    <xf numFmtId="0" fontId="7" fillId="3" borderId="28" xfId="2" applyFont="1" applyFill="1" applyBorder="1" applyAlignment="1">
      <alignment horizontal="left" vertical="center"/>
    </xf>
    <xf numFmtId="0" fontId="10" fillId="3" borderId="21" xfId="2" applyFont="1" applyFill="1" applyBorder="1" applyAlignment="1">
      <alignment horizontal="center"/>
    </xf>
    <xf numFmtId="0" fontId="9" fillId="3" borderId="21" xfId="2" applyFont="1" applyFill="1" applyBorder="1" applyAlignment="1">
      <alignment vertical="center"/>
    </xf>
    <xf numFmtId="44" fontId="10" fillId="5" borderId="48" xfId="2" applyNumberFormat="1" applyFont="1" applyFill="1" applyBorder="1" applyAlignment="1">
      <alignment vertical="center"/>
    </xf>
    <xf numFmtId="44" fontId="10" fillId="5" borderId="52" xfId="1" applyFont="1" applyFill="1" applyBorder="1" applyAlignment="1" applyProtection="1">
      <alignment vertical="center"/>
    </xf>
    <xf numFmtId="2" fontId="10" fillId="3" borderId="21" xfId="2" applyNumberFormat="1" applyFont="1" applyFill="1" applyBorder="1" applyAlignment="1">
      <alignment horizontal="center" vertical="center"/>
    </xf>
    <xf numFmtId="44" fontId="12" fillId="3" borderId="21" xfId="1" applyFont="1" applyFill="1" applyBorder="1" applyAlignment="1" applyProtection="1">
      <alignment horizontal="center" vertical="center"/>
    </xf>
    <xf numFmtId="44" fontId="10" fillId="3" borderId="21" xfId="1" applyFont="1" applyFill="1" applyBorder="1" applyAlignment="1" applyProtection="1">
      <alignment horizontal="center" vertical="center"/>
    </xf>
    <xf numFmtId="44" fontId="3" fillId="3" borderId="14" xfId="1" applyFont="1" applyFill="1" applyBorder="1" applyAlignment="1" applyProtection="1">
      <alignment horizontal="center" vertical="center"/>
    </xf>
    <xf numFmtId="44" fontId="3" fillId="3" borderId="29" xfId="1" applyFont="1" applyFill="1" applyBorder="1" applyAlignment="1" applyProtection="1">
      <alignment horizontal="center" vertical="center"/>
    </xf>
    <xf numFmtId="44" fontId="10" fillId="3" borderId="13" xfId="1" applyFont="1" applyFill="1" applyBorder="1" applyAlignment="1" applyProtection="1">
      <alignment horizontal="center" vertical="center"/>
    </xf>
    <xf numFmtId="0" fontId="5" fillId="3" borderId="0" xfId="2" applyFont="1" applyFill="1" applyAlignment="1">
      <alignment vertical="center"/>
    </xf>
    <xf numFmtId="44" fontId="10" fillId="3" borderId="21" xfId="2" applyNumberFormat="1" applyFont="1" applyFill="1" applyBorder="1" applyAlignment="1">
      <alignment vertical="center"/>
    </xf>
    <xf numFmtId="44" fontId="10" fillId="5" borderId="53" xfId="2" applyNumberFormat="1" applyFont="1" applyFill="1" applyBorder="1" applyAlignment="1">
      <alignment vertical="center"/>
    </xf>
    <xf numFmtId="44" fontId="12" fillId="3" borderId="74" xfId="3" applyFont="1" applyFill="1" applyBorder="1" applyAlignment="1" applyProtection="1">
      <alignment horizontal="center" vertical="center"/>
    </xf>
    <xf numFmtId="167" fontId="10" fillId="3" borderId="50" xfId="2" applyNumberFormat="1" applyFont="1" applyFill="1" applyBorder="1" applyAlignment="1">
      <alignment horizontal="center" vertical="center"/>
    </xf>
    <xf numFmtId="44" fontId="10" fillId="3" borderId="50" xfId="1" applyFont="1" applyFill="1" applyBorder="1" applyAlignment="1" applyProtection="1">
      <alignment horizontal="center" vertical="center"/>
    </xf>
    <xf numFmtId="44" fontId="6" fillId="3" borderId="13" xfId="3" applyFont="1" applyFill="1" applyBorder="1" applyAlignment="1" applyProtection="1">
      <alignment horizontal="center" vertical="center"/>
    </xf>
    <xf numFmtId="0" fontId="8" fillId="3" borderId="0" xfId="2" applyFont="1" applyFill="1" applyAlignment="1">
      <alignment horizontal="left" vertical="center"/>
    </xf>
    <xf numFmtId="44" fontId="6" fillId="3" borderId="0" xfId="3" applyFont="1" applyFill="1" applyBorder="1" applyAlignment="1" applyProtection="1">
      <alignment horizontal="center" vertical="center"/>
    </xf>
    <xf numFmtId="44" fontId="6" fillId="3" borderId="21" xfId="3" applyFont="1" applyFill="1" applyBorder="1" applyAlignment="1" applyProtection="1">
      <alignment horizontal="center" vertical="center"/>
    </xf>
    <xf numFmtId="44" fontId="10" fillId="5" borderId="46" xfId="1" applyFont="1" applyFill="1" applyBorder="1" applyAlignment="1" applyProtection="1">
      <alignment vertical="center"/>
    </xf>
    <xf numFmtId="44" fontId="10" fillId="5" borderId="3" xfId="2" applyNumberFormat="1" applyFont="1" applyFill="1" applyBorder="1" applyAlignment="1">
      <alignment vertical="center"/>
    </xf>
    <xf numFmtId="44" fontId="10" fillId="5" borderId="50" xfId="2" applyNumberFormat="1" applyFont="1" applyFill="1" applyBorder="1" applyAlignment="1">
      <alignment vertical="center"/>
    </xf>
    <xf numFmtId="44" fontId="10" fillId="5" borderId="28" xfId="2" applyNumberFormat="1" applyFont="1" applyFill="1" applyBorder="1" applyAlignment="1">
      <alignment vertical="center"/>
    </xf>
    <xf numFmtId="44" fontId="12" fillId="3" borderId="52" xfId="3" applyFont="1" applyFill="1" applyBorder="1" applyAlignment="1" applyProtection="1">
      <alignment horizontal="center" vertical="center"/>
    </xf>
    <xf numFmtId="44" fontId="10" fillId="3" borderId="52" xfId="2" applyNumberFormat="1" applyFont="1" applyFill="1" applyBorder="1" applyAlignment="1">
      <alignment vertical="center"/>
    </xf>
    <xf numFmtId="0" fontId="10" fillId="3" borderId="51" xfId="2" applyFont="1" applyFill="1" applyBorder="1" applyAlignment="1">
      <alignment horizontal="center" vertical="center"/>
    </xf>
    <xf numFmtId="44" fontId="3" fillId="3" borderId="0" xfId="1" applyFont="1" applyFill="1" applyBorder="1" applyAlignment="1" applyProtection="1">
      <alignment horizontal="center" vertical="center"/>
    </xf>
    <xf numFmtId="168" fontId="10" fillId="3" borderId="1" xfId="2" applyNumberFormat="1" applyFont="1" applyFill="1" applyBorder="1" applyAlignment="1">
      <alignment horizontal="center" vertical="center"/>
    </xf>
    <xf numFmtId="44" fontId="10" fillId="3" borderId="46" xfId="1" applyFont="1" applyFill="1" applyBorder="1" applyAlignment="1" applyProtection="1">
      <alignment horizontal="center" vertical="center"/>
    </xf>
    <xf numFmtId="44" fontId="10" fillId="3" borderId="52" xfId="1" applyFont="1" applyFill="1" applyBorder="1" applyAlignment="1" applyProtection="1">
      <alignment horizontal="center" vertical="center"/>
    </xf>
    <xf numFmtId="2" fontId="10" fillId="3" borderId="1" xfId="2" applyNumberFormat="1" applyFont="1" applyFill="1" applyBorder="1" applyAlignment="1">
      <alignment horizontal="center" vertical="center"/>
    </xf>
    <xf numFmtId="44" fontId="10" fillId="3" borderId="46" xfId="2" applyNumberFormat="1" applyFont="1" applyFill="1" applyBorder="1" applyAlignment="1">
      <alignment horizontal="center" vertical="center"/>
    </xf>
    <xf numFmtId="44" fontId="3" fillId="3" borderId="21" xfId="1" applyFont="1" applyFill="1" applyBorder="1" applyAlignment="1" applyProtection="1">
      <alignment horizontal="center" vertical="center"/>
    </xf>
    <xf numFmtId="44" fontId="3" fillId="3" borderId="13" xfId="1" applyFont="1" applyFill="1" applyBorder="1" applyAlignment="1" applyProtection="1">
      <alignment horizontal="center" vertical="center"/>
    </xf>
    <xf numFmtId="44" fontId="12" fillId="3" borderId="46" xfId="1" applyFont="1" applyFill="1" applyBorder="1" applyAlignment="1" applyProtection="1">
      <alignment horizontal="center" vertical="center"/>
    </xf>
    <xf numFmtId="44" fontId="12" fillId="3" borderId="55" xfId="1" applyFont="1" applyFill="1" applyBorder="1" applyAlignment="1" applyProtection="1">
      <alignment horizontal="center" vertical="center"/>
    </xf>
    <xf numFmtId="0" fontId="12" fillId="3" borderId="0" xfId="0" applyFont="1" applyFill="1" applyAlignment="1">
      <alignment horizontal="left" vertical="center"/>
    </xf>
    <xf numFmtId="0" fontId="3" fillId="0" borderId="21" xfId="2" applyFont="1" applyBorder="1" applyAlignment="1">
      <alignment vertical="center"/>
    </xf>
    <xf numFmtId="2" fontId="10" fillId="3" borderId="16" xfId="2" applyNumberFormat="1" applyFont="1" applyFill="1" applyBorder="1" applyAlignment="1">
      <alignment horizontal="right" vertical="center"/>
    </xf>
    <xf numFmtId="0" fontId="3" fillId="3" borderId="53" xfId="2" applyFont="1" applyFill="1" applyBorder="1" applyAlignment="1">
      <alignment vertical="center"/>
    </xf>
    <xf numFmtId="44" fontId="10" fillId="5" borderId="53" xfId="1" applyFont="1" applyFill="1" applyBorder="1" applyAlignment="1" applyProtection="1">
      <alignment vertical="center"/>
    </xf>
    <xf numFmtId="2" fontId="10" fillId="3" borderId="51" xfId="2" applyNumberFormat="1" applyFont="1" applyFill="1" applyBorder="1" applyAlignment="1">
      <alignment horizontal="center" vertical="center"/>
    </xf>
    <xf numFmtId="165" fontId="12" fillId="3" borderId="1" xfId="6" applyNumberFormat="1" applyFont="1" applyFill="1" applyBorder="1" applyAlignment="1" applyProtection="1">
      <alignment horizontal="center" vertical="center"/>
    </xf>
    <xf numFmtId="44" fontId="10" fillId="3" borderId="52" xfId="2" applyNumberFormat="1" applyFont="1" applyFill="1" applyBorder="1" applyAlignment="1">
      <alignment horizontal="center" vertical="center"/>
    </xf>
    <xf numFmtId="44" fontId="10" fillId="3" borderId="1" xfId="2" applyNumberFormat="1" applyFont="1" applyFill="1" applyBorder="1" applyAlignment="1">
      <alignment horizontal="center" vertical="center"/>
    </xf>
    <xf numFmtId="44" fontId="10" fillId="3" borderId="51" xfId="2" applyNumberFormat="1" applyFont="1" applyFill="1" applyBorder="1" applyAlignment="1">
      <alignment horizontal="center" vertical="center"/>
    </xf>
    <xf numFmtId="44" fontId="10" fillId="3" borderId="73" xfId="2" applyNumberFormat="1" applyFont="1" applyFill="1" applyBorder="1" applyAlignment="1">
      <alignment horizontal="center" vertical="center"/>
    </xf>
    <xf numFmtId="0" fontId="0" fillId="2" borderId="0" xfId="0" applyFill="1" applyAlignment="1">
      <alignment horizontal="left" vertical="center"/>
    </xf>
    <xf numFmtId="164" fontId="10" fillId="5" borderId="0" xfId="2" applyNumberFormat="1" applyFont="1" applyFill="1" applyAlignment="1">
      <alignment vertical="center"/>
    </xf>
    <xf numFmtId="0" fontId="0" fillId="2" borderId="0" xfId="0" applyFill="1" applyAlignment="1">
      <alignment horizontal="right" vertical="center"/>
    </xf>
    <xf numFmtId="0" fontId="0" fillId="2" borderId="4" xfId="0" applyFill="1" applyBorder="1" applyAlignment="1" applyProtection="1">
      <alignment horizontal="center" vertical="center"/>
      <protection locked="0"/>
    </xf>
    <xf numFmtId="0" fontId="0" fillId="2" borderId="0" xfId="0" applyFill="1" applyAlignment="1">
      <alignment horizontal="center" vertical="center" wrapText="1"/>
    </xf>
    <xf numFmtId="0" fontId="37" fillId="5" borderId="0" xfId="0" applyFont="1" applyFill="1" applyAlignment="1">
      <alignment horizontal="center"/>
    </xf>
    <xf numFmtId="0" fontId="6" fillId="3" borderId="28" xfId="0" applyFont="1" applyFill="1" applyBorder="1" applyAlignment="1">
      <alignment vertical="center"/>
    </xf>
    <xf numFmtId="44" fontId="13" fillId="3" borderId="3" xfId="1" applyFont="1" applyFill="1" applyBorder="1" applyAlignment="1">
      <alignment horizontal="left" vertical="center"/>
    </xf>
    <xf numFmtId="9" fontId="12" fillId="3" borderId="1" xfId="1" applyNumberFormat="1" applyFont="1" applyFill="1" applyBorder="1" applyAlignment="1">
      <alignment horizontal="center" vertical="center"/>
    </xf>
    <xf numFmtId="9" fontId="10" fillId="3" borderId="1" xfId="7" applyFont="1" applyFill="1" applyBorder="1" applyAlignment="1">
      <alignment horizontal="center" vertical="center"/>
    </xf>
    <xf numFmtId="164" fontId="10" fillId="3" borderId="46" xfId="2" applyNumberFormat="1" applyFont="1" applyFill="1" applyBorder="1" applyAlignment="1">
      <alignment horizontal="center" vertical="center"/>
    </xf>
    <xf numFmtId="0" fontId="17" fillId="0" borderId="1" xfId="0" applyFont="1" applyBorder="1" applyAlignment="1">
      <alignment horizontal="center"/>
    </xf>
    <xf numFmtId="0" fontId="17" fillId="0" borderId="1" xfId="0" applyFont="1" applyBorder="1" applyAlignment="1">
      <alignment horizontal="left" wrapText="1"/>
    </xf>
    <xf numFmtId="0" fontId="0" fillId="0" borderId="1" xfId="0" applyBorder="1" applyAlignment="1">
      <alignment horizontal="center"/>
    </xf>
    <xf numFmtId="0" fontId="0" fillId="0" borderId="1" xfId="0" applyBorder="1" applyAlignment="1">
      <alignment horizontal="left" wrapText="1"/>
    </xf>
    <xf numFmtId="0" fontId="0" fillId="0" borderId="1" xfId="0" applyBorder="1" applyAlignment="1">
      <alignment horizontal="left"/>
    </xf>
    <xf numFmtId="44" fontId="12" fillId="3" borderId="3" xfId="1" applyFont="1" applyFill="1" applyBorder="1" applyAlignment="1">
      <alignment horizontal="center" vertical="center"/>
    </xf>
    <xf numFmtId="14" fontId="0" fillId="0" borderId="1" xfId="0" applyNumberFormat="1" applyBorder="1" applyAlignment="1">
      <alignment horizontal="center"/>
    </xf>
    <xf numFmtId="170" fontId="0" fillId="4" borderId="1" xfId="0" applyNumberFormat="1" applyFill="1" applyBorder="1" applyAlignment="1">
      <alignment horizontal="center" vertical="center"/>
    </xf>
    <xf numFmtId="0" fontId="0" fillId="2" borderId="3" xfId="0" applyFill="1" applyBorder="1" applyAlignment="1">
      <alignment horizontal="center" vertical="center"/>
    </xf>
    <xf numFmtId="0" fontId="0" fillId="2" borderId="68" xfId="0" applyFill="1" applyBorder="1" applyAlignment="1">
      <alignment horizontal="center" vertical="center"/>
    </xf>
    <xf numFmtId="0" fontId="0" fillId="4" borderId="36" xfId="0" applyFill="1" applyBorder="1" applyAlignment="1">
      <alignment horizontal="right" indent="1"/>
    </xf>
    <xf numFmtId="0" fontId="0" fillId="4" borderId="3" xfId="0" applyFill="1" applyBorder="1" applyAlignment="1">
      <alignment horizontal="right" indent="1"/>
    </xf>
    <xf numFmtId="170" fontId="0" fillId="2" borderId="51" xfId="0" applyNumberFormat="1" applyFill="1" applyBorder="1" applyAlignment="1">
      <alignment horizontal="center" vertical="center"/>
    </xf>
    <xf numFmtId="2" fontId="10" fillId="3" borderId="13" xfId="2" applyNumberFormat="1" applyFont="1" applyFill="1" applyBorder="1" applyAlignment="1">
      <alignment horizontal="right" vertical="center"/>
    </xf>
    <xf numFmtId="0" fontId="23" fillId="2" borderId="0" xfId="2" applyFont="1" applyFill="1" applyAlignment="1">
      <alignment vertical="center"/>
    </xf>
    <xf numFmtId="0" fontId="55" fillId="4" borderId="1" xfId="2" applyFont="1" applyFill="1" applyBorder="1" applyAlignment="1">
      <alignment vertical="center"/>
    </xf>
    <xf numFmtId="0" fontId="10" fillId="4" borderId="1" xfId="2" applyFont="1" applyFill="1" applyBorder="1" applyAlignment="1" applyProtection="1">
      <alignment horizontal="center" vertical="center"/>
      <protection locked="0"/>
    </xf>
    <xf numFmtId="0" fontId="10" fillId="4" borderId="1" xfId="2" applyFont="1" applyFill="1" applyBorder="1" applyAlignment="1">
      <alignment horizontal="center"/>
    </xf>
    <xf numFmtId="0" fontId="9" fillId="4" borderId="1" xfId="2" applyFont="1" applyFill="1" applyBorder="1" applyAlignment="1">
      <alignment vertical="center"/>
    </xf>
    <xf numFmtId="0" fontId="10" fillId="4" borderId="1" xfId="2" applyFont="1" applyFill="1" applyBorder="1" applyAlignment="1">
      <alignment horizontal="right" vertical="center"/>
    </xf>
    <xf numFmtId="164" fontId="10" fillId="4" borderId="1" xfId="2" applyNumberFormat="1" applyFont="1" applyFill="1" applyBorder="1" applyAlignment="1">
      <alignment vertical="center"/>
    </xf>
    <xf numFmtId="44" fontId="6" fillId="4" borderId="1" xfId="3" applyFont="1" applyFill="1" applyBorder="1" applyAlignment="1">
      <alignment horizontal="center" vertical="center"/>
    </xf>
    <xf numFmtId="2" fontId="10" fillId="4" borderId="1" xfId="2" applyNumberFormat="1" applyFont="1" applyFill="1" applyBorder="1" applyAlignment="1">
      <alignment horizontal="center" vertical="center"/>
    </xf>
    <xf numFmtId="2" fontId="9" fillId="4" borderId="1" xfId="2" applyNumberFormat="1" applyFont="1" applyFill="1" applyBorder="1" applyAlignment="1">
      <alignment horizontal="center" vertical="center"/>
    </xf>
    <xf numFmtId="170" fontId="10" fillId="4" borderId="1" xfId="2" applyNumberFormat="1" applyFont="1" applyFill="1" applyBorder="1" applyAlignment="1">
      <alignment horizontal="center" vertical="center"/>
    </xf>
    <xf numFmtId="164" fontId="10" fillId="4" borderId="1" xfId="2" applyNumberFormat="1" applyFont="1" applyFill="1" applyBorder="1" applyAlignment="1">
      <alignment horizontal="center" vertical="center"/>
    </xf>
    <xf numFmtId="44" fontId="10" fillId="4" borderId="1" xfId="1" applyFont="1" applyFill="1" applyBorder="1" applyAlignment="1">
      <alignment vertical="center"/>
    </xf>
    <xf numFmtId="164" fontId="3" fillId="4" borderId="1" xfId="2" applyNumberFormat="1" applyFont="1" applyFill="1" applyBorder="1" applyAlignment="1">
      <alignment vertical="center"/>
    </xf>
    <xf numFmtId="44" fontId="54" fillId="4" borderId="1" xfId="8" applyFont="1" applyFill="1" applyBorder="1" applyAlignment="1" applyProtection="1">
      <alignment horizontal="center" vertical="center"/>
    </xf>
    <xf numFmtId="0" fontId="3" fillId="4" borderId="1" xfId="2" applyFont="1" applyFill="1" applyBorder="1" applyAlignment="1">
      <alignment vertical="center"/>
    </xf>
    <xf numFmtId="0" fontId="22" fillId="4" borderId="0" xfId="5" applyFont="1" applyFill="1"/>
    <xf numFmtId="0" fontId="17" fillId="9" borderId="79" xfId="0" applyFont="1" applyFill="1" applyBorder="1"/>
    <xf numFmtId="0" fontId="0" fillId="2" borderId="80" xfId="0" applyFill="1" applyBorder="1" applyAlignment="1">
      <alignment horizontal="left"/>
    </xf>
    <xf numFmtId="0" fontId="0" fillId="2" borderId="24" xfId="0" applyFill="1" applyBorder="1" applyAlignment="1">
      <alignment horizontal="left"/>
    </xf>
    <xf numFmtId="0" fontId="10" fillId="2" borderId="22" xfId="2" applyFont="1" applyFill="1" applyBorder="1" applyAlignment="1" applyProtection="1">
      <alignment horizontal="center" vertical="center"/>
      <protection locked="0"/>
    </xf>
    <xf numFmtId="2" fontId="10" fillId="3" borderId="49" xfId="2" applyNumberFormat="1" applyFont="1" applyFill="1" applyBorder="1" applyAlignment="1">
      <alignment horizontal="center" vertical="center"/>
    </xf>
    <xf numFmtId="2" fontId="9" fillId="3" borderId="49" xfId="2" applyNumberFormat="1" applyFont="1" applyFill="1" applyBorder="1" applyAlignment="1">
      <alignment horizontal="center" vertical="center"/>
    </xf>
    <xf numFmtId="164" fontId="13" fillId="3" borderId="46" xfId="2" applyNumberFormat="1" applyFont="1" applyFill="1" applyBorder="1" applyAlignment="1">
      <alignment horizontal="left" vertical="center"/>
    </xf>
    <xf numFmtId="164" fontId="10" fillId="3" borderId="1" xfId="7" applyNumberFormat="1" applyFont="1" applyFill="1" applyBorder="1" applyAlignment="1">
      <alignment horizontal="center" vertical="center"/>
    </xf>
    <xf numFmtId="0" fontId="10" fillId="4" borderId="76" xfId="2" applyFont="1" applyFill="1" applyBorder="1" applyAlignment="1">
      <alignment horizontal="right" vertical="center"/>
    </xf>
    <xf numFmtId="2" fontId="10" fillId="4" borderId="76" xfId="2" applyNumberFormat="1" applyFont="1" applyFill="1" applyBorder="1" applyAlignment="1">
      <alignment horizontal="center" vertical="center"/>
    </xf>
    <xf numFmtId="2" fontId="9" fillId="4" borderId="76" xfId="2" applyNumberFormat="1" applyFont="1" applyFill="1" applyBorder="1" applyAlignment="1">
      <alignment horizontal="center" vertical="center"/>
    </xf>
    <xf numFmtId="170" fontId="10" fillId="4" borderId="76" xfId="2" applyNumberFormat="1" applyFont="1" applyFill="1" applyBorder="1" applyAlignment="1">
      <alignment horizontal="center" vertical="center"/>
    </xf>
    <xf numFmtId="164" fontId="10" fillId="4" borderId="76" xfId="2" applyNumberFormat="1" applyFont="1" applyFill="1" applyBorder="1" applyAlignment="1">
      <alignment horizontal="center" vertical="center"/>
    </xf>
    <xf numFmtId="44" fontId="13" fillId="3" borderId="50" xfId="1" applyFont="1" applyFill="1" applyBorder="1" applyAlignment="1">
      <alignment horizontal="left" vertical="center"/>
    </xf>
    <xf numFmtId="9" fontId="10" fillId="3" borderId="51" xfId="7" applyFont="1" applyFill="1" applyBorder="1" applyAlignment="1">
      <alignment horizontal="center" vertical="center"/>
    </xf>
    <xf numFmtId="164" fontId="10" fillId="3" borderId="51" xfId="7" applyNumberFormat="1" applyFont="1" applyFill="1" applyBorder="1" applyAlignment="1">
      <alignment horizontal="center" vertical="center"/>
    </xf>
    <xf numFmtId="0" fontId="55" fillId="4" borderId="76" xfId="2" applyFont="1" applyFill="1" applyBorder="1" applyAlignment="1">
      <alignment vertical="center"/>
    </xf>
    <xf numFmtId="0" fontId="10" fillId="4" borderId="76" xfId="2" applyFont="1" applyFill="1" applyBorder="1" applyAlignment="1" applyProtection="1">
      <alignment horizontal="center" vertical="center"/>
      <protection locked="0"/>
    </xf>
    <xf numFmtId="0" fontId="10" fillId="4" borderId="76" xfId="2" applyFont="1" applyFill="1" applyBorder="1" applyAlignment="1">
      <alignment horizontal="center"/>
    </xf>
    <xf numFmtId="0" fontId="9" fillId="4" borderId="76" xfId="2" applyFont="1" applyFill="1" applyBorder="1" applyAlignment="1">
      <alignment vertical="center"/>
    </xf>
    <xf numFmtId="164" fontId="10" fillId="4" borderId="76" xfId="2" applyNumberFormat="1" applyFont="1" applyFill="1" applyBorder="1" applyAlignment="1">
      <alignment vertical="center"/>
    </xf>
    <xf numFmtId="9" fontId="12" fillId="3" borderId="51" xfId="1" applyNumberFormat="1" applyFont="1" applyFill="1" applyBorder="1" applyAlignment="1">
      <alignment horizontal="center" vertical="center"/>
    </xf>
    <xf numFmtId="164" fontId="13" fillId="3" borderId="52" xfId="2" applyNumberFormat="1" applyFont="1" applyFill="1" applyBorder="1" applyAlignment="1">
      <alignment horizontal="left" vertical="center"/>
    </xf>
    <xf numFmtId="0" fontId="0" fillId="10" borderId="0" xfId="0" applyFill="1"/>
    <xf numFmtId="169" fontId="0" fillId="10" borderId="0" xfId="0" applyNumberFormat="1" applyFill="1" applyAlignment="1">
      <alignment horizontal="center"/>
    </xf>
    <xf numFmtId="0" fontId="0" fillId="10" borderId="0" xfId="0" applyFill="1" applyAlignment="1">
      <alignment horizontal="center"/>
    </xf>
    <xf numFmtId="0" fontId="17" fillId="6" borderId="0" xfId="0" applyFont="1" applyFill="1"/>
    <xf numFmtId="0" fontId="29" fillId="0" borderId="0" xfId="0" applyFont="1" applyAlignment="1">
      <alignment vertical="center"/>
    </xf>
    <xf numFmtId="0" fontId="0" fillId="2" borderId="2" xfId="0" applyFill="1" applyBorder="1" applyAlignment="1">
      <alignment horizontal="left" vertical="center" wrapText="1"/>
    </xf>
    <xf numFmtId="0" fontId="0" fillId="0" borderId="1" xfId="0" applyBorder="1" applyAlignment="1">
      <alignment horizontal="center" vertical="center"/>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0" fontId="0" fillId="2" borderId="3" xfId="0" applyFill="1" applyBorder="1" applyAlignment="1">
      <alignment horizontal="right"/>
    </xf>
    <xf numFmtId="164" fontId="10" fillId="3" borderId="3" xfId="12" applyFont="1" applyFill="1" applyBorder="1" applyAlignment="1" applyProtection="1">
      <alignment horizontal="center" vertical="center"/>
    </xf>
    <xf numFmtId="9" fontId="12" fillId="3" borderId="1" xfId="12" applyNumberFormat="1" applyFont="1" applyFill="1" applyBorder="1" applyAlignment="1" applyProtection="1">
      <alignment horizontal="center" vertical="center"/>
    </xf>
    <xf numFmtId="164" fontId="3" fillId="3" borderId="16" xfId="12" applyFont="1" applyFill="1" applyBorder="1" applyAlignment="1" applyProtection="1">
      <alignment horizontal="center" vertical="center"/>
    </xf>
    <xf numFmtId="9" fontId="10" fillId="3" borderId="1" xfId="7" applyFont="1" applyFill="1" applyBorder="1" applyAlignment="1" applyProtection="1">
      <alignment horizontal="center" vertical="center"/>
    </xf>
    <xf numFmtId="170" fontId="10" fillId="3" borderId="1" xfId="7" applyNumberFormat="1" applyFont="1" applyFill="1" applyBorder="1" applyAlignment="1" applyProtection="1">
      <alignment horizontal="center" vertical="center"/>
    </xf>
    <xf numFmtId="164" fontId="10" fillId="5" borderId="3" xfId="2" applyNumberFormat="1" applyFont="1" applyFill="1" applyBorder="1" applyAlignment="1">
      <alignment vertical="center"/>
    </xf>
    <xf numFmtId="164" fontId="12" fillId="3" borderId="6" xfId="12" applyFont="1" applyFill="1" applyBorder="1" applyAlignment="1" applyProtection="1">
      <alignment horizontal="center" vertical="center"/>
    </xf>
    <xf numFmtId="164" fontId="12" fillId="3" borderId="1" xfId="12" applyFont="1" applyFill="1" applyBorder="1" applyAlignment="1" applyProtection="1">
      <alignment horizontal="center" vertical="center"/>
    </xf>
    <xf numFmtId="0" fontId="0" fillId="9" borderId="0" xfId="0" applyFill="1" applyAlignment="1">
      <alignment wrapText="1"/>
    </xf>
    <xf numFmtId="2" fontId="10" fillId="3" borderId="2" xfId="2" applyNumberFormat="1" applyFont="1" applyFill="1" applyBorder="1" applyAlignment="1">
      <alignment horizontal="center" vertical="center"/>
    </xf>
    <xf numFmtId="0" fontId="30" fillId="7" borderId="79" xfId="9" applyFont="1" applyFill="1" applyBorder="1" applyAlignment="1">
      <alignment horizontal="center" vertical="center" wrapText="1"/>
    </xf>
    <xf numFmtId="170" fontId="53" fillId="2" borderId="1" xfId="0" applyNumberFormat="1" applyFont="1" applyFill="1" applyBorder="1" applyAlignment="1">
      <alignment horizontal="center" vertical="center"/>
    </xf>
    <xf numFmtId="0" fontId="0" fillId="2" borderId="46" xfId="0" applyFill="1" applyBorder="1" applyAlignment="1" applyProtection="1">
      <alignment horizontal="left" vertical="center"/>
      <protection locked="0"/>
    </xf>
    <xf numFmtId="164" fontId="0" fillId="2" borderId="0" xfId="0" applyNumberFormat="1" applyFill="1"/>
    <xf numFmtId="167" fontId="53" fillId="2" borderId="80" xfId="0" applyNumberFormat="1" applyFont="1" applyFill="1" applyBorder="1" applyAlignment="1">
      <alignment horizontal="center" vertical="center"/>
    </xf>
    <xf numFmtId="170" fontId="0" fillId="2" borderId="0" xfId="0" applyNumberFormat="1" applyFill="1"/>
    <xf numFmtId="0" fontId="0" fillId="4" borderId="59" xfId="0" applyFill="1" applyBorder="1" applyAlignment="1">
      <alignment horizontal="right" indent="1"/>
    </xf>
    <xf numFmtId="0" fontId="0" fillId="4" borderId="80" xfId="0" applyFill="1" applyBorder="1" applyAlignment="1">
      <alignment horizontal="right" indent="1"/>
    </xf>
    <xf numFmtId="0" fontId="17" fillId="2" borderId="28" xfId="0" applyFont="1" applyFill="1" applyBorder="1" applyAlignment="1">
      <alignment vertical="center" textRotation="90" wrapText="1"/>
    </xf>
    <xf numFmtId="0" fontId="0" fillId="4" borderId="40" xfId="0" applyFill="1" applyBorder="1" applyAlignment="1">
      <alignment horizontal="right" indent="1"/>
    </xf>
    <xf numFmtId="0" fontId="0" fillId="4" borderId="50" xfId="0" applyFill="1" applyBorder="1" applyAlignment="1">
      <alignment horizontal="right" indent="1"/>
    </xf>
    <xf numFmtId="170" fontId="0" fillId="4" borderId="51" xfId="0" applyNumberFormat="1" applyFill="1" applyBorder="1" applyAlignment="1">
      <alignment horizontal="center" vertical="center"/>
    </xf>
    <xf numFmtId="170" fontId="0" fillId="4" borderId="52" xfId="0" applyNumberFormat="1" applyFill="1" applyBorder="1" applyAlignment="1">
      <alignment horizontal="center" vertical="center"/>
    </xf>
    <xf numFmtId="0" fontId="0" fillId="4" borderId="24" xfId="0" applyFill="1" applyBorder="1" applyAlignment="1">
      <alignment horizontal="right" indent="1"/>
    </xf>
    <xf numFmtId="164" fontId="10" fillId="3" borderId="24" xfId="12" applyFont="1" applyFill="1" applyBorder="1" applyAlignment="1" applyProtection="1">
      <alignment horizontal="center" vertical="center"/>
    </xf>
    <xf numFmtId="164" fontId="10" fillId="3" borderId="48" xfId="12" applyFont="1" applyFill="1" applyBorder="1" applyAlignment="1" applyProtection="1">
      <alignment horizontal="center" vertical="center"/>
    </xf>
    <xf numFmtId="0" fontId="10" fillId="3" borderId="19" xfId="2" applyFont="1" applyFill="1" applyBorder="1" applyAlignment="1">
      <alignment horizontal="center" vertical="center" wrapText="1"/>
    </xf>
    <xf numFmtId="0" fontId="10" fillId="3" borderId="0" xfId="2" applyFont="1" applyFill="1" applyAlignment="1">
      <alignment horizontal="center" vertical="center" wrapText="1"/>
    </xf>
    <xf numFmtId="0" fontId="16" fillId="3" borderId="0" xfId="2" applyFont="1" applyFill="1" applyAlignment="1">
      <alignment horizontal="center" vertical="center" wrapText="1"/>
    </xf>
    <xf numFmtId="0" fontId="10" fillId="3" borderId="16" xfId="2" applyFont="1" applyFill="1" applyBorder="1" applyAlignment="1">
      <alignment horizontal="center" vertical="center" wrapText="1"/>
    </xf>
    <xf numFmtId="2" fontId="10" fillId="3" borderId="48" xfId="2" applyNumberFormat="1" applyFont="1" applyFill="1" applyBorder="1" applyAlignment="1">
      <alignment horizontal="center" vertical="center"/>
    </xf>
    <xf numFmtId="44" fontId="10" fillId="3" borderId="49" xfId="2" applyNumberFormat="1" applyFont="1" applyFill="1" applyBorder="1" applyAlignment="1">
      <alignment vertical="center"/>
    </xf>
    <xf numFmtId="44" fontId="10" fillId="3" borderId="49" xfId="1" applyFont="1" applyFill="1" applyBorder="1" applyAlignment="1" applyProtection="1">
      <alignment horizontal="center" vertical="center"/>
    </xf>
    <xf numFmtId="0" fontId="57" fillId="0" borderId="0" xfId="0" applyFont="1"/>
    <xf numFmtId="164" fontId="10" fillId="0" borderId="0" xfId="12" applyFont="1" applyAlignment="1" applyProtection="1">
      <alignment vertical="center"/>
    </xf>
    <xf numFmtId="0" fontId="22" fillId="0" borderId="0" xfId="5" applyFont="1" applyAlignment="1">
      <alignment vertical="center"/>
    </xf>
    <xf numFmtId="0" fontId="10" fillId="3" borderId="73" xfId="2" applyFont="1" applyFill="1" applyBorder="1" applyAlignment="1">
      <alignment vertical="center"/>
    </xf>
    <xf numFmtId="0" fontId="10" fillId="3" borderId="37" xfId="2" applyFont="1" applyFill="1" applyBorder="1" applyAlignment="1">
      <alignment vertical="center"/>
    </xf>
    <xf numFmtId="0" fontId="22" fillId="2" borderId="0" xfId="0" applyFont="1" applyFill="1" applyAlignment="1">
      <alignment horizontal="left"/>
    </xf>
    <xf numFmtId="164" fontId="12" fillId="3" borderId="3" xfId="12" applyFont="1" applyFill="1" applyBorder="1" applyAlignment="1" applyProtection="1">
      <alignment horizontal="center" vertical="center"/>
    </xf>
    <xf numFmtId="164" fontId="13" fillId="3" borderId="3" xfId="12" applyFont="1" applyFill="1" applyBorder="1" applyAlignment="1" applyProtection="1">
      <alignment horizontal="left" vertical="center"/>
    </xf>
    <xf numFmtId="0" fontId="0" fillId="0" borderId="1" xfId="0" quotePrefix="1" applyBorder="1" applyAlignment="1">
      <alignment horizontal="left" wrapText="1"/>
    </xf>
    <xf numFmtId="164" fontId="15" fillId="0" borderId="0" xfId="2" applyNumberFormat="1" applyFont="1" applyAlignment="1">
      <alignment vertical="center"/>
    </xf>
    <xf numFmtId="0" fontId="22" fillId="2" borderId="0" xfId="0" applyFont="1" applyFill="1" applyAlignment="1">
      <alignment horizontal="center" vertical="center"/>
    </xf>
    <xf numFmtId="0" fontId="42" fillId="4" borderId="0" xfId="0" applyFont="1" applyFill="1" applyAlignment="1">
      <alignment horizontal="center" vertical="center"/>
    </xf>
    <xf numFmtId="0" fontId="22" fillId="2" borderId="1" xfId="0" applyFont="1" applyFill="1" applyBorder="1" applyAlignment="1" applyProtection="1">
      <alignment horizontal="center" vertical="center"/>
      <protection locked="0"/>
    </xf>
    <xf numFmtId="0" fontId="20" fillId="2" borderId="1" xfId="0" applyFont="1" applyFill="1" applyBorder="1" applyAlignment="1" applyProtection="1">
      <alignment horizontal="center" vertical="center"/>
      <protection locked="0"/>
    </xf>
    <xf numFmtId="0" fontId="20" fillId="2" borderId="1" xfId="0" applyFont="1" applyFill="1" applyBorder="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50" fillId="11" borderId="0" xfId="0" applyFont="1" applyFill="1" applyAlignment="1">
      <alignment horizontal="center" vertical="center"/>
    </xf>
    <xf numFmtId="0" fontId="0" fillId="2" borderId="0" xfId="0" applyFill="1" applyAlignment="1">
      <alignment horizontal="left" vertical="center"/>
    </xf>
    <xf numFmtId="15" fontId="0" fillId="2" borderId="0" xfId="0" applyNumberFormat="1" applyFill="1" applyAlignment="1" applyProtection="1">
      <alignment horizontal="left" vertical="center"/>
      <protection locked="0"/>
    </xf>
    <xf numFmtId="0" fontId="0" fillId="2" borderId="0" xfId="0" applyFill="1" applyAlignment="1" applyProtection="1">
      <alignment horizontal="left" vertical="center"/>
      <protection locked="0"/>
    </xf>
    <xf numFmtId="0" fontId="0" fillId="2" borderId="0" xfId="0" applyFill="1" applyAlignment="1">
      <alignment horizontal="left" vertical="center" wrapText="1"/>
    </xf>
    <xf numFmtId="0" fontId="22" fillId="10" borderId="1" xfId="0" applyFont="1" applyFill="1" applyBorder="1" applyAlignment="1">
      <alignment horizontal="center" vertical="center"/>
    </xf>
    <xf numFmtId="0" fontId="35" fillId="2" borderId="0" xfId="0" applyFont="1" applyFill="1" applyAlignment="1">
      <alignment horizontal="left" wrapText="1"/>
    </xf>
    <xf numFmtId="0" fontId="22" fillId="2" borderId="1" xfId="0" applyFont="1" applyFill="1" applyBorder="1" applyAlignment="1">
      <alignment horizontal="center" vertical="center"/>
    </xf>
    <xf numFmtId="0" fontId="0" fillId="2" borderId="23" xfId="0" applyFill="1" applyBorder="1" applyAlignment="1" applyProtection="1">
      <alignment horizontal="center" vertical="center" wrapText="1"/>
      <protection locked="0"/>
    </xf>
    <xf numFmtId="0" fontId="0" fillId="2" borderId="3" xfId="0" applyFill="1" applyBorder="1" applyAlignment="1" applyProtection="1">
      <alignment horizontal="center" vertical="center" wrapText="1"/>
      <protection locked="0"/>
    </xf>
    <xf numFmtId="0" fontId="35" fillId="2" borderId="0" xfId="0" applyFont="1" applyFill="1" applyAlignment="1">
      <alignment horizontal="left"/>
    </xf>
    <xf numFmtId="0" fontId="35" fillId="2" borderId="0" xfId="0" applyFont="1" applyFill="1" applyAlignment="1">
      <alignment horizontal="right"/>
    </xf>
    <xf numFmtId="0" fontId="0" fillId="8" borderId="0" xfId="0" applyFill="1" applyAlignment="1" applyProtection="1">
      <alignment horizontal="left" vertical="center" wrapText="1"/>
      <protection locked="0"/>
    </xf>
    <xf numFmtId="0" fontId="18" fillId="3" borderId="71" xfId="5" applyFont="1" applyFill="1" applyBorder="1" applyAlignment="1">
      <alignment horizontal="center" vertical="center"/>
    </xf>
    <xf numFmtId="0" fontId="18" fillId="3" borderId="35" xfId="5" applyFont="1" applyFill="1" applyBorder="1" applyAlignment="1">
      <alignment horizontal="center" vertical="center"/>
    </xf>
    <xf numFmtId="0" fontId="19" fillId="3" borderId="42" xfId="5" applyFont="1" applyFill="1" applyBorder="1" applyAlignment="1">
      <alignment horizontal="center" vertical="center"/>
    </xf>
    <xf numFmtId="0" fontId="19" fillId="3" borderId="35" xfId="5" applyFont="1" applyFill="1" applyBorder="1" applyAlignment="1">
      <alignment horizontal="center" vertical="center"/>
    </xf>
    <xf numFmtId="0" fontId="19" fillId="3" borderId="32" xfId="5" applyFont="1" applyFill="1" applyBorder="1" applyAlignment="1">
      <alignment horizontal="center" vertical="center"/>
    </xf>
    <xf numFmtId="0" fontId="39" fillId="2" borderId="0" xfId="0" applyFont="1" applyFill="1" applyAlignment="1">
      <alignment horizontal="center" vertical="center"/>
    </xf>
    <xf numFmtId="0" fontId="36" fillId="2" borderId="21" xfId="0" applyFont="1" applyFill="1" applyBorder="1" applyAlignment="1">
      <alignment horizontal="center" vertical="center"/>
    </xf>
    <xf numFmtId="0" fontId="22" fillId="2" borderId="13" xfId="5" applyFont="1" applyFill="1" applyBorder="1" applyAlignment="1">
      <alignment horizontal="center"/>
    </xf>
    <xf numFmtId="0" fontId="36" fillId="2" borderId="0" xfId="5" applyFont="1" applyFill="1"/>
    <xf numFmtId="0" fontId="1" fillId="2" borderId="0" xfId="5" applyFill="1" applyAlignment="1">
      <alignment horizontal="left" vertical="center"/>
    </xf>
    <xf numFmtId="0" fontId="0" fillId="2" borderId="0" xfId="5" applyFont="1" applyFill="1" applyAlignment="1">
      <alignment horizontal="left" vertical="center"/>
    </xf>
    <xf numFmtId="0" fontId="22" fillId="2" borderId="0" xfId="5" applyFont="1" applyFill="1" applyAlignment="1">
      <alignment horizontal="center"/>
    </xf>
    <xf numFmtId="0" fontId="36" fillId="2" borderId="0" xfId="5" applyFont="1" applyFill="1" applyAlignment="1">
      <alignment horizontal="left"/>
    </xf>
    <xf numFmtId="0" fontId="35" fillId="2" borderId="0" xfId="0" applyFont="1" applyFill="1" applyAlignment="1">
      <alignment horizontal="left" vertical="center" wrapText="1"/>
    </xf>
    <xf numFmtId="0" fontId="1" fillId="2" borderId="0" xfId="5" applyFill="1" applyAlignment="1">
      <alignment horizontal="left" vertical="center" wrapText="1"/>
    </xf>
    <xf numFmtId="0" fontId="0" fillId="2" borderId="30" xfId="0" applyFill="1" applyBorder="1" applyAlignment="1" applyProtection="1">
      <alignment horizontal="center" vertical="center"/>
      <protection locked="0"/>
    </xf>
    <xf numFmtId="0" fontId="1" fillId="2" borderId="0" xfId="0" applyFont="1" applyFill="1" applyAlignment="1">
      <alignment horizontal="left" vertical="center" wrapText="1"/>
    </xf>
    <xf numFmtId="0" fontId="0" fillId="2" borderId="4" xfId="0" applyFill="1" applyBorder="1" applyAlignment="1" applyProtection="1">
      <alignment horizontal="center" vertical="center"/>
      <protection locked="0"/>
    </xf>
    <xf numFmtId="0" fontId="53" fillId="2" borderId="0" xfId="0" applyFont="1" applyFill="1" applyAlignment="1">
      <alignment horizontal="left" vertical="center"/>
    </xf>
    <xf numFmtId="0" fontId="0" fillId="2" borderId="0" xfId="5" applyFont="1" applyFill="1" applyAlignment="1">
      <alignment horizontal="left" vertical="center" wrapText="1"/>
    </xf>
    <xf numFmtId="0" fontId="0" fillId="2" borderId="0" xfId="0" applyFill="1" applyAlignment="1">
      <alignment horizontal="left" vertical="top" wrapText="1"/>
    </xf>
    <xf numFmtId="0" fontId="43" fillId="2" borderId="0" xfId="0" applyFont="1" applyFill="1" applyAlignment="1">
      <alignment horizontal="left" vertical="center"/>
    </xf>
    <xf numFmtId="0" fontId="44" fillId="2" borderId="0" xfId="0" applyFont="1" applyFill="1" applyAlignment="1">
      <alignment horizontal="left" vertical="center"/>
    </xf>
    <xf numFmtId="0" fontId="22" fillId="2" borderId="0" xfId="0" applyFont="1" applyFill="1" applyAlignment="1">
      <alignment horizontal="left" vertical="center"/>
    </xf>
    <xf numFmtId="0" fontId="0" fillId="10" borderId="0" xfId="0" applyFill="1" applyAlignment="1">
      <alignment horizontal="center" vertical="center" wrapText="1"/>
    </xf>
    <xf numFmtId="0" fontId="35" fillId="2" borderId="0" xfId="0" applyFont="1" applyFill="1" applyAlignment="1">
      <alignment horizontal="left" vertical="center"/>
    </xf>
    <xf numFmtId="0" fontId="22" fillId="5" borderId="1" xfId="5" applyFont="1" applyFill="1" applyBorder="1" applyAlignment="1">
      <alignment horizontal="left" vertical="center"/>
    </xf>
    <xf numFmtId="0" fontId="47" fillId="5" borderId="1" xfId="10" applyFill="1" applyBorder="1" applyAlignment="1">
      <alignment horizontal="left" wrapText="1"/>
    </xf>
    <xf numFmtId="0" fontId="35" fillId="5" borderId="1" xfId="5" applyFont="1" applyFill="1" applyBorder="1" applyAlignment="1">
      <alignment horizontal="left" vertical="center"/>
    </xf>
    <xf numFmtId="0" fontId="22" fillId="5" borderId="1" xfId="5" applyFont="1" applyFill="1" applyBorder="1" applyAlignment="1">
      <alignment horizontal="left" vertical="center" wrapText="1"/>
    </xf>
    <xf numFmtId="0" fontId="46" fillId="4" borderId="1" xfId="5" applyFont="1" applyFill="1" applyBorder="1" applyAlignment="1">
      <alignment horizontal="left" vertical="center"/>
    </xf>
    <xf numFmtId="0" fontId="22" fillId="10" borderId="76" xfId="0" applyFont="1" applyFill="1" applyBorder="1" applyAlignment="1">
      <alignment horizontal="center" vertical="center"/>
    </xf>
    <xf numFmtId="0" fontId="35" fillId="2" borderId="0" xfId="0" applyFont="1" applyFill="1" applyAlignment="1" applyProtection="1">
      <alignment horizontal="left" vertical="center" wrapText="1"/>
      <protection locked="0"/>
    </xf>
    <xf numFmtId="0" fontId="36" fillId="10" borderId="0" xfId="5" applyFont="1" applyFill="1" applyAlignment="1">
      <alignment horizontal="left" wrapText="1"/>
    </xf>
    <xf numFmtId="0" fontId="14" fillId="3" borderId="43" xfId="2" applyFont="1" applyFill="1" applyBorder="1" applyAlignment="1">
      <alignment horizontal="center" vertical="center" wrapText="1"/>
    </xf>
    <xf numFmtId="0" fontId="14" fillId="3" borderId="17" xfId="2" applyFont="1" applyFill="1" applyBorder="1" applyAlignment="1">
      <alignment horizontal="center" vertical="center" wrapText="1"/>
    </xf>
    <xf numFmtId="0" fontId="14" fillId="3" borderId="43" xfId="2" applyFont="1" applyFill="1" applyBorder="1" applyAlignment="1">
      <alignment horizontal="center" vertical="center"/>
    </xf>
    <xf numFmtId="0" fontId="14" fillId="3" borderId="44" xfId="2" applyFont="1" applyFill="1" applyBorder="1" applyAlignment="1">
      <alignment horizontal="center" vertical="center"/>
    </xf>
    <xf numFmtId="0" fontId="14" fillId="3" borderId="45" xfId="2" applyFont="1" applyFill="1" applyBorder="1" applyAlignment="1">
      <alignment horizontal="center" vertical="center"/>
    </xf>
    <xf numFmtId="0" fontId="3" fillId="3" borderId="28" xfId="2" applyFont="1" applyFill="1" applyBorder="1" applyAlignment="1">
      <alignment horizontal="left" vertical="center"/>
    </xf>
    <xf numFmtId="0" fontId="3" fillId="3" borderId="1" xfId="2" applyFont="1" applyFill="1" applyBorder="1" applyAlignment="1">
      <alignment horizontal="left" vertical="center"/>
    </xf>
    <xf numFmtId="0" fontId="3" fillId="3" borderId="28" xfId="4" applyFont="1" applyFill="1" applyBorder="1" applyAlignment="1">
      <alignment horizontal="left" vertical="center" wrapText="1"/>
    </xf>
    <xf numFmtId="0" fontId="3" fillId="3" borderId="1" xfId="4" applyFont="1" applyFill="1" applyBorder="1" applyAlignment="1">
      <alignment horizontal="left" vertical="center" wrapText="1"/>
    </xf>
    <xf numFmtId="0" fontId="10" fillId="3" borderId="63" xfId="2" applyFont="1" applyFill="1" applyBorder="1" applyAlignment="1">
      <alignment horizontal="center" vertical="center"/>
    </xf>
    <xf numFmtId="0" fontId="10" fillId="3" borderId="51" xfId="2" applyFont="1" applyFill="1" applyBorder="1" applyAlignment="1">
      <alignment horizontal="center" vertical="center"/>
    </xf>
    <xf numFmtId="0" fontId="18" fillId="3" borderId="43" xfId="5" applyFont="1" applyFill="1" applyBorder="1" applyAlignment="1">
      <alignment horizontal="left"/>
    </xf>
    <xf numFmtId="0" fontId="18" fillId="3" borderId="44" xfId="5" applyFont="1" applyFill="1" applyBorder="1" applyAlignment="1">
      <alignment horizontal="left"/>
    </xf>
    <xf numFmtId="0" fontId="18" fillId="3" borderId="45" xfId="5" applyFont="1" applyFill="1" applyBorder="1" applyAlignment="1">
      <alignment horizontal="left"/>
    </xf>
    <xf numFmtId="0" fontId="22" fillId="3" borderId="17" xfId="5" applyFont="1" applyFill="1" applyBorder="1" applyAlignment="1">
      <alignment horizontal="left"/>
    </xf>
    <xf numFmtId="0" fontId="22" fillId="3" borderId="30" xfId="5" applyFont="1" applyFill="1" applyBorder="1" applyAlignment="1">
      <alignment horizontal="left"/>
    </xf>
    <xf numFmtId="0" fontId="22" fillId="3" borderId="3" xfId="5" applyFont="1" applyFill="1" applyBorder="1" applyAlignment="1">
      <alignment horizontal="left"/>
    </xf>
    <xf numFmtId="0" fontId="22" fillId="3" borderId="1" xfId="5" applyFont="1" applyFill="1" applyBorder="1" applyAlignment="1">
      <alignment horizontal="left"/>
    </xf>
    <xf numFmtId="0" fontId="22" fillId="3" borderId="46" xfId="5" applyFont="1" applyFill="1" applyBorder="1" applyAlignment="1">
      <alignment horizontal="left"/>
    </xf>
    <xf numFmtId="0" fontId="22" fillId="3" borderId="23" xfId="5" applyFont="1" applyFill="1" applyBorder="1" applyAlignment="1">
      <alignment horizontal="left"/>
    </xf>
    <xf numFmtId="0" fontId="22" fillId="3" borderId="47" xfId="5" applyFont="1" applyFill="1" applyBorder="1" applyAlignment="1">
      <alignment horizontal="left"/>
    </xf>
    <xf numFmtId="0" fontId="5" fillId="3" borderId="12" xfId="2" applyFont="1" applyFill="1" applyBorder="1" applyAlignment="1">
      <alignment horizontal="left" vertical="center"/>
    </xf>
    <xf numFmtId="0" fontId="5" fillId="3" borderId="13" xfId="2" applyFont="1" applyFill="1" applyBorder="1" applyAlignment="1">
      <alignment horizontal="left" vertical="center"/>
    </xf>
    <xf numFmtId="0" fontId="5" fillId="3" borderId="14" xfId="2" applyFont="1" applyFill="1" applyBorder="1" applyAlignment="1">
      <alignment horizontal="left" vertical="center"/>
    </xf>
    <xf numFmtId="0" fontId="3" fillId="3" borderId="12" xfId="2" applyFont="1" applyFill="1" applyBorder="1" applyAlignment="1">
      <alignment horizontal="center" vertical="center"/>
    </xf>
    <xf numFmtId="0" fontId="3" fillId="3" borderId="13" xfId="2" applyFont="1" applyFill="1" applyBorder="1" applyAlignment="1">
      <alignment horizontal="center" vertical="center"/>
    </xf>
    <xf numFmtId="0" fontId="7" fillId="3" borderId="28" xfId="2" applyFont="1" applyFill="1" applyBorder="1" applyAlignment="1">
      <alignment horizontal="left" vertical="center"/>
    </xf>
    <xf numFmtId="0" fontId="7" fillId="3" borderId="1" xfId="2" applyFont="1" applyFill="1" applyBorder="1" applyAlignment="1">
      <alignment horizontal="left" vertical="center"/>
    </xf>
    <xf numFmtId="0" fontId="7" fillId="3" borderId="23" xfId="2" applyFont="1" applyFill="1" applyBorder="1" applyAlignment="1">
      <alignment horizontal="left" vertical="center"/>
    </xf>
    <xf numFmtId="0" fontId="3" fillId="3" borderId="28" xfId="2" applyFont="1" applyFill="1" applyBorder="1" applyAlignment="1">
      <alignment vertical="center"/>
    </xf>
    <xf numFmtId="0" fontId="3" fillId="3" borderId="1" xfId="2" applyFont="1" applyFill="1" applyBorder="1" applyAlignment="1">
      <alignment vertical="center"/>
    </xf>
    <xf numFmtId="0" fontId="3" fillId="3" borderId="23" xfId="2" applyFont="1" applyFill="1" applyBorder="1" applyAlignment="1">
      <alignment vertical="center"/>
    </xf>
    <xf numFmtId="0" fontId="3" fillId="3" borderId="17" xfId="2" applyFont="1" applyFill="1" applyBorder="1" applyAlignment="1">
      <alignment vertical="center"/>
    </xf>
    <xf numFmtId="0" fontId="3" fillId="3" borderId="30" xfId="2" applyFont="1" applyFill="1" applyBorder="1" applyAlignment="1">
      <alignment vertical="center"/>
    </xf>
    <xf numFmtId="0" fontId="3" fillId="3" borderId="15" xfId="2" applyFont="1" applyFill="1" applyBorder="1" applyAlignment="1">
      <alignment vertical="center"/>
    </xf>
    <xf numFmtId="0" fontId="3" fillId="3" borderId="0" xfId="2" applyFont="1" applyFill="1" applyAlignment="1">
      <alignment vertical="center"/>
    </xf>
    <xf numFmtId="0" fontId="7" fillId="3" borderId="48" xfId="2" applyFont="1" applyFill="1" applyBorder="1" applyAlignment="1">
      <alignment horizontal="left" vertical="center"/>
    </xf>
    <xf numFmtId="0" fontId="7" fillId="3" borderId="49" xfId="2" applyFont="1" applyFill="1" applyBorder="1" applyAlignment="1">
      <alignment horizontal="left" vertical="center"/>
    </xf>
    <xf numFmtId="0" fontId="55" fillId="3" borderId="20" xfId="2" applyFont="1" applyFill="1" applyBorder="1" applyAlignment="1">
      <alignment vertical="center"/>
    </xf>
    <xf numFmtId="0" fontId="55" fillId="3" borderId="21" xfId="2" applyFont="1" applyFill="1" applyBorder="1" applyAlignment="1">
      <alignment vertical="center"/>
    </xf>
    <xf numFmtId="0" fontId="3" fillId="3" borderId="3" xfId="2" applyFont="1" applyFill="1" applyBorder="1" applyAlignment="1">
      <alignment vertical="center"/>
    </xf>
    <xf numFmtId="0" fontId="10" fillId="3" borderId="48" xfId="2" applyFont="1" applyFill="1" applyBorder="1" applyAlignment="1">
      <alignment horizontal="right" vertical="center"/>
    </xf>
    <xf numFmtId="0" fontId="10" fillId="3" borderId="50" xfId="2" applyFont="1" applyFill="1" applyBorder="1" applyAlignment="1">
      <alignment horizontal="right" vertical="center"/>
    </xf>
    <xf numFmtId="0" fontId="18" fillId="3" borderId="40" xfId="5" applyFont="1" applyFill="1" applyBorder="1" applyAlignment="1">
      <alignment horizontal="center" vertical="center"/>
    </xf>
    <xf numFmtId="0" fontId="18" fillId="3" borderId="41" xfId="5" applyFont="1" applyFill="1" applyBorder="1" applyAlignment="1">
      <alignment horizontal="center" vertical="center"/>
    </xf>
    <xf numFmtId="0" fontId="24" fillId="10" borderId="71" xfId="2" applyFont="1" applyFill="1" applyBorder="1" applyAlignment="1">
      <alignment horizontal="center" vertical="center"/>
    </xf>
    <xf numFmtId="0" fontId="24" fillId="10" borderId="35" xfId="2" applyFont="1" applyFill="1" applyBorder="1" applyAlignment="1">
      <alignment horizontal="center" vertical="center"/>
    </xf>
    <xf numFmtId="0" fontId="24" fillId="10" borderId="32" xfId="2" applyFont="1" applyFill="1" applyBorder="1" applyAlignment="1">
      <alignment horizontal="center" vertical="center"/>
    </xf>
    <xf numFmtId="0" fontId="3" fillId="3" borderId="28" xfId="2" applyFont="1" applyFill="1" applyBorder="1" applyAlignment="1">
      <alignment vertical="center" wrapText="1"/>
    </xf>
    <xf numFmtId="0" fontId="3" fillId="3" borderId="1" xfId="2" applyFont="1" applyFill="1" applyBorder="1" applyAlignment="1">
      <alignment vertical="center" wrapText="1"/>
    </xf>
    <xf numFmtId="0" fontId="10" fillId="3" borderId="63" xfId="2" applyFont="1" applyFill="1" applyBorder="1" applyAlignment="1">
      <alignment horizontal="center" vertical="center" wrapText="1"/>
    </xf>
    <xf numFmtId="0" fontId="10" fillId="3" borderId="2" xfId="2" applyFont="1" applyFill="1" applyBorder="1" applyAlignment="1">
      <alignment horizontal="center" vertical="center"/>
    </xf>
    <xf numFmtId="44" fontId="12" fillId="3" borderId="60" xfId="3" applyFont="1" applyFill="1" applyBorder="1" applyAlignment="1">
      <alignment horizontal="center" vertical="center"/>
    </xf>
    <xf numFmtId="44" fontId="12" fillId="3" borderId="52" xfId="3" applyFont="1" applyFill="1" applyBorder="1" applyAlignment="1">
      <alignment horizontal="center" vertical="center"/>
    </xf>
    <xf numFmtId="0" fontId="5" fillId="3" borderId="20" xfId="2" applyFont="1" applyFill="1" applyBorder="1" applyAlignment="1">
      <alignment horizontal="left" vertical="center"/>
    </xf>
    <xf numFmtId="0" fontId="5" fillId="3" borderId="21" xfId="2" applyFont="1" applyFill="1" applyBorder="1" applyAlignment="1">
      <alignment horizontal="left" vertical="center"/>
    </xf>
    <xf numFmtId="0" fontId="10" fillId="3" borderId="51" xfId="2" applyFont="1" applyFill="1" applyBorder="1" applyAlignment="1">
      <alignment horizontal="center" vertical="center" wrapText="1"/>
    </xf>
    <xf numFmtId="2" fontId="10" fillId="3" borderId="63" xfId="2" applyNumberFormat="1" applyFont="1" applyFill="1" applyBorder="1" applyAlignment="1">
      <alignment horizontal="center" vertical="center" wrapText="1"/>
    </xf>
    <xf numFmtId="2" fontId="10" fillId="3" borderId="51" xfId="2" applyNumberFormat="1" applyFont="1" applyFill="1" applyBorder="1" applyAlignment="1">
      <alignment horizontal="center" vertical="center" wrapText="1"/>
    </xf>
    <xf numFmtId="44" fontId="5" fillId="5" borderId="59" xfId="2" applyNumberFormat="1" applyFont="1" applyFill="1" applyBorder="1" applyAlignment="1">
      <alignment horizontal="center" vertical="center" wrapText="1"/>
    </xf>
    <xf numFmtId="44" fontId="5" fillId="5" borderId="60" xfId="2" applyNumberFormat="1" applyFont="1" applyFill="1" applyBorder="1" applyAlignment="1">
      <alignment horizontal="center" vertical="center" wrapText="1"/>
    </xf>
    <xf numFmtId="44" fontId="5" fillId="5" borderId="75" xfId="2" applyNumberFormat="1" applyFont="1" applyFill="1" applyBorder="1" applyAlignment="1">
      <alignment horizontal="center" vertical="center" wrapText="1"/>
    </xf>
    <xf numFmtId="44" fontId="5" fillId="5" borderId="77" xfId="2" applyNumberFormat="1" applyFont="1" applyFill="1" applyBorder="1" applyAlignment="1">
      <alignment horizontal="center" vertical="center" wrapText="1"/>
    </xf>
    <xf numFmtId="0" fontId="5" fillId="3" borderId="59" xfId="2" applyFont="1" applyFill="1" applyBorder="1" applyAlignment="1">
      <alignment horizontal="left" vertical="center"/>
    </xf>
    <xf numFmtId="0" fontId="5" fillId="3" borderId="63" xfId="2" applyFont="1" applyFill="1" applyBorder="1" applyAlignment="1">
      <alignment horizontal="left" vertical="center"/>
    </xf>
    <xf numFmtId="0" fontId="5" fillId="3" borderId="69" xfId="2" applyFont="1" applyFill="1" applyBorder="1" applyAlignment="1">
      <alignment horizontal="left" vertical="center"/>
    </xf>
    <xf numFmtId="0" fontId="5" fillId="3" borderId="60" xfId="2" applyFont="1" applyFill="1" applyBorder="1" applyAlignment="1">
      <alignment horizontal="left" vertical="center"/>
    </xf>
    <xf numFmtId="170" fontId="3" fillId="3" borderId="1" xfId="2" applyNumberFormat="1" applyFont="1" applyFill="1" applyBorder="1" applyAlignment="1">
      <alignment horizontal="center" vertical="center"/>
    </xf>
    <xf numFmtId="170" fontId="3" fillId="3" borderId="46" xfId="2" applyNumberFormat="1" applyFont="1" applyFill="1" applyBorder="1" applyAlignment="1">
      <alignment horizontal="center" vertical="center"/>
    </xf>
    <xf numFmtId="0" fontId="5" fillId="3" borderId="23" xfId="2" applyFont="1" applyFill="1" applyBorder="1" applyAlignment="1">
      <alignment horizontal="center" vertical="center"/>
    </xf>
    <xf numFmtId="0" fontId="5" fillId="3" borderId="3" xfId="2" applyFont="1" applyFill="1" applyBorder="1" applyAlignment="1">
      <alignment horizontal="center" vertical="center"/>
    </xf>
    <xf numFmtId="0" fontId="3" fillId="3" borderId="17" xfId="2" applyFont="1" applyFill="1" applyBorder="1" applyAlignment="1">
      <alignment horizontal="center" vertical="center"/>
    </xf>
    <xf numFmtId="0" fontId="3" fillId="3" borderId="30" xfId="2" applyFont="1" applyFill="1" applyBorder="1" applyAlignment="1">
      <alignment horizontal="center" vertical="center"/>
    </xf>
    <xf numFmtId="0" fontId="3" fillId="3" borderId="47" xfId="2" applyFont="1" applyFill="1" applyBorder="1" applyAlignment="1">
      <alignment horizontal="center" vertical="center"/>
    </xf>
    <xf numFmtId="0" fontId="5" fillId="3" borderId="15" xfId="2" applyFont="1" applyFill="1" applyBorder="1" applyAlignment="1">
      <alignment horizontal="left" vertical="center"/>
    </xf>
    <xf numFmtId="0" fontId="5" fillId="3" borderId="0" xfId="2" applyFont="1" applyFill="1" applyAlignment="1">
      <alignment horizontal="left" vertical="center"/>
    </xf>
    <xf numFmtId="0" fontId="5" fillId="3" borderId="16" xfId="2" applyFont="1" applyFill="1" applyBorder="1" applyAlignment="1">
      <alignment horizontal="left" vertical="center"/>
    </xf>
    <xf numFmtId="44" fontId="10" fillId="5" borderId="66" xfId="2" applyNumberFormat="1" applyFont="1" applyFill="1" applyBorder="1" applyAlignment="1">
      <alignment horizontal="center" vertical="center"/>
    </xf>
    <xf numFmtId="44" fontId="10" fillId="5" borderId="67" xfId="2" applyNumberFormat="1" applyFont="1" applyFill="1" applyBorder="1" applyAlignment="1">
      <alignment horizontal="center" vertical="center"/>
    </xf>
    <xf numFmtId="0" fontId="14" fillId="3" borderId="23" xfId="2" applyFont="1" applyFill="1" applyBorder="1" applyAlignment="1">
      <alignment horizontal="center" vertical="center"/>
    </xf>
    <xf numFmtId="0" fontId="14" fillId="3" borderId="30" xfId="2" applyFont="1" applyFill="1" applyBorder="1" applyAlignment="1">
      <alignment horizontal="center" vertical="center"/>
    </xf>
    <xf numFmtId="0" fontId="14" fillId="3" borderId="47" xfId="2" applyFont="1" applyFill="1" applyBorder="1" applyAlignment="1">
      <alignment horizontal="center" vertical="center"/>
    </xf>
    <xf numFmtId="0" fontId="5" fillId="3" borderId="15" xfId="2" applyFont="1" applyFill="1" applyBorder="1" applyAlignment="1">
      <alignment vertical="center"/>
    </xf>
    <xf numFmtId="0" fontId="5" fillId="3" borderId="0" xfId="2" applyFont="1" applyFill="1" applyAlignment="1">
      <alignment vertical="center"/>
    </xf>
    <xf numFmtId="0" fontId="5" fillId="3" borderId="12" xfId="2" applyFont="1" applyFill="1" applyBorder="1" applyAlignment="1">
      <alignment vertical="center"/>
    </xf>
    <xf numFmtId="0" fontId="5" fillId="3" borderId="13" xfId="2" applyFont="1" applyFill="1" applyBorder="1" applyAlignment="1">
      <alignment vertical="center"/>
    </xf>
    <xf numFmtId="44" fontId="5" fillId="5" borderId="36" xfId="2" applyNumberFormat="1" applyFont="1" applyFill="1" applyBorder="1" applyAlignment="1">
      <alignment horizontal="center" vertical="center" wrapText="1"/>
    </xf>
    <xf numFmtId="0" fontId="52" fillId="3" borderId="12" xfId="2" applyFont="1" applyFill="1" applyBorder="1" applyAlignment="1">
      <alignment horizontal="left" vertical="center"/>
    </xf>
    <xf numFmtId="0" fontId="52" fillId="3" borderId="13" xfId="2" applyFont="1" applyFill="1" applyBorder="1" applyAlignment="1">
      <alignment horizontal="left" vertical="center"/>
    </xf>
    <xf numFmtId="0" fontId="52" fillId="3" borderId="14" xfId="2" applyFont="1" applyFill="1" applyBorder="1" applyAlignment="1">
      <alignment horizontal="left" vertical="center"/>
    </xf>
    <xf numFmtId="44" fontId="10" fillId="5" borderId="33" xfId="1" applyFont="1" applyFill="1" applyBorder="1" applyAlignment="1">
      <alignment horizontal="center" vertical="center" wrapText="1"/>
    </xf>
    <xf numFmtId="44" fontId="10" fillId="5" borderId="15" xfId="1" applyFont="1" applyFill="1" applyBorder="1" applyAlignment="1">
      <alignment horizontal="center" vertical="center" wrapText="1"/>
    </xf>
    <xf numFmtId="0" fontId="3" fillId="3" borderId="23" xfId="2" applyFont="1" applyFill="1" applyBorder="1" applyAlignment="1">
      <alignment vertical="center" wrapText="1"/>
    </xf>
    <xf numFmtId="0" fontId="5" fillId="3" borderId="75" xfId="2" applyFont="1" applyFill="1" applyBorder="1" applyAlignment="1">
      <alignment horizontal="left" vertical="center"/>
    </xf>
    <xf numFmtId="0" fontId="5" fillId="3" borderId="76" xfId="2" applyFont="1" applyFill="1" applyBorder="1" applyAlignment="1">
      <alignment horizontal="left" vertical="center"/>
    </xf>
    <xf numFmtId="0" fontId="5" fillId="3" borderId="58" xfId="2" applyFont="1" applyFill="1" applyBorder="1" applyAlignment="1">
      <alignment horizontal="left" vertical="center"/>
    </xf>
    <xf numFmtId="0" fontId="5" fillId="3" borderId="77" xfId="2" applyFont="1" applyFill="1" applyBorder="1" applyAlignment="1">
      <alignment horizontal="left" vertical="center"/>
    </xf>
    <xf numFmtId="0" fontId="3" fillId="3" borderId="25" xfId="2" applyFont="1" applyFill="1" applyBorder="1" applyAlignment="1">
      <alignment horizontal="center" vertical="center"/>
    </xf>
    <xf numFmtId="0" fontId="3" fillId="3" borderId="26" xfId="2" applyFont="1" applyFill="1" applyBorder="1" applyAlignment="1">
      <alignment horizontal="center" vertical="center"/>
    </xf>
    <xf numFmtId="0" fontId="3" fillId="3" borderId="47" xfId="2" applyFont="1" applyFill="1" applyBorder="1" applyAlignment="1">
      <alignment vertical="center"/>
    </xf>
    <xf numFmtId="0" fontId="3" fillId="3" borderId="17" xfId="2" applyFont="1" applyFill="1" applyBorder="1" applyAlignment="1">
      <alignment horizontal="left" vertical="center"/>
    </xf>
    <xf numFmtId="0" fontId="3" fillId="3" borderId="47" xfId="2" applyFont="1" applyFill="1" applyBorder="1" applyAlignment="1">
      <alignment horizontal="left" vertical="center"/>
    </xf>
    <xf numFmtId="0" fontId="3" fillId="3" borderId="30" xfId="2" applyFont="1" applyFill="1" applyBorder="1" applyAlignment="1">
      <alignment horizontal="left" vertical="center"/>
    </xf>
    <xf numFmtId="0" fontId="3" fillId="3" borderId="17" xfId="2" applyFont="1" applyFill="1" applyBorder="1" applyAlignment="1">
      <alignment horizontal="left" vertical="center" wrapText="1"/>
    </xf>
    <xf numFmtId="0" fontId="3" fillId="3" borderId="3" xfId="2" applyFont="1" applyFill="1" applyBorder="1" applyAlignment="1">
      <alignment horizontal="left" vertical="center" wrapText="1"/>
    </xf>
    <xf numFmtId="0" fontId="3" fillId="3" borderId="64" xfId="2" applyFont="1" applyFill="1" applyBorder="1" applyAlignment="1">
      <alignment horizontal="left" vertical="center" wrapText="1"/>
    </xf>
    <xf numFmtId="0" fontId="3" fillId="3" borderId="6" xfId="2" applyFont="1" applyFill="1" applyBorder="1" applyAlignment="1">
      <alignment horizontal="left" vertical="center" wrapText="1"/>
    </xf>
    <xf numFmtId="0" fontId="3" fillId="3" borderId="28" xfId="2" applyFont="1" applyFill="1" applyBorder="1" applyAlignment="1">
      <alignment horizontal="left" vertical="center" wrapText="1"/>
    </xf>
    <xf numFmtId="0" fontId="3" fillId="3" borderId="1" xfId="2" applyFont="1" applyFill="1" applyBorder="1" applyAlignment="1">
      <alignment horizontal="left" vertical="center" wrapText="1"/>
    </xf>
    <xf numFmtId="0" fontId="3" fillId="3" borderId="76" xfId="2" applyFont="1" applyFill="1" applyBorder="1" applyAlignment="1">
      <alignment horizontal="left" vertical="center" wrapText="1"/>
    </xf>
    <xf numFmtId="0" fontId="3" fillId="3" borderId="58" xfId="2" applyFont="1" applyFill="1" applyBorder="1" applyAlignment="1">
      <alignment horizontal="left" vertical="center" wrapText="1"/>
    </xf>
    <xf numFmtId="0" fontId="4" fillId="3" borderId="12" xfId="2" applyFont="1" applyFill="1" applyBorder="1" applyAlignment="1">
      <alignment horizontal="left" vertical="center"/>
    </xf>
    <xf numFmtId="0" fontId="4" fillId="3" borderId="13" xfId="2" applyFont="1" applyFill="1" applyBorder="1" applyAlignment="1">
      <alignment horizontal="left" vertical="center"/>
    </xf>
    <xf numFmtId="0" fontId="4" fillId="3" borderId="14" xfId="2" applyFont="1" applyFill="1" applyBorder="1" applyAlignment="1">
      <alignment horizontal="left" vertical="center"/>
    </xf>
    <xf numFmtId="0" fontId="10" fillId="3" borderId="60" xfId="2" applyFont="1" applyFill="1" applyBorder="1" applyAlignment="1">
      <alignment horizontal="center" vertical="center"/>
    </xf>
    <xf numFmtId="0" fontId="10" fillId="3" borderId="52" xfId="2" applyFont="1" applyFill="1" applyBorder="1" applyAlignment="1">
      <alignment horizontal="center" vertical="center"/>
    </xf>
    <xf numFmtId="0" fontId="22" fillId="3" borderId="48" xfId="5" applyFont="1" applyFill="1" applyBorder="1" applyAlignment="1">
      <alignment horizontal="left"/>
    </xf>
    <xf numFmtId="0" fontId="22" fillId="3" borderId="49" xfId="5" applyFont="1" applyFill="1" applyBorder="1" applyAlignment="1">
      <alignment horizontal="left"/>
    </xf>
    <xf numFmtId="0" fontId="22" fillId="3" borderId="50" xfId="5" applyFont="1" applyFill="1" applyBorder="1" applyAlignment="1">
      <alignment horizontal="left"/>
    </xf>
    <xf numFmtId="0" fontId="22" fillId="3" borderId="51" xfId="5" applyFont="1" applyFill="1" applyBorder="1" applyAlignment="1">
      <alignment horizontal="left"/>
    </xf>
    <xf numFmtId="0" fontId="22" fillId="3" borderId="52" xfId="5" applyFont="1" applyFill="1" applyBorder="1" applyAlignment="1">
      <alignment horizontal="left"/>
    </xf>
    <xf numFmtId="0" fontId="3" fillId="3" borderId="3" xfId="2" applyFont="1" applyFill="1" applyBorder="1" applyAlignment="1">
      <alignment horizontal="center" vertical="center"/>
    </xf>
    <xf numFmtId="0" fontId="14" fillId="3" borderId="79" xfId="2" applyFont="1" applyFill="1" applyBorder="1" applyAlignment="1">
      <alignment horizontal="center" vertical="center" wrapText="1"/>
    </xf>
    <xf numFmtId="0" fontId="14" fillId="3" borderId="80" xfId="2" applyFont="1" applyFill="1" applyBorder="1" applyAlignment="1">
      <alignment horizontal="center" vertical="center" wrapText="1"/>
    </xf>
    <xf numFmtId="0" fontId="3" fillId="3" borderId="18" xfId="2" applyFont="1" applyFill="1" applyBorder="1" applyAlignment="1">
      <alignment horizontal="left" vertical="center"/>
    </xf>
    <xf numFmtId="0" fontId="3" fillId="3" borderId="7" xfId="2" applyFont="1" applyFill="1" applyBorder="1" applyAlignment="1">
      <alignment horizontal="left" vertical="center"/>
    </xf>
    <xf numFmtId="0" fontId="3" fillId="3" borderId="11" xfId="2" applyFont="1" applyFill="1" applyBorder="1" applyAlignment="1">
      <alignment horizontal="left" vertical="center"/>
    </xf>
    <xf numFmtId="0" fontId="3" fillId="3" borderId="19" xfId="2" applyFont="1" applyFill="1" applyBorder="1" applyAlignment="1">
      <alignment vertical="center"/>
    </xf>
    <xf numFmtId="0" fontId="3" fillId="3" borderId="4" xfId="2" applyFont="1" applyFill="1" applyBorder="1" applyAlignment="1">
      <alignment vertical="center"/>
    </xf>
    <xf numFmtId="0" fontId="3" fillId="3" borderId="72" xfId="2" applyFont="1" applyFill="1" applyBorder="1" applyAlignment="1">
      <alignment vertical="center"/>
    </xf>
    <xf numFmtId="0" fontId="3" fillId="0" borderId="13" xfId="2" applyFont="1" applyBorder="1" applyAlignment="1">
      <alignment horizontal="center" vertical="center"/>
    </xf>
    <xf numFmtId="2" fontId="10" fillId="3" borderId="44" xfId="2" applyNumberFormat="1" applyFont="1" applyFill="1" applyBorder="1" applyAlignment="1">
      <alignment horizontal="left" vertical="center"/>
    </xf>
    <xf numFmtId="2" fontId="10" fillId="3" borderId="45" xfId="2" applyNumberFormat="1" applyFont="1" applyFill="1" applyBorder="1" applyAlignment="1">
      <alignment horizontal="left" vertical="center"/>
    </xf>
    <xf numFmtId="0" fontId="5" fillId="3" borderId="70" xfId="2" applyFont="1" applyFill="1" applyBorder="1" applyAlignment="1">
      <alignment horizontal="center" vertical="center"/>
    </xf>
    <xf numFmtId="0" fontId="5" fillId="3" borderId="50" xfId="2" applyFont="1" applyFill="1" applyBorder="1" applyAlignment="1">
      <alignment horizontal="center" vertical="center"/>
    </xf>
    <xf numFmtId="0" fontId="3" fillId="3" borderId="30" xfId="2" applyFont="1" applyFill="1" applyBorder="1" applyAlignment="1">
      <alignment horizontal="left" vertical="center" wrapText="1"/>
    </xf>
    <xf numFmtId="0" fontId="3" fillId="3" borderId="47" xfId="2" applyFont="1" applyFill="1" applyBorder="1" applyAlignment="1">
      <alignment horizontal="left" vertical="center" wrapText="1"/>
    </xf>
    <xf numFmtId="0" fontId="14" fillId="3" borderId="28" xfId="2" applyFont="1" applyFill="1" applyBorder="1" applyAlignment="1">
      <alignment horizontal="center" vertical="center"/>
    </xf>
    <xf numFmtId="0" fontId="14" fillId="3" borderId="1" xfId="2" applyFont="1" applyFill="1" applyBorder="1" applyAlignment="1">
      <alignment horizontal="center" vertical="center"/>
    </xf>
    <xf numFmtId="0" fontId="3" fillId="3" borderId="40" xfId="2" applyFont="1" applyFill="1" applyBorder="1" applyAlignment="1">
      <alignment vertical="center"/>
    </xf>
    <xf numFmtId="0" fontId="3" fillId="3" borderId="41" xfId="2" applyFont="1" applyFill="1" applyBorder="1" applyAlignment="1">
      <alignment vertical="center"/>
    </xf>
    <xf numFmtId="2" fontId="10" fillId="2" borderId="71" xfId="2" applyNumberFormat="1" applyFont="1" applyFill="1" applyBorder="1" applyAlignment="1" applyProtection="1">
      <alignment horizontal="left" vertical="center"/>
      <protection locked="0"/>
    </xf>
    <xf numFmtId="2" fontId="10" fillId="2" borderId="35" xfId="2" applyNumberFormat="1" applyFont="1" applyFill="1" applyBorder="1" applyAlignment="1" applyProtection="1">
      <alignment horizontal="left" vertical="center"/>
      <protection locked="0"/>
    </xf>
    <xf numFmtId="2" fontId="10" fillId="2" borderId="32" xfId="2" applyNumberFormat="1" applyFont="1" applyFill="1" applyBorder="1" applyAlignment="1" applyProtection="1">
      <alignment horizontal="left" vertical="center"/>
      <protection locked="0"/>
    </xf>
    <xf numFmtId="0" fontId="58" fillId="0" borderId="71" xfId="11" applyFont="1" applyBorder="1" applyAlignment="1">
      <alignment horizontal="center" vertical="center"/>
    </xf>
    <xf numFmtId="0" fontId="58" fillId="0" borderId="35" xfId="11" applyFont="1" applyBorder="1" applyAlignment="1">
      <alignment horizontal="center" vertical="center"/>
    </xf>
    <xf numFmtId="0" fontId="58" fillId="0" borderId="32" xfId="11" applyFont="1" applyBorder="1" applyAlignment="1">
      <alignment horizontal="center" vertical="center"/>
    </xf>
    <xf numFmtId="170" fontId="3" fillId="3" borderId="51" xfId="2" applyNumberFormat="1" applyFont="1" applyFill="1" applyBorder="1" applyAlignment="1">
      <alignment horizontal="center" vertical="center"/>
    </xf>
    <xf numFmtId="170" fontId="3" fillId="3" borderId="52" xfId="2" applyNumberFormat="1" applyFont="1" applyFill="1" applyBorder="1" applyAlignment="1">
      <alignment horizontal="center" vertical="center"/>
    </xf>
    <xf numFmtId="0" fontId="32" fillId="3" borderId="59" xfId="2" applyFont="1" applyFill="1" applyBorder="1" applyAlignment="1">
      <alignment horizontal="center" vertical="center"/>
    </xf>
    <xf numFmtId="0" fontId="32" fillId="3" borderId="63" xfId="2" applyFont="1" applyFill="1" applyBorder="1" applyAlignment="1">
      <alignment horizontal="center" vertical="center"/>
    </xf>
    <xf numFmtId="0" fontId="32" fillId="3" borderId="60" xfId="2" applyFont="1" applyFill="1" applyBorder="1" applyAlignment="1">
      <alignment horizontal="center" vertical="center"/>
    </xf>
    <xf numFmtId="0" fontId="32" fillId="3" borderId="28" xfId="2" applyFont="1" applyFill="1" applyBorder="1" applyAlignment="1">
      <alignment horizontal="center" vertical="center"/>
    </xf>
    <xf numFmtId="0" fontId="32" fillId="3" borderId="1" xfId="2" applyFont="1" applyFill="1" applyBorder="1" applyAlignment="1">
      <alignment horizontal="center" vertical="center"/>
    </xf>
    <xf numFmtId="0" fontId="32" fillId="3" borderId="46" xfId="2" applyFont="1" applyFill="1" applyBorder="1" applyAlignment="1">
      <alignment horizontal="center" vertical="center"/>
    </xf>
    <xf numFmtId="0" fontId="3" fillId="3" borderId="64" xfId="2" applyFont="1" applyFill="1" applyBorder="1" applyAlignment="1">
      <alignment horizontal="center" vertical="center" wrapText="1"/>
    </xf>
    <xf numFmtId="0" fontId="3" fillId="3" borderId="56" xfId="2" applyFont="1" applyFill="1" applyBorder="1" applyAlignment="1">
      <alignment horizontal="center" vertical="center" wrapText="1"/>
    </xf>
    <xf numFmtId="0" fontId="3" fillId="3" borderId="6" xfId="2" applyFont="1" applyFill="1" applyBorder="1" applyAlignment="1">
      <alignment horizontal="center" vertical="center" wrapText="1"/>
    </xf>
    <xf numFmtId="0" fontId="3" fillId="3" borderId="15" xfId="2" applyFont="1" applyFill="1" applyBorder="1" applyAlignment="1">
      <alignment horizontal="center" vertical="center" wrapText="1"/>
    </xf>
    <xf numFmtId="0" fontId="3" fillId="3" borderId="0" xfId="2" applyFont="1" applyFill="1" applyAlignment="1">
      <alignment horizontal="center" vertical="center" wrapText="1"/>
    </xf>
    <xf numFmtId="0" fontId="3" fillId="3" borderId="31" xfId="2" applyFont="1" applyFill="1" applyBorder="1" applyAlignment="1">
      <alignment horizontal="center" vertical="center" wrapText="1"/>
    </xf>
    <xf numFmtId="0" fontId="3" fillId="3" borderId="20" xfId="2" applyFont="1" applyFill="1" applyBorder="1" applyAlignment="1">
      <alignment horizontal="center" vertical="center" wrapText="1"/>
    </xf>
    <xf numFmtId="0" fontId="3" fillId="3" borderId="21" xfId="2" applyFont="1" applyFill="1" applyBorder="1" applyAlignment="1">
      <alignment horizontal="center" vertical="center" wrapText="1"/>
    </xf>
    <xf numFmtId="0" fontId="3" fillId="3" borderId="68" xfId="2" applyFont="1" applyFill="1" applyBorder="1" applyAlignment="1">
      <alignment horizontal="center" vertical="center" wrapText="1"/>
    </xf>
    <xf numFmtId="44" fontId="10" fillId="5" borderId="17" xfId="2" applyNumberFormat="1" applyFont="1" applyFill="1" applyBorder="1" applyAlignment="1">
      <alignment horizontal="center" vertical="center"/>
    </xf>
    <xf numFmtId="44" fontId="10" fillId="5" borderId="47" xfId="2" applyNumberFormat="1" applyFont="1" applyFill="1" applyBorder="1" applyAlignment="1">
      <alignment horizontal="center" vertical="center"/>
    </xf>
    <xf numFmtId="2" fontId="10" fillId="3" borderId="57" xfId="2" applyNumberFormat="1" applyFont="1" applyFill="1" applyBorder="1" applyAlignment="1">
      <alignment horizontal="center" vertical="center"/>
    </xf>
    <xf numFmtId="2" fontId="10" fillId="3" borderId="0" xfId="2" applyNumberFormat="1" applyFont="1" applyFill="1" applyAlignment="1">
      <alignment horizontal="center" vertical="center"/>
    </xf>
    <xf numFmtId="2" fontId="10" fillId="3" borderId="16" xfId="2" applyNumberFormat="1" applyFont="1" applyFill="1" applyBorder="1" applyAlignment="1">
      <alignment horizontal="center" vertical="center"/>
    </xf>
    <xf numFmtId="0" fontId="5" fillId="3" borderId="28" xfId="2" applyFont="1" applyFill="1" applyBorder="1" applyAlignment="1">
      <alignment horizontal="left" vertical="center"/>
    </xf>
    <xf numFmtId="0" fontId="5" fillId="3" borderId="1" xfId="2" applyFont="1" applyFill="1" applyBorder="1" applyAlignment="1">
      <alignment horizontal="left" vertical="center"/>
    </xf>
    <xf numFmtId="0" fontId="5" fillId="3" borderId="46" xfId="2" applyFont="1" applyFill="1" applyBorder="1" applyAlignment="1">
      <alignment horizontal="left" vertical="center"/>
    </xf>
    <xf numFmtId="44" fontId="5" fillId="5" borderId="28" xfId="2" applyNumberFormat="1" applyFont="1" applyFill="1" applyBorder="1" applyAlignment="1">
      <alignment horizontal="center" vertical="center" wrapText="1"/>
    </xf>
    <xf numFmtId="44" fontId="5" fillId="5" borderId="46" xfId="2" applyNumberFormat="1" applyFont="1" applyFill="1" applyBorder="1" applyAlignment="1">
      <alignment horizontal="center" vertical="center" wrapText="1"/>
    </xf>
    <xf numFmtId="0" fontId="0" fillId="3" borderId="21" xfId="0" applyFill="1" applyBorder="1" applyAlignment="1">
      <alignment horizontal="center"/>
    </xf>
    <xf numFmtId="0" fontId="29" fillId="2" borderId="40" xfId="0" applyFont="1" applyFill="1" applyBorder="1" applyAlignment="1">
      <alignment horizontal="center" vertical="center"/>
    </xf>
    <xf numFmtId="0" fontId="29" fillId="2" borderId="41" xfId="0" applyFont="1" applyFill="1" applyBorder="1" applyAlignment="1">
      <alignment horizontal="center" vertical="center"/>
    </xf>
    <xf numFmtId="0" fontId="29" fillId="2" borderId="42" xfId="0" applyFont="1" applyFill="1" applyBorder="1" applyAlignment="1">
      <alignment horizontal="center" vertical="center"/>
    </xf>
    <xf numFmtId="0" fontId="29" fillId="2" borderId="62" xfId="0" applyFont="1" applyFill="1" applyBorder="1" applyAlignment="1">
      <alignment horizontal="center" vertical="center"/>
    </xf>
    <xf numFmtId="0" fontId="17" fillId="2" borderId="25" xfId="0" applyFont="1" applyFill="1" applyBorder="1" applyAlignment="1">
      <alignment horizontal="center" vertical="center" textRotation="90" wrapText="1"/>
    </xf>
    <xf numFmtId="0" fontId="17" fillId="2" borderId="78" xfId="0" applyFont="1" applyFill="1" applyBorder="1" applyAlignment="1">
      <alignment horizontal="center" vertical="center" textRotation="90" wrapText="1"/>
    </xf>
    <xf numFmtId="0" fontId="17" fillId="2" borderId="26" xfId="0" applyFont="1" applyFill="1" applyBorder="1" applyAlignment="1">
      <alignment horizontal="center" vertical="center" textRotation="90" wrapText="1"/>
    </xf>
    <xf numFmtId="0" fontId="0" fillId="2" borderId="3" xfId="0" applyFill="1" applyBorder="1" applyAlignment="1">
      <alignment horizontal="right"/>
    </xf>
    <xf numFmtId="0" fontId="0" fillId="2" borderId="1" xfId="0" applyFill="1" applyBorder="1" applyAlignment="1">
      <alignment horizontal="right"/>
    </xf>
    <xf numFmtId="0" fontId="0" fillId="2" borderId="3" xfId="0" applyFill="1" applyBorder="1" applyAlignment="1">
      <alignment horizontal="center" vertical="center"/>
    </xf>
    <xf numFmtId="0" fontId="0" fillId="2" borderId="50" xfId="0" applyFill="1" applyBorder="1" applyAlignment="1">
      <alignment horizontal="center" vertical="center"/>
    </xf>
    <xf numFmtId="0" fontId="0" fillId="0" borderId="1" xfId="0" applyBorder="1" applyAlignment="1">
      <alignment horizontal="center" vertical="center"/>
    </xf>
    <xf numFmtId="0" fontId="0" fillId="0" borderId="23" xfId="0" applyBorder="1" applyAlignment="1">
      <alignment horizontal="center" vertical="center"/>
    </xf>
    <xf numFmtId="0" fontId="0" fillId="0" borderId="30"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left" vertical="center"/>
    </xf>
    <xf numFmtId="0" fontId="0" fillId="0" borderId="23" xfId="0" applyBorder="1" applyAlignment="1">
      <alignment horizontal="center"/>
    </xf>
    <xf numFmtId="0" fontId="0" fillId="0" borderId="3" xfId="0" applyBorder="1" applyAlignment="1">
      <alignment horizontal="center"/>
    </xf>
    <xf numFmtId="0" fontId="0" fillId="0" borderId="0" xfId="0" applyAlignment="1">
      <alignment horizontal="left" vertical="center" wrapText="1"/>
    </xf>
    <xf numFmtId="0" fontId="47" fillId="0" borderId="0" xfId="11" applyAlignment="1">
      <alignment horizontal="left"/>
    </xf>
    <xf numFmtId="0" fontId="0" fillId="0" borderId="1" xfId="0" applyBorder="1" applyAlignment="1">
      <alignment horizontal="left" vertical="center" wrapText="1"/>
    </xf>
    <xf numFmtId="0" fontId="0" fillId="0" borderId="1" xfId="0" applyBorder="1" applyAlignment="1">
      <alignment horizontal="left"/>
    </xf>
    <xf numFmtId="0" fontId="17" fillId="0" borderId="1" xfId="0" applyFont="1" applyBorder="1" applyAlignment="1">
      <alignment horizontal="left"/>
    </xf>
    <xf numFmtId="0" fontId="17" fillId="0" borderId="23" xfId="0" applyFont="1" applyBorder="1" applyAlignment="1">
      <alignment horizontal="center"/>
    </xf>
    <xf numFmtId="0" fontId="17" fillId="0" borderId="3" xfId="0" applyFont="1" applyBorder="1" applyAlignment="1">
      <alignment horizontal="center"/>
    </xf>
    <xf numFmtId="0" fontId="56" fillId="0" borderId="0" xfId="0" applyFont="1" applyAlignment="1">
      <alignment horizontal="center" vertical="center"/>
    </xf>
    <xf numFmtId="0" fontId="22" fillId="2" borderId="0" xfId="0" applyFont="1" applyFill="1" applyAlignment="1">
      <alignment horizontal="center"/>
    </xf>
    <xf numFmtId="0" fontId="22" fillId="2" borderId="0" xfId="0" applyFont="1" applyFill="1" applyAlignment="1">
      <alignment horizontal="left"/>
    </xf>
    <xf numFmtId="0" fontId="48" fillId="2" borderId="0" xfId="11" applyFont="1" applyFill="1" applyAlignment="1">
      <alignment horizontal="right"/>
    </xf>
    <xf numFmtId="0" fontId="22" fillId="2" borderId="0" xfId="0" applyFont="1" applyFill="1" applyAlignment="1">
      <alignment horizontal="left" vertical="center" wrapText="1"/>
    </xf>
    <xf numFmtId="0" fontId="36" fillId="2" borderId="0" xfId="0" applyFont="1" applyFill="1" applyAlignment="1">
      <alignment horizontal="left"/>
    </xf>
    <xf numFmtId="0" fontId="36" fillId="2" borderId="0" xfId="0" applyFont="1" applyFill="1" applyAlignment="1">
      <alignment horizontal="center" vertical="center"/>
    </xf>
    <xf numFmtId="0" fontId="22" fillId="2" borderId="0" xfId="0" applyFont="1" applyFill="1" applyAlignment="1">
      <alignment horizontal="left" vertical="top" wrapText="1"/>
    </xf>
    <xf numFmtId="0" fontId="49" fillId="2" borderId="0" xfId="0" applyFont="1" applyFill="1" applyAlignment="1">
      <alignment horizontal="center" vertical="center"/>
    </xf>
    <xf numFmtId="0" fontId="22" fillId="2" borderId="51" xfId="5" applyFont="1" applyFill="1" applyBorder="1" applyAlignment="1">
      <alignment horizontal="left"/>
    </xf>
    <xf numFmtId="0" fontId="22" fillId="2" borderId="52" xfId="5" applyFont="1" applyFill="1" applyBorder="1" applyAlignment="1">
      <alignment horizontal="left"/>
    </xf>
    <xf numFmtId="0" fontId="18" fillId="7" borderId="59" xfId="5" applyFont="1" applyFill="1" applyBorder="1" applyAlignment="1">
      <alignment horizontal="left"/>
    </xf>
    <xf numFmtId="0" fontId="18" fillId="7" borderId="63" xfId="5" applyFont="1" applyFill="1" applyBorder="1" applyAlignment="1">
      <alignment horizontal="left"/>
    </xf>
    <xf numFmtId="0" fontId="18" fillId="7" borderId="60" xfId="5" applyFont="1" applyFill="1" applyBorder="1" applyAlignment="1">
      <alignment horizontal="left"/>
    </xf>
    <xf numFmtId="0" fontId="22" fillId="2" borderId="28" xfId="5" applyFont="1" applyFill="1" applyBorder="1" applyAlignment="1">
      <alignment horizontal="left"/>
    </xf>
    <xf numFmtId="0" fontId="22" fillId="2" borderId="1" xfId="5" applyFont="1" applyFill="1" applyBorder="1" applyAlignment="1">
      <alignment horizontal="left"/>
    </xf>
    <xf numFmtId="0" fontId="22" fillId="2" borderId="46" xfId="5" applyFont="1" applyFill="1" applyBorder="1" applyAlignment="1">
      <alignment horizontal="left"/>
    </xf>
    <xf numFmtId="0" fontId="22" fillId="2" borderId="53" xfId="5" applyFont="1" applyFill="1" applyBorder="1" applyAlignment="1">
      <alignment horizontal="left"/>
    </xf>
    <xf numFmtId="0" fontId="17" fillId="9" borderId="59" xfId="0" applyFont="1" applyFill="1" applyBorder="1"/>
    <xf numFmtId="0" fontId="17" fillId="9" borderId="60" xfId="0" applyFont="1" applyFill="1" applyBorder="1"/>
    <xf numFmtId="0" fontId="17" fillId="2" borderId="43" xfId="0" applyFont="1" applyFill="1" applyBorder="1"/>
    <xf numFmtId="0" fontId="17" fillId="2" borderId="45" xfId="0" applyFont="1" applyFill="1" applyBorder="1"/>
    <xf numFmtId="0" fontId="26" fillId="9" borderId="17" xfId="0" applyFont="1" applyFill="1" applyBorder="1" applyAlignment="1">
      <alignment horizontal="left"/>
    </xf>
    <xf numFmtId="0" fontId="26" fillId="9" borderId="47" xfId="0" applyFont="1" applyFill="1" applyBorder="1" applyAlignment="1">
      <alignment horizontal="left"/>
    </xf>
  </cellXfs>
  <cellStyles count="13">
    <cellStyle name="Currency" xfId="1" builtinId="4"/>
    <cellStyle name="Currency 2" xfId="6" xr:uid="{2800CA73-A752-4263-8D78-0F714433584E}"/>
    <cellStyle name="Currency 2 2" xfId="8" xr:uid="{9FEB6242-9F29-4EA4-B61F-82CB4FEDCA55}"/>
    <cellStyle name="Currency 3" xfId="3" xr:uid="{E738330B-3C4B-4D82-BF97-1D7ABF652E88}"/>
    <cellStyle name="Currency 4" xfId="12" xr:uid="{A924F24D-D230-4E45-B72A-E043276B7AFC}"/>
    <cellStyle name="Hyperlink" xfId="11" builtinId="8"/>
    <cellStyle name="Hyperlink 2" xfId="10" xr:uid="{07487FD5-944F-4CD2-876F-DD71069B038D}"/>
    <cellStyle name="Normal" xfId="0" builtinId="0"/>
    <cellStyle name="Normal 2" xfId="5" xr:uid="{9E243402-6172-4704-B3E0-F7004D7B61E8}"/>
    <cellStyle name="Normal 3" xfId="4" xr:uid="{82BA8019-1716-471F-AE80-55969D00D4AB}"/>
    <cellStyle name="Normal 5" xfId="9" xr:uid="{355BAE4D-64A2-49C4-819E-4883584A0213}"/>
    <cellStyle name="Normal 7" xfId="2" xr:uid="{762588F1-C23B-4202-BE97-B189D55CDF85}"/>
    <cellStyle name="Per cent" xfId="7" builtinId="5"/>
  </cellStyles>
  <dxfs count="909">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FF0000"/>
      </font>
    </dxf>
    <dxf>
      <font>
        <b/>
        <i val="0"/>
        <color theme="0"/>
      </font>
      <fill>
        <patternFill>
          <bgColor rgb="FFFF0000"/>
        </patternFill>
      </fill>
      <border>
        <left style="thin">
          <color auto="1"/>
        </left>
        <right style="thin">
          <color auto="1"/>
        </right>
        <top style="thin">
          <color auto="1"/>
        </top>
        <bottom style="thin">
          <color auto="1"/>
        </bottom>
        <vertical/>
        <horizontal/>
      </border>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FFC000"/>
        </patternFill>
      </fill>
    </dxf>
    <dxf>
      <font>
        <b/>
        <i val="0"/>
        <color theme="0"/>
      </font>
      <fill>
        <patternFill>
          <bgColor rgb="FFFF0000"/>
        </patternFill>
      </fill>
    </dxf>
    <dxf>
      <font>
        <b/>
        <i val="0"/>
      </font>
      <fill>
        <patternFill>
          <bgColor rgb="FF92D05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14996795556505021"/>
      </font>
    </dxf>
    <dxf>
      <font>
        <color theme="0" tint="-0.1499679555650502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border>
    </dxf>
    <dxf>
      <fill>
        <patternFill>
          <bgColor rgb="FFFFFF00"/>
        </patternFill>
      </fill>
    </dxf>
    <dxf>
      <fill>
        <patternFill>
          <bgColor rgb="FFFFFF00"/>
        </patternFill>
      </fill>
    </dxf>
    <dxf>
      <fill>
        <patternFill>
          <bgColor rgb="FFFFFF00"/>
        </patternFill>
      </fill>
    </dxf>
    <dxf>
      <font>
        <color theme="0"/>
      </font>
      <fill>
        <patternFill>
          <bgColor rgb="FFFF00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0"/>
      </font>
      <fill>
        <patternFill>
          <bgColor rgb="FFFF0000"/>
        </patternFill>
      </fill>
    </dxf>
    <dxf>
      <font>
        <b/>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27</xdr:col>
      <xdr:colOff>101600</xdr:colOff>
      <xdr:row>0</xdr:row>
      <xdr:rowOff>76200</xdr:rowOff>
    </xdr:from>
    <xdr:to>
      <xdr:col>27</xdr:col>
      <xdr:colOff>1587500</xdr:colOff>
      <xdr:row>0</xdr:row>
      <xdr:rowOff>368300</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27</xdr:col>
      <xdr:colOff>1701800</xdr:colOff>
      <xdr:row>0</xdr:row>
      <xdr:rowOff>88900</xdr:rowOff>
    </xdr:from>
    <xdr:to>
      <xdr:col>28</xdr:col>
      <xdr:colOff>63500</xdr:colOff>
      <xdr:row>0</xdr:row>
      <xdr:rowOff>368300</xdr:rowOff>
    </xdr:to>
    <xdr:sp macro="" textlink="">
      <xdr:nvSpPr>
        <xdr:cNvPr id="9221" name="SpellCheck_Sheet" hidden="1">
          <a:extLst>
            <a:ext uri="{63B3BB69-23CF-44E3-9099-C40C66FF867C}">
              <a14:compatExt xmlns:a14="http://schemas.microsoft.com/office/drawing/2010/main"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27</xdr:col>
      <xdr:colOff>101600</xdr:colOff>
      <xdr:row>0</xdr:row>
      <xdr:rowOff>76200</xdr:rowOff>
    </xdr:from>
    <xdr:to>
      <xdr:col>27</xdr:col>
      <xdr:colOff>1587500</xdr:colOff>
      <xdr:row>0</xdr:row>
      <xdr:rowOff>368300</xdr:rowOff>
    </xdr:to>
    <xdr:pic>
      <xdr:nvPicPr>
        <xdr:cNvPr id="2" name="CommandButton1">
          <a:extLst>
            <a:ext uri="{FF2B5EF4-FFF2-40B4-BE49-F238E27FC236}">
              <a16:creationId xmlns:a16="http://schemas.microsoft.com/office/drawing/2014/main" id="{7D2D3C09-2F19-9318-E13B-C6FFFB13F43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02700" y="76200"/>
          <a:ext cx="14859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27</xdr:col>
      <xdr:colOff>1701800</xdr:colOff>
      <xdr:row>0</xdr:row>
      <xdr:rowOff>88900</xdr:rowOff>
    </xdr:from>
    <xdr:to>
      <xdr:col>28</xdr:col>
      <xdr:colOff>63500</xdr:colOff>
      <xdr:row>0</xdr:row>
      <xdr:rowOff>368300</xdr:rowOff>
    </xdr:to>
    <xdr:pic>
      <xdr:nvPicPr>
        <xdr:cNvPr id="3" name="SpellCheck_Sheet">
          <a:extLst>
            <a:ext uri="{FF2B5EF4-FFF2-40B4-BE49-F238E27FC236}">
              <a16:creationId xmlns:a16="http://schemas.microsoft.com/office/drawing/2014/main" id="{477E727F-798F-2EA6-E0C6-7F721C3A0FA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502900" y="88900"/>
          <a:ext cx="1803400" cy="279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76200</xdr:colOff>
      <xdr:row>0</xdr:row>
      <xdr:rowOff>63500</xdr:rowOff>
    </xdr:from>
    <xdr:to>
      <xdr:col>22</xdr:col>
      <xdr:colOff>1549400</xdr:colOff>
      <xdr:row>0</xdr:row>
      <xdr:rowOff>444500</xdr:rowOff>
    </xdr:to>
    <xdr:sp macro="" textlink="">
      <xdr:nvSpPr>
        <xdr:cNvPr id="2056" name="CommandButton1" hidden="1">
          <a:extLst>
            <a:ext uri="{63B3BB69-23CF-44E3-9099-C40C66FF867C}">
              <a14:compatExt xmlns:a14="http://schemas.microsoft.com/office/drawing/2010/main"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241300</xdr:colOff>
      <xdr:row>19</xdr:row>
      <xdr:rowOff>25400</xdr:rowOff>
    </xdr:from>
    <xdr:to>
      <xdr:col>11</xdr:col>
      <xdr:colOff>0</xdr:colOff>
      <xdr:row>20</xdr:row>
      <xdr:rowOff>0</xdr:rowOff>
    </xdr:to>
    <xdr:sp macro="" textlink="">
      <xdr:nvSpPr>
        <xdr:cNvPr id="2062" name="Preparation_Section_Zero" hidden="1">
          <a:extLst>
            <a:ext uri="{63B3BB69-23CF-44E3-9099-C40C66FF867C}">
              <a14:compatExt xmlns:a14="http://schemas.microsoft.com/office/drawing/2010/main"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228600</xdr:colOff>
      <xdr:row>27</xdr:row>
      <xdr:rowOff>25400</xdr:rowOff>
    </xdr:from>
    <xdr:to>
      <xdr:col>10</xdr:col>
      <xdr:colOff>800100</xdr:colOff>
      <xdr:row>28</xdr:row>
      <xdr:rowOff>0</xdr:rowOff>
    </xdr:to>
    <xdr:sp macro="" textlink="">
      <xdr:nvSpPr>
        <xdr:cNvPr id="2063" name="Stripout_Section_Zero" hidden="1">
          <a:extLst>
            <a:ext uri="{63B3BB69-23CF-44E3-9099-C40C66FF867C}">
              <a14:compatExt xmlns:a14="http://schemas.microsoft.com/office/drawing/2010/main"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228600</xdr:colOff>
      <xdr:row>40</xdr:row>
      <xdr:rowOff>25400</xdr:rowOff>
    </xdr:from>
    <xdr:to>
      <xdr:col>10</xdr:col>
      <xdr:colOff>800100</xdr:colOff>
      <xdr:row>41</xdr:row>
      <xdr:rowOff>0</xdr:rowOff>
    </xdr:to>
    <xdr:sp macro="" textlink="">
      <xdr:nvSpPr>
        <xdr:cNvPr id="2064" name="Walls_Section_Zero" hidden="1">
          <a:extLst>
            <a:ext uri="{63B3BB69-23CF-44E3-9099-C40C66FF867C}">
              <a14:compatExt xmlns:a14="http://schemas.microsoft.com/office/drawing/2010/main"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228600</xdr:colOff>
      <xdr:row>56</xdr:row>
      <xdr:rowOff>12700</xdr:rowOff>
    </xdr:from>
    <xdr:to>
      <xdr:col>10</xdr:col>
      <xdr:colOff>800100</xdr:colOff>
      <xdr:row>56</xdr:row>
      <xdr:rowOff>304800</xdr:rowOff>
    </xdr:to>
    <xdr:sp macro="" textlink="">
      <xdr:nvSpPr>
        <xdr:cNvPr id="2065" name="Tanking_Section_Zero" hidden="1">
          <a:extLst>
            <a:ext uri="{63B3BB69-23CF-44E3-9099-C40C66FF867C}">
              <a14:compatExt xmlns:a14="http://schemas.microsoft.com/office/drawing/2010/main"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228600</xdr:colOff>
      <xdr:row>63</xdr:row>
      <xdr:rowOff>25400</xdr:rowOff>
    </xdr:from>
    <xdr:to>
      <xdr:col>10</xdr:col>
      <xdr:colOff>800100</xdr:colOff>
      <xdr:row>64</xdr:row>
      <xdr:rowOff>0</xdr:rowOff>
    </xdr:to>
    <xdr:sp macro="" textlink="">
      <xdr:nvSpPr>
        <xdr:cNvPr id="2066" name="Floor_Resin_Section_Zero" hidden="1">
          <a:extLst>
            <a:ext uri="{63B3BB69-23CF-44E3-9099-C40C66FF867C}">
              <a14:compatExt xmlns:a14="http://schemas.microsoft.com/office/drawing/2010/main"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241300</xdr:colOff>
      <xdr:row>69</xdr:row>
      <xdr:rowOff>25400</xdr:rowOff>
    </xdr:from>
    <xdr:to>
      <xdr:col>11</xdr:col>
      <xdr:colOff>0</xdr:colOff>
      <xdr:row>70</xdr:row>
      <xdr:rowOff>0</xdr:rowOff>
    </xdr:to>
    <xdr:sp macro="" textlink="">
      <xdr:nvSpPr>
        <xdr:cNvPr id="2067" name="Plastering_Section_Zero" hidden="1">
          <a:extLst>
            <a:ext uri="{63B3BB69-23CF-44E3-9099-C40C66FF867C}">
              <a14:compatExt xmlns:a14="http://schemas.microsoft.com/office/drawing/2010/main"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241300</xdr:colOff>
      <xdr:row>80</xdr:row>
      <xdr:rowOff>25400</xdr:rowOff>
    </xdr:from>
    <xdr:to>
      <xdr:col>11</xdr:col>
      <xdr:colOff>0</xdr:colOff>
      <xdr:row>81</xdr:row>
      <xdr:rowOff>12700</xdr:rowOff>
    </xdr:to>
    <xdr:sp macro="" textlink="">
      <xdr:nvSpPr>
        <xdr:cNvPr id="2070" name="Floor_Joists_Section_Zero" hidden="1">
          <a:extLst>
            <a:ext uri="{63B3BB69-23CF-44E3-9099-C40C66FF867C}">
              <a14:compatExt xmlns:a14="http://schemas.microsoft.com/office/drawing/2010/main"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228600</xdr:colOff>
      <xdr:row>92</xdr:row>
      <xdr:rowOff>25400</xdr:rowOff>
    </xdr:from>
    <xdr:to>
      <xdr:col>10</xdr:col>
      <xdr:colOff>800100</xdr:colOff>
      <xdr:row>93</xdr:row>
      <xdr:rowOff>0</xdr:rowOff>
    </xdr:to>
    <xdr:sp macro="" textlink="">
      <xdr:nvSpPr>
        <xdr:cNvPr id="2071" name="Floor_Deck_Section_Zero" hidden="1">
          <a:extLst>
            <a:ext uri="{63B3BB69-23CF-44E3-9099-C40C66FF867C}">
              <a14:compatExt xmlns:a14="http://schemas.microsoft.com/office/drawing/2010/main"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228600</xdr:colOff>
      <xdr:row>102</xdr:row>
      <xdr:rowOff>12700</xdr:rowOff>
    </xdr:from>
    <xdr:to>
      <xdr:col>11</xdr:col>
      <xdr:colOff>0</xdr:colOff>
      <xdr:row>103</xdr:row>
      <xdr:rowOff>0</xdr:rowOff>
    </xdr:to>
    <xdr:sp macro="" textlink="">
      <xdr:nvSpPr>
        <xdr:cNvPr id="2072" name="Timber_Treatments_Section_Zero" hidden="1">
          <a:extLst>
            <a:ext uri="{63B3BB69-23CF-44E3-9099-C40C66FF867C}">
              <a14:compatExt xmlns:a14="http://schemas.microsoft.com/office/drawing/2010/main"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241300</xdr:colOff>
      <xdr:row>112</xdr:row>
      <xdr:rowOff>25400</xdr:rowOff>
    </xdr:from>
    <xdr:to>
      <xdr:col>11</xdr:col>
      <xdr:colOff>0</xdr:colOff>
      <xdr:row>113</xdr:row>
      <xdr:rowOff>0</xdr:rowOff>
    </xdr:to>
    <xdr:sp macro="" textlink="">
      <xdr:nvSpPr>
        <xdr:cNvPr id="2073" name="Airbricks_Section_Zero" hidden="1">
          <a:extLst>
            <a:ext uri="{63B3BB69-23CF-44E3-9099-C40C66FF867C}">
              <a14:compatExt xmlns:a14="http://schemas.microsoft.com/office/drawing/2010/main"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9</xdr:col>
      <xdr:colOff>228600</xdr:colOff>
      <xdr:row>118</xdr:row>
      <xdr:rowOff>12700</xdr:rowOff>
    </xdr:from>
    <xdr:to>
      <xdr:col>10</xdr:col>
      <xdr:colOff>800100</xdr:colOff>
      <xdr:row>118</xdr:row>
      <xdr:rowOff>304800</xdr:rowOff>
    </xdr:to>
    <xdr:sp macro="" textlink="">
      <xdr:nvSpPr>
        <xdr:cNvPr id="2075" name="Skip_Hire_Section_Zero" hidden="1">
          <a:extLst>
            <a:ext uri="{63B3BB69-23CF-44E3-9099-C40C66FF867C}">
              <a14:compatExt xmlns:a14="http://schemas.microsoft.com/office/drawing/2010/main"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22</xdr:col>
      <xdr:colOff>76200</xdr:colOff>
      <xdr:row>0</xdr:row>
      <xdr:rowOff>63500</xdr:rowOff>
    </xdr:from>
    <xdr:to>
      <xdr:col>22</xdr:col>
      <xdr:colOff>1549400</xdr:colOff>
      <xdr:row>0</xdr:row>
      <xdr:rowOff>444500</xdr:rowOff>
    </xdr:to>
    <xdr:pic>
      <xdr:nvPicPr>
        <xdr:cNvPr id="2" name="CommandButton1">
          <a:extLst>
            <a:ext uri="{FF2B5EF4-FFF2-40B4-BE49-F238E27FC236}">
              <a16:creationId xmlns:a16="http://schemas.microsoft.com/office/drawing/2014/main" id="{1C5AA070-5EA4-344E-835E-DFFD3EF4F0C6}"/>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0" y="63500"/>
          <a:ext cx="1473200" cy="381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241300</xdr:colOff>
      <xdr:row>19</xdr:row>
      <xdr:rowOff>25400</xdr:rowOff>
    </xdr:from>
    <xdr:to>
      <xdr:col>11</xdr:col>
      <xdr:colOff>0</xdr:colOff>
      <xdr:row>20</xdr:row>
      <xdr:rowOff>0</xdr:rowOff>
    </xdr:to>
    <xdr:pic>
      <xdr:nvPicPr>
        <xdr:cNvPr id="3" name="Preparation_Section_Zero">
          <a:extLst>
            <a:ext uri="{FF2B5EF4-FFF2-40B4-BE49-F238E27FC236}">
              <a16:creationId xmlns:a16="http://schemas.microsoft.com/office/drawing/2014/main" id="{AD0B1551-8405-A1D1-8103-8F8FFEEBA9C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27800" y="1333500"/>
          <a:ext cx="10795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228600</xdr:colOff>
      <xdr:row>27</xdr:row>
      <xdr:rowOff>25400</xdr:rowOff>
    </xdr:from>
    <xdr:to>
      <xdr:col>10</xdr:col>
      <xdr:colOff>800100</xdr:colOff>
      <xdr:row>28</xdr:row>
      <xdr:rowOff>0</xdr:rowOff>
    </xdr:to>
    <xdr:pic>
      <xdr:nvPicPr>
        <xdr:cNvPr id="4" name="Stripout_Section_Zero">
          <a:extLst>
            <a:ext uri="{FF2B5EF4-FFF2-40B4-BE49-F238E27FC236}">
              <a16:creationId xmlns:a16="http://schemas.microsoft.com/office/drawing/2014/main" id="{FF8CBBD2-17AA-35AA-D68F-71477286A79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15100" y="2882900"/>
          <a:ext cx="9652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228600</xdr:colOff>
      <xdr:row>40</xdr:row>
      <xdr:rowOff>25400</xdr:rowOff>
    </xdr:from>
    <xdr:to>
      <xdr:col>10</xdr:col>
      <xdr:colOff>800100</xdr:colOff>
      <xdr:row>41</xdr:row>
      <xdr:rowOff>0</xdr:rowOff>
    </xdr:to>
    <xdr:pic>
      <xdr:nvPicPr>
        <xdr:cNvPr id="5" name="Walls_Section_Zero">
          <a:extLst>
            <a:ext uri="{FF2B5EF4-FFF2-40B4-BE49-F238E27FC236}">
              <a16:creationId xmlns:a16="http://schemas.microsoft.com/office/drawing/2014/main" id="{86E918F4-CC57-2A49-8572-2311CD58E32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15100" y="5549900"/>
          <a:ext cx="9652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228600</xdr:colOff>
      <xdr:row>56</xdr:row>
      <xdr:rowOff>12700</xdr:rowOff>
    </xdr:from>
    <xdr:to>
      <xdr:col>10</xdr:col>
      <xdr:colOff>800100</xdr:colOff>
      <xdr:row>56</xdr:row>
      <xdr:rowOff>304800</xdr:rowOff>
    </xdr:to>
    <xdr:pic>
      <xdr:nvPicPr>
        <xdr:cNvPr id="6" name="Tanking_Section_Zero">
          <a:extLst>
            <a:ext uri="{FF2B5EF4-FFF2-40B4-BE49-F238E27FC236}">
              <a16:creationId xmlns:a16="http://schemas.microsoft.com/office/drawing/2014/main" id="{AF992AFD-E084-B89D-D2D4-9C15877CBCC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15100" y="8610600"/>
          <a:ext cx="9652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228600</xdr:colOff>
      <xdr:row>63</xdr:row>
      <xdr:rowOff>25400</xdr:rowOff>
    </xdr:from>
    <xdr:to>
      <xdr:col>10</xdr:col>
      <xdr:colOff>800100</xdr:colOff>
      <xdr:row>64</xdr:row>
      <xdr:rowOff>0</xdr:rowOff>
    </xdr:to>
    <xdr:pic>
      <xdr:nvPicPr>
        <xdr:cNvPr id="7" name="Floor_Resin_Section_Zero">
          <a:extLst>
            <a:ext uri="{FF2B5EF4-FFF2-40B4-BE49-F238E27FC236}">
              <a16:creationId xmlns:a16="http://schemas.microsoft.com/office/drawing/2014/main" id="{E9AC237F-C04B-3BE3-226E-35AD5B6E39E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15100" y="9944100"/>
          <a:ext cx="9652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241300</xdr:colOff>
      <xdr:row>69</xdr:row>
      <xdr:rowOff>25400</xdr:rowOff>
    </xdr:from>
    <xdr:to>
      <xdr:col>11</xdr:col>
      <xdr:colOff>0</xdr:colOff>
      <xdr:row>70</xdr:row>
      <xdr:rowOff>0</xdr:rowOff>
    </xdr:to>
    <xdr:pic>
      <xdr:nvPicPr>
        <xdr:cNvPr id="8" name="Plastering_Section_Zero">
          <a:extLst>
            <a:ext uri="{FF2B5EF4-FFF2-40B4-BE49-F238E27FC236}">
              <a16:creationId xmlns:a16="http://schemas.microsoft.com/office/drawing/2014/main" id="{E9D71E39-BE86-2D29-6197-EAE6A49190B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27800" y="11112500"/>
          <a:ext cx="10795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241300</xdr:colOff>
      <xdr:row>80</xdr:row>
      <xdr:rowOff>25400</xdr:rowOff>
    </xdr:from>
    <xdr:to>
      <xdr:col>11</xdr:col>
      <xdr:colOff>0</xdr:colOff>
      <xdr:row>81</xdr:row>
      <xdr:rowOff>12700</xdr:rowOff>
    </xdr:to>
    <xdr:pic>
      <xdr:nvPicPr>
        <xdr:cNvPr id="9" name="Floor_Joists_Section_Zero">
          <a:extLst>
            <a:ext uri="{FF2B5EF4-FFF2-40B4-BE49-F238E27FC236}">
              <a16:creationId xmlns:a16="http://schemas.microsoft.com/office/drawing/2014/main" id="{571335B2-A059-C49E-7BBD-88E027A5E1F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27800" y="13233400"/>
          <a:ext cx="10795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228600</xdr:colOff>
      <xdr:row>92</xdr:row>
      <xdr:rowOff>25400</xdr:rowOff>
    </xdr:from>
    <xdr:to>
      <xdr:col>10</xdr:col>
      <xdr:colOff>800100</xdr:colOff>
      <xdr:row>93</xdr:row>
      <xdr:rowOff>0</xdr:rowOff>
    </xdr:to>
    <xdr:pic>
      <xdr:nvPicPr>
        <xdr:cNvPr id="10" name="Floor_Deck_Section_Zero">
          <a:extLst>
            <a:ext uri="{FF2B5EF4-FFF2-40B4-BE49-F238E27FC236}">
              <a16:creationId xmlns:a16="http://schemas.microsoft.com/office/drawing/2014/main" id="{6F665334-21E8-DDE9-50F4-BB063C42A06D}"/>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15100" y="15595600"/>
          <a:ext cx="9652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228600</xdr:colOff>
      <xdr:row>102</xdr:row>
      <xdr:rowOff>12700</xdr:rowOff>
    </xdr:from>
    <xdr:to>
      <xdr:col>11</xdr:col>
      <xdr:colOff>0</xdr:colOff>
      <xdr:row>103</xdr:row>
      <xdr:rowOff>0</xdr:rowOff>
    </xdr:to>
    <xdr:pic>
      <xdr:nvPicPr>
        <xdr:cNvPr id="11" name="Timber_Treatments_Section_Zero">
          <a:extLst>
            <a:ext uri="{FF2B5EF4-FFF2-40B4-BE49-F238E27FC236}">
              <a16:creationId xmlns:a16="http://schemas.microsoft.com/office/drawing/2014/main" id="{D803AB09-C651-3B07-DB73-4BB5B1E014BC}"/>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15100" y="17500600"/>
          <a:ext cx="1092200" cy="3048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241300</xdr:colOff>
      <xdr:row>112</xdr:row>
      <xdr:rowOff>25400</xdr:rowOff>
    </xdr:from>
    <xdr:to>
      <xdr:col>11</xdr:col>
      <xdr:colOff>0</xdr:colOff>
      <xdr:row>113</xdr:row>
      <xdr:rowOff>0</xdr:rowOff>
    </xdr:to>
    <xdr:pic>
      <xdr:nvPicPr>
        <xdr:cNvPr id="12" name="Airbricks_Section_Zero">
          <a:extLst>
            <a:ext uri="{FF2B5EF4-FFF2-40B4-BE49-F238E27FC236}">
              <a16:creationId xmlns:a16="http://schemas.microsoft.com/office/drawing/2014/main" id="{89D48C02-8A8A-EE7D-D15A-4217F590818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27800" y="19951700"/>
          <a:ext cx="10795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9</xdr:col>
      <xdr:colOff>228600</xdr:colOff>
      <xdr:row>118</xdr:row>
      <xdr:rowOff>12700</xdr:rowOff>
    </xdr:from>
    <xdr:to>
      <xdr:col>10</xdr:col>
      <xdr:colOff>800100</xdr:colOff>
      <xdr:row>118</xdr:row>
      <xdr:rowOff>304800</xdr:rowOff>
    </xdr:to>
    <xdr:pic>
      <xdr:nvPicPr>
        <xdr:cNvPr id="13" name="Skip_Hire_Section_Zero">
          <a:extLst>
            <a:ext uri="{FF2B5EF4-FFF2-40B4-BE49-F238E27FC236}">
              <a16:creationId xmlns:a16="http://schemas.microsoft.com/office/drawing/2014/main" id="{B0CD98F4-052E-20A2-9576-53CA7DA1F33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15100" y="21183600"/>
          <a:ext cx="965200" cy="2921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165100</xdr:colOff>
      <xdr:row>0</xdr:row>
      <xdr:rowOff>101600</xdr:rowOff>
    </xdr:from>
    <xdr:to>
      <xdr:col>10</xdr:col>
      <xdr:colOff>2819400</xdr:colOff>
      <xdr:row>0</xdr:row>
      <xdr:rowOff>469900</xdr:rowOff>
    </xdr:to>
    <xdr:sp macro="" textlink="">
      <xdr:nvSpPr>
        <xdr:cNvPr id="13313" name="CommandButton1" hidden="1">
          <a:extLst>
            <a:ext uri="{63B3BB69-23CF-44E3-9099-C40C66FF867C}">
              <a14:compatExt xmlns:a14="http://schemas.microsoft.com/office/drawing/2010/main"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165100</xdr:colOff>
      <xdr:row>0</xdr:row>
      <xdr:rowOff>101600</xdr:rowOff>
    </xdr:from>
    <xdr:to>
      <xdr:col>10</xdr:col>
      <xdr:colOff>2819400</xdr:colOff>
      <xdr:row>0</xdr:row>
      <xdr:rowOff>469900</xdr:rowOff>
    </xdr:to>
    <xdr:pic>
      <xdr:nvPicPr>
        <xdr:cNvPr id="2" name="CommandButton1">
          <a:extLst>
            <a:ext uri="{FF2B5EF4-FFF2-40B4-BE49-F238E27FC236}">
              <a16:creationId xmlns:a16="http://schemas.microsoft.com/office/drawing/2014/main" id="{091A0A16-F35A-9D69-2F42-ABC27D6957ED}"/>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0700" y="101600"/>
          <a:ext cx="2654300" cy="368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165100</xdr:colOff>
      <xdr:row>0</xdr:row>
      <xdr:rowOff>101600</xdr:rowOff>
    </xdr:from>
    <xdr:to>
      <xdr:col>10</xdr:col>
      <xdr:colOff>2819400</xdr:colOff>
      <xdr:row>0</xdr:row>
      <xdr:rowOff>469900</xdr:rowOff>
    </xdr:to>
    <xdr:sp macro="" textlink="">
      <xdr:nvSpPr>
        <xdr:cNvPr id="14337" name="CommandButton1" hidden="1">
          <a:extLst>
            <a:ext uri="{63B3BB69-23CF-44E3-9099-C40C66FF867C}">
              <a14:compatExt xmlns:a14="http://schemas.microsoft.com/office/drawing/2010/main" spid="_x0000_s14337"/>
            </a:ext>
            <a:ext uri="{FF2B5EF4-FFF2-40B4-BE49-F238E27FC236}">
              <a16:creationId xmlns:a16="http://schemas.microsoft.com/office/drawing/2014/main" id="{00000000-0008-0000-06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165100</xdr:colOff>
      <xdr:row>0</xdr:row>
      <xdr:rowOff>101600</xdr:rowOff>
    </xdr:from>
    <xdr:to>
      <xdr:col>10</xdr:col>
      <xdr:colOff>2819400</xdr:colOff>
      <xdr:row>0</xdr:row>
      <xdr:rowOff>469900</xdr:rowOff>
    </xdr:to>
    <xdr:pic>
      <xdr:nvPicPr>
        <xdr:cNvPr id="2" name="CommandButton1">
          <a:extLst>
            <a:ext uri="{FF2B5EF4-FFF2-40B4-BE49-F238E27FC236}">
              <a16:creationId xmlns:a16="http://schemas.microsoft.com/office/drawing/2014/main" id="{B53540CF-363F-E2AB-2CC7-BED35E9832A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70700" y="101600"/>
          <a:ext cx="2654300" cy="368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97</xdr:row>
      <xdr:rowOff>381001</xdr:rowOff>
    </xdr:from>
    <xdr:to>
      <xdr:col>12</xdr:col>
      <xdr:colOff>0</xdr:colOff>
      <xdr:row>101</xdr:row>
      <xdr:rowOff>47626</xdr:rowOff>
    </xdr:to>
    <xdr:sp macro="" textlink="">
      <xdr:nvSpPr>
        <xdr:cNvPr id="2" name="Callout: Left Arrow 1">
          <a:extLst>
            <a:ext uri="{FF2B5EF4-FFF2-40B4-BE49-F238E27FC236}">
              <a16:creationId xmlns:a16="http://schemas.microsoft.com/office/drawing/2014/main" id="{1E65A347-3070-4E02-ACFC-DD12764781CD}"/>
            </a:ext>
          </a:extLst>
        </xdr:cNvPr>
        <xdr:cNvSpPr/>
      </xdr:nvSpPr>
      <xdr:spPr>
        <a:xfrm>
          <a:off x="11296650" y="23660101"/>
          <a:ext cx="2390775" cy="666750"/>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into the email subject.</a:t>
          </a:r>
          <a:endParaRPr lang="en-GB" sz="1100" b="1">
            <a:solidFill>
              <a:sysClr val="windowText" lastClr="000000"/>
            </a:solidFill>
          </a:endParaRPr>
        </a:p>
      </xdr:txBody>
    </xdr:sp>
    <xdr:clientData/>
  </xdr:twoCellAnchor>
  <xdr:twoCellAnchor>
    <xdr:from>
      <xdr:col>8</xdr:col>
      <xdr:colOff>85725</xdr:colOff>
      <xdr:row>105</xdr:row>
      <xdr:rowOff>133350</xdr:rowOff>
    </xdr:from>
    <xdr:to>
      <xdr:col>12</xdr:col>
      <xdr:colOff>0</xdr:colOff>
      <xdr:row>109</xdr:row>
      <xdr:rowOff>85725</xdr:rowOff>
    </xdr:to>
    <xdr:sp macro="" textlink="">
      <xdr:nvSpPr>
        <xdr:cNvPr id="3" name="Callout: Left Arrow 2">
          <a:extLst>
            <a:ext uri="{FF2B5EF4-FFF2-40B4-BE49-F238E27FC236}">
              <a16:creationId xmlns:a16="http://schemas.microsoft.com/office/drawing/2014/main" id="{D76E378A-6D0E-4132-AF7A-9F2A3108A3E0}"/>
            </a:ext>
          </a:extLst>
        </xdr:cNvPr>
        <xdr:cNvSpPr/>
      </xdr:nvSpPr>
      <xdr:spPr>
        <a:xfrm>
          <a:off x="11334750" y="25365075"/>
          <a:ext cx="2352675" cy="71437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whole section into the email body.</a:t>
          </a:r>
          <a:endParaRPr lang="en-GB" sz="1100" b="1">
            <a:solidFill>
              <a:sysClr val="windowText" lastClr="000000"/>
            </a:solidFill>
          </a:endParaRPr>
        </a:p>
      </xdr:txBody>
    </xdr:sp>
    <xdr:clientData/>
  </xdr:twoCellAnchor>
  <xdr:twoCellAnchor>
    <xdr:from>
      <xdr:col>6</xdr:col>
      <xdr:colOff>47625</xdr:colOff>
      <xdr:row>99</xdr:row>
      <xdr:rowOff>381001</xdr:rowOff>
    </xdr:from>
    <xdr:to>
      <xdr:col>10</xdr:col>
      <xdr:colOff>0</xdr:colOff>
      <xdr:row>103</xdr:row>
      <xdr:rowOff>47626</xdr:rowOff>
    </xdr:to>
    <xdr:sp macro="" textlink="">
      <xdr:nvSpPr>
        <xdr:cNvPr id="4" name="Callout: Left Arrow 3">
          <a:extLst>
            <a:ext uri="{FF2B5EF4-FFF2-40B4-BE49-F238E27FC236}">
              <a16:creationId xmlns:a16="http://schemas.microsoft.com/office/drawing/2014/main" id="{B6BFBCC5-BBC5-4C1F-B574-53AD1A21BABC}"/>
            </a:ext>
          </a:extLst>
        </xdr:cNvPr>
        <xdr:cNvSpPr/>
      </xdr:nvSpPr>
      <xdr:spPr>
        <a:xfrm>
          <a:off x="10906125" y="20478751"/>
          <a:ext cx="2800350" cy="61912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into the email subject.</a:t>
          </a:r>
          <a:endParaRPr lang="en-GB" sz="1100" b="1">
            <a:solidFill>
              <a:sysClr val="windowText" lastClr="000000"/>
            </a:solidFill>
          </a:endParaRPr>
        </a:p>
      </xdr:txBody>
    </xdr:sp>
    <xdr:clientData/>
  </xdr:twoCellAnchor>
  <xdr:twoCellAnchor>
    <xdr:from>
      <xdr:col>6</xdr:col>
      <xdr:colOff>85725</xdr:colOff>
      <xdr:row>107</xdr:row>
      <xdr:rowOff>133350</xdr:rowOff>
    </xdr:from>
    <xdr:to>
      <xdr:col>10</xdr:col>
      <xdr:colOff>0</xdr:colOff>
      <xdr:row>111</xdr:row>
      <xdr:rowOff>85725</xdr:rowOff>
    </xdr:to>
    <xdr:sp macro="" textlink="">
      <xdr:nvSpPr>
        <xdr:cNvPr id="5" name="Callout: Left Arrow 4">
          <a:extLst>
            <a:ext uri="{FF2B5EF4-FFF2-40B4-BE49-F238E27FC236}">
              <a16:creationId xmlns:a16="http://schemas.microsoft.com/office/drawing/2014/main" id="{24FD98A7-2833-4E17-95E9-085D2DE3D2BA}"/>
            </a:ext>
          </a:extLst>
        </xdr:cNvPr>
        <xdr:cNvSpPr/>
      </xdr:nvSpPr>
      <xdr:spPr>
        <a:xfrm>
          <a:off x="10944225" y="21945600"/>
          <a:ext cx="2762250" cy="714375"/>
        </a:xfrm>
        <a:prstGeom prst="leftArrowCallou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ysClr val="windowText" lastClr="000000"/>
              </a:solidFill>
            </a:rPr>
            <a:t>Copy and paste</a:t>
          </a:r>
          <a:r>
            <a:rPr lang="en-GB" sz="1100" b="1" baseline="0">
              <a:solidFill>
                <a:sysClr val="windowText" lastClr="000000"/>
              </a:solidFill>
            </a:rPr>
            <a:t> this whole section into the email body.</a:t>
          </a:r>
          <a:endParaRPr lang="en-GB" sz="1100" b="1">
            <a:solidFill>
              <a:sysClr val="windowText" lastClr="000000"/>
            </a:solidFill>
          </a:endParaRPr>
        </a:p>
      </xdr:txBody>
    </xdr:sp>
    <xdr:clientData/>
  </xdr:twoCellAnchor>
  <xdr:twoCellAnchor>
    <xdr:from>
      <xdr:col>5</xdr:col>
      <xdr:colOff>333375</xdr:colOff>
      <xdr:row>1</xdr:row>
      <xdr:rowOff>57150</xdr:rowOff>
    </xdr:from>
    <xdr:to>
      <xdr:col>7</xdr:col>
      <xdr:colOff>238125</xdr:colOff>
      <xdr:row>8</xdr:row>
      <xdr:rowOff>76200</xdr:rowOff>
    </xdr:to>
    <xdr:sp macro="" textlink="">
      <xdr:nvSpPr>
        <xdr:cNvPr id="6" name="Arrow: Down 5">
          <a:extLst>
            <a:ext uri="{FF2B5EF4-FFF2-40B4-BE49-F238E27FC236}">
              <a16:creationId xmlns:a16="http://schemas.microsoft.com/office/drawing/2014/main" id="{F65F1D9C-72E4-45F5-9B7A-8C3D1F2F946A}"/>
            </a:ext>
          </a:extLst>
        </xdr:cNvPr>
        <xdr:cNvSpPr/>
      </xdr:nvSpPr>
      <xdr:spPr>
        <a:xfrm>
          <a:off x="10601325" y="180975"/>
          <a:ext cx="1514475" cy="1743075"/>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kern="1200"/>
            <a:t>Not part of print area</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northeastdampspecialists.sharepoint.com/sites/TyneTees/Shared%20Documents/Tyne%20Tees/Contractor%20Foreman%20Documents/1.Blank%20Work%20Sheet/1.Customer-Details-For-Linked-Documents.xlsm" TargetMode="External"/><Relationship Id="rId1" Type="http://schemas.openxmlformats.org/officeDocument/2006/relationships/externalLinkPath" Target="1.Customer-Details-For-Linked-Docume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etails"/>
      <sheetName val="Project Folder Process"/>
    </sheetNames>
    <sheetDataSet>
      <sheetData sheetId="0">
        <row r="4">
          <cell r="C4" t="str">
            <v>MAR57NE323AN</v>
          </cell>
        </row>
        <row r="7">
          <cell r="B7" t="str">
            <v>Client Name</v>
          </cell>
          <cell r="C7" t="str">
            <v>Keli Martin</v>
          </cell>
        </row>
        <row r="8">
          <cell r="B8" t="str">
            <v>First Line of site address</v>
          </cell>
          <cell r="C8" t="str">
            <v>57 Stothard Street</v>
          </cell>
        </row>
        <row r="9">
          <cell r="B9" t="str">
            <v>Town / City</v>
          </cell>
          <cell r="C9" t="str">
            <v>Jarrow</v>
          </cell>
        </row>
        <row r="10">
          <cell r="B10" t="str">
            <v>County</v>
          </cell>
          <cell r="C10" t="str">
            <v>Tyne &amp; Wear</v>
          </cell>
        </row>
        <row r="11">
          <cell r="B11" t="str">
            <v>Site Post Code</v>
          </cell>
          <cell r="C11" t="str">
            <v>NE32 3AN</v>
          </cell>
        </row>
        <row r="12">
          <cell r="C12">
            <v>13</v>
          </cell>
        </row>
        <row r="13">
          <cell r="C13" t="str">
            <v xml:space="preserve">Wet Rot Survey </v>
          </cell>
        </row>
        <row r="16">
          <cell r="C16" t="str">
            <v>Steven Robinson</v>
          </cell>
        </row>
      </sheetData>
      <sheetData sheetId="1"/>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microsoft.com/en-gb/office/insert-move-or-delete-page-breaks-in-a-worksheet-ad3dc726-beec-4a4c-861f-ed640612bdc2"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s://www.tyneteesdampproofing.co.uk/terms-and-conditions/"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www.tyneteesdampproofing.co.uk/"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hyperlink" Target="https://www.tyneteesdampproofing.co.uk/" TargetMode="Externa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35AAC-6F36-4375-BA1E-CC078B483A01}">
  <sheetPr codeName="Sheet_Report" filterMode="1">
    <tabColor rgb="FFFF0000"/>
    <pageSetUpPr fitToPage="1"/>
  </sheetPr>
  <dimension ref="A1:AJ946"/>
  <sheetViews>
    <sheetView tabSelected="1" view="pageBreakPreview" zoomScale="120" zoomScaleNormal="100" zoomScaleSheetLayoutView="120" workbookViewId="0">
      <pane xSplit="3" ySplit="4" topLeftCell="D892" activePane="bottomRight" state="frozen"/>
      <selection pane="topRight" activeCell="D1" sqref="D1"/>
      <selection pane="bottomLeft" activeCell="A5" sqref="A5"/>
      <selection pane="bottomRight" activeCell="D239" sqref="D239:N239"/>
    </sheetView>
  </sheetViews>
  <sheetFormatPr baseColWidth="10" defaultColWidth="9.33203125" defaultRowHeight="14" outlineLevelCol="1" x14ac:dyDescent="0.2"/>
  <cols>
    <col min="1" max="1" width="2.6640625" style="151" customWidth="1"/>
    <col min="2" max="2" width="10.6640625" style="151" customWidth="1"/>
    <col min="3" max="3" width="2.6640625" style="152" customWidth="1"/>
    <col min="4" max="5" width="3.6640625" style="151" customWidth="1"/>
    <col min="6" max="6" width="4.5" style="151" customWidth="1"/>
    <col min="7" max="7" width="5.33203125" style="151" customWidth="1"/>
    <col min="8" max="8" width="5.5" style="151" customWidth="1"/>
    <col min="9" max="9" width="3.6640625" style="151" customWidth="1"/>
    <col min="10" max="10" width="4.33203125" style="151" customWidth="1"/>
    <col min="11" max="15" width="3.6640625" style="151" customWidth="1"/>
    <col min="16" max="16" width="1.5" style="151" customWidth="1"/>
    <col min="17" max="18" width="3.6640625" style="151" customWidth="1"/>
    <col min="19" max="19" width="4.83203125" style="151" customWidth="1"/>
    <col min="20" max="24" width="3.6640625" style="151" customWidth="1"/>
    <col min="25" max="25" width="10.5" style="151" customWidth="1"/>
    <col min="26" max="26" width="4.5" style="151" customWidth="1"/>
    <col min="27" max="27" width="3.5" style="151" customWidth="1"/>
    <col min="28" max="28" width="45.1640625" style="157" customWidth="1"/>
    <col min="29" max="29" width="3.6640625" style="151" customWidth="1"/>
    <col min="30" max="30" width="37.33203125" style="184" hidden="1" customWidth="1" outlineLevel="1"/>
    <col min="31" max="31" width="16.33203125" style="185" hidden="1" customWidth="1" outlineLevel="1"/>
    <col min="32" max="32" width="13.5" style="185" hidden="1" customWidth="1" outlineLevel="1"/>
    <col min="33" max="33" width="17.5" style="185" hidden="1" customWidth="1" outlineLevel="1"/>
    <col min="34" max="34" width="9.33203125" style="151" hidden="1" customWidth="1" outlineLevel="1"/>
    <col min="35" max="35" width="14.1640625" style="151" hidden="1" customWidth="1" outlineLevel="1"/>
    <col min="36" max="36" width="9.33203125" style="151" collapsed="1"/>
    <col min="37" max="16384" width="9.33203125" style="151"/>
  </cols>
  <sheetData>
    <row r="1" spans="1:35" ht="35.25" customHeight="1" thickBot="1" x14ac:dyDescent="0.2">
      <c r="D1" s="387" t="s">
        <v>90</v>
      </c>
      <c r="E1" s="388"/>
      <c r="F1" s="388"/>
      <c r="G1" s="388"/>
      <c r="H1" s="388"/>
      <c r="I1" s="388"/>
      <c r="J1" s="389" t="str">
        <f>IF(SUM(AF:AF)=0,"SHEET NOT YET STARTED",IF(SUM(AG:AG)&gt;0,"SHEET NOT COMPLETE","SHEET COMPLETE"))</f>
        <v>SHEET COMPLETE</v>
      </c>
      <c r="K1" s="390"/>
      <c r="L1" s="390"/>
      <c r="M1" s="390"/>
      <c r="N1" s="390"/>
      <c r="O1" s="390"/>
      <c r="P1" s="390"/>
      <c r="Q1" s="390"/>
      <c r="R1" s="390"/>
      <c r="S1" s="390"/>
      <c r="T1" s="390"/>
      <c r="U1" s="390"/>
      <c r="V1" s="390"/>
      <c r="W1" s="390"/>
      <c r="X1" s="390"/>
      <c r="Y1" s="390"/>
      <c r="Z1" s="391"/>
      <c r="AB1" s="153"/>
      <c r="AC1" s="154"/>
      <c r="AD1" s="155"/>
      <c r="AE1" s="155"/>
      <c r="AF1" s="155"/>
      <c r="AG1" s="156"/>
    </row>
    <row r="2" spans="1:35" ht="7.5" customHeight="1" x14ac:dyDescent="0.15">
      <c r="AD2" s="155"/>
      <c r="AE2" s="156"/>
      <c r="AF2" s="156"/>
      <c r="AG2" s="156"/>
    </row>
    <row r="3" spans="1:35" ht="27" customHeight="1" x14ac:dyDescent="0.15">
      <c r="A3" s="156"/>
      <c r="B3" s="164">
        <f>AI927</f>
        <v>141</v>
      </c>
      <c r="C3" s="158"/>
      <c r="D3" s="392" t="s">
        <v>224</v>
      </c>
      <c r="E3" s="392"/>
      <c r="F3" s="392"/>
      <c r="G3" s="392"/>
      <c r="H3" s="392"/>
      <c r="I3" s="392"/>
      <c r="J3" s="392"/>
      <c r="K3" s="392"/>
      <c r="L3" s="392"/>
      <c r="M3" s="392"/>
      <c r="N3" s="392"/>
      <c r="O3" s="392"/>
      <c r="P3" s="392"/>
      <c r="Q3" s="392"/>
      <c r="R3" s="392"/>
      <c r="S3" s="392"/>
      <c r="T3" s="392"/>
      <c r="U3" s="392"/>
      <c r="V3" s="392"/>
      <c r="W3" s="392"/>
      <c r="X3" s="392"/>
      <c r="Y3" s="392"/>
      <c r="Z3" s="392"/>
      <c r="AB3" s="159" t="s">
        <v>225</v>
      </c>
      <c r="AD3" s="160" t="s">
        <v>226</v>
      </c>
      <c r="AE3" s="161" t="s">
        <v>91</v>
      </c>
      <c r="AF3" s="162" t="s">
        <v>92</v>
      </c>
      <c r="AG3" s="162" t="s">
        <v>93</v>
      </c>
      <c r="AI3" s="164" t="s">
        <v>407</v>
      </c>
    </row>
    <row r="4" spans="1:35" ht="13.5" customHeight="1" thickBot="1" x14ac:dyDescent="0.2">
      <c r="A4" s="163" t="str">
        <f>IF(AG4=1,"X","")</f>
        <v/>
      </c>
      <c r="B4" s="164">
        <v>1</v>
      </c>
      <c r="D4" s="393"/>
      <c r="E4" s="393"/>
      <c r="F4" s="393"/>
      <c r="G4" s="393"/>
      <c r="H4" s="393"/>
      <c r="I4" s="393"/>
      <c r="J4" s="393"/>
      <c r="K4" s="393"/>
      <c r="L4" s="393"/>
      <c r="M4" s="393"/>
      <c r="N4" s="393"/>
      <c r="O4" s="393"/>
      <c r="P4" s="393"/>
      <c r="Q4" s="393"/>
      <c r="R4" s="393"/>
      <c r="S4" s="393"/>
      <c r="T4" s="393"/>
      <c r="U4" s="393"/>
      <c r="V4" s="393"/>
      <c r="W4" s="393"/>
      <c r="X4" s="393"/>
      <c r="Y4" s="393"/>
      <c r="Z4" s="393"/>
      <c r="AD4" s="165" t="s">
        <v>227</v>
      </c>
      <c r="AE4" s="156"/>
      <c r="AF4" s="22"/>
      <c r="AG4" s="22"/>
      <c r="AI4" s="190">
        <v>1</v>
      </c>
    </row>
    <row r="5" spans="1:35" ht="5" customHeight="1" x14ac:dyDescent="0.15">
      <c r="A5" s="163" t="str">
        <f t="shared" ref="A5:A95" si="0">IF(AG5=1,"X","")</f>
        <v/>
      </c>
      <c r="B5" s="164">
        <v>1</v>
      </c>
      <c r="D5" s="394"/>
      <c r="E5" s="394"/>
      <c r="F5" s="394"/>
      <c r="G5" s="394"/>
      <c r="H5" s="394"/>
      <c r="I5" s="394"/>
      <c r="J5" s="394"/>
      <c r="K5" s="394"/>
      <c r="L5" s="394"/>
      <c r="M5" s="394"/>
      <c r="N5" s="394"/>
      <c r="O5" s="394"/>
      <c r="P5" s="394"/>
      <c r="Q5" s="394"/>
      <c r="R5" s="394"/>
      <c r="S5" s="394"/>
      <c r="T5" s="394"/>
      <c r="U5" s="394"/>
      <c r="V5" s="394"/>
      <c r="W5" s="394"/>
      <c r="X5" s="394"/>
      <c r="Y5" s="394"/>
      <c r="Z5" s="394"/>
      <c r="AD5" s="165" t="s">
        <v>227</v>
      </c>
      <c r="AE5" s="156"/>
      <c r="AF5" s="22"/>
      <c r="AG5" s="22"/>
      <c r="AI5" s="190">
        <v>1</v>
      </c>
    </row>
    <row r="6" spans="1:35" ht="18.75" customHeight="1" x14ac:dyDescent="0.15">
      <c r="A6" s="163" t="str">
        <f t="shared" si="0"/>
        <v/>
      </c>
      <c r="B6" s="164">
        <v>1</v>
      </c>
      <c r="D6" s="395" t="s">
        <v>228</v>
      </c>
      <c r="E6" s="395"/>
      <c r="F6" s="395"/>
      <c r="G6" s="395"/>
      <c r="H6" s="395"/>
      <c r="I6" s="395"/>
      <c r="J6" s="395"/>
      <c r="K6" s="395"/>
      <c r="L6" s="395"/>
      <c r="M6" s="395"/>
      <c r="N6" s="395"/>
      <c r="O6" s="395"/>
      <c r="P6" s="395"/>
      <c r="Q6" s="395"/>
      <c r="R6" s="395"/>
      <c r="S6" s="395"/>
      <c r="T6" s="395"/>
      <c r="U6" s="395"/>
      <c r="V6" s="395"/>
      <c r="W6" s="395"/>
      <c r="X6" s="395"/>
      <c r="Y6" s="395"/>
      <c r="Z6" s="395"/>
      <c r="AB6" s="166" t="s">
        <v>229</v>
      </c>
      <c r="AD6" s="165" t="s">
        <v>227</v>
      </c>
      <c r="AE6" s="156"/>
      <c r="AF6" s="22"/>
      <c r="AG6" s="22"/>
      <c r="AI6" s="190">
        <v>1</v>
      </c>
    </row>
    <row r="7" spans="1:35" ht="5" customHeight="1" x14ac:dyDescent="0.15">
      <c r="A7" s="163" t="str">
        <f t="shared" si="0"/>
        <v/>
      </c>
      <c r="B7" s="164">
        <v>1</v>
      </c>
      <c r="D7" s="397"/>
      <c r="E7" s="397"/>
      <c r="F7" s="397"/>
      <c r="G7" s="397"/>
      <c r="H7" s="397"/>
      <c r="I7" s="397"/>
      <c r="J7" s="397"/>
      <c r="K7" s="397"/>
      <c r="L7" s="397"/>
      <c r="M7" s="397"/>
      <c r="N7" s="397"/>
      <c r="O7" s="397"/>
      <c r="P7" s="397"/>
      <c r="Q7" s="397"/>
      <c r="R7" s="397"/>
      <c r="S7" s="397"/>
      <c r="T7" s="397"/>
      <c r="U7" s="397"/>
      <c r="V7" s="397"/>
      <c r="W7" s="397"/>
      <c r="X7" s="397"/>
      <c r="Y7" s="397"/>
      <c r="Z7" s="397"/>
      <c r="AD7" s="165" t="s">
        <v>227</v>
      </c>
      <c r="AE7" s="156"/>
      <c r="AF7" s="22"/>
      <c r="AG7" s="22"/>
      <c r="AI7" s="190">
        <v>1</v>
      </c>
    </row>
    <row r="8" spans="1:35" ht="15" x14ac:dyDescent="0.15">
      <c r="A8" s="163" t="str">
        <f>IF(AG8=1,"X","")</f>
        <v/>
      </c>
      <c r="B8" s="164">
        <v>1</v>
      </c>
      <c r="D8" s="397" t="str">
        <f>Costing!E7</f>
        <v>Keli Martin</v>
      </c>
      <c r="E8" s="397"/>
      <c r="F8" s="397"/>
      <c r="G8" s="397"/>
      <c r="H8" s="397"/>
      <c r="I8" s="397"/>
      <c r="J8" s="397"/>
      <c r="K8" s="397"/>
      <c r="L8" s="397"/>
      <c r="M8" s="397"/>
      <c r="N8" s="397"/>
      <c r="O8" s="397"/>
      <c r="P8" s="397"/>
      <c r="Q8" s="397"/>
      <c r="R8" s="397"/>
      <c r="S8" s="397"/>
      <c r="T8" s="397"/>
      <c r="U8" s="397"/>
      <c r="V8" s="397"/>
      <c r="W8" s="397"/>
      <c r="X8" s="397"/>
      <c r="Y8" s="397"/>
      <c r="Z8" s="397"/>
      <c r="AB8" s="166" t="s">
        <v>230</v>
      </c>
      <c r="AD8" s="165" t="s">
        <v>227</v>
      </c>
      <c r="AE8" s="156"/>
      <c r="AF8" s="164">
        <f>IF(D8&lt;&gt;"",1,0)</f>
        <v>1</v>
      </c>
      <c r="AG8" s="164">
        <f>IF(AND(SUM(AF:AF)&gt;0,OR(D8="",D8=0)),1,0)</f>
        <v>0</v>
      </c>
      <c r="AI8" s="190">
        <v>1</v>
      </c>
    </row>
    <row r="9" spans="1:35" ht="15" x14ac:dyDescent="0.15">
      <c r="A9" s="163" t="str">
        <f t="shared" si="0"/>
        <v/>
      </c>
      <c r="B9" s="164">
        <v>1</v>
      </c>
      <c r="D9" s="396" t="str">
        <f>Costing!E8</f>
        <v>57 Stothard Street</v>
      </c>
      <c r="E9" s="396"/>
      <c r="F9" s="396"/>
      <c r="G9" s="396"/>
      <c r="H9" s="396"/>
      <c r="I9" s="396"/>
      <c r="J9" s="396"/>
      <c r="K9" s="396"/>
      <c r="L9" s="396"/>
      <c r="M9" s="396"/>
      <c r="N9" s="396"/>
      <c r="O9" s="396"/>
      <c r="P9" s="396"/>
      <c r="Q9" s="396"/>
      <c r="R9" s="396"/>
      <c r="S9" s="396"/>
      <c r="T9" s="396"/>
      <c r="U9" s="396"/>
      <c r="V9" s="396"/>
      <c r="W9" s="396"/>
      <c r="X9" s="396"/>
      <c r="Y9" s="396"/>
      <c r="Z9" s="396"/>
      <c r="AB9" s="166" t="s">
        <v>230</v>
      </c>
      <c r="AD9" s="165" t="s">
        <v>227</v>
      </c>
      <c r="AE9" s="156"/>
      <c r="AF9" s="164">
        <f>IF(D9&lt;&gt;"",1,0)</f>
        <v>1</v>
      </c>
      <c r="AG9" s="164">
        <f>IF(AND(SUM(AF:AF)&gt;0,OR(D9="",D9=0)),1,0)</f>
        <v>0</v>
      </c>
      <c r="AI9" s="190">
        <v>1</v>
      </c>
    </row>
    <row r="10" spans="1:35" ht="15" x14ac:dyDescent="0.15">
      <c r="A10" s="163" t="str">
        <f t="shared" si="0"/>
        <v/>
      </c>
      <c r="B10" s="164">
        <v>1</v>
      </c>
      <c r="D10" s="396" t="str">
        <f>Costing!E9</f>
        <v>Jarrow</v>
      </c>
      <c r="E10" s="396"/>
      <c r="F10" s="396"/>
      <c r="G10" s="396"/>
      <c r="H10" s="396"/>
      <c r="I10" s="396"/>
      <c r="J10" s="396"/>
      <c r="K10" s="396"/>
      <c r="L10" s="396"/>
      <c r="M10" s="396"/>
      <c r="N10" s="396"/>
      <c r="O10" s="396"/>
      <c r="P10" s="396"/>
      <c r="Q10" s="396"/>
      <c r="R10" s="396"/>
      <c r="S10" s="396"/>
      <c r="T10" s="396"/>
      <c r="U10" s="396"/>
      <c r="V10" s="396"/>
      <c r="W10" s="396"/>
      <c r="X10" s="396"/>
      <c r="Y10" s="396"/>
      <c r="Z10" s="396"/>
      <c r="AB10" s="166" t="s">
        <v>230</v>
      </c>
      <c r="AD10" s="165" t="s">
        <v>227</v>
      </c>
      <c r="AE10" s="156"/>
      <c r="AF10" s="164">
        <f t="shared" ref="AF10:AF11" si="1">IF(D10&lt;&gt;"",1,0)</f>
        <v>1</v>
      </c>
      <c r="AG10" s="164">
        <f>IF(AND(SUM(AF:AF)&gt;0,OR(D10="",D10=0)),1,0)</f>
        <v>0</v>
      </c>
      <c r="AI10" s="190">
        <v>1</v>
      </c>
    </row>
    <row r="11" spans="1:35" ht="15" x14ac:dyDescent="0.15">
      <c r="A11" s="163" t="str">
        <f t="shared" si="0"/>
        <v/>
      </c>
      <c r="B11" s="164">
        <v>1</v>
      </c>
      <c r="D11" s="396" t="str">
        <f>Costing!E10</f>
        <v>Tyne &amp; Wear</v>
      </c>
      <c r="E11" s="396"/>
      <c r="F11" s="396"/>
      <c r="G11" s="396"/>
      <c r="H11" s="396"/>
      <c r="I11" s="396"/>
      <c r="J11" s="396"/>
      <c r="K11" s="396"/>
      <c r="L11" s="396"/>
      <c r="M11" s="396"/>
      <c r="N11" s="396"/>
      <c r="O11" s="396"/>
      <c r="P11" s="396"/>
      <c r="Q11" s="396"/>
      <c r="R11" s="396"/>
      <c r="S11" s="396"/>
      <c r="T11" s="396"/>
      <c r="U11" s="396"/>
      <c r="V11" s="396"/>
      <c r="W11" s="396"/>
      <c r="X11" s="396"/>
      <c r="Y11" s="396"/>
      <c r="Z11" s="396"/>
      <c r="AB11" s="166" t="s">
        <v>230</v>
      </c>
      <c r="AD11" s="165" t="s">
        <v>227</v>
      </c>
      <c r="AE11" s="156"/>
      <c r="AF11" s="164">
        <f t="shared" si="1"/>
        <v>1</v>
      </c>
      <c r="AG11" s="164">
        <f>IF(AND(SUM(AF:AF)&gt;0,OR(D11="",D11=0)),1,0)</f>
        <v>0</v>
      </c>
      <c r="AI11" s="190">
        <v>1</v>
      </c>
    </row>
    <row r="12" spans="1:35" ht="15" x14ac:dyDescent="0.15">
      <c r="A12" s="163" t="str">
        <f t="shared" si="0"/>
        <v/>
      </c>
      <c r="B12" s="164">
        <v>1</v>
      </c>
      <c r="D12" s="396" t="str">
        <f>Costing!E11</f>
        <v>NE32 3AN</v>
      </c>
      <c r="E12" s="396"/>
      <c r="F12" s="396"/>
      <c r="G12" s="396"/>
      <c r="H12" s="396"/>
      <c r="I12" s="396"/>
      <c r="J12" s="396"/>
      <c r="K12" s="396"/>
      <c r="L12" s="396"/>
      <c r="M12" s="396"/>
      <c r="N12" s="396"/>
      <c r="O12" s="396"/>
      <c r="P12" s="396"/>
      <c r="Q12" s="396"/>
      <c r="R12" s="396"/>
      <c r="S12" s="396"/>
      <c r="T12" s="396"/>
      <c r="U12" s="396"/>
      <c r="V12" s="396"/>
      <c r="W12" s="396"/>
      <c r="X12" s="396"/>
      <c r="Y12" s="396"/>
      <c r="Z12" s="396"/>
      <c r="AB12" s="166" t="s">
        <v>230</v>
      </c>
      <c r="AD12" s="165" t="s">
        <v>227</v>
      </c>
      <c r="AE12" s="156"/>
      <c r="AF12" s="164">
        <f>IF(D12&lt;&gt;"",1,0)</f>
        <v>1</v>
      </c>
      <c r="AG12" s="164">
        <f>IF(AND(SUM(AF:AF)&gt;0,OR(D12="",D12=0)),1,0)</f>
        <v>0</v>
      </c>
      <c r="AI12" s="190">
        <v>1</v>
      </c>
    </row>
    <row r="13" spans="1:35" ht="15" x14ac:dyDescent="0.15">
      <c r="A13" s="163" t="str">
        <f>IF(AG13=1,"X","")</f>
        <v/>
      </c>
      <c r="B13" s="164">
        <v>1</v>
      </c>
      <c r="D13" s="397" t="s">
        <v>231</v>
      </c>
      <c r="E13" s="397"/>
      <c r="F13" s="397"/>
      <c r="G13" s="397"/>
      <c r="H13" s="397"/>
      <c r="I13" s="397" t="str">
        <f>Costing!E4</f>
        <v>MAR57NE323AN</v>
      </c>
      <c r="J13" s="397"/>
      <c r="K13" s="397"/>
      <c r="L13" s="397"/>
      <c r="M13" s="397"/>
      <c r="N13" s="397"/>
      <c r="O13" s="397"/>
      <c r="P13" s="397"/>
      <c r="Q13" s="397"/>
      <c r="R13" s="397"/>
      <c r="S13" s="397"/>
      <c r="T13" s="397"/>
      <c r="U13" s="397"/>
      <c r="V13" s="397"/>
      <c r="W13" s="397"/>
      <c r="X13" s="397"/>
      <c r="Y13" s="397"/>
      <c r="Z13" s="397"/>
      <c r="AB13" s="166" t="s">
        <v>230</v>
      </c>
      <c r="AD13" s="165" t="s">
        <v>227</v>
      </c>
      <c r="AE13" s="156"/>
      <c r="AF13" s="164">
        <f>IF(I13&lt;&gt;"",1,0)</f>
        <v>1</v>
      </c>
      <c r="AG13" s="164">
        <f>IF(AND(SUM(AF:AF)&gt;0,OR(I13="",I13=0)),1,0)</f>
        <v>0</v>
      </c>
      <c r="AI13" s="190">
        <v>1</v>
      </c>
    </row>
    <row r="14" spans="1:35" ht="5" customHeight="1" x14ac:dyDescent="0.15">
      <c r="A14" s="163" t="str">
        <f t="shared" si="0"/>
        <v/>
      </c>
      <c r="B14" s="164">
        <v>1</v>
      </c>
      <c r="D14" s="396"/>
      <c r="E14" s="396"/>
      <c r="F14" s="396"/>
      <c r="G14" s="396"/>
      <c r="H14" s="396"/>
      <c r="I14" s="396"/>
      <c r="J14" s="396"/>
      <c r="K14" s="396"/>
      <c r="L14" s="396"/>
      <c r="M14" s="396"/>
      <c r="N14" s="396"/>
      <c r="O14" s="396"/>
      <c r="P14" s="396"/>
      <c r="Q14" s="396"/>
      <c r="R14" s="396"/>
      <c r="S14" s="396"/>
      <c r="T14" s="396"/>
      <c r="U14" s="396"/>
      <c r="V14" s="396"/>
      <c r="W14" s="396"/>
      <c r="X14" s="396"/>
      <c r="Y14" s="396"/>
      <c r="Z14" s="396"/>
      <c r="AD14" s="165" t="s">
        <v>227</v>
      </c>
      <c r="AE14" s="156"/>
      <c r="AF14" s="22"/>
      <c r="AG14" s="22"/>
      <c r="AI14" s="190">
        <v>1</v>
      </c>
    </row>
    <row r="15" spans="1:35" ht="5" customHeight="1" x14ac:dyDescent="0.15">
      <c r="A15" s="163" t="str">
        <f t="shared" si="0"/>
        <v/>
      </c>
      <c r="B15" s="164">
        <v>1</v>
      </c>
      <c r="D15" s="398"/>
      <c r="E15" s="398"/>
      <c r="F15" s="398"/>
      <c r="G15" s="398"/>
      <c r="H15" s="398"/>
      <c r="I15" s="398"/>
      <c r="J15" s="398"/>
      <c r="K15" s="398"/>
      <c r="L15" s="398"/>
      <c r="M15" s="398"/>
      <c r="N15" s="398"/>
      <c r="O15" s="398"/>
      <c r="P15" s="398"/>
      <c r="Q15" s="398"/>
      <c r="R15" s="398"/>
      <c r="S15" s="398"/>
      <c r="T15" s="398"/>
      <c r="U15" s="398"/>
      <c r="V15" s="398"/>
      <c r="W15" s="398"/>
      <c r="X15" s="398"/>
      <c r="Y15" s="398"/>
      <c r="Z15" s="398"/>
      <c r="AD15" s="165" t="s">
        <v>227</v>
      </c>
      <c r="AE15" s="156"/>
      <c r="AF15" s="22"/>
      <c r="AG15" s="22"/>
      <c r="AI15" s="190">
        <v>1</v>
      </c>
    </row>
    <row r="16" spans="1:35" ht="18.75" customHeight="1" x14ac:dyDescent="0.15">
      <c r="A16" s="163" t="str">
        <f t="shared" si="0"/>
        <v/>
      </c>
      <c r="B16" s="164">
        <v>1</v>
      </c>
      <c r="D16" s="399" t="s">
        <v>217</v>
      </c>
      <c r="E16" s="399"/>
      <c r="F16" s="399"/>
      <c r="G16" s="399"/>
      <c r="H16" s="399"/>
      <c r="I16" s="399"/>
      <c r="J16" s="399"/>
      <c r="K16" s="399"/>
      <c r="L16" s="399"/>
      <c r="M16" s="399"/>
      <c r="N16" s="399"/>
      <c r="O16" s="399"/>
      <c r="P16" s="399"/>
      <c r="Q16" s="399"/>
      <c r="R16" s="399"/>
      <c r="S16" s="399"/>
      <c r="T16" s="399"/>
      <c r="U16" s="399"/>
      <c r="V16" s="399"/>
      <c r="W16" s="399"/>
      <c r="X16" s="399"/>
      <c r="Y16" s="399"/>
      <c r="Z16" s="399"/>
      <c r="AB16" s="166" t="s">
        <v>229</v>
      </c>
      <c r="AD16" s="165" t="s">
        <v>227</v>
      </c>
      <c r="AE16" s="156"/>
      <c r="AF16" s="22"/>
      <c r="AG16" s="22"/>
      <c r="AI16" s="190">
        <v>1</v>
      </c>
    </row>
    <row r="17" spans="1:35" ht="16" x14ac:dyDescent="0.2">
      <c r="A17" s="163" t="str">
        <f t="shared" si="0"/>
        <v/>
      </c>
      <c r="B17" s="164">
        <v>1</v>
      </c>
      <c r="D17" s="375" t="s">
        <v>416</v>
      </c>
      <c r="E17" s="375"/>
      <c r="F17" s="375"/>
      <c r="G17" s="375"/>
      <c r="H17" s="375"/>
      <c r="I17" s="375"/>
      <c r="J17" s="375"/>
      <c r="K17" s="376">
        <v>46000</v>
      </c>
      <c r="L17" s="376"/>
      <c r="M17" s="376"/>
      <c r="N17" s="376"/>
      <c r="O17" s="376"/>
      <c r="P17" s="376"/>
      <c r="Q17" s="376"/>
      <c r="R17" s="376"/>
      <c r="S17" s="376"/>
      <c r="T17" s="376"/>
      <c r="U17" s="376"/>
      <c r="V17" s="376"/>
      <c r="W17" s="376"/>
      <c r="X17" s="376"/>
      <c r="Y17" s="376"/>
      <c r="Z17" s="376"/>
      <c r="AB17" s="159" t="s">
        <v>232</v>
      </c>
      <c r="AD17" s="165" t="s">
        <v>227</v>
      </c>
      <c r="AE17" s="167"/>
      <c r="AF17" s="164">
        <f>IF(K17&lt;&gt;"",1,0)</f>
        <v>1</v>
      </c>
      <c r="AG17" s="164">
        <f>IF(AND(SUM(AF:AF)&gt;0,K17=""),1,0)</f>
        <v>0</v>
      </c>
      <c r="AI17" s="190">
        <v>1</v>
      </c>
    </row>
    <row r="18" spans="1:35" ht="16" x14ac:dyDescent="0.2">
      <c r="A18" s="163" t="str">
        <f t="shared" si="0"/>
        <v/>
      </c>
      <c r="B18" s="164">
        <v>1</v>
      </c>
      <c r="D18" s="375" t="s">
        <v>233</v>
      </c>
      <c r="E18" s="375"/>
      <c r="F18" s="375"/>
      <c r="G18" s="375"/>
      <c r="H18" s="375"/>
      <c r="I18" s="375"/>
      <c r="J18" s="375"/>
      <c r="K18" s="376" t="s">
        <v>582</v>
      </c>
      <c r="L18" s="376"/>
      <c r="M18" s="376"/>
      <c r="N18" s="376"/>
      <c r="O18" s="376"/>
      <c r="P18" s="376"/>
      <c r="Q18" s="376"/>
      <c r="R18" s="376"/>
      <c r="S18" s="376"/>
      <c r="T18" s="376"/>
      <c r="U18" s="376"/>
      <c r="V18" s="376"/>
      <c r="W18" s="376"/>
      <c r="X18" s="376"/>
      <c r="Y18" s="376"/>
      <c r="Z18" s="376"/>
      <c r="AB18" s="159" t="s">
        <v>232</v>
      </c>
      <c r="AD18" s="165" t="s">
        <v>227</v>
      </c>
      <c r="AE18" s="167"/>
      <c r="AF18" s="164">
        <f>IF(K18&lt;&gt;"",1,0)</f>
        <v>1</v>
      </c>
      <c r="AG18" s="164">
        <f>IF(AND(SUM(AF:AF)&gt;0,K18=""),1,0)</f>
        <v>0</v>
      </c>
      <c r="AI18" s="190">
        <v>1</v>
      </c>
    </row>
    <row r="19" spans="1:35" ht="16" x14ac:dyDescent="0.2">
      <c r="A19" s="163" t="str">
        <f t="shared" si="0"/>
        <v/>
      </c>
      <c r="B19" s="164">
        <v>1</v>
      </c>
      <c r="D19" s="375" t="s">
        <v>234</v>
      </c>
      <c r="E19" s="375"/>
      <c r="F19" s="375"/>
      <c r="G19" s="375"/>
      <c r="H19" s="375"/>
      <c r="I19" s="375"/>
      <c r="J19" s="375"/>
      <c r="K19" s="196">
        <v>14</v>
      </c>
      <c r="L19" s="189" t="s">
        <v>235</v>
      </c>
      <c r="M19" s="197"/>
      <c r="N19" s="197"/>
      <c r="O19" s="197"/>
      <c r="P19" s="197"/>
      <c r="Q19" s="197"/>
      <c r="R19" s="197"/>
      <c r="S19" s="197"/>
      <c r="T19" s="197"/>
      <c r="U19" s="197"/>
      <c r="V19" s="197"/>
      <c r="W19" s="197"/>
      <c r="X19" s="197"/>
      <c r="Y19" s="197"/>
      <c r="Z19" s="197"/>
      <c r="AB19" s="159" t="s">
        <v>232</v>
      </c>
      <c r="AD19" s="165" t="s">
        <v>227</v>
      </c>
      <c r="AE19" s="167"/>
      <c r="AF19" s="164">
        <f>IF(K19&lt;&gt;"",1,0)</f>
        <v>1</v>
      </c>
      <c r="AG19" s="164">
        <f>IF(AND(SUM(AF:AF)&gt;0,K19=""),1,0)</f>
        <v>0</v>
      </c>
      <c r="AI19" s="190">
        <v>1</v>
      </c>
    </row>
    <row r="20" spans="1:35" ht="31" customHeight="1" x14ac:dyDescent="0.15">
      <c r="A20" s="163" t="str">
        <f t="shared" si="0"/>
        <v/>
      </c>
      <c r="B20" s="164">
        <v>1</v>
      </c>
      <c r="D20" s="399" t="s">
        <v>236</v>
      </c>
      <c r="E20" s="399"/>
      <c r="F20" s="399"/>
      <c r="G20" s="399"/>
      <c r="H20" s="399"/>
      <c r="I20" s="399"/>
      <c r="J20" s="399"/>
      <c r="K20" s="399"/>
      <c r="L20" s="399"/>
      <c r="M20" s="399"/>
      <c r="N20" s="399"/>
      <c r="O20" s="399"/>
      <c r="P20" s="399"/>
      <c r="Q20" s="399"/>
      <c r="R20" s="399"/>
      <c r="S20" s="399"/>
      <c r="T20" s="399"/>
      <c r="U20" s="399"/>
      <c r="V20" s="399"/>
      <c r="W20" s="399"/>
      <c r="X20" s="399"/>
      <c r="Y20" s="399"/>
      <c r="Z20" s="399"/>
      <c r="AB20" s="166" t="s">
        <v>229</v>
      </c>
      <c r="AD20" s="165" t="s">
        <v>227</v>
      </c>
      <c r="AE20" s="167"/>
      <c r="AF20" s="22"/>
      <c r="AG20" s="22"/>
      <c r="AI20" s="190">
        <v>1</v>
      </c>
    </row>
    <row r="21" spans="1:35" ht="21" hidden="1" customHeight="1" x14ac:dyDescent="0.2">
      <c r="A21" s="163" t="str">
        <f t="shared" ref="A21" si="2">IF(AG21=1,"X","")</f>
        <v/>
      </c>
      <c r="B21" s="164">
        <v>0</v>
      </c>
      <c r="D21" s="379" t="s">
        <v>258</v>
      </c>
      <c r="E21" s="379"/>
      <c r="F21" s="379"/>
      <c r="G21" s="379"/>
      <c r="H21" s="379"/>
      <c r="I21" s="379"/>
      <c r="J21" s="379"/>
      <c r="K21" s="379"/>
      <c r="L21" s="379"/>
      <c r="M21" s="379"/>
      <c r="N21" s="379"/>
      <c r="O21" s="379"/>
      <c r="P21" s="379"/>
      <c r="Q21" s="379"/>
      <c r="R21" s="379"/>
      <c r="S21" s="379"/>
      <c r="T21" s="379"/>
      <c r="U21" s="379"/>
      <c r="V21" s="379"/>
      <c r="W21" s="379"/>
      <c r="X21" s="379"/>
      <c r="Y21" s="379"/>
      <c r="Z21" s="379"/>
      <c r="AB21" s="166" t="s">
        <v>259</v>
      </c>
      <c r="AD21" s="165" t="s">
        <v>260</v>
      </c>
      <c r="AE21" s="134"/>
      <c r="AF21" s="22"/>
      <c r="AG21" s="22"/>
      <c r="AI21" s="190">
        <v>1</v>
      </c>
    </row>
    <row r="22" spans="1:35" ht="15.75" hidden="1" customHeight="1" x14ac:dyDescent="0.2">
      <c r="A22" s="163"/>
      <c r="B22" s="164">
        <v>0</v>
      </c>
      <c r="D22" s="369" t="s">
        <v>261</v>
      </c>
      <c r="E22" s="369"/>
      <c r="F22" s="369"/>
      <c r="G22" s="369"/>
      <c r="H22" s="369"/>
      <c r="I22" s="369"/>
      <c r="J22" s="369"/>
      <c r="K22" s="369"/>
      <c r="L22" s="369"/>
      <c r="M22" s="369"/>
      <c r="N22" s="369"/>
      <c r="O22" s="369"/>
      <c r="P22" s="369"/>
      <c r="Q22" s="369"/>
      <c r="R22" s="369"/>
      <c r="S22" s="369"/>
      <c r="T22" s="369"/>
      <c r="U22" s="369"/>
      <c r="V22" s="369"/>
      <c r="W22" s="369"/>
      <c r="X22" s="369"/>
      <c r="Y22" s="369"/>
      <c r="Z22" s="369"/>
      <c r="AB22" s="166" t="s">
        <v>259</v>
      </c>
      <c r="AD22" s="165" t="s">
        <v>260</v>
      </c>
      <c r="AE22" s="134"/>
      <c r="AF22" s="22"/>
      <c r="AG22" s="22"/>
      <c r="AI22" s="190">
        <v>1</v>
      </c>
    </row>
    <row r="23" spans="1:35" ht="8.5" customHeight="1" x14ac:dyDescent="0.15">
      <c r="A23" s="163" t="str">
        <f>IF(AG23=1,"X","")</f>
        <v/>
      </c>
      <c r="B23" s="164">
        <f>IF(OR(D24="Show",Q24="Show"),1,0)</f>
        <v>1</v>
      </c>
      <c r="D23" s="368"/>
      <c r="E23" s="368"/>
      <c r="F23" s="368"/>
      <c r="G23" s="368"/>
      <c r="H23" s="368"/>
      <c r="I23" s="368"/>
      <c r="J23" s="368"/>
      <c r="K23" s="368"/>
      <c r="L23" s="368"/>
      <c r="M23" s="368"/>
      <c r="N23" s="368"/>
      <c r="O23" s="368"/>
      <c r="P23" s="368"/>
      <c r="Q23" s="368"/>
      <c r="R23" s="368"/>
      <c r="S23" s="368"/>
      <c r="T23" s="368"/>
      <c r="U23" s="368"/>
      <c r="V23" s="368"/>
      <c r="W23" s="368"/>
      <c r="X23" s="368"/>
      <c r="Y23" s="368"/>
      <c r="Z23" s="368"/>
      <c r="AD23" s="165" t="s">
        <v>227</v>
      </c>
      <c r="AE23" s="156"/>
      <c r="AF23" s="22"/>
      <c r="AG23" s="22"/>
      <c r="AI23" s="190">
        <v>1</v>
      </c>
    </row>
    <row r="24" spans="1:35" ht="18" hidden="1" customHeight="1" x14ac:dyDescent="0.2">
      <c r="A24" s="163" t="str">
        <f t="shared" ref="A24:A27" si="3">IF(AG24=1,"X","")</f>
        <v/>
      </c>
      <c r="B24" s="164">
        <v>0</v>
      </c>
      <c r="D24" s="370" t="s">
        <v>469</v>
      </c>
      <c r="E24" s="370"/>
      <c r="F24" s="370"/>
      <c r="G24" s="370"/>
      <c r="H24" s="370"/>
      <c r="I24" s="370"/>
      <c r="J24" s="370"/>
      <c r="K24" s="370"/>
      <c r="L24" s="370"/>
      <c r="M24" s="370"/>
      <c r="N24" s="370"/>
      <c r="O24" s="175"/>
      <c r="P24" s="175"/>
      <c r="Q24" s="370" t="s">
        <v>267</v>
      </c>
      <c r="R24" s="370"/>
      <c r="S24" s="370"/>
      <c r="T24" s="370"/>
      <c r="U24" s="370"/>
      <c r="V24" s="370"/>
      <c r="W24" s="370"/>
      <c r="X24" s="370"/>
      <c r="Y24" s="370"/>
      <c r="Z24" s="370"/>
      <c r="AA24" s="176"/>
      <c r="AB24" s="159" t="s">
        <v>262</v>
      </c>
      <c r="AD24" s="172" t="s">
        <v>249</v>
      </c>
      <c r="AE24" s="134"/>
      <c r="AF24" s="164">
        <f>IF(OR(D24="Show",D24="",Q24="Show",Q24=""),1,0)</f>
        <v>1</v>
      </c>
      <c r="AG24" s="164">
        <f>IF(AND(SUM(AF:AF)&gt;0,OR(D24="",Q24="")),1,0)</f>
        <v>0</v>
      </c>
      <c r="AI24" s="190">
        <v>1</v>
      </c>
    </row>
    <row r="25" spans="1:35" ht="197.25" customHeight="1" x14ac:dyDescent="0.2">
      <c r="A25" s="163" t="str">
        <f t="shared" si="3"/>
        <v/>
      </c>
      <c r="B25" s="164">
        <f>B23</f>
        <v>1</v>
      </c>
      <c r="D25" s="370"/>
      <c r="E25" s="370"/>
      <c r="F25" s="370"/>
      <c r="G25" s="370"/>
      <c r="H25" s="370"/>
      <c r="I25" s="370"/>
      <c r="J25" s="370"/>
      <c r="K25" s="370"/>
      <c r="L25" s="370"/>
      <c r="M25" s="370"/>
      <c r="N25" s="370"/>
      <c r="O25" s="175"/>
      <c r="P25" s="175"/>
      <c r="Q25" s="370"/>
      <c r="R25" s="370"/>
      <c r="S25" s="370"/>
      <c r="T25" s="370"/>
      <c r="U25" s="370"/>
      <c r="V25" s="370"/>
      <c r="W25" s="370"/>
      <c r="X25" s="370"/>
      <c r="Y25" s="370"/>
      <c r="Z25" s="370"/>
      <c r="AA25" s="176"/>
      <c r="AB25" s="159" t="s">
        <v>263</v>
      </c>
      <c r="AD25" s="172" t="s">
        <v>249</v>
      </c>
      <c r="AE25" s="167"/>
      <c r="AF25" s="22"/>
      <c r="AG25" s="22"/>
      <c r="AI25" s="190">
        <v>1</v>
      </c>
    </row>
    <row r="26" spans="1:35" ht="18" customHeight="1" x14ac:dyDescent="0.2">
      <c r="A26" s="163" t="str">
        <f t="shared" si="3"/>
        <v/>
      </c>
      <c r="B26" s="164">
        <f>B25</f>
        <v>1</v>
      </c>
      <c r="D26" s="371" t="s">
        <v>470</v>
      </c>
      <c r="E26" s="371"/>
      <c r="F26" s="371"/>
      <c r="G26" s="371"/>
      <c r="H26" s="371"/>
      <c r="I26" s="371"/>
      <c r="J26" s="371"/>
      <c r="K26" s="371"/>
      <c r="L26" s="371"/>
      <c r="M26" s="371"/>
      <c r="N26" s="371"/>
      <c r="O26" s="175"/>
      <c r="P26" s="175"/>
      <c r="Q26" s="371"/>
      <c r="R26" s="371"/>
      <c r="S26" s="371"/>
      <c r="T26" s="371"/>
      <c r="U26" s="371"/>
      <c r="V26" s="371"/>
      <c r="W26" s="371"/>
      <c r="X26" s="371"/>
      <c r="Y26" s="371"/>
      <c r="Z26" s="371"/>
      <c r="AA26" s="176"/>
      <c r="AB26" s="159" t="s">
        <v>264</v>
      </c>
      <c r="AD26" s="172" t="s">
        <v>249</v>
      </c>
      <c r="AE26" s="167"/>
      <c r="AF26" s="164">
        <f>IF(OR(D24="Show",D24="",Q24="Show",Q24=""),1,0)</f>
        <v>1</v>
      </c>
      <c r="AG26" s="164">
        <f>IF(AND(SUM(AF:AF)&gt;0,OR(AND(D24="Show",D26=""),AND(Q24="Show",Q26=""))),1,0)</f>
        <v>0</v>
      </c>
      <c r="AI26" s="190">
        <v>1</v>
      </c>
    </row>
    <row r="27" spans="1:35" ht="8.5" customHeight="1" x14ac:dyDescent="0.15">
      <c r="A27" s="163" t="str">
        <f t="shared" si="3"/>
        <v/>
      </c>
      <c r="B27" s="164">
        <f>B26</f>
        <v>1</v>
      </c>
      <c r="D27" s="368"/>
      <c r="E27" s="368"/>
      <c r="F27" s="368"/>
      <c r="G27" s="368"/>
      <c r="H27" s="368"/>
      <c r="I27" s="368"/>
      <c r="J27" s="368"/>
      <c r="K27" s="368"/>
      <c r="L27" s="368"/>
      <c r="M27" s="368"/>
      <c r="N27" s="368"/>
      <c r="O27" s="368"/>
      <c r="P27" s="368"/>
      <c r="Q27" s="368"/>
      <c r="R27" s="368"/>
      <c r="S27" s="368"/>
      <c r="T27" s="368"/>
      <c r="U27" s="368"/>
      <c r="V27" s="368"/>
      <c r="W27" s="368"/>
      <c r="X27" s="368"/>
      <c r="Y27" s="368"/>
      <c r="Z27" s="368"/>
      <c r="AA27" s="176"/>
      <c r="AD27" s="165" t="s">
        <v>227</v>
      </c>
      <c r="AE27" s="156"/>
      <c r="AF27" s="22"/>
      <c r="AG27" s="22"/>
      <c r="AI27" s="190">
        <v>1</v>
      </c>
    </row>
    <row r="28" spans="1:35" ht="15.75" hidden="1" customHeight="1" x14ac:dyDescent="0.2">
      <c r="A28" s="163"/>
      <c r="B28" s="164">
        <v>0</v>
      </c>
      <c r="D28" s="369" t="s">
        <v>265</v>
      </c>
      <c r="E28" s="369"/>
      <c r="F28" s="369"/>
      <c r="G28" s="369"/>
      <c r="H28" s="369"/>
      <c r="I28" s="369"/>
      <c r="J28" s="369"/>
      <c r="K28" s="369"/>
      <c r="L28" s="369"/>
      <c r="M28" s="369"/>
      <c r="N28" s="369"/>
      <c r="O28" s="369"/>
      <c r="P28" s="369"/>
      <c r="Q28" s="369"/>
      <c r="R28" s="369"/>
      <c r="S28" s="369"/>
      <c r="T28" s="369"/>
      <c r="U28" s="369"/>
      <c r="V28" s="369"/>
      <c r="W28" s="369"/>
      <c r="X28" s="369"/>
      <c r="Y28" s="369"/>
      <c r="Z28" s="369"/>
      <c r="AB28" s="166" t="s">
        <v>259</v>
      </c>
      <c r="AD28" s="165" t="s">
        <v>260</v>
      </c>
      <c r="AE28" s="134"/>
      <c r="AF28" s="22"/>
      <c r="AG28" s="22"/>
      <c r="AI28" s="190">
        <v>1</v>
      </c>
    </row>
    <row r="29" spans="1:35" ht="15" customHeight="1" x14ac:dyDescent="0.2">
      <c r="A29" s="163" t="str">
        <f t="shared" si="0"/>
        <v/>
      </c>
      <c r="B29" s="164">
        <v>1</v>
      </c>
      <c r="D29" s="375" t="s">
        <v>237</v>
      </c>
      <c r="E29" s="375"/>
      <c r="F29" s="375"/>
      <c r="G29" s="375"/>
      <c r="H29" s="375"/>
      <c r="I29" s="375"/>
      <c r="J29" s="375"/>
      <c r="K29" s="375"/>
      <c r="L29" s="375"/>
      <c r="M29" s="377" t="s">
        <v>584</v>
      </c>
      <c r="N29" s="377"/>
      <c r="O29" s="377"/>
      <c r="P29" s="377"/>
      <c r="Q29" s="377"/>
      <c r="R29" s="377"/>
      <c r="S29" s="377"/>
      <c r="T29" s="377"/>
      <c r="U29" s="377"/>
      <c r="V29" s="377"/>
      <c r="W29" s="377"/>
      <c r="X29" s="377"/>
      <c r="Y29" s="377"/>
      <c r="Z29" s="377"/>
      <c r="AB29" s="159" t="s">
        <v>232</v>
      </c>
      <c r="AD29" s="165" t="s">
        <v>227</v>
      </c>
      <c r="AE29" s="167"/>
      <c r="AF29" s="164">
        <f>IF(M29&lt;&gt;"",1,0)</f>
        <v>1</v>
      </c>
      <c r="AG29" s="164">
        <f>IF(AND(SUM(AF:AF)&gt;0,M29=""),1,0)</f>
        <v>0</v>
      </c>
      <c r="AI29" s="190">
        <v>1</v>
      </c>
    </row>
    <row r="30" spans="1:35" ht="16" x14ac:dyDescent="0.2">
      <c r="A30" s="163" t="str">
        <f t="shared" si="0"/>
        <v/>
      </c>
      <c r="B30" s="164">
        <v>1</v>
      </c>
      <c r="D30" s="375" t="s">
        <v>238</v>
      </c>
      <c r="E30" s="375"/>
      <c r="F30" s="375"/>
      <c r="G30" s="375"/>
      <c r="H30" s="375"/>
      <c r="I30" s="375"/>
      <c r="J30" s="375"/>
      <c r="K30" s="375"/>
      <c r="L30" s="375"/>
      <c r="M30" s="377" t="s">
        <v>583</v>
      </c>
      <c r="N30" s="377"/>
      <c r="O30" s="377"/>
      <c r="P30" s="377"/>
      <c r="Q30" s="377"/>
      <c r="R30" s="377"/>
      <c r="S30" s="377"/>
      <c r="T30" s="377"/>
      <c r="U30" s="377"/>
      <c r="V30" s="377"/>
      <c r="W30" s="377"/>
      <c r="X30" s="377"/>
      <c r="Y30" s="377"/>
      <c r="Z30" s="377"/>
      <c r="AB30" s="159" t="s">
        <v>232</v>
      </c>
      <c r="AD30" s="165" t="s">
        <v>227</v>
      </c>
      <c r="AE30" s="167"/>
      <c r="AF30" s="164">
        <f>IF(M30&lt;&gt;"",1,0)</f>
        <v>1</v>
      </c>
      <c r="AG30" s="164">
        <f>IF(AND(SUM(AF:AF)&gt;0,M30=""),1,0)</f>
        <v>0</v>
      </c>
      <c r="AI30" s="190">
        <v>1</v>
      </c>
    </row>
    <row r="31" spans="1:35" ht="16" x14ac:dyDescent="0.2">
      <c r="A31" s="163" t="str">
        <f t="shared" si="0"/>
        <v/>
      </c>
      <c r="B31" s="164">
        <v>1</v>
      </c>
      <c r="D31" s="375" t="s">
        <v>239</v>
      </c>
      <c r="E31" s="375"/>
      <c r="F31" s="375"/>
      <c r="G31" s="375"/>
      <c r="H31" s="375"/>
      <c r="I31" s="375"/>
      <c r="J31" s="375"/>
      <c r="K31" s="375"/>
      <c r="L31" s="375"/>
      <c r="M31" s="377" t="s">
        <v>585</v>
      </c>
      <c r="N31" s="377"/>
      <c r="O31" s="377"/>
      <c r="P31" s="377"/>
      <c r="Q31" s="377"/>
      <c r="R31" s="377"/>
      <c r="S31" s="377"/>
      <c r="T31" s="377"/>
      <c r="U31" s="377"/>
      <c r="V31" s="377"/>
      <c r="W31" s="377"/>
      <c r="X31" s="377"/>
      <c r="Y31" s="377"/>
      <c r="Z31" s="377"/>
      <c r="AB31" s="159" t="s">
        <v>232</v>
      </c>
      <c r="AD31" s="165" t="s">
        <v>227</v>
      </c>
      <c r="AE31" s="167"/>
      <c r="AF31" s="164">
        <f>IF(M31&lt;&gt;"",1,0)</f>
        <v>1</v>
      </c>
      <c r="AG31" s="164">
        <f>IF(AND(SUM(AF:AF)&gt;0,M31=""),1,0)</f>
        <v>0</v>
      </c>
      <c r="AI31" s="190">
        <v>1</v>
      </c>
    </row>
    <row r="32" spans="1:35" ht="31" customHeight="1" x14ac:dyDescent="0.15">
      <c r="A32" s="163" t="str">
        <f t="shared" si="0"/>
        <v/>
      </c>
      <c r="B32" s="164">
        <v>1</v>
      </c>
      <c r="D32" s="399" t="s">
        <v>240</v>
      </c>
      <c r="E32" s="399"/>
      <c r="F32" s="399"/>
      <c r="G32" s="399"/>
      <c r="H32" s="399"/>
      <c r="I32" s="399"/>
      <c r="J32" s="399"/>
      <c r="K32" s="399"/>
      <c r="L32" s="399"/>
      <c r="M32" s="399"/>
      <c r="N32" s="399"/>
      <c r="O32" s="399"/>
      <c r="P32" s="399"/>
      <c r="Q32" s="399"/>
      <c r="R32" s="399"/>
      <c r="S32" s="399"/>
      <c r="T32" s="399"/>
      <c r="U32" s="399"/>
      <c r="V32" s="399"/>
      <c r="W32" s="399"/>
      <c r="X32" s="399"/>
      <c r="Y32" s="399"/>
      <c r="Z32" s="399"/>
      <c r="AB32" s="166" t="s">
        <v>229</v>
      </c>
      <c r="AD32" s="165" t="s">
        <v>227</v>
      </c>
      <c r="AE32" s="167"/>
      <c r="AF32" s="22"/>
      <c r="AG32" s="22"/>
      <c r="AI32" s="190">
        <v>1</v>
      </c>
    </row>
    <row r="33" spans="1:35" ht="34.5" customHeight="1" x14ac:dyDescent="0.2">
      <c r="A33" s="163" t="str">
        <f t="shared" si="0"/>
        <v/>
      </c>
      <c r="B33" s="164">
        <v>1</v>
      </c>
      <c r="D33" s="378" t="s">
        <v>241</v>
      </c>
      <c r="E33" s="378"/>
      <c r="F33" s="378"/>
      <c r="G33" s="378"/>
      <c r="H33" s="378"/>
      <c r="I33" s="378"/>
      <c r="J33" s="378"/>
      <c r="K33" s="378"/>
      <c r="L33" s="378"/>
      <c r="M33" s="378"/>
      <c r="N33" s="378"/>
      <c r="O33" s="378"/>
      <c r="P33" s="378"/>
      <c r="Q33" s="378"/>
      <c r="R33" s="378"/>
      <c r="S33" s="378"/>
      <c r="T33" s="378"/>
      <c r="U33" s="378"/>
      <c r="V33" s="378"/>
      <c r="W33" s="378"/>
      <c r="X33" s="378"/>
      <c r="Y33" s="378"/>
      <c r="Z33" s="378"/>
      <c r="AA33" s="168"/>
      <c r="AB33" s="166" t="s">
        <v>229</v>
      </c>
      <c r="AD33" s="165" t="s">
        <v>227</v>
      </c>
      <c r="AE33" s="167"/>
      <c r="AF33" s="22"/>
      <c r="AG33" s="22"/>
      <c r="AI33" s="190">
        <v>1</v>
      </c>
    </row>
    <row r="34" spans="1:35" ht="18" customHeight="1" x14ac:dyDescent="0.2">
      <c r="A34" s="163" t="str">
        <f t="shared" si="0"/>
        <v/>
      </c>
      <c r="B34" s="164">
        <v>1</v>
      </c>
      <c r="D34" s="400" t="str">
        <f>IF(D36&lt;&gt;"",D36,IF([1]Details!$C$13=0,"",[1]Details!$C$13))</f>
        <v xml:space="preserve">Wet Rot Survey </v>
      </c>
      <c r="E34" s="400"/>
      <c r="F34" s="400"/>
      <c r="G34" s="400"/>
      <c r="H34" s="400"/>
      <c r="I34" s="400"/>
      <c r="J34" s="400"/>
      <c r="K34" s="400"/>
      <c r="L34" s="400"/>
      <c r="M34" s="400"/>
      <c r="N34" s="400"/>
      <c r="O34" s="400"/>
      <c r="P34" s="400"/>
      <c r="Q34" s="400"/>
      <c r="R34" s="400"/>
      <c r="S34" s="400"/>
      <c r="T34" s="400"/>
      <c r="U34" s="400"/>
      <c r="V34" s="400"/>
      <c r="W34" s="400"/>
      <c r="X34" s="400"/>
      <c r="Y34" s="400"/>
      <c r="Z34" s="400"/>
      <c r="AA34" s="169"/>
      <c r="AB34" s="166" t="s">
        <v>230</v>
      </c>
      <c r="AD34" s="165" t="s">
        <v>227</v>
      </c>
      <c r="AE34" s="167"/>
      <c r="AF34" s="164">
        <f>IF(D34&lt;&gt;"",1,0)</f>
        <v>1</v>
      </c>
      <c r="AG34" s="164">
        <f>IF(AND(SUM(AF:AF)&gt;0,OR(D34="",D34=0)),1,0)</f>
        <v>0</v>
      </c>
      <c r="AI34" s="190">
        <v>1</v>
      </c>
    </row>
    <row r="35" spans="1:35" ht="31" hidden="1" customHeight="1" x14ac:dyDescent="0.15">
      <c r="A35" s="163" t="str">
        <f t="shared" si="0"/>
        <v/>
      </c>
      <c r="B35" s="164">
        <v>0</v>
      </c>
      <c r="D35" s="420" t="s">
        <v>417</v>
      </c>
      <c r="E35" s="420"/>
      <c r="F35" s="420"/>
      <c r="G35" s="420"/>
      <c r="H35" s="420"/>
      <c r="I35" s="420"/>
      <c r="J35" s="420"/>
      <c r="K35" s="420"/>
      <c r="L35" s="420"/>
      <c r="M35" s="420"/>
      <c r="N35" s="420"/>
      <c r="O35" s="420"/>
      <c r="P35" s="420"/>
      <c r="Q35" s="420"/>
      <c r="R35" s="420"/>
      <c r="S35" s="420"/>
      <c r="T35" s="420"/>
      <c r="U35" s="420"/>
      <c r="V35" s="420"/>
      <c r="W35" s="420"/>
      <c r="X35" s="420"/>
      <c r="Y35" s="420"/>
      <c r="Z35" s="420"/>
      <c r="AB35" s="166" t="s">
        <v>259</v>
      </c>
      <c r="AC35" s="180"/>
      <c r="AD35" s="165" t="s">
        <v>260</v>
      </c>
      <c r="AE35" s="167"/>
      <c r="AF35" s="22"/>
      <c r="AG35" s="22"/>
      <c r="AI35" s="190">
        <v>1</v>
      </c>
    </row>
    <row r="36" spans="1:35" ht="18" hidden="1" customHeight="1" x14ac:dyDescent="0.2">
      <c r="A36" s="163" t="str">
        <f t="shared" ref="A36" si="4">IF(AG36=1,"X","")</f>
        <v/>
      </c>
      <c r="B36" s="164">
        <v>0</v>
      </c>
      <c r="D36" s="419"/>
      <c r="E36" s="419"/>
      <c r="F36" s="419"/>
      <c r="G36" s="419"/>
      <c r="H36" s="419"/>
      <c r="I36" s="419"/>
      <c r="J36" s="419"/>
      <c r="K36" s="419"/>
      <c r="L36" s="419"/>
      <c r="M36" s="419"/>
      <c r="N36" s="419"/>
      <c r="O36" s="419"/>
      <c r="P36" s="419"/>
      <c r="Q36" s="419"/>
      <c r="R36" s="419"/>
      <c r="S36" s="419"/>
      <c r="T36" s="419"/>
      <c r="U36" s="419"/>
      <c r="V36" s="419"/>
      <c r="W36" s="419"/>
      <c r="X36" s="419"/>
      <c r="Y36" s="419"/>
      <c r="Z36" s="419"/>
      <c r="AA36" s="169"/>
      <c r="AB36" s="166" t="s">
        <v>259</v>
      </c>
      <c r="AC36" s="180"/>
      <c r="AD36" s="165" t="s">
        <v>260</v>
      </c>
      <c r="AE36" s="167"/>
      <c r="AF36" s="22"/>
      <c r="AG36" s="22"/>
      <c r="AI36" s="190">
        <v>1</v>
      </c>
    </row>
    <row r="37" spans="1:35" x14ac:dyDescent="0.15">
      <c r="A37" s="163" t="str">
        <f t="shared" si="0"/>
        <v/>
      </c>
      <c r="B37" s="164">
        <v>1</v>
      </c>
      <c r="D37" s="368"/>
      <c r="E37" s="368"/>
      <c r="F37" s="368"/>
      <c r="G37" s="368"/>
      <c r="H37" s="368"/>
      <c r="I37" s="368"/>
      <c r="J37" s="368"/>
      <c r="K37" s="368"/>
      <c r="L37" s="368"/>
      <c r="M37" s="368"/>
      <c r="N37" s="368"/>
      <c r="O37" s="368"/>
      <c r="P37" s="368"/>
      <c r="Q37" s="368"/>
      <c r="R37" s="368"/>
      <c r="S37" s="368"/>
      <c r="T37" s="368"/>
      <c r="U37" s="368"/>
      <c r="V37" s="368"/>
      <c r="W37" s="368"/>
      <c r="X37" s="368"/>
      <c r="Y37" s="368"/>
      <c r="Z37" s="368"/>
      <c r="AD37" s="165" t="s">
        <v>227</v>
      </c>
      <c r="AE37" s="156"/>
      <c r="AF37" s="22"/>
      <c r="AG37" s="22"/>
      <c r="AI37" s="190">
        <v>1</v>
      </c>
    </row>
    <row r="38" spans="1:35" ht="29.25" customHeight="1" x14ac:dyDescent="0.2">
      <c r="A38" s="163" t="str">
        <f t="shared" si="0"/>
        <v/>
      </c>
      <c r="B38" s="164">
        <v>1</v>
      </c>
      <c r="D38" s="378" t="s">
        <v>242</v>
      </c>
      <c r="E38" s="378"/>
      <c r="F38" s="378"/>
      <c r="G38" s="378"/>
      <c r="H38" s="378"/>
      <c r="I38" s="378"/>
      <c r="J38" s="378"/>
      <c r="K38" s="378"/>
      <c r="L38" s="378"/>
      <c r="M38" s="378"/>
      <c r="N38" s="378"/>
      <c r="O38" s="378"/>
      <c r="P38" s="378"/>
      <c r="Q38" s="378"/>
      <c r="R38" s="378"/>
      <c r="S38" s="378"/>
      <c r="T38" s="378"/>
      <c r="U38" s="378"/>
      <c r="V38" s="378"/>
      <c r="W38" s="378"/>
      <c r="X38" s="378"/>
      <c r="Y38" s="378"/>
      <c r="Z38" s="378"/>
      <c r="AA38" s="168"/>
      <c r="AB38" s="166" t="s">
        <v>229</v>
      </c>
      <c r="AD38" s="165" t="s">
        <v>227</v>
      </c>
      <c r="AE38" s="167"/>
      <c r="AF38" s="22"/>
      <c r="AG38" s="22"/>
      <c r="AI38" s="190">
        <v>1</v>
      </c>
    </row>
    <row r="39" spans="1:35" ht="31" customHeight="1" x14ac:dyDescent="0.15">
      <c r="A39" s="163" t="str">
        <f t="shared" si="0"/>
        <v/>
      </c>
      <c r="B39" s="164">
        <v>1</v>
      </c>
      <c r="D39" s="399" t="s">
        <v>243</v>
      </c>
      <c r="E39" s="399"/>
      <c r="F39" s="399"/>
      <c r="G39" s="399"/>
      <c r="H39" s="399"/>
      <c r="I39" s="399"/>
      <c r="J39" s="399"/>
      <c r="K39" s="399"/>
      <c r="L39" s="399"/>
      <c r="M39" s="399"/>
      <c r="N39" s="399"/>
      <c r="O39" s="399"/>
      <c r="P39" s="399"/>
      <c r="Q39" s="399"/>
      <c r="R39" s="399"/>
      <c r="S39" s="399"/>
      <c r="T39" s="399"/>
      <c r="U39" s="399"/>
      <c r="V39" s="399"/>
      <c r="W39" s="399"/>
      <c r="X39" s="399"/>
      <c r="Y39" s="399"/>
      <c r="Z39" s="399"/>
      <c r="AB39" s="166" t="s">
        <v>229</v>
      </c>
      <c r="AD39" s="165" t="s">
        <v>227</v>
      </c>
      <c r="AE39" s="167"/>
      <c r="AF39" s="22"/>
      <c r="AG39" s="22"/>
      <c r="AI39" s="190">
        <v>1</v>
      </c>
    </row>
    <row r="40" spans="1:35" ht="30.75" customHeight="1" x14ac:dyDescent="0.2">
      <c r="A40" s="163" t="str">
        <f t="shared" si="0"/>
        <v/>
      </c>
      <c r="B40" s="164">
        <v>1</v>
      </c>
      <c r="D40" s="378" t="s">
        <v>244</v>
      </c>
      <c r="E40" s="378"/>
      <c r="F40" s="378"/>
      <c r="G40" s="378"/>
      <c r="H40" s="378"/>
      <c r="I40" s="378"/>
      <c r="J40" s="378"/>
      <c r="K40" s="378"/>
      <c r="L40" s="378"/>
      <c r="M40" s="378"/>
      <c r="N40" s="378"/>
      <c r="O40" s="378"/>
      <c r="P40" s="378"/>
      <c r="Q40" s="378"/>
      <c r="R40" s="378"/>
      <c r="S40" s="378"/>
      <c r="T40" s="378"/>
      <c r="U40" s="378"/>
      <c r="V40" s="378"/>
      <c r="W40" s="378"/>
      <c r="X40" s="378"/>
      <c r="Y40" s="378"/>
      <c r="Z40" s="378"/>
      <c r="AA40" s="168"/>
      <c r="AB40" s="166" t="s">
        <v>229</v>
      </c>
      <c r="AD40" s="165" t="s">
        <v>227</v>
      </c>
      <c r="AE40" s="167"/>
      <c r="AF40" s="22"/>
      <c r="AG40" s="22"/>
      <c r="AI40" s="190">
        <v>1</v>
      </c>
    </row>
    <row r="41" spans="1:35" ht="31" customHeight="1" x14ac:dyDescent="0.15">
      <c r="A41" s="163" t="str">
        <f t="shared" si="0"/>
        <v/>
      </c>
      <c r="B41" s="164">
        <v>1</v>
      </c>
      <c r="D41" s="399" t="s">
        <v>245</v>
      </c>
      <c r="E41" s="399"/>
      <c r="F41" s="399"/>
      <c r="G41" s="399"/>
      <c r="H41" s="399"/>
      <c r="I41" s="399"/>
      <c r="J41" s="399"/>
      <c r="K41" s="399"/>
      <c r="L41" s="399"/>
      <c r="M41" s="399"/>
      <c r="N41" s="399"/>
      <c r="O41" s="399"/>
      <c r="P41" s="399"/>
      <c r="Q41" s="399"/>
      <c r="R41" s="399"/>
      <c r="S41" s="399"/>
      <c r="T41" s="399"/>
      <c r="U41" s="399"/>
      <c r="V41" s="399"/>
      <c r="W41" s="399"/>
      <c r="X41" s="399"/>
      <c r="Y41" s="399"/>
      <c r="Z41" s="399"/>
      <c r="AB41" s="166" t="s">
        <v>229</v>
      </c>
      <c r="AD41" s="165" t="s">
        <v>227</v>
      </c>
      <c r="AE41" s="167"/>
      <c r="AF41" s="22"/>
      <c r="AG41" s="22"/>
      <c r="AI41" s="190">
        <v>1</v>
      </c>
    </row>
    <row r="42" spans="1:35" ht="66.75" customHeight="1" x14ac:dyDescent="0.2">
      <c r="A42" s="163" t="str">
        <f t="shared" si="0"/>
        <v/>
      </c>
      <c r="B42" s="164">
        <v>1</v>
      </c>
      <c r="D42" s="378" t="s">
        <v>246</v>
      </c>
      <c r="E42" s="378"/>
      <c r="F42" s="378"/>
      <c r="G42" s="378"/>
      <c r="H42" s="378"/>
      <c r="I42" s="378"/>
      <c r="J42" s="378"/>
      <c r="K42" s="378"/>
      <c r="L42" s="378"/>
      <c r="M42" s="378"/>
      <c r="N42" s="378"/>
      <c r="O42" s="378"/>
      <c r="P42" s="378"/>
      <c r="Q42" s="378"/>
      <c r="R42" s="378"/>
      <c r="S42" s="378"/>
      <c r="T42" s="378"/>
      <c r="U42" s="378"/>
      <c r="V42" s="378"/>
      <c r="W42" s="378"/>
      <c r="X42" s="378"/>
      <c r="Y42" s="378"/>
      <c r="Z42" s="378"/>
      <c r="AA42" s="168"/>
      <c r="AB42" s="166" t="s">
        <v>229</v>
      </c>
      <c r="AD42" s="165" t="s">
        <v>227</v>
      </c>
      <c r="AE42" s="167"/>
      <c r="AF42" s="22"/>
      <c r="AG42" s="22"/>
      <c r="AI42" s="190">
        <v>1</v>
      </c>
    </row>
    <row r="43" spans="1:35" ht="31" customHeight="1" x14ac:dyDescent="0.15">
      <c r="A43" s="163" t="str">
        <f t="shared" ref="A43:A44" si="5">IF(AG43=1,"X","")</f>
        <v/>
      </c>
      <c r="B43" s="164">
        <v>1</v>
      </c>
      <c r="D43" s="399" t="s">
        <v>247</v>
      </c>
      <c r="E43" s="399"/>
      <c r="F43" s="399"/>
      <c r="G43" s="399"/>
      <c r="H43" s="399"/>
      <c r="I43" s="399"/>
      <c r="J43" s="399"/>
      <c r="K43" s="399"/>
      <c r="L43" s="399"/>
      <c r="M43" s="399"/>
      <c r="N43" s="399"/>
      <c r="O43" s="399"/>
      <c r="P43" s="399"/>
      <c r="Q43" s="399"/>
      <c r="R43" s="399"/>
      <c r="S43" s="399"/>
      <c r="T43" s="399"/>
      <c r="U43" s="399"/>
      <c r="V43" s="399"/>
      <c r="W43" s="399"/>
      <c r="X43" s="399"/>
      <c r="Y43" s="399"/>
      <c r="Z43" s="399"/>
      <c r="AB43" s="166" t="s">
        <v>229</v>
      </c>
      <c r="AD43" s="165" t="s">
        <v>227</v>
      </c>
      <c r="AE43" s="167"/>
      <c r="AF43" s="22"/>
      <c r="AG43" s="22"/>
      <c r="AI43" s="190">
        <v>1</v>
      </c>
    </row>
    <row r="44" spans="1:35" ht="21" customHeight="1" x14ac:dyDescent="0.2">
      <c r="A44" s="163" t="str">
        <f t="shared" si="5"/>
        <v/>
      </c>
      <c r="B44" s="164">
        <v>1</v>
      </c>
      <c r="D44" s="378" t="s">
        <v>358</v>
      </c>
      <c r="E44" s="378"/>
      <c r="F44" s="378"/>
      <c r="G44" s="378"/>
      <c r="H44" s="378"/>
      <c r="I44" s="378"/>
      <c r="J44" s="378"/>
      <c r="K44" s="378"/>
      <c r="L44" s="378"/>
      <c r="M44" s="378"/>
      <c r="N44" s="378"/>
      <c r="O44" s="378"/>
      <c r="P44" s="378"/>
      <c r="Q44" s="378"/>
      <c r="R44" s="378"/>
      <c r="S44" s="378"/>
      <c r="T44" s="378"/>
      <c r="U44" s="378"/>
      <c r="V44" s="378"/>
      <c r="W44" s="378"/>
      <c r="X44" s="378"/>
      <c r="Y44" s="378"/>
      <c r="Z44" s="378"/>
      <c r="AA44" s="168"/>
      <c r="AB44" s="166" t="s">
        <v>229</v>
      </c>
      <c r="AD44" s="165" t="s">
        <v>227</v>
      </c>
      <c r="AE44" s="167"/>
      <c r="AF44" s="22"/>
      <c r="AG44" s="22"/>
      <c r="AI44" s="190">
        <v>1</v>
      </c>
    </row>
    <row r="45" spans="1:35" ht="31" customHeight="1" x14ac:dyDescent="0.15">
      <c r="A45" s="163" t="str">
        <f t="shared" si="0"/>
        <v/>
      </c>
      <c r="B45" s="164">
        <v>1</v>
      </c>
      <c r="D45" s="399" t="s">
        <v>391</v>
      </c>
      <c r="E45" s="399"/>
      <c r="F45" s="399"/>
      <c r="G45" s="399"/>
      <c r="H45" s="399"/>
      <c r="I45" s="399"/>
      <c r="J45" s="399"/>
      <c r="K45" s="399"/>
      <c r="L45" s="399"/>
      <c r="M45" s="399"/>
      <c r="N45" s="399"/>
      <c r="O45" s="399"/>
      <c r="P45" s="399"/>
      <c r="Q45" s="399"/>
      <c r="R45" s="399"/>
      <c r="S45" s="399"/>
      <c r="T45" s="399"/>
      <c r="U45" s="399"/>
      <c r="V45" s="399"/>
      <c r="W45" s="399"/>
      <c r="X45" s="399"/>
      <c r="Y45" s="399"/>
      <c r="Z45" s="399"/>
      <c r="AA45" s="171"/>
      <c r="AB45" s="166" t="s">
        <v>229</v>
      </c>
      <c r="AD45" s="165" t="s">
        <v>227</v>
      </c>
      <c r="AE45" s="167"/>
      <c r="AF45" s="22"/>
      <c r="AG45" s="22"/>
      <c r="AI45" s="190">
        <v>1</v>
      </c>
    </row>
    <row r="46" spans="1:35" ht="18" customHeight="1" x14ac:dyDescent="0.2">
      <c r="A46" s="163" t="str">
        <f t="shared" si="0"/>
        <v/>
      </c>
      <c r="B46" s="170">
        <v>1</v>
      </c>
      <c r="D46" s="396" t="s">
        <v>250</v>
      </c>
      <c r="E46" s="396"/>
      <c r="F46" s="396"/>
      <c r="G46" s="396"/>
      <c r="H46" s="396"/>
      <c r="I46" s="396"/>
      <c r="J46" s="396"/>
      <c r="K46" s="396"/>
      <c r="L46" s="396"/>
      <c r="M46" s="396"/>
      <c r="N46" s="396"/>
      <c r="O46" s="396"/>
      <c r="P46" s="396"/>
      <c r="Q46" s="396"/>
      <c r="R46" s="396"/>
      <c r="S46" s="396"/>
      <c r="T46" s="396"/>
      <c r="U46" s="396"/>
      <c r="V46" s="396"/>
      <c r="W46" s="396"/>
      <c r="X46" s="396"/>
      <c r="Y46" s="396"/>
      <c r="Z46" s="396"/>
      <c r="AA46" s="171"/>
      <c r="AB46" s="159" t="s">
        <v>248</v>
      </c>
      <c r="AD46" s="172" t="s">
        <v>249</v>
      </c>
      <c r="AE46" s="167"/>
      <c r="AF46" s="164">
        <f>IF(B46&lt;&gt;"",1,0)</f>
        <v>1</v>
      </c>
      <c r="AG46" s="164">
        <f>IF(AND(SUM(AF:AF)&gt;0,B46=""),1,0)</f>
        <v>0</v>
      </c>
      <c r="AI46" s="190">
        <v>1</v>
      </c>
    </row>
    <row r="47" spans="1:35" ht="18" hidden="1" customHeight="1" x14ac:dyDescent="0.2">
      <c r="A47" s="163" t="str">
        <f t="shared" si="0"/>
        <v/>
      </c>
      <c r="B47" s="164">
        <f>IF($B$46="","",IF($B$46=1,0,1))</f>
        <v>0</v>
      </c>
      <c r="D47" s="396" t="s">
        <v>251</v>
      </c>
      <c r="E47" s="396"/>
      <c r="F47" s="396"/>
      <c r="G47" s="396"/>
      <c r="H47" s="396"/>
      <c r="I47" s="396"/>
      <c r="J47" s="396"/>
      <c r="K47" s="396"/>
      <c r="L47" s="396"/>
      <c r="M47" s="396"/>
      <c r="N47" s="396"/>
      <c r="O47" s="396"/>
      <c r="P47" s="396"/>
      <c r="Q47" s="396"/>
      <c r="R47" s="396"/>
      <c r="S47" s="396"/>
      <c r="T47" s="396"/>
      <c r="U47" s="396"/>
      <c r="V47" s="396"/>
      <c r="W47" s="396"/>
      <c r="X47" s="396"/>
      <c r="Y47" s="396"/>
      <c r="Z47" s="396"/>
      <c r="AA47" s="171"/>
      <c r="AB47" s="159" t="s">
        <v>248</v>
      </c>
      <c r="AD47" s="172" t="s">
        <v>249</v>
      </c>
      <c r="AE47" s="167"/>
      <c r="AF47" s="164">
        <f t="shared" ref="AF47:AF62" si="6">IF(B47&lt;&gt;"",1,0)</f>
        <v>1</v>
      </c>
      <c r="AG47" s="164">
        <f t="shared" ref="AG47:AG62" si="7">IF(AND(SUM(AF:AF)&gt;0,$B$46=0,OR(B47=FALSE,B47="")),1,0)</f>
        <v>0</v>
      </c>
      <c r="AI47" s="190">
        <v>1</v>
      </c>
    </row>
    <row r="48" spans="1:35" ht="18" hidden="1" customHeight="1" x14ac:dyDescent="0.2">
      <c r="A48" s="163" t="str">
        <f t="shared" si="0"/>
        <v/>
      </c>
      <c r="B48" s="170">
        <v>0</v>
      </c>
      <c r="D48" s="173" t="s">
        <v>252</v>
      </c>
      <c r="E48" s="396" t="s">
        <v>218</v>
      </c>
      <c r="F48" s="396"/>
      <c r="G48" s="396"/>
      <c r="H48" s="396"/>
      <c r="I48" s="396"/>
      <c r="J48" s="396"/>
      <c r="K48" s="396"/>
      <c r="L48" s="396"/>
      <c r="M48" s="396"/>
      <c r="N48" s="396"/>
      <c r="O48" s="396"/>
      <c r="P48" s="396"/>
      <c r="Q48" s="396"/>
      <c r="R48" s="396"/>
      <c r="S48" s="396"/>
      <c r="T48" s="396"/>
      <c r="U48" s="396"/>
      <c r="V48" s="396"/>
      <c r="W48" s="396"/>
      <c r="X48" s="396"/>
      <c r="Y48" s="396"/>
      <c r="Z48" s="396"/>
      <c r="AB48" s="159" t="s">
        <v>248</v>
      </c>
      <c r="AD48" s="172" t="s">
        <v>249</v>
      </c>
      <c r="AE48" s="167"/>
      <c r="AF48" s="164">
        <f t="shared" si="6"/>
        <v>1</v>
      </c>
      <c r="AG48" s="164">
        <f t="shared" si="7"/>
        <v>0</v>
      </c>
      <c r="AI48" s="190">
        <v>1</v>
      </c>
    </row>
    <row r="49" spans="1:35" ht="18" hidden="1" customHeight="1" x14ac:dyDescent="0.2">
      <c r="A49" s="163" t="str">
        <f t="shared" si="0"/>
        <v/>
      </c>
      <c r="B49" s="170">
        <v>0</v>
      </c>
      <c r="D49" s="173" t="s">
        <v>252</v>
      </c>
      <c r="E49" s="396" t="s">
        <v>219</v>
      </c>
      <c r="F49" s="396"/>
      <c r="G49" s="396"/>
      <c r="H49" s="396"/>
      <c r="I49" s="396"/>
      <c r="J49" s="396"/>
      <c r="K49" s="396"/>
      <c r="L49" s="396"/>
      <c r="M49" s="396"/>
      <c r="N49" s="396"/>
      <c r="O49" s="396"/>
      <c r="P49" s="396"/>
      <c r="Q49" s="396"/>
      <c r="R49" s="396"/>
      <c r="S49" s="396"/>
      <c r="T49" s="396"/>
      <c r="U49" s="396"/>
      <c r="V49" s="396"/>
      <c r="W49" s="396"/>
      <c r="X49" s="396"/>
      <c r="Y49" s="396"/>
      <c r="Z49" s="396"/>
      <c r="AB49" s="159" t="s">
        <v>248</v>
      </c>
      <c r="AD49" s="172" t="s">
        <v>249</v>
      </c>
      <c r="AE49" s="167"/>
      <c r="AF49" s="164">
        <f t="shared" si="6"/>
        <v>1</v>
      </c>
      <c r="AG49" s="164">
        <f t="shared" si="7"/>
        <v>0</v>
      </c>
      <c r="AI49" s="190">
        <v>1</v>
      </c>
    </row>
    <row r="50" spans="1:35" ht="20" hidden="1" customHeight="1" x14ac:dyDescent="0.2">
      <c r="A50" s="163" t="str">
        <f t="shared" si="0"/>
        <v/>
      </c>
      <c r="B50" s="170">
        <v>0</v>
      </c>
      <c r="D50" s="173" t="s">
        <v>252</v>
      </c>
      <c r="E50" s="396" t="s">
        <v>253</v>
      </c>
      <c r="F50" s="396"/>
      <c r="G50" s="396"/>
      <c r="H50" s="396"/>
      <c r="I50" s="396"/>
      <c r="J50" s="396"/>
      <c r="K50" s="396"/>
      <c r="L50" s="396"/>
      <c r="M50" s="396"/>
      <c r="N50" s="396"/>
      <c r="O50" s="396"/>
      <c r="P50" s="396"/>
      <c r="Q50" s="396"/>
      <c r="R50" s="396"/>
      <c r="S50" s="396"/>
      <c r="T50" s="396"/>
      <c r="U50" s="396"/>
      <c r="V50" s="396"/>
      <c r="W50" s="396"/>
      <c r="X50" s="396"/>
      <c r="Y50" s="396"/>
      <c r="Z50" s="396"/>
      <c r="AB50" s="159" t="s">
        <v>248</v>
      </c>
      <c r="AD50" s="172" t="s">
        <v>249</v>
      </c>
      <c r="AE50" s="167"/>
      <c r="AF50" s="164">
        <f t="shared" si="6"/>
        <v>1</v>
      </c>
      <c r="AG50" s="164">
        <f t="shared" si="7"/>
        <v>0</v>
      </c>
      <c r="AI50" s="190">
        <v>1</v>
      </c>
    </row>
    <row r="51" spans="1:35" ht="20" hidden="1" customHeight="1" x14ac:dyDescent="0.2">
      <c r="A51" s="163" t="str">
        <f t="shared" si="0"/>
        <v/>
      </c>
      <c r="B51" s="170">
        <v>0</v>
      </c>
      <c r="D51" s="173" t="s">
        <v>252</v>
      </c>
      <c r="E51" s="396" t="s">
        <v>254</v>
      </c>
      <c r="F51" s="396"/>
      <c r="G51" s="396"/>
      <c r="H51" s="396"/>
      <c r="I51" s="396"/>
      <c r="J51" s="396"/>
      <c r="K51" s="396"/>
      <c r="L51" s="396"/>
      <c r="M51" s="396"/>
      <c r="N51" s="396"/>
      <c r="O51" s="396"/>
      <c r="P51" s="396"/>
      <c r="Q51" s="396"/>
      <c r="R51" s="396"/>
      <c r="S51" s="396"/>
      <c r="T51" s="396"/>
      <c r="U51" s="396"/>
      <c r="V51" s="396"/>
      <c r="W51" s="396"/>
      <c r="X51" s="396"/>
      <c r="Y51" s="396"/>
      <c r="Z51" s="396"/>
      <c r="AB51" s="159" t="s">
        <v>248</v>
      </c>
      <c r="AD51" s="172" t="s">
        <v>249</v>
      </c>
      <c r="AE51" s="167"/>
      <c r="AF51" s="164">
        <f t="shared" si="6"/>
        <v>1</v>
      </c>
      <c r="AG51" s="164">
        <f t="shared" si="7"/>
        <v>0</v>
      </c>
      <c r="AI51" s="190">
        <v>1</v>
      </c>
    </row>
    <row r="52" spans="1:35" ht="20" hidden="1" customHeight="1" x14ac:dyDescent="0.2">
      <c r="A52" s="163" t="str">
        <f t="shared" si="0"/>
        <v/>
      </c>
      <c r="B52" s="170">
        <v>0</v>
      </c>
      <c r="D52" s="173" t="s">
        <v>252</v>
      </c>
      <c r="E52" s="396" t="s">
        <v>255</v>
      </c>
      <c r="F52" s="396"/>
      <c r="G52" s="396"/>
      <c r="H52" s="396"/>
      <c r="I52" s="396"/>
      <c r="J52" s="396"/>
      <c r="K52" s="396"/>
      <c r="L52" s="396"/>
      <c r="M52" s="396"/>
      <c r="N52" s="396"/>
      <c r="O52" s="396"/>
      <c r="P52" s="396"/>
      <c r="Q52" s="396"/>
      <c r="R52" s="396"/>
      <c r="S52" s="396"/>
      <c r="T52" s="396"/>
      <c r="U52" s="396"/>
      <c r="V52" s="396"/>
      <c r="W52" s="396"/>
      <c r="X52" s="396"/>
      <c r="Y52" s="396"/>
      <c r="Z52" s="396"/>
      <c r="AB52" s="159" t="s">
        <v>248</v>
      </c>
      <c r="AD52" s="172" t="s">
        <v>249</v>
      </c>
      <c r="AE52" s="167"/>
      <c r="AF52" s="164">
        <f t="shared" si="6"/>
        <v>1</v>
      </c>
      <c r="AG52" s="164">
        <f t="shared" si="7"/>
        <v>0</v>
      </c>
      <c r="AI52" s="190">
        <v>1</v>
      </c>
    </row>
    <row r="53" spans="1:35" ht="18" hidden="1" customHeight="1" x14ac:dyDescent="0.2">
      <c r="A53" s="163" t="str">
        <f t="shared" si="0"/>
        <v/>
      </c>
      <c r="B53" s="170">
        <v>0</v>
      </c>
      <c r="D53" s="173" t="s">
        <v>252</v>
      </c>
      <c r="E53" s="396" t="s">
        <v>256</v>
      </c>
      <c r="F53" s="396"/>
      <c r="G53" s="396"/>
      <c r="H53" s="396"/>
      <c r="I53" s="396"/>
      <c r="J53" s="396"/>
      <c r="K53" s="396"/>
      <c r="L53" s="396"/>
      <c r="M53" s="396"/>
      <c r="N53" s="396"/>
      <c r="O53" s="396"/>
      <c r="P53" s="396"/>
      <c r="Q53" s="396"/>
      <c r="R53" s="396"/>
      <c r="S53" s="396"/>
      <c r="T53" s="396"/>
      <c r="U53" s="396"/>
      <c r="V53" s="396"/>
      <c r="W53" s="396"/>
      <c r="X53" s="396"/>
      <c r="Y53" s="396"/>
      <c r="Z53" s="396"/>
      <c r="AB53" s="159" t="s">
        <v>248</v>
      </c>
      <c r="AD53" s="172" t="s">
        <v>249</v>
      </c>
      <c r="AE53" s="167"/>
      <c r="AF53" s="164">
        <f t="shared" si="6"/>
        <v>1</v>
      </c>
      <c r="AG53" s="164">
        <f t="shared" si="7"/>
        <v>0</v>
      </c>
      <c r="AI53" s="190">
        <v>1</v>
      </c>
    </row>
    <row r="54" spans="1:35" ht="18" hidden="1" customHeight="1" x14ac:dyDescent="0.2">
      <c r="A54" s="163" t="str">
        <f t="shared" si="0"/>
        <v/>
      </c>
      <c r="B54" s="170">
        <v>0</v>
      </c>
      <c r="D54" s="173" t="s">
        <v>252</v>
      </c>
      <c r="E54" s="396" t="s">
        <v>257</v>
      </c>
      <c r="F54" s="396"/>
      <c r="G54" s="396"/>
      <c r="H54" s="396"/>
      <c r="I54" s="396"/>
      <c r="J54" s="396"/>
      <c r="K54" s="396"/>
      <c r="L54" s="396"/>
      <c r="M54" s="396"/>
      <c r="N54" s="396"/>
      <c r="O54" s="396"/>
      <c r="P54" s="396"/>
      <c r="Q54" s="396"/>
      <c r="R54" s="396"/>
      <c r="S54" s="396"/>
      <c r="T54" s="396"/>
      <c r="U54" s="396"/>
      <c r="V54" s="396"/>
      <c r="W54" s="396"/>
      <c r="X54" s="396"/>
      <c r="Y54" s="396"/>
      <c r="Z54" s="396"/>
      <c r="AB54" s="159" t="s">
        <v>248</v>
      </c>
      <c r="AD54" s="172" t="s">
        <v>249</v>
      </c>
      <c r="AE54" s="167"/>
      <c r="AF54" s="164">
        <f t="shared" si="6"/>
        <v>1</v>
      </c>
      <c r="AG54" s="164">
        <f t="shared" si="7"/>
        <v>0</v>
      </c>
      <c r="AI54" s="190">
        <v>1</v>
      </c>
    </row>
    <row r="55" spans="1:35" ht="18" hidden="1" customHeight="1" x14ac:dyDescent="0.2">
      <c r="A55" s="163" t="str">
        <f t="shared" si="0"/>
        <v/>
      </c>
      <c r="B55" s="170">
        <v>0</v>
      </c>
      <c r="D55" s="173" t="s">
        <v>252</v>
      </c>
      <c r="E55" s="396" t="s">
        <v>220</v>
      </c>
      <c r="F55" s="396"/>
      <c r="G55" s="396"/>
      <c r="H55" s="396"/>
      <c r="I55" s="396"/>
      <c r="J55" s="396"/>
      <c r="K55" s="396"/>
      <c r="L55" s="396"/>
      <c r="M55" s="396"/>
      <c r="N55" s="396"/>
      <c r="O55" s="396"/>
      <c r="P55" s="396"/>
      <c r="Q55" s="396"/>
      <c r="R55" s="396"/>
      <c r="S55" s="396"/>
      <c r="T55" s="396"/>
      <c r="U55" s="396"/>
      <c r="V55" s="396"/>
      <c r="W55" s="396"/>
      <c r="X55" s="396"/>
      <c r="Y55" s="396"/>
      <c r="Z55" s="396"/>
      <c r="AB55" s="159" t="s">
        <v>248</v>
      </c>
      <c r="AD55" s="172" t="s">
        <v>249</v>
      </c>
      <c r="AE55" s="167"/>
      <c r="AF55" s="164">
        <f t="shared" si="6"/>
        <v>1</v>
      </c>
      <c r="AG55" s="164">
        <f t="shared" si="7"/>
        <v>0</v>
      </c>
      <c r="AI55" s="190">
        <v>1</v>
      </c>
    </row>
    <row r="56" spans="1:35" ht="18" hidden="1" customHeight="1" x14ac:dyDescent="0.2">
      <c r="A56" s="163" t="str">
        <f t="shared" si="0"/>
        <v/>
      </c>
      <c r="B56" s="170">
        <v>0</v>
      </c>
      <c r="D56" s="173" t="s">
        <v>252</v>
      </c>
      <c r="E56" s="396" t="s">
        <v>221</v>
      </c>
      <c r="F56" s="396"/>
      <c r="G56" s="396"/>
      <c r="H56" s="396"/>
      <c r="I56" s="396"/>
      <c r="J56" s="396"/>
      <c r="K56" s="396"/>
      <c r="L56" s="396"/>
      <c r="M56" s="396"/>
      <c r="N56" s="396"/>
      <c r="O56" s="396"/>
      <c r="P56" s="396"/>
      <c r="Q56" s="396"/>
      <c r="R56" s="396"/>
      <c r="S56" s="396"/>
      <c r="T56" s="396"/>
      <c r="U56" s="396"/>
      <c r="V56" s="396"/>
      <c r="W56" s="396"/>
      <c r="X56" s="396"/>
      <c r="Y56" s="396"/>
      <c r="Z56" s="396"/>
      <c r="AB56" s="159" t="s">
        <v>248</v>
      </c>
      <c r="AD56" s="172" t="s">
        <v>249</v>
      </c>
      <c r="AE56" s="167"/>
      <c r="AF56" s="164">
        <f t="shared" si="6"/>
        <v>1</v>
      </c>
      <c r="AG56" s="164">
        <f t="shared" si="7"/>
        <v>0</v>
      </c>
      <c r="AI56" s="190">
        <v>1</v>
      </c>
    </row>
    <row r="57" spans="1:35" ht="18" hidden="1" customHeight="1" x14ac:dyDescent="0.2">
      <c r="A57" s="163" t="str">
        <f t="shared" ref="A57" si="8">IF(AG57=1,"X","")</f>
        <v/>
      </c>
      <c r="B57" s="170">
        <v>0</v>
      </c>
      <c r="D57" s="173" t="s">
        <v>252</v>
      </c>
      <c r="E57" s="396" t="s">
        <v>308</v>
      </c>
      <c r="F57" s="396"/>
      <c r="G57" s="396"/>
      <c r="H57" s="396"/>
      <c r="I57" s="396"/>
      <c r="J57" s="396"/>
      <c r="K57" s="396"/>
      <c r="L57" s="396"/>
      <c r="M57" s="396"/>
      <c r="N57" s="396"/>
      <c r="O57" s="396"/>
      <c r="P57" s="396"/>
      <c r="Q57" s="396"/>
      <c r="R57" s="396"/>
      <c r="S57" s="396"/>
      <c r="T57" s="396"/>
      <c r="U57" s="396"/>
      <c r="V57" s="396"/>
      <c r="W57" s="396"/>
      <c r="X57" s="396"/>
      <c r="Y57" s="396"/>
      <c r="Z57" s="396"/>
      <c r="AB57" s="159" t="s">
        <v>248</v>
      </c>
      <c r="AD57" s="172" t="s">
        <v>249</v>
      </c>
      <c r="AE57" s="167"/>
      <c r="AF57" s="164">
        <f t="shared" ref="AF57" si="9">IF(B57&lt;&gt;"",1,0)</f>
        <v>1</v>
      </c>
      <c r="AG57" s="164">
        <f t="shared" si="7"/>
        <v>0</v>
      </c>
      <c r="AI57" s="190">
        <v>1</v>
      </c>
    </row>
    <row r="58" spans="1:35" ht="18" hidden="1" customHeight="1" x14ac:dyDescent="0.2">
      <c r="A58" s="163" t="str">
        <f t="shared" si="0"/>
        <v/>
      </c>
      <c r="B58" s="170">
        <v>0</v>
      </c>
      <c r="D58" s="173" t="s">
        <v>252</v>
      </c>
      <c r="E58" s="396" t="s">
        <v>309</v>
      </c>
      <c r="F58" s="396"/>
      <c r="G58" s="396"/>
      <c r="H58" s="396"/>
      <c r="I58" s="396"/>
      <c r="J58" s="396"/>
      <c r="K58" s="396"/>
      <c r="L58" s="396"/>
      <c r="M58" s="396"/>
      <c r="N58" s="396"/>
      <c r="O58" s="396"/>
      <c r="P58" s="396"/>
      <c r="Q58" s="396"/>
      <c r="R58" s="396"/>
      <c r="S58" s="396"/>
      <c r="T58" s="396"/>
      <c r="U58" s="396"/>
      <c r="V58" s="396"/>
      <c r="W58" s="396"/>
      <c r="X58" s="396"/>
      <c r="Y58" s="396"/>
      <c r="Z58" s="396"/>
      <c r="AB58" s="159" t="s">
        <v>248</v>
      </c>
      <c r="AD58" s="172" t="s">
        <v>249</v>
      </c>
      <c r="AE58" s="167"/>
      <c r="AF58" s="164">
        <f t="shared" si="6"/>
        <v>1</v>
      </c>
      <c r="AG58" s="164">
        <f t="shared" si="7"/>
        <v>0</v>
      </c>
      <c r="AI58" s="190">
        <v>1</v>
      </c>
    </row>
    <row r="59" spans="1:35" ht="18" hidden="1" customHeight="1" x14ac:dyDescent="0.2">
      <c r="A59" s="163" t="str">
        <f t="shared" si="0"/>
        <v/>
      </c>
      <c r="B59" s="170">
        <v>0</v>
      </c>
      <c r="D59" s="173" t="s">
        <v>252</v>
      </c>
      <c r="E59" s="396" t="s">
        <v>222</v>
      </c>
      <c r="F59" s="396"/>
      <c r="G59" s="396"/>
      <c r="H59" s="396"/>
      <c r="I59" s="396"/>
      <c r="J59" s="396"/>
      <c r="K59" s="396"/>
      <c r="L59" s="396"/>
      <c r="M59" s="396"/>
      <c r="N59" s="396"/>
      <c r="O59" s="396"/>
      <c r="P59" s="396"/>
      <c r="Q59" s="396"/>
      <c r="R59" s="396"/>
      <c r="S59" s="396"/>
      <c r="T59" s="396"/>
      <c r="U59" s="396"/>
      <c r="V59" s="396"/>
      <c r="W59" s="396"/>
      <c r="X59" s="396"/>
      <c r="Y59" s="396"/>
      <c r="Z59" s="396"/>
      <c r="AB59" s="159" t="s">
        <v>248</v>
      </c>
      <c r="AD59" s="172" t="s">
        <v>249</v>
      </c>
      <c r="AE59" s="167"/>
      <c r="AF59" s="164">
        <f t="shared" si="6"/>
        <v>1</v>
      </c>
      <c r="AG59" s="164">
        <f t="shared" si="7"/>
        <v>0</v>
      </c>
      <c r="AI59" s="190">
        <v>1</v>
      </c>
    </row>
    <row r="60" spans="1:35" ht="18" hidden="1" customHeight="1" x14ac:dyDescent="0.2">
      <c r="A60" s="163" t="str">
        <f t="shared" si="0"/>
        <v/>
      </c>
      <c r="B60" s="170">
        <v>0</v>
      </c>
      <c r="D60" s="173" t="s">
        <v>252</v>
      </c>
      <c r="E60" s="396" t="s">
        <v>223</v>
      </c>
      <c r="F60" s="396"/>
      <c r="G60" s="396"/>
      <c r="H60" s="396"/>
      <c r="I60" s="396"/>
      <c r="J60" s="396"/>
      <c r="K60" s="396"/>
      <c r="L60" s="396"/>
      <c r="M60" s="396"/>
      <c r="N60" s="396"/>
      <c r="O60" s="396"/>
      <c r="P60" s="396"/>
      <c r="Q60" s="396"/>
      <c r="R60" s="396"/>
      <c r="S60" s="396"/>
      <c r="T60" s="396"/>
      <c r="U60" s="396"/>
      <c r="V60" s="396"/>
      <c r="W60" s="396"/>
      <c r="X60" s="396"/>
      <c r="Y60" s="396"/>
      <c r="Z60" s="396"/>
      <c r="AB60" s="159" t="s">
        <v>248</v>
      </c>
      <c r="AD60" s="172" t="s">
        <v>249</v>
      </c>
      <c r="AE60" s="167"/>
      <c r="AF60" s="164">
        <f t="shared" si="6"/>
        <v>1</v>
      </c>
      <c r="AG60" s="164">
        <f t="shared" si="7"/>
        <v>0</v>
      </c>
      <c r="AI60" s="190">
        <v>1</v>
      </c>
    </row>
    <row r="61" spans="1:35" ht="18" hidden="1" customHeight="1" x14ac:dyDescent="0.2">
      <c r="A61" s="163" t="str">
        <f t="shared" si="0"/>
        <v/>
      </c>
      <c r="B61" s="170">
        <v>0</v>
      </c>
      <c r="D61" s="173" t="s">
        <v>252</v>
      </c>
      <c r="E61" s="396" t="s">
        <v>310</v>
      </c>
      <c r="F61" s="396"/>
      <c r="G61" s="396"/>
      <c r="H61" s="396"/>
      <c r="I61" s="396"/>
      <c r="J61" s="396"/>
      <c r="K61" s="396"/>
      <c r="L61" s="396"/>
      <c r="M61" s="396"/>
      <c r="N61" s="396"/>
      <c r="O61" s="396"/>
      <c r="P61" s="396"/>
      <c r="Q61" s="396"/>
      <c r="R61" s="396"/>
      <c r="S61" s="396"/>
      <c r="T61" s="396"/>
      <c r="U61" s="396"/>
      <c r="V61" s="396"/>
      <c r="W61" s="396"/>
      <c r="X61" s="396"/>
      <c r="Y61" s="396"/>
      <c r="Z61" s="396"/>
      <c r="AA61" s="174"/>
      <c r="AB61" s="159" t="s">
        <v>248</v>
      </c>
      <c r="AD61" s="172" t="s">
        <v>249</v>
      </c>
      <c r="AE61" s="167"/>
      <c r="AF61" s="164">
        <f t="shared" si="6"/>
        <v>1</v>
      </c>
      <c r="AG61" s="164">
        <f t="shared" si="7"/>
        <v>0</v>
      </c>
      <c r="AI61" s="190">
        <v>1</v>
      </c>
    </row>
    <row r="62" spans="1:35" ht="18" hidden="1" customHeight="1" x14ac:dyDescent="0.2">
      <c r="A62" s="163" t="str">
        <f t="shared" si="0"/>
        <v/>
      </c>
      <c r="B62" s="170">
        <v>0</v>
      </c>
      <c r="D62" s="173" t="s">
        <v>252</v>
      </c>
      <c r="E62" s="396" t="s">
        <v>311</v>
      </c>
      <c r="F62" s="396"/>
      <c r="G62" s="396"/>
      <c r="H62" s="396"/>
      <c r="I62" s="396"/>
      <c r="J62" s="396"/>
      <c r="K62" s="396"/>
      <c r="L62" s="396"/>
      <c r="M62" s="396"/>
      <c r="N62" s="396"/>
      <c r="O62" s="396"/>
      <c r="P62" s="396"/>
      <c r="Q62" s="396"/>
      <c r="R62" s="396"/>
      <c r="S62" s="396"/>
      <c r="T62" s="396"/>
      <c r="U62" s="396"/>
      <c r="V62" s="396"/>
      <c r="W62" s="396"/>
      <c r="X62" s="396"/>
      <c r="Y62" s="396"/>
      <c r="Z62" s="396"/>
      <c r="AA62" s="174"/>
      <c r="AB62" s="159" t="s">
        <v>248</v>
      </c>
      <c r="AD62" s="172" t="s">
        <v>249</v>
      </c>
      <c r="AE62" s="167"/>
      <c r="AF62" s="164">
        <f t="shared" si="6"/>
        <v>1</v>
      </c>
      <c r="AG62" s="164">
        <f t="shared" si="7"/>
        <v>0</v>
      </c>
      <c r="AI62" s="190">
        <v>1</v>
      </c>
    </row>
    <row r="63" spans="1:35" s="180" customFormat="1" ht="18.5" hidden="1" customHeight="1" x14ac:dyDescent="0.2">
      <c r="A63" s="163" t="str">
        <f t="shared" si="0"/>
        <v/>
      </c>
      <c r="B63" s="164">
        <v>0</v>
      </c>
      <c r="C63" s="152"/>
      <c r="D63" s="179" t="s">
        <v>252</v>
      </c>
      <c r="E63" s="378" t="s">
        <v>312</v>
      </c>
      <c r="F63" s="378"/>
      <c r="G63" s="378"/>
      <c r="H63" s="378"/>
      <c r="I63" s="378"/>
      <c r="J63" s="378"/>
      <c r="K63" s="378"/>
      <c r="L63" s="378"/>
      <c r="M63" s="378"/>
      <c r="N63" s="378"/>
      <c r="O63" s="378"/>
      <c r="P63" s="378"/>
      <c r="Q63" s="378"/>
      <c r="R63" s="378"/>
      <c r="S63" s="378"/>
      <c r="T63" s="378"/>
      <c r="U63" s="378"/>
      <c r="V63" s="378"/>
      <c r="W63" s="378"/>
      <c r="X63" s="378"/>
      <c r="Y63" s="378"/>
      <c r="Z63" s="378"/>
      <c r="AA63" s="168"/>
      <c r="AB63" s="166" t="s">
        <v>259</v>
      </c>
      <c r="AD63" s="165" t="s">
        <v>260</v>
      </c>
      <c r="AE63" s="134"/>
      <c r="AF63" s="22"/>
      <c r="AG63" s="22"/>
      <c r="AI63" s="190">
        <v>1</v>
      </c>
    </row>
    <row r="64" spans="1:35" s="180" customFormat="1" ht="18" hidden="1" customHeight="1" x14ac:dyDescent="0.2">
      <c r="A64" s="163" t="str">
        <f t="shared" si="0"/>
        <v/>
      </c>
      <c r="B64" s="170">
        <v>0</v>
      </c>
      <c r="C64" s="152"/>
      <c r="D64" s="179" t="s">
        <v>252</v>
      </c>
      <c r="E64" s="373"/>
      <c r="F64" s="373"/>
      <c r="G64" s="373"/>
      <c r="H64" s="373"/>
      <c r="I64" s="373"/>
      <c r="J64" s="373"/>
      <c r="K64" s="373"/>
      <c r="L64" s="373"/>
      <c r="M64" s="373"/>
      <c r="N64" s="373"/>
      <c r="O64" s="373"/>
      <c r="P64" s="373"/>
      <c r="Q64" s="373"/>
      <c r="R64" s="373"/>
      <c r="S64" s="373"/>
      <c r="T64" s="373"/>
      <c r="U64" s="373"/>
      <c r="V64" s="373"/>
      <c r="W64" s="373"/>
      <c r="X64" s="373"/>
      <c r="Y64" s="373"/>
      <c r="Z64" s="373"/>
      <c r="AA64" s="169"/>
      <c r="AB64" s="159" t="s">
        <v>281</v>
      </c>
      <c r="AD64" s="172" t="s">
        <v>249</v>
      </c>
      <c r="AE64" s="167"/>
      <c r="AF64" s="164">
        <f t="shared" ref="AF64:AF66" si="10">IF(B64&lt;&gt;"",1,0)</f>
        <v>1</v>
      </c>
      <c r="AG64" s="164">
        <f>IF(AND(SUM(AF:AF)&gt;0,$B$46=0,OR(B64=FALSE,AND(B64=1,E64=""),AND(B64="",E64=""),AND(B64="",E64&lt;&gt;""),AND(B64=0,E64&lt;&gt;""))),1,0)</f>
        <v>0</v>
      </c>
      <c r="AI64" s="190">
        <v>1</v>
      </c>
    </row>
    <row r="65" spans="1:35" s="180" customFormat="1" ht="18" hidden="1" customHeight="1" x14ac:dyDescent="0.2">
      <c r="A65" s="163" t="str">
        <f t="shared" si="0"/>
        <v/>
      </c>
      <c r="B65" s="170">
        <v>0</v>
      </c>
      <c r="C65" s="152"/>
      <c r="D65" s="179" t="s">
        <v>252</v>
      </c>
      <c r="E65" s="373"/>
      <c r="F65" s="373"/>
      <c r="G65" s="373"/>
      <c r="H65" s="373"/>
      <c r="I65" s="373"/>
      <c r="J65" s="373"/>
      <c r="K65" s="373"/>
      <c r="L65" s="373"/>
      <c r="M65" s="373"/>
      <c r="N65" s="373"/>
      <c r="O65" s="373"/>
      <c r="P65" s="373"/>
      <c r="Q65" s="373"/>
      <c r="R65" s="373"/>
      <c r="S65" s="373"/>
      <c r="T65" s="373"/>
      <c r="U65" s="373"/>
      <c r="V65" s="373"/>
      <c r="W65" s="373"/>
      <c r="X65" s="373"/>
      <c r="Y65" s="373"/>
      <c r="Z65" s="373"/>
      <c r="AA65" s="169"/>
      <c r="AB65" s="159" t="s">
        <v>281</v>
      </c>
      <c r="AD65" s="172" t="s">
        <v>249</v>
      </c>
      <c r="AE65" s="167"/>
      <c r="AF65" s="164">
        <f t="shared" si="10"/>
        <v>1</v>
      </c>
      <c r="AG65" s="164">
        <f>IF(AND(SUM(AF:AF)&gt;0,$B$46=0,OR(B65=FALSE,AND(B65=1,E65=""),AND(B65="",E65=""),AND(B65="",E65&lt;&gt;""),AND(B65=0,E65&lt;&gt;""))),1,0)</f>
        <v>0</v>
      </c>
      <c r="AI65" s="190">
        <v>1</v>
      </c>
    </row>
    <row r="66" spans="1:35" s="180" customFormat="1" ht="18" hidden="1" customHeight="1" x14ac:dyDescent="0.2">
      <c r="A66" s="163" t="str">
        <f t="shared" si="0"/>
        <v/>
      </c>
      <c r="B66" s="170">
        <v>0</v>
      </c>
      <c r="C66" s="152"/>
      <c r="D66" s="179" t="s">
        <v>252</v>
      </c>
      <c r="E66" s="373"/>
      <c r="F66" s="373"/>
      <c r="G66" s="373"/>
      <c r="H66" s="373"/>
      <c r="I66" s="373"/>
      <c r="J66" s="373"/>
      <c r="K66" s="373"/>
      <c r="L66" s="373"/>
      <c r="M66" s="373"/>
      <c r="N66" s="373"/>
      <c r="O66" s="373"/>
      <c r="P66" s="373"/>
      <c r="Q66" s="373"/>
      <c r="R66" s="373"/>
      <c r="S66" s="373"/>
      <c r="T66" s="373"/>
      <c r="U66" s="373"/>
      <c r="V66" s="373"/>
      <c r="W66" s="373"/>
      <c r="X66" s="373"/>
      <c r="Y66" s="373"/>
      <c r="Z66" s="373"/>
      <c r="AA66" s="169"/>
      <c r="AB66" s="159" t="s">
        <v>281</v>
      </c>
      <c r="AD66" s="172" t="s">
        <v>249</v>
      </c>
      <c r="AE66" s="167"/>
      <c r="AF66" s="164">
        <f t="shared" si="10"/>
        <v>1</v>
      </c>
      <c r="AG66" s="164">
        <f>IF(AND(SUM(AF:AF)&gt;0,$B$46=0,OR(B66=FALSE,AND(B66=1,E66=""),AND(B66="",E66=""),AND(B66="",E66&lt;&gt;""),AND(B66=0,E66&lt;&gt;""))),1,0)</f>
        <v>0</v>
      </c>
      <c r="AI66" s="190">
        <v>1</v>
      </c>
    </row>
    <row r="67" spans="1:35" ht="21" hidden="1" customHeight="1" x14ac:dyDescent="0.2">
      <c r="A67" s="163" t="str">
        <f t="shared" si="0"/>
        <v/>
      </c>
      <c r="B67" s="164">
        <v>0</v>
      </c>
      <c r="D67" s="379" t="s">
        <v>258</v>
      </c>
      <c r="E67" s="379"/>
      <c r="F67" s="379"/>
      <c r="G67" s="379"/>
      <c r="H67" s="379"/>
      <c r="I67" s="379"/>
      <c r="J67" s="379"/>
      <c r="K67" s="379"/>
      <c r="L67" s="379"/>
      <c r="M67" s="379"/>
      <c r="N67" s="379"/>
      <c r="O67" s="379"/>
      <c r="P67" s="379"/>
      <c r="Q67" s="379"/>
      <c r="R67" s="379"/>
      <c r="S67" s="379"/>
      <c r="T67" s="379"/>
      <c r="U67" s="379"/>
      <c r="V67" s="379"/>
      <c r="W67" s="379"/>
      <c r="X67" s="379"/>
      <c r="Y67" s="379"/>
      <c r="Z67" s="379"/>
      <c r="AB67" s="166" t="s">
        <v>259</v>
      </c>
      <c r="AD67" s="165" t="s">
        <v>260</v>
      </c>
      <c r="AE67" s="134"/>
      <c r="AF67" s="22"/>
      <c r="AG67" s="22"/>
      <c r="AI67" s="190">
        <v>1</v>
      </c>
    </row>
    <row r="68" spans="1:35" ht="15.75" hidden="1" customHeight="1" x14ac:dyDescent="0.2">
      <c r="A68" s="163"/>
      <c r="B68" s="164">
        <v>0</v>
      </c>
      <c r="D68" s="369" t="s">
        <v>261</v>
      </c>
      <c r="E68" s="369"/>
      <c r="F68" s="369"/>
      <c r="G68" s="369"/>
      <c r="H68" s="369"/>
      <c r="I68" s="369"/>
      <c r="J68" s="369"/>
      <c r="K68" s="369"/>
      <c r="L68" s="369"/>
      <c r="M68" s="369"/>
      <c r="N68" s="369"/>
      <c r="O68" s="369"/>
      <c r="P68" s="369"/>
      <c r="Q68" s="369"/>
      <c r="R68" s="369"/>
      <c r="S68" s="369"/>
      <c r="T68" s="369"/>
      <c r="U68" s="369"/>
      <c r="V68" s="369"/>
      <c r="W68" s="369"/>
      <c r="X68" s="369"/>
      <c r="Y68" s="369"/>
      <c r="Z68" s="369"/>
      <c r="AB68" s="166" t="s">
        <v>259</v>
      </c>
      <c r="AD68" s="165" t="s">
        <v>260</v>
      </c>
      <c r="AE68" s="134"/>
      <c r="AF68" s="22"/>
      <c r="AG68" s="22"/>
      <c r="AI68" s="190">
        <v>1</v>
      </c>
    </row>
    <row r="69" spans="1:35" ht="8.5" hidden="1" customHeight="1" x14ac:dyDescent="0.15">
      <c r="A69" s="163" t="str">
        <f>IF(AG69=1,"X","")</f>
        <v/>
      </c>
      <c r="B69" s="164">
        <f>IF(OR(D70="Show",Q70="Show"),1,0)</f>
        <v>0</v>
      </c>
      <c r="D69" s="368"/>
      <c r="E69" s="368"/>
      <c r="F69" s="368"/>
      <c r="G69" s="368"/>
      <c r="H69" s="368"/>
      <c r="I69" s="368"/>
      <c r="J69" s="368"/>
      <c r="K69" s="368"/>
      <c r="L69" s="368"/>
      <c r="M69" s="368"/>
      <c r="N69" s="368"/>
      <c r="O69" s="368"/>
      <c r="P69" s="368"/>
      <c r="Q69" s="368"/>
      <c r="R69" s="368"/>
      <c r="S69" s="368"/>
      <c r="T69" s="368"/>
      <c r="U69" s="368"/>
      <c r="V69" s="368"/>
      <c r="W69" s="368"/>
      <c r="X69" s="368"/>
      <c r="Y69" s="368"/>
      <c r="Z69" s="368"/>
      <c r="AD69" s="165" t="s">
        <v>227</v>
      </c>
      <c r="AE69" s="156"/>
      <c r="AF69" s="22"/>
      <c r="AG69" s="22"/>
      <c r="AI69" s="190">
        <v>1</v>
      </c>
    </row>
    <row r="70" spans="1:35" ht="18" hidden="1" customHeight="1" x14ac:dyDescent="0.2">
      <c r="A70" s="163" t="str">
        <f t="shared" ref="A70:A71" si="11">IF(AG70=1,"X","")</f>
        <v/>
      </c>
      <c r="B70" s="164">
        <v>0</v>
      </c>
      <c r="D70" s="370" t="s">
        <v>267</v>
      </c>
      <c r="E70" s="370"/>
      <c r="F70" s="370"/>
      <c r="G70" s="370"/>
      <c r="H70" s="370"/>
      <c r="I70" s="370"/>
      <c r="J70" s="370"/>
      <c r="K70" s="370"/>
      <c r="L70" s="370"/>
      <c r="M70" s="370"/>
      <c r="N70" s="370"/>
      <c r="O70" s="175"/>
      <c r="P70" s="175"/>
      <c r="Q70" s="370" t="s">
        <v>267</v>
      </c>
      <c r="R70" s="370"/>
      <c r="S70" s="370"/>
      <c r="T70" s="370"/>
      <c r="U70" s="370"/>
      <c r="V70" s="370"/>
      <c r="W70" s="370"/>
      <c r="X70" s="370"/>
      <c r="Y70" s="370"/>
      <c r="Z70" s="370"/>
      <c r="AA70" s="176"/>
      <c r="AB70" s="159" t="s">
        <v>262</v>
      </c>
      <c r="AD70" s="172" t="s">
        <v>249</v>
      </c>
      <c r="AE70" s="134"/>
      <c r="AF70" s="164">
        <f>IF(OR(D70="Show",D70="",Q70="Show",Q70=""),1,0)</f>
        <v>0</v>
      </c>
      <c r="AG70" s="164">
        <f>IF(AND(SUM(AF:AF)&gt;0,OR(D70="",Q70="")),1,0)</f>
        <v>0</v>
      </c>
      <c r="AI70" s="190">
        <v>1</v>
      </c>
    </row>
    <row r="71" spans="1:35" ht="197.25" hidden="1" customHeight="1" x14ac:dyDescent="0.2">
      <c r="A71" s="163" t="str">
        <f t="shared" si="11"/>
        <v/>
      </c>
      <c r="B71" s="164">
        <f>B69</f>
        <v>0</v>
      </c>
      <c r="D71" s="370"/>
      <c r="E71" s="370"/>
      <c r="F71" s="370"/>
      <c r="G71" s="370"/>
      <c r="H71" s="370"/>
      <c r="I71" s="370"/>
      <c r="J71" s="370"/>
      <c r="K71" s="370"/>
      <c r="L71" s="370"/>
      <c r="M71" s="370"/>
      <c r="N71" s="370"/>
      <c r="O71" s="175"/>
      <c r="P71" s="175"/>
      <c r="Q71" s="370"/>
      <c r="R71" s="370"/>
      <c r="S71" s="370"/>
      <c r="T71" s="370"/>
      <c r="U71" s="370"/>
      <c r="V71" s="370"/>
      <c r="W71" s="370"/>
      <c r="X71" s="370"/>
      <c r="Y71" s="370"/>
      <c r="Z71" s="370"/>
      <c r="AA71" s="176"/>
      <c r="AB71" s="159" t="s">
        <v>263</v>
      </c>
      <c r="AD71" s="172" t="s">
        <v>249</v>
      </c>
      <c r="AE71" s="167"/>
      <c r="AF71" s="22"/>
      <c r="AG71" s="22"/>
      <c r="AI71" s="190">
        <v>1</v>
      </c>
    </row>
    <row r="72" spans="1:35" ht="18" hidden="1" customHeight="1" x14ac:dyDescent="0.2">
      <c r="A72" s="163" t="str">
        <f t="shared" si="0"/>
        <v/>
      </c>
      <c r="B72" s="164">
        <f>B71</f>
        <v>0</v>
      </c>
      <c r="D72" s="371"/>
      <c r="E72" s="371"/>
      <c r="F72" s="371"/>
      <c r="G72" s="371"/>
      <c r="H72" s="371"/>
      <c r="I72" s="371"/>
      <c r="J72" s="371"/>
      <c r="K72" s="371"/>
      <c r="L72" s="371"/>
      <c r="M72" s="371"/>
      <c r="N72" s="371"/>
      <c r="O72" s="175"/>
      <c r="P72" s="175"/>
      <c r="Q72" s="371"/>
      <c r="R72" s="371"/>
      <c r="S72" s="371"/>
      <c r="T72" s="371"/>
      <c r="U72" s="371"/>
      <c r="V72" s="371"/>
      <c r="W72" s="371"/>
      <c r="X72" s="371"/>
      <c r="Y72" s="371"/>
      <c r="Z72" s="371"/>
      <c r="AA72" s="176"/>
      <c r="AB72" s="159" t="s">
        <v>264</v>
      </c>
      <c r="AD72" s="172" t="s">
        <v>249</v>
      </c>
      <c r="AE72" s="167"/>
      <c r="AF72" s="164">
        <f>IF(OR(D70="Show",D70="",Q70="Show",Q70=""),1,0)</f>
        <v>0</v>
      </c>
      <c r="AG72" s="164">
        <f>IF(AND(SUM(AF:AF)&gt;0,OR(AND(D70="Show",D72=""),AND(Q70="Show",Q72=""))),1,0)</f>
        <v>0</v>
      </c>
      <c r="AI72" s="190">
        <v>1</v>
      </c>
    </row>
    <row r="73" spans="1:35" ht="8.5" hidden="1" customHeight="1" x14ac:dyDescent="0.15">
      <c r="A73" s="163" t="str">
        <f t="shared" si="0"/>
        <v/>
      </c>
      <c r="B73" s="164">
        <f>B72</f>
        <v>0</v>
      </c>
      <c r="D73" s="368"/>
      <c r="E73" s="368"/>
      <c r="F73" s="368"/>
      <c r="G73" s="368"/>
      <c r="H73" s="368"/>
      <c r="I73" s="368"/>
      <c r="J73" s="368"/>
      <c r="K73" s="368"/>
      <c r="L73" s="368"/>
      <c r="M73" s="368"/>
      <c r="N73" s="368"/>
      <c r="O73" s="368"/>
      <c r="P73" s="368"/>
      <c r="Q73" s="368"/>
      <c r="R73" s="368"/>
      <c r="S73" s="368"/>
      <c r="T73" s="368"/>
      <c r="U73" s="368"/>
      <c r="V73" s="368"/>
      <c r="W73" s="368"/>
      <c r="X73" s="368"/>
      <c r="Y73" s="368"/>
      <c r="Z73" s="368"/>
      <c r="AA73" s="176"/>
      <c r="AD73" s="165" t="s">
        <v>227</v>
      </c>
      <c r="AE73" s="156"/>
      <c r="AF73" s="22"/>
      <c r="AG73" s="22"/>
      <c r="AI73" s="190">
        <v>1</v>
      </c>
    </row>
    <row r="74" spans="1:35" ht="15.75" hidden="1" customHeight="1" x14ac:dyDescent="0.2">
      <c r="A74" s="163"/>
      <c r="B74" s="164">
        <v>0</v>
      </c>
      <c r="D74" s="369" t="s">
        <v>265</v>
      </c>
      <c r="E74" s="369"/>
      <c r="F74" s="369"/>
      <c r="G74" s="369"/>
      <c r="H74" s="369"/>
      <c r="I74" s="369"/>
      <c r="J74" s="369"/>
      <c r="K74" s="369"/>
      <c r="L74" s="369"/>
      <c r="M74" s="369"/>
      <c r="N74" s="369"/>
      <c r="O74" s="369"/>
      <c r="P74" s="369"/>
      <c r="Q74" s="369"/>
      <c r="R74" s="369"/>
      <c r="S74" s="369"/>
      <c r="T74" s="369"/>
      <c r="U74" s="369"/>
      <c r="V74" s="369"/>
      <c r="W74" s="369"/>
      <c r="X74" s="369"/>
      <c r="Y74" s="369"/>
      <c r="Z74" s="369"/>
      <c r="AB74" s="166" t="s">
        <v>259</v>
      </c>
      <c r="AD74" s="165" t="s">
        <v>260</v>
      </c>
      <c r="AE74" s="134"/>
      <c r="AF74" s="22"/>
      <c r="AG74" s="22"/>
      <c r="AI74" s="190">
        <v>1</v>
      </c>
    </row>
    <row r="75" spans="1:35" ht="15.75" hidden="1" customHeight="1" x14ac:dyDescent="0.2">
      <c r="A75" s="163"/>
      <c r="B75" s="164">
        <v>0</v>
      </c>
      <c r="D75" s="369" t="s">
        <v>266</v>
      </c>
      <c r="E75" s="369"/>
      <c r="F75" s="369"/>
      <c r="G75" s="369"/>
      <c r="H75" s="369"/>
      <c r="I75" s="369"/>
      <c r="J75" s="369"/>
      <c r="K75" s="369"/>
      <c r="L75" s="369"/>
      <c r="M75" s="369"/>
      <c r="N75" s="369"/>
      <c r="O75" s="369"/>
      <c r="P75" s="369"/>
      <c r="Q75" s="369"/>
      <c r="R75" s="369"/>
      <c r="S75" s="369"/>
      <c r="T75" s="369"/>
      <c r="U75" s="369"/>
      <c r="V75" s="369"/>
      <c r="W75" s="369"/>
      <c r="X75" s="369"/>
      <c r="Y75" s="369"/>
      <c r="Z75" s="369"/>
      <c r="AB75" s="166" t="s">
        <v>259</v>
      </c>
      <c r="AD75" s="165" t="s">
        <v>260</v>
      </c>
      <c r="AE75" s="134"/>
      <c r="AF75" s="22"/>
      <c r="AG75" s="22"/>
      <c r="AI75" s="190">
        <v>1</v>
      </c>
    </row>
    <row r="76" spans="1:35" ht="8.5" hidden="1" customHeight="1" x14ac:dyDescent="0.15">
      <c r="A76" s="163" t="str">
        <f>IF(AG76=1,"X","")</f>
        <v/>
      </c>
      <c r="B76" s="164">
        <f>IF(OR(D77="Show",Q77="Show"),1,0)</f>
        <v>0</v>
      </c>
      <c r="D76" s="368"/>
      <c r="E76" s="368"/>
      <c r="F76" s="368"/>
      <c r="G76" s="368"/>
      <c r="H76" s="368"/>
      <c r="I76" s="368"/>
      <c r="J76" s="368"/>
      <c r="K76" s="368"/>
      <c r="L76" s="368"/>
      <c r="M76" s="368"/>
      <c r="N76" s="368"/>
      <c r="O76" s="368"/>
      <c r="P76" s="368"/>
      <c r="Q76" s="368"/>
      <c r="R76" s="368"/>
      <c r="S76" s="368"/>
      <c r="T76" s="368"/>
      <c r="U76" s="368"/>
      <c r="V76" s="368"/>
      <c r="W76" s="368"/>
      <c r="X76" s="368"/>
      <c r="Y76" s="368"/>
      <c r="Z76" s="368"/>
      <c r="AD76" s="165" t="s">
        <v>227</v>
      </c>
      <c r="AE76" s="156"/>
      <c r="AF76" s="22"/>
      <c r="AG76" s="22"/>
      <c r="AI76" s="190">
        <v>1</v>
      </c>
    </row>
    <row r="77" spans="1:35" ht="18" hidden="1" customHeight="1" x14ac:dyDescent="0.2">
      <c r="A77" s="163" t="str">
        <f t="shared" ref="A77:A80" si="12">IF(AG77=1,"X","")</f>
        <v/>
      </c>
      <c r="B77" s="164">
        <v>0</v>
      </c>
      <c r="D77" s="370" t="s">
        <v>267</v>
      </c>
      <c r="E77" s="370"/>
      <c r="F77" s="370"/>
      <c r="G77" s="370"/>
      <c r="H77" s="370"/>
      <c r="I77" s="370"/>
      <c r="J77" s="370"/>
      <c r="K77" s="370"/>
      <c r="L77" s="370"/>
      <c r="M77" s="370"/>
      <c r="N77" s="370"/>
      <c r="O77" s="175"/>
      <c r="P77" s="175"/>
      <c r="Q77" s="370" t="s">
        <v>267</v>
      </c>
      <c r="R77" s="370"/>
      <c r="S77" s="370"/>
      <c r="T77" s="370"/>
      <c r="U77" s="370"/>
      <c r="V77" s="370"/>
      <c r="W77" s="370"/>
      <c r="X77" s="370"/>
      <c r="Y77" s="370"/>
      <c r="Z77" s="370"/>
      <c r="AA77" s="176"/>
      <c r="AB77" s="159" t="s">
        <v>262</v>
      </c>
      <c r="AD77" s="172" t="s">
        <v>249</v>
      </c>
      <c r="AE77" s="134"/>
      <c r="AF77" s="164">
        <f>IF(OR(D77="Show",D77="",Q77="Show",Q77=""),1,0)</f>
        <v>0</v>
      </c>
      <c r="AG77" s="164">
        <f>IF(AND(SUM(AF:AF)&gt;0,OR(D77="",Q77="")),1,0)</f>
        <v>0</v>
      </c>
      <c r="AI77" s="190">
        <v>1</v>
      </c>
    </row>
    <row r="78" spans="1:35" ht="197.25" hidden="1" customHeight="1" x14ac:dyDescent="0.2">
      <c r="A78" s="163" t="str">
        <f t="shared" si="12"/>
        <v/>
      </c>
      <c r="B78" s="164">
        <f>B76</f>
        <v>0</v>
      </c>
      <c r="D78" s="370"/>
      <c r="E78" s="370"/>
      <c r="F78" s="370"/>
      <c r="G78" s="370"/>
      <c r="H78" s="370"/>
      <c r="I78" s="370"/>
      <c r="J78" s="370"/>
      <c r="K78" s="370"/>
      <c r="L78" s="370"/>
      <c r="M78" s="370"/>
      <c r="N78" s="370"/>
      <c r="O78" s="175"/>
      <c r="P78" s="175"/>
      <c r="Q78" s="370"/>
      <c r="R78" s="370"/>
      <c r="S78" s="370"/>
      <c r="T78" s="370"/>
      <c r="U78" s="370"/>
      <c r="V78" s="370"/>
      <c r="W78" s="370"/>
      <c r="X78" s="370"/>
      <c r="Y78" s="370"/>
      <c r="Z78" s="370"/>
      <c r="AA78" s="176"/>
      <c r="AB78" s="159" t="s">
        <v>263</v>
      </c>
      <c r="AD78" s="172" t="s">
        <v>249</v>
      </c>
      <c r="AE78" s="167"/>
      <c r="AF78" s="22"/>
      <c r="AG78" s="22"/>
      <c r="AI78" s="190">
        <v>1</v>
      </c>
    </row>
    <row r="79" spans="1:35" ht="18" hidden="1" customHeight="1" x14ac:dyDescent="0.2">
      <c r="A79" s="163" t="str">
        <f t="shared" si="12"/>
        <v/>
      </c>
      <c r="B79" s="164">
        <f>B78</f>
        <v>0</v>
      </c>
      <c r="D79" s="371"/>
      <c r="E79" s="371"/>
      <c r="F79" s="371"/>
      <c r="G79" s="371"/>
      <c r="H79" s="371"/>
      <c r="I79" s="371"/>
      <c r="J79" s="371"/>
      <c r="K79" s="371"/>
      <c r="L79" s="371"/>
      <c r="M79" s="371"/>
      <c r="N79" s="371"/>
      <c r="O79" s="175"/>
      <c r="P79" s="175"/>
      <c r="Q79" s="371"/>
      <c r="R79" s="371"/>
      <c r="S79" s="371"/>
      <c r="T79" s="371"/>
      <c r="U79" s="371"/>
      <c r="V79" s="371"/>
      <c r="W79" s="371"/>
      <c r="X79" s="371"/>
      <c r="Y79" s="371"/>
      <c r="Z79" s="371"/>
      <c r="AA79" s="176"/>
      <c r="AB79" s="159" t="s">
        <v>264</v>
      </c>
      <c r="AD79" s="172" t="s">
        <v>249</v>
      </c>
      <c r="AE79" s="167"/>
      <c r="AF79" s="164">
        <f>IF(OR(D77="Show",D77="",Q77="Show",Q77=""),1,0)</f>
        <v>0</v>
      </c>
      <c r="AG79" s="164">
        <f>IF(AND(SUM(AF:AF)&gt;0,OR(AND(D77="Show",D79=""),AND(Q77="Show",Q79=""))),1,0)</f>
        <v>0</v>
      </c>
      <c r="AI79" s="190">
        <v>1</v>
      </c>
    </row>
    <row r="80" spans="1:35" ht="8.5" hidden="1" customHeight="1" x14ac:dyDescent="0.15">
      <c r="A80" s="163" t="str">
        <f t="shared" si="12"/>
        <v/>
      </c>
      <c r="B80" s="164">
        <f>B79</f>
        <v>0</v>
      </c>
      <c r="D80" s="368"/>
      <c r="E80" s="368"/>
      <c r="F80" s="368"/>
      <c r="G80" s="368"/>
      <c r="H80" s="368"/>
      <c r="I80" s="368"/>
      <c r="J80" s="368"/>
      <c r="K80" s="368"/>
      <c r="L80" s="368"/>
      <c r="M80" s="368"/>
      <c r="N80" s="368"/>
      <c r="O80" s="368"/>
      <c r="P80" s="368"/>
      <c r="Q80" s="368"/>
      <c r="R80" s="368"/>
      <c r="S80" s="368"/>
      <c r="T80" s="368"/>
      <c r="U80" s="368"/>
      <c r="V80" s="368"/>
      <c r="W80" s="368"/>
      <c r="X80" s="368"/>
      <c r="Y80" s="368"/>
      <c r="Z80" s="368"/>
      <c r="AA80" s="176"/>
      <c r="AD80" s="165" t="s">
        <v>227</v>
      </c>
      <c r="AE80" s="156"/>
      <c r="AF80" s="22"/>
      <c r="AG80" s="22"/>
      <c r="AI80" s="190">
        <v>1</v>
      </c>
    </row>
    <row r="81" spans="1:35" ht="15.75" hidden="1" customHeight="1" x14ac:dyDescent="0.2">
      <c r="A81" s="163"/>
      <c r="B81" s="164">
        <v>0</v>
      </c>
      <c r="D81" s="369" t="s">
        <v>268</v>
      </c>
      <c r="E81" s="369"/>
      <c r="F81" s="369"/>
      <c r="G81" s="369"/>
      <c r="H81" s="369"/>
      <c r="I81" s="369"/>
      <c r="J81" s="369"/>
      <c r="K81" s="369"/>
      <c r="L81" s="369"/>
      <c r="M81" s="369"/>
      <c r="N81" s="369"/>
      <c r="O81" s="369"/>
      <c r="P81" s="369"/>
      <c r="Q81" s="369"/>
      <c r="R81" s="369"/>
      <c r="S81" s="369"/>
      <c r="T81" s="369"/>
      <c r="U81" s="369"/>
      <c r="V81" s="369"/>
      <c r="W81" s="369"/>
      <c r="X81" s="369"/>
      <c r="Y81" s="369"/>
      <c r="Z81" s="369"/>
      <c r="AB81" s="166" t="s">
        <v>259</v>
      </c>
      <c r="AD81" s="165" t="s">
        <v>260</v>
      </c>
      <c r="AE81" s="134"/>
      <c r="AF81" s="22"/>
      <c r="AG81" s="22"/>
      <c r="AI81" s="190">
        <v>1</v>
      </c>
    </row>
    <row r="82" spans="1:35" ht="15.75" hidden="1" customHeight="1" x14ac:dyDescent="0.2">
      <c r="A82" s="163"/>
      <c r="B82" s="164">
        <v>0</v>
      </c>
      <c r="D82" s="369" t="s">
        <v>269</v>
      </c>
      <c r="E82" s="369"/>
      <c r="F82" s="369"/>
      <c r="G82" s="369"/>
      <c r="H82" s="369"/>
      <c r="I82" s="369"/>
      <c r="J82" s="369"/>
      <c r="K82" s="369"/>
      <c r="L82" s="369"/>
      <c r="M82" s="369"/>
      <c r="N82" s="369"/>
      <c r="O82" s="369"/>
      <c r="P82" s="369"/>
      <c r="Q82" s="369"/>
      <c r="R82" s="369"/>
      <c r="S82" s="369"/>
      <c r="T82" s="369"/>
      <c r="U82" s="369"/>
      <c r="V82" s="369"/>
      <c r="W82" s="369"/>
      <c r="X82" s="369"/>
      <c r="Y82" s="369"/>
      <c r="Z82" s="369"/>
      <c r="AB82" s="166" t="s">
        <v>259</v>
      </c>
      <c r="AD82" s="165" t="s">
        <v>260</v>
      </c>
      <c r="AE82" s="134"/>
      <c r="AF82" s="22"/>
      <c r="AG82" s="22"/>
      <c r="AI82" s="190">
        <v>1</v>
      </c>
    </row>
    <row r="83" spans="1:35" ht="8.5" hidden="1" customHeight="1" x14ac:dyDescent="0.15">
      <c r="A83" s="163" t="str">
        <f>IF(AG83=1,"X","")</f>
        <v/>
      </c>
      <c r="B83" s="164">
        <f>IF(OR(D84="Show",Q84="Show"),1,0)</f>
        <v>0</v>
      </c>
      <c r="D83" s="368"/>
      <c r="E83" s="368"/>
      <c r="F83" s="368"/>
      <c r="G83" s="368"/>
      <c r="H83" s="368"/>
      <c r="I83" s="368"/>
      <c r="J83" s="368"/>
      <c r="K83" s="368"/>
      <c r="L83" s="368"/>
      <c r="M83" s="368"/>
      <c r="N83" s="368"/>
      <c r="O83" s="368"/>
      <c r="P83" s="368"/>
      <c r="Q83" s="368"/>
      <c r="R83" s="368"/>
      <c r="S83" s="368"/>
      <c r="T83" s="368"/>
      <c r="U83" s="368"/>
      <c r="V83" s="368"/>
      <c r="W83" s="368"/>
      <c r="X83" s="368"/>
      <c r="Y83" s="368"/>
      <c r="Z83" s="368"/>
      <c r="AD83" s="165" t="s">
        <v>227</v>
      </c>
      <c r="AE83" s="156"/>
      <c r="AF83" s="22"/>
      <c r="AG83" s="22"/>
      <c r="AI83" s="190">
        <v>1</v>
      </c>
    </row>
    <row r="84" spans="1:35" ht="18" hidden="1" customHeight="1" x14ac:dyDescent="0.2">
      <c r="A84" s="163" t="str">
        <f t="shared" ref="A84:A87" si="13">IF(AG84=1,"X","")</f>
        <v/>
      </c>
      <c r="B84" s="164">
        <v>0</v>
      </c>
      <c r="D84" s="370" t="s">
        <v>267</v>
      </c>
      <c r="E84" s="370"/>
      <c r="F84" s="370"/>
      <c r="G84" s="370"/>
      <c r="H84" s="370"/>
      <c r="I84" s="370"/>
      <c r="J84" s="370"/>
      <c r="K84" s="370"/>
      <c r="L84" s="370"/>
      <c r="M84" s="370"/>
      <c r="N84" s="370"/>
      <c r="O84" s="175"/>
      <c r="P84" s="175"/>
      <c r="Q84" s="370" t="s">
        <v>267</v>
      </c>
      <c r="R84" s="370"/>
      <c r="S84" s="370"/>
      <c r="T84" s="370"/>
      <c r="U84" s="370"/>
      <c r="V84" s="370"/>
      <c r="W84" s="370"/>
      <c r="X84" s="370"/>
      <c r="Y84" s="370"/>
      <c r="Z84" s="370"/>
      <c r="AA84" s="176"/>
      <c r="AB84" s="159" t="s">
        <v>262</v>
      </c>
      <c r="AD84" s="172" t="s">
        <v>249</v>
      </c>
      <c r="AE84" s="134"/>
      <c r="AF84" s="164">
        <f>IF(OR(D84="Show",D84="",Q84="Show",Q84=""),1,0)</f>
        <v>0</v>
      </c>
      <c r="AG84" s="164">
        <f>IF(AND(SUM(AF:AF)&gt;0,OR(D84="",Q84="")),1,0)</f>
        <v>0</v>
      </c>
      <c r="AI84" s="190">
        <v>1</v>
      </c>
    </row>
    <row r="85" spans="1:35" ht="197.25" hidden="1" customHeight="1" x14ac:dyDescent="0.2">
      <c r="A85" s="163" t="str">
        <f t="shared" si="13"/>
        <v/>
      </c>
      <c r="B85" s="164">
        <f>B83</f>
        <v>0</v>
      </c>
      <c r="D85" s="370"/>
      <c r="E85" s="370"/>
      <c r="F85" s="370"/>
      <c r="G85" s="370"/>
      <c r="H85" s="370"/>
      <c r="I85" s="370"/>
      <c r="J85" s="370"/>
      <c r="K85" s="370"/>
      <c r="L85" s="370"/>
      <c r="M85" s="370"/>
      <c r="N85" s="370"/>
      <c r="O85" s="175"/>
      <c r="P85" s="175"/>
      <c r="Q85" s="370"/>
      <c r="R85" s="370"/>
      <c r="S85" s="370"/>
      <c r="T85" s="370"/>
      <c r="U85" s="370"/>
      <c r="V85" s="370"/>
      <c r="W85" s="370"/>
      <c r="X85" s="370"/>
      <c r="Y85" s="370"/>
      <c r="Z85" s="370"/>
      <c r="AA85" s="176"/>
      <c r="AB85" s="159" t="s">
        <v>263</v>
      </c>
      <c r="AD85" s="172" t="s">
        <v>249</v>
      </c>
      <c r="AE85" s="167"/>
      <c r="AF85" s="22"/>
      <c r="AG85" s="22"/>
      <c r="AI85" s="190">
        <v>1</v>
      </c>
    </row>
    <row r="86" spans="1:35" ht="18" hidden="1" customHeight="1" x14ac:dyDescent="0.2">
      <c r="A86" s="163" t="str">
        <f t="shared" si="13"/>
        <v/>
      </c>
      <c r="B86" s="164">
        <f>B85</f>
        <v>0</v>
      </c>
      <c r="D86" s="371"/>
      <c r="E86" s="371"/>
      <c r="F86" s="371"/>
      <c r="G86" s="371"/>
      <c r="H86" s="371"/>
      <c r="I86" s="371"/>
      <c r="J86" s="371"/>
      <c r="K86" s="371"/>
      <c r="L86" s="371"/>
      <c r="M86" s="371"/>
      <c r="N86" s="371"/>
      <c r="O86" s="175"/>
      <c r="P86" s="175"/>
      <c r="Q86" s="371"/>
      <c r="R86" s="371"/>
      <c r="S86" s="371"/>
      <c r="T86" s="371"/>
      <c r="U86" s="371"/>
      <c r="V86" s="371"/>
      <c r="W86" s="371"/>
      <c r="X86" s="371"/>
      <c r="Y86" s="371"/>
      <c r="Z86" s="371"/>
      <c r="AA86" s="176"/>
      <c r="AB86" s="159" t="s">
        <v>264</v>
      </c>
      <c r="AD86" s="172" t="s">
        <v>249</v>
      </c>
      <c r="AE86" s="167"/>
      <c r="AF86" s="164">
        <f>IF(OR(D84="Show",D84="",Q84="Show",Q84=""),1,0)</f>
        <v>0</v>
      </c>
      <c r="AG86" s="164">
        <f>IF(AND(SUM(AF:AF)&gt;0,OR(AND(D84="Show",D86=""),AND(Q84="Show",Q86=""))),1,0)</f>
        <v>0</v>
      </c>
      <c r="AI86" s="190">
        <v>1</v>
      </c>
    </row>
    <row r="87" spans="1:35" ht="8.5" hidden="1" customHeight="1" x14ac:dyDescent="0.15">
      <c r="A87" s="163" t="str">
        <f t="shared" si="13"/>
        <v/>
      </c>
      <c r="B87" s="164">
        <f>B86</f>
        <v>0</v>
      </c>
      <c r="D87" s="368"/>
      <c r="E87" s="368"/>
      <c r="F87" s="368"/>
      <c r="G87" s="368"/>
      <c r="H87" s="368"/>
      <c r="I87" s="368"/>
      <c r="J87" s="368"/>
      <c r="K87" s="368"/>
      <c r="L87" s="368"/>
      <c r="M87" s="368"/>
      <c r="N87" s="368"/>
      <c r="O87" s="368"/>
      <c r="P87" s="368"/>
      <c r="Q87" s="368"/>
      <c r="R87" s="368"/>
      <c r="S87" s="368"/>
      <c r="T87" s="368"/>
      <c r="U87" s="368"/>
      <c r="V87" s="368"/>
      <c r="W87" s="368"/>
      <c r="X87" s="368"/>
      <c r="Y87" s="368"/>
      <c r="Z87" s="368"/>
      <c r="AA87" s="176"/>
      <c r="AD87" s="165" t="s">
        <v>227</v>
      </c>
      <c r="AE87" s="156"/>
      <c r="AF87" s="22"/>
      <c r="AG87" s="22"/>
      <c r="AI87" s="190">
        <v>1</v>
      </c>
    </row>
    <row r="88" spans="1:35" ht="15.75" hidden="1" customHeight="1" x14ac:dyDescent="0.2">
      <c r="A88" s="163"/>
      <c r="B88" s="164">
        <v>0</v>
      </c>
      <c r="D88" s="369" t="s">
        <v>270</v>
      </c>
      <c r="E88" s="369"/>
      <c r="F88" s="369"/>
      <c r="G88" s="369"/>
      <c r="H88" s="369"/>
      <c r="I88" s="369"/>
      <c r="J88" s="369"/>
      <c r="K88" s="369"/>
      <c r="L88" s="369"/>
      <c r="M88" s="369"/>
      <c r="N88" s="369"/>
      <c r="O88" s="369"/>
      <c r="P88" s="369"/>
      <c r="Q88" s="369"/>
      <c r="R88" s="369"/>
      <c r="S88" s="369"/>
      <c r="T88" s="369"/>
      <c r="U88" s="369"/>
      <c r="V88" s="369"/>
      <c r="W88" s="369"/>
      <c r="X88" s="369"/>
      <c r="Y88" s="369"/>
      <c r="Z88" s="369"/>
      <c r="AB88" s="166" t="s">
        <v>259</v>
      </c>
      <c r="AD88" s="165" t="s">
        <v>260</v>
      </c>
      <c r="AE88" s="134"/>
      <c r="AF88" s="22"/>
      <c r="AG88" s="22"/>
      <c r="AI88" s="190">
        <v>1</v>
      </c>
    </row>
    <row r="89" spans="1:35" ht="46.25" hidden="1" customHeight="1" x14ac:dyDescent="0.2">
      <c r="A89" s="163" t="str">
        <f t="shared" si="0"/>
        <v/>
      </c>
      <c r="B89" s="170">
        <v>0</v>
      </c>
      <c r="D89" s="378" t="s">
        <v>271</v>
      </c>
      <c r="E89" s="378"/>
      <c r="F89" s="378"/>
      <c r="G89" s="378"/>
      <c r="H89" s="378"/>
      <c r="I89" s="378"/>
      <c r="J89" s="378"/>
      <c r="K89" s="378"/>
      <c r="L89" s="378"/>
      <c r="M89" s="378"/>
      <c r="N89" s="378"/>
      <c r="O89" s="378"/>
      <c r="P89" s="378"/>
      <c r="Q89" s="378"/>
      <c r="R89" s="378"/>
      <c r="S89" s="378"/>
      <c r="T89" s="378"/>
      <c r="U89" s="378"/>
      <c r="V89" s="378"/>
      <c r="W89" s="378"/>
      <c r="X89" s="378"/>
      <c r="Y89" s="378"/>
      <c r="Z89" s="378"/>
      <c r="AB89" s="159" t="s">
        <v>248</v>
      </c>
      <c r="AD89" s="172" t="s">
        <v>249</v>
      </c>
      <c r="AE89" s="167"/>
      <c r="AF89" s="164">
        <f t="shared" ref="AF89:AF90" si="14">IF(B89&lt;&gt;"",1,0)</f>
        <v>1</v>
      </c>
      <c r="AG89" s="164">
        <f>IF(AND(SUM(AF:AF)&gt;0,B89=""),1,0)</f>
        <v>0</v>
      </c>
      <c r="AI89" s="190">
        <v>1</v>
      </c>
    </row>
    <row r="90" spans="1:35" ht="57.75" hidden="1" customHeight="1" x14ac:dyDescent="0.2">
      <c r="A90" s="163" t="str">
        <f t="shared" si="0"/>
        <v/>
      </c>
      <c r="B90" s="170">
        <v>0</v>
      </c>
      <c r="D90" s="378" t="s">
        <v>272</v>
      </c>
      <c r="E90" s="378"/>
      <c r="F90" s="378"/>
      <c r="G90" s="378"/>
      <c r="H90" s="378"/>
      <c r="I90" s="378"/>
      <c r="J90" s="378"/>
      <c r="K90" s="378"/>
      <c r="L90" s="378"/>
      <c r="M90" s="378"/>
      <c r="N90" s="378"/>
      <c r="O90" s="378"/>
      <c r="P90" s="378"/>
      <c r="Q90" s="378"/>
      <c r="R90" s="378"/>
      <c r="S90" s="378"/>
      <c r="T90" s="378"/>
      <c r="U90" s="378"/>
      <c r="V90" s="378"/>
      <c r="W90" s="378"/>
      <c r="X90" s="378"/>
      <c r="Y90" s="378"/>
      <c r="Z90" s="378"/>
      <c r="AB90" s="159" t="s">
        <v>248</v>
      </c>
      <c r="AD90" s="172" t="s">
        <v>249</v>
      </c>
      <c r="AE90" s="167"/>
      <c r="AF90" s="164">
        <f t="shared" si="14"/>
        <v>1</v>
      </c>
      <c r="AG90" s="164">
        <f>IF(AND(SUM(AF:AF)&gt;0,B90=""),1,0)</f>
        <v>0</v>
      </c>
      <c r="AI90" s="190">
        <v>1</v>
      </c>
    </row>
    <row r="91" spans="1:35" ht="31" hidden="1" customHeight="1" x14ac:dyDescent="0.15">
      <c r="A91" s="163" t="str">
        <f t="shared" si="0"/>
        <v/>
      </c>
      <c r="B91" s="170">
        <v>0</v>
      </c>
      <c r="D91" s="399" t="s">
        <v>274</v>
      </c>
      <c r="E91" s="399"/>
      <c r="F91" s="399"/>
      <c r="G91" s="399"/>
      <c r="H91" s="399"/>
      <c r="I91" s="399"/>
      <c r="J91" s="399"/>
      <c r="K91" s="399"/>
      <c r="L91" s="399"/>
      <c r="M91" s="399"/>
      <c r="N91" s="399"/>
      <c r="O91" s="399"/>
      <c r="P91" s="399"/>
      <c r="Q91" s="399"/>
      <c r="R91" s="399"/>
      <c r="S91" s="399"/>
      <c r="T91" s="399"/>
      <c r="U91" s="399"/>
      <c r="V91" s="399"/>
      <c r="W91" s="399"/>
      <c r="X91" s="399"/>
      <c r="Y91" s="399"/>
      <c r="Z91" s="399"/>
      <c r="AB91" s="159" t="s">
        <v>248</v>
      </c>
      <c r="AD91" s="172" t="s">
        <v>249</v>
      </c>
      <c r="AE91" s="167"/>
      <c r="AF91" s="164">
        <f t="shared" ref="AF91:AF92" si="15">IF(B91&lt;&gt;"",1,0)</f>
        <v>1</v>
      </c>
      <c r="AG91" s="164">
        <f>IF(AND(SUM(AF:AF)&gt;0,B91=""),1,0)</f>
        <v>0</v>
      </c>
      <c r="AI91" s="190">
        <v>1</v>
      </c>
    </row>
    <row r="92" spans="1:35" ht="18" hidden="1" customHeight="1" x14ac:dyDescent="0.2">
      <c r="A92" s="163" t="str">
        <f t="shared" si="0"/>
        <v/>
      </c>
      <c r="B92" s="170">
        <v>0</v>
      </c>
      <c r="D92" s="375" t="s">
        <v>275</v>
      </c>
      <c r="E92" s="375"/>
      <c r="F92" s="375"/>
      <c r="G92" s="375"/>
      <c r="H92" s="375"/>
      <c r="I92" s="375"/>
      <c r="J92" s="375"/>
      <c r="K92" s="375"/>
      <c r="L92" s="375"/>
      <c r="M92" s="375"/>
      <c r="N92" s="375"/>
      <c r="O92" s="375"/>
      <c r="P92" s="375"/>
      <c r="Q92" s="375"/>
      <c r="R92" s="375"/>
      <c r="S92" s="375"/>
      <c r="T92" s="375"/>
      <c r="U92" s="375"/>
      <c r="V92" s="375"/>
      <c r="W92" s="375"/>
      <c r="X92" s="375"/>
      <c r="Y92" s="375"/>
      <c r="Z92" s="375"/>
      <c r="AB92" s="159" t="s">
        <v>248</v>
      </c>
      <c r="AD92" s="172" t="s">
        <v>249</v>
      </c>
      <c r="AE92" s="167"/>
      <c r="AF92" s="164">
        <f t="shared" si="15"/>
        <v>1</v>
      </c>
      <c r="AG92" s="164">
        <f>IF(AND(SUM(AF:AF)&gt;0,B92=""),1,0)</f>
        <v>0</v>
      </c>
      <c r="AI92" s="190">
        <v>1</v>
      </c>
    </row>
    <row r="93" spans="1:35" s="155" customFormat="1" ht="18" hidden="1" customHeight="1" x14ac:dyDescent="0.2">
      <c r="A93" s="163" t="str">
        <f t="shared" si="0"/>
        <v/>
      </c>
      <c r="B93" s="170">
        <v>0</v>
      </c>
      <c r="C93" s="177"/>
      <c r="D93" s="397" t="s">
        <v>276</v>
      </c>
      <c r="E93" s="397"/>
      <c r="F93" s="397"/>
      <c r="G93" s="397"/>
      <c r="H93" s="397"/>
      <c r="I93" s="397"/>
      <c r="J93" s="397"/>
      <c r="K93" s="397"/>
      <c r="L93" s="397"/>
      <c r="M93" s="397"/>
      <c r="N93" s="397"/>
      <c r="O93" s="397"/>
      <c r="P93" s="377"/>
      <c r="Q93" s="377"/>
      <c r="R93" s="377"/>
      <c r="S93" s="377"/>
      <c r="T93" s="377"/>
      <c r="U93" s="377"/>
      <c r="V93" s="377"/>
      <c r="W93" s="377"/>
      <c r="X93" s="377"/>
      <c r="Y93" s="377"/>
      <c r="Z93" s="377"/>
      <c r="AA93" s="174"/>
      <c r="AB93" s="159" t="s">
        <v>277</v>
      </c>
      <c r="AD93" s="172" t="s">
        <v>249</v>
      </c>
      <c r="AE93" s="167"/>
      <c r="AF93" s="164">
        <f>IF(OR(B93&lt;&gt;"",P93&lt;&gt;""),1,0)</f>
        <v>1</v>
      </c>
      <c r="AG93" s="164">
        <f>IF(AND(SUM(AF:AF)&gt;0,OR(AND(B93=1,P93=""),AND(B93="",P93=""),AND(B93="",P93&lt;&gt;""),AND(B93=0,P93&lt;&gt;""))),1,0)</f>
        <v>0</v>
      </c>
      <c r="AI93" s="190">
        <v>1</v>
      </c>
    </row>
    <row r="94" spans="1:35" s="155" customFormat="1" ht="18" hidden="1" customHeight="1" x14ac:dyDescent="0.2">
      <c r="A94" s="163" t="str">
        <f t="shared" si="0"/>
        <v/>
      </c>
      <c r="B94" s="170">
        <v>0</v>
      </c>
      <c r="C94" s="177"/>
      <c r="D94" s="397" t="s">
        <v>278</v>
      </c>
      <c r="E94" s="397"/>
      <c r="F94" s="397"/>
      <c r="G94" s="397"/>
      <c r="H94" s="397"/>
      <c r="I94" s="397"/>
      <c r="J94" s="397"/>
      <c r="K94" s="397"/>
      <c r="L94" s="397"/>
      <c r="M94" s="397"/>
      <c r="N94" s="397"/>
      <c r="O94" s="377"/>
      <c r="P94" s="377"/>
      <c r="Q94" s="377"/>
      <c r="R94" s="377"/>
      <c r="S94" s="377"/>
      <c r="T94" s="377"/>
      <c r="U94" s="377"/>
      <c r="V94" s="377"/>
      <c r="W94" s="377"/>
      <c r="X94" s="377"/>
      <c r="Y94" s="377"/>
      <c r="Z94" s="377"/>
      <c r="AA94" s="174"/>
      <c r="AB94" s="159" t="s">
        <v>277</v>
      </c>
      <c r="AD94" s="172" t="s">
        <v>249</v>
      </c>
      <c r="AE94" s="167"/>
      <c r="AF94" s="164">
        <f>IF(OR(B94&lt;&gt;"",O94&lt;&gt;""),1,0)</f>
        <v>1</v>
      </c>
      <c r="AG94" s="164">
        <f>IF(AND(SUM(AF:AF)&gt;0,OR(AND(B94=1,O94=""),AND(B94="",O94=""),AND(B94="",O94&lt;&gt;""),AND(B94=0,O94&lt;&gt;""))),1,0)</f>
        <v>0</v>
      </c>
      <c r="AI94" s="190">
        <v>1</v>
      </c>
    </row>
    <row r="95" spans="1:35" ht="21" hidden="1" customHeight="1" x14ac:dyDescent="0.2">
      <c r="A95" s="163" t="str">
        <f t="shared" si="0"/>
        <v/>
      </c>
      <c r="B95" s="164">
        <v>0</v>
      </c>
      <c r="D95" s="379" t="s">
        <v>258</v>
      </c>
      <c r="E95" s="379"/>
      <c r="F95" s="379"/>
      <c r="G95" s="379"/>
      <c r="H95" s="379"/>
      <c r="I95" s="379"/>
      <c r="J95" s="379"/>
      <c r="K95" s="379"/>
      <c r="L95" s="379"/>
      <c r="M95" s="379"/>
      <c r="N95" s="379"/>
      <c r="O95" s="379"/>
      <c r="P95" s="379"/>
      <c r="Q95" s="379"/>
      <c r="R95" s="379"/>
      <c r="S95" s="379"/>
      <c r="T95" s="379"/>
      <c r="U95" s="379"/>
      <c r="V95" s="379"/>
      <c r="W95" s="379"/>
      <c r="X95" s="379"/>
      <c r="Y95" s="379"/>
      <c r="Z95" s="379"/>
      <c r="AB95" s="166" t="s">
        <v>259</v>
      </c>
      <c r="AD95" s="165" t="s">
        <v>260</v>
      </c>
      <c r="AE95" s="134"/>
      <c r="AF95" s="22"/>
      <c r="AG95" s="22"/>
      <c r="AI95" s="190">
        <v>1</v>
      </c>
    </row>
    <row r="96" spans="1:35" ht="15.75" hidden="1" customHeight="1" x14ac:dyDescent="0.2">
      <c r="A96" s="163"/>
      <c r="B96" s="164">
        <v>0</v>
      </c>
      <c r="D96" s="369" t="s">
        <v>261</v>
      </c>
      <c r="E96" s="369"/>
      <c r="F96" s="369"/>
      <c r="G96" s="369"/>
      <c r="H96" s="369"/>
      <c r="I96" s="369"/>
      <c r="J96" s="369"/>
      <c r="K96" s="369"/>
      <c r="L96" s="369"/>
      <c r="M96" s="369"/>
      <c r="N96" s="369"/>
      <c r="O96" s="369"/>
      <c r="P96" s="369"/>
      <c r="Q96" s="369"/>
      <c r="R96" s="369"/>
      <c r="S96" s="369"/>
      <c r="T96" s="369"/>
      <c r="U96" s="369"/>
      <c r="V96" s="369"/>
      <c r="W96" s="369"/>
      <c r="X96" s="369"/>
      <c r="Y96" s="369"/>
      <c r="Z96" s="369"/>
      <c r="AB96" s="166" t="s">
        <v>259</v>
      </c>
      <c r="AD96" s="165" t="s">
        <v>260</v>
      </c>
      <c r="AE96" s="134"/>
      <c r="AF96" s="22"/>
      <c r="AG96" s="22"/>
      <c r="AI96" s="190">
        <v>1</v>
      </c>
    </row>
    <row r="97" spans="1:35" ht="8.5" hidden="1" customHeight="1" x14ac:dyDescent="0.15">
      <c r="A97" s="163" t="str">
        <f>IF(AG97=1,"X","")</f>
        <v/>
      </c>
      <c r="B97" s="164">
        <f>IF(OR(D98="Show",Q98="Show"),1,0)</f>
        <v>0</v>
      </c>
      <c r="D97" s="368"/>
      <c r="E97" s="368"/>
      <c r="F97" s="368"/>
      <c r="G97" s="368"/>
      <c r="H97" s="368"/>
      <c r="I97" s="368"/>
      <c r="J97" s="368"/>
      <c r="K97" s="368"/>
      <c r="L97" s="368"/>
      <c r="M97" s="368"/>
      <c r="N97" s="368"/>
      <c r="O97" s="368"/>
      <c r="P97" s="368"/>
      <c r="Q97" s="368"/>
      <c r="R97" s="368"/>
      <c r="S97" s="368"/>
      <c r="T97" s="368"/>
      <c r="U97" s="368"/>
      <c r="V97" s="368"/>
      <c r="W97" s="368"/>
      <c r="X97" s="368"/>
      <c r="Y97" s="368"/>
      <c r="Z97" s="368"/>
      <c r="AD97" s="165" t="s">
        <v>227</v>
      </c>
      <c r="AE97" s="156"/>
      <c r="AF97" s="22"/>
      <c r="AG97" s="22"/>
      <c r="AI97" s="190">
        <v>1</v>
      </c>
    </row>
    <row r="98" spans="1:35" ht="18" hidden="1" customHeight="1" x14ac:dyDescent="0.2">
      <c r="A98" s="163" t="str">
        <f t="shared" ref="A98:A101" si="16">IF(AG98=1,"X","")</f>
        <v/>
      </c>
      <c r="B98" s="164">
        <v>0</v>
      </c>
      <c r="D98" s="370" t="s">
        <v>267</v>
      </c>
      <c r="E98" s="370"/>
      <c r="F98" s="370"/>
      <c r="G98" s="370"/>
      <c r="H98" s="370"/>
      <c r="I98" s="370"/>
      <c r="J98" s="370"/>
      <c r="K98" s="370"/>
      <c r="L98" s="370"/>
      <c r="M98" s="370"/>
      <c r="N98" s="370"/>
      <c r="O98" s="175"/>
      <c r="P98" s="175"/>
      <c r="Q98" s="370" t="s">
        <v>267</v>
      </c>
      <c r="R98" s="370"/>
      <c r="S98" s="370"/>
      <c r="T98" s="370"/>
      <c r="U98" s="370"/>
      <c r="V98" s="370"/>
      <c r="W98" s="370"/>
      <c r="X98" s="370"/>
      <c r="Y98" s="370"/>
      <c r="Z98" s="370"/>
      <c r="AA98" s="176"/>
      <c r="AB98" s="159" t="s">
        <v>262</v>
      </c>
      <c r="AD98" s="172" t="s">
        <v>249</v>
      </c>
      <c r="AE98" s="134"/>
      <c r="AF98" s="164">
        <f>IF(OR(D98="Show",D98="",Q98="Show",Q98=""),1,0)</f>
        <v>0</v>
      </c>
      <c r="AG98" s="164">
        <f>IF(AND(SUM(AF:AF)&gt;0,OR(D98="",Q98="")),1,0)</f>
        <v>0</v>
      </c>
      <c r="AI98" s="190">
        <v>1</v>
      </c>
    </row>
    <row r="99" spans="1:35" ht="197.25" hidden="1" customHeight="1" x14ac:dyDescent="0.2">
      <c r="A99" s="163" t="str">
        <f t="shared" si="16"/>
        <v/>
      </c>
      <c r="B99" s="164">
        <f>B97</f>
        <v>0</v>
      </c>
      <c r="D99" s="370"/>
      <c r="E99" s="370"/>
      <c r="F99" s="370"/>
      <c r="G99" s="370"/>
      <c r="H99" s="370"/>
      <c r="I99" s="370"/>
      <c r="J99" s="370"/>
      <c r="K99" s="370"/>
      <c r="L99" s="370"/>
      <c r="M99" s="370"/>
      <c r="N99" s="370"/>
      <c r="O99" s="175"/>
      <c r="P99" s="175"/>
      <c r="Q99" s="370"/>
      <c r="R99" s="370"/>
      <c r="S99" s="370"/>
      <c r="T99" s="370"/>
      <c r="U99" s="370"/>
      <c r="V99" s="370"/>
      <c r="W99" s="370"/>
      <c r="X99" s="370"/>
      <c r="Y99" s="370"/>
      <c r="Z99" s="370"/>
      <c r="AA99" s="176"/>
      <c r="AB99" s="159" t="s">
        <v>263</v>
      </c>
      <c r="AD99" s="172" t="s">
        <v>249</v>
      </c>
      <c r="AE99" s="167"/>
      <c r="AF99" s="22"/>
      <c r="AG99" s="22"/>
      <c r="AI99" s="190">
        <v>1</v>
      </c>
    </row>
    <row r="100" spans="1:35" ht="18" hidden="1" customHeight="1" x14ac:dyDescent="0.2">
      <c r="A100" s="163" t="str">
        <f t="shared" si="16"/>
        <v/>
      </c>
      <c r="B100" s="164">
        <f>B99</f>
        <v>0</v>
      </c>
      <c r="D100" s="371"/>
      <c r="E100" s="371"/>
      <c r="F100" s="371"/>
      <c r="G100" s="371"/>
      <c r="H100" s="371"/>
      <c r="I100" s="371"/>
      <c r="J100" s="371"/>
      <c r="K100" s="371"/>
      <c r="L100" s="371"/>
      <c r="M100" s="371"/>
      <c r="N100" s="371"/>
      <c r="O100" s="175"/>
      <c r="P100" s="175"/>
      <c r="Q100" s="371"/>
      <c r="R100" s="371"/>
      <c r="S100" s="371"/>
      <c r="T100" s="371"/>
      <c r="U100" s="371"/>
      <c r="V100" s="371"/>
      <c r="W100" s="371"/>
      <c r="X100" s="371"/>
      <c r="Y100" s="371"/>
      <c r="Z100" s="371"/>
      <c r="AA100" s="176"/>
      <c r="AB100" s="159" t="s">
        <v>264</v>
      </c>
      <c r="AD100" s="172" t="s">
        <v>249</v>
      </c>
      <c r="AE100" s="167"/>
      <c r="AF100" s="164">
        <f>IF(OR(D98="Show",D98="",Q98="Show",Q98=""),1,0)</f>
        <v>0</v>
      </c>
      <c r="AG100" s="164">
        <f>IF(AND(SUM(AF:AF)&gt;0,OR(AND(D98="Show",D100=""),AND(Q98="Show",Q100=""))),1,0)</f>
        <v>0</v>
      </c>
      <c r="AI100" s="190">
        <v>1</v>
      </c>
    </row>
    <row r="101" spans="1:35" ht="8.5" hidden="1" customHeight="1" x14ac:dyDescent="0.15">
      <c r="A101" s="163" t="str">
        <f t="shared" si="16"/>
        <v/>
      </c>
      <c r="B101" s="164">
        <f>B100</f>
        <v>0</v>
      </c>
      <c r="D101" s="368"/>
      <c r="E101" s="368"/>
      <c r="F101" s="368"/>
      <c r="G101" s="368"/>
      <c r="H101" s="368"/>
      <c r="I101" s="368"/>
      <c r="J101" s="368"/>
      <c r="K101" s="368"/>
      <c r="L101" s="368"/>
      <c r="M101" s="368"/>
      <c r="N101" s="368"/>
      <c r="O101" s="368"/>
      <c r="P101" s="368"/>
      <c r="Q101" s="368"/>
      <c r="R101" s="368"/>
      <c r="S101" s="368"/>
      <c r="T101" s="368"/>
      <c r="U101" s="368"/>
      <c r="V101" s="368"/>
      <c r="W101" s="368"/>
      <c r="X101" s="368"/>
      <c r="Y101" s="368"/>
      <c r="Z101" s="368"/>
      <c r="AA101" s="176"/>
      <c r="AD101" s="165" t="s">
        <v>227</v>
      </c>
      <c r="AE101" s="156"/>
      <c r="AF101" s="22"/>
      <c r="AG101" s="22"/>
      <c r="AI101" s="190">
        <v>1</v>
      </c>
    </row>
    <row r="102" spans="1:35" ht="15.75" hidden="1" customHeight="1" x14ac:dyDescent="0.2">
      <c r="A102" s="163"/>
      <c r="B102" s="164">
        <v>0</v>
      </c>
      <c r="D102" s="369" t="s">
        <v>265</v>
      </c>
      <c r="E102" s="369"/>
      <c r="F102" s="369"/>
      <c r="G102" s="369"/>
      <c r="H102" s="369"/>
      <c r="I102" s="369"/>
      <c r="J102" s="369"/>
      <c r="K102" s="369"/>
      <c r="L102" s="369"/>
      <c r="M102" s="369"/>
      <c r="N102" s="369"/>
      <c r="O102" s="369"/>
      <c r="P102" s="369"/>
      <c r="Q102" s="369"/>
      <c r="R102" s="369"/>
      <c r="S102" s="369"/>
      <c r="T102" s="369"/>
      <c r="U102" s="369"/>
      <c r="V102" s="369"/>
      <c r="W102" s="369"/>
      <c r="X102" s="369"/>
      <c r="Y102" s="369"/>
      <c r="Z102" s="369"/>
      <c r="AB102" s="166" t="s">
        <v>259</v>
      </c>
      <c r="AD102" s="165" t="s">
        <v>260</v>
      </c>
      <c r="AE102" s="134"/>
      <c r="AF102" s="22"/>
      <c r="AG102" s="22"/>
      <c r="AI102" s="190">
        <v>1</v>
      </c>
    </row>
    <row r="103" spans="1:35" ht="15.75" hidden="1" customHeight="1" x14ac:dyDescent="0.2">
      <c r="A103" s="163"/>
      <c r="B103" s="164">
        <v>0</v>
      </c>
      <c r="D103" s="369" t="s">
        <v>266</v>
      </c>
      <c r="E103" s="369"/>
      <c r="F103" s="369"/>
      <c r="G103" s="369"/>
      <c r="H103" s="369"/>
      <c r="I103" s="369"/>
      <c r="J103" s="369"/>
      <c r="K103" s="369"/>
      <c r="L103" s="369"/>
      <c r="M103" s="369"/>
      <c r="N103" s="369"/>
      <c r="O103" s="369"/>
      <c r="P103" s="369"/>
      <c r="Q103" s="369"/>
      <c r="R103" s="369"/>
      <c r="S103" s="369"/>
      <c r="T103" s="369"/>
      <c r="U103" s="369"/>
      <c r="V103" s="369"/>
      <c r="W103" s="369"/>
      <c r="X103" s="369"/>
      <c r="Y103" s="369"/>
      <c r="Z103" s="369"/>
      <c r="AB103" s="166" t="s">
        <v>259</v>
      </c>
      <c r="AD103" s="165" t="s">
        <v>260</v>
      </c>
      <c r="AE103" s="134"/>
      <c r="AF103" s="22"/>
      <c r="AG103" s="22"/>
      <c r="AI103" s="190">
        <v>1</v>
      </c>
    </row>
    <row r="104" spans="1:35" ht="8.5" hidden="1" customHeight="1" x14ac:dyDescent="0.15">
      <c r="A104" s="163" t="str">
        <f>IF(AG104=1,"X","")</f>
        <v/>
      </c>
      <c r="B104" s="164">
        <f>IF(OR(D105="Show",Q105="Show"),1,0)</f>
        <v>0</v>
      </c>
      <c r="D104" s="368"/>
      <c r="E104" s="368"/>
      <c r="F104" s="368"/>
      <c r="G104" s="368"/>
      <c r="H104" s="368"/>
      <c r="I104" s="368"/>
      <c r="J104" s="368"/>
      <c r="K104" s="368"/>
      <c r="L104" s="368"/>
      <c r="M104" s="368"/>
      <c r="N104" s="368"/>
      <c r="O104" s="368"/>
      <c r="P104" s="368"/>
      <c r="Q104" s="368"/>
      <c r="R104" s="368"/>
      <c r="S104" s="368"/>
      <c r="T104" s="368"/>
      <c r="U104" s="368"/>
      <c r="V104" s="368"/>
      <c r="W104" s="368"/>
      <c r="X104" s="368"/>
      <c r="Y104" s="368"/>
      <c r="Z104" s="368"/>
      <c r="AD104" s="165" t="s">
        <v>227</v>
      </c>
      <c r="AE104" s="156"/>
      <c r="AF104" s="22"/>
      <c r="AG104" s="22"/>
      <c r="AI104" s="190">
        <v>1</v>
      </c>
    </row>
    <row r="105" spans="1:35" ht="18" hidden="1" customHeight="1" x14ac:dyDescent="0.2">
      <c r="A105" s="163" t="str">
        <f t="shared" ref="A105:A108" si="17">IF(AG105=1,"X","")</f>
        <v/>
      </c>
      <c r="B105" s="164">
        <v>0</v>
      </c>
      <c r="D105" s="370" t="s">
        <v>267</v>
      </c>
      <c r="E105" s="370"/>
      <c r="F105" s="370"/>
      <c r="G105" s="370"/>
      <c r="H105" s="370"/>
      <c r="I105" s="370"/>
      <c r="J105" s="370"/>
      <c r="K105" s="370"/>
      <c r="L105" s="370"/>
      <c r="M105" s="370"/>
      <c r="N105" s="370"/>
      <c r="O105" s="175"/>
      <c r="P105" s="175"/>
      <c r="Q105" s="370" t="s">
        <v>267</v>
      </c>
      <c r="R105" s="370"/>
      <c r="S105" s="370"/>
      <c r="T105" s="370"/>
      <c r="U105" s="370"/>
      <c r="V105" s="370"/>
      <c r="W105" s="370"/>
      <c r="X105" s="370"/>
      <c r="Y105" s="370"/>
      <c r="Z105" s="370"/>
      <c r="AA105" s="176"/>
      <c r="AB105" s="159" t="s">
        <v>262</v>
      </c>
      <c r="AD105" s="172" t="s">
        <v>249</v>
      </c>
      <c r="AE105" s="134"/>
      <c r="AF105" s="164">
        <f>IF(OR(D105="Show",D105="",Q105="Show",Q105=""),1,0)</f>
        <v>0</v>
      </c>
      <c r="AG105" s="164">
        <f>IF(AND(SUM(AF:AF)&gt;0,OR(D105="",Q105="")),1,0)</f>
        <v>0</v>
      </c>
      <c r="AI105" s="190">
        <v>1</v>
      </c>
    </row>
    <row r="106" spans="1:35" ht="197.25" hidden="1" customHeight="1" x14ac:dyDescent="0.2">
      <c r="A106" s="163" t="str">
        <f t="shared" si="17"/>
        <v/>
      </c>
      <c r="B106" s="164">
        <f>B104</f>
        <v>0</v>
      </c>
      <c r="D106" s="370"/>
      <c r="E106" s="370"/>
      <c r="F106" s="370"/>
      <c r="G106" s="370"/>
      <c r="H106" s="370"/>
      <c r="I106" s="370"/>
      <c r="J106" s="370"/>
      <c r="K106" s="370"/>
      <c r="L106" s="370"/>
      <c r="M106" s="370"/>
      <c r="N106" s="370"/>
      <c r="O106" s="175"/>
      <c r="P106" s="175"/>
      <c r="Q106" s="370"/>
      <c r="R106" s="370"/>
      <c r="S106" s="370"/>
      <c r="T106" s="370"/>
      <c r="U106" s="370"/>
      <c r="V106" s="370"/>
      <c r="W106" s="370"/>
      <c r="X106" s="370"/>
      <c r="Y106" s="370"/>
      <c r="Z106" s="370"/>
      <c r="AA106" s="176"/>
      <c r="AB106" s="159" t="s">
        <v>263</v>
      </c>
      <c r="AD106" s="172" t="s">
        <v>249</v>
      </c>
      <c r="AE106" s="167"/>
      <c r="AF106" s="22"/>
      <c r="AG106" s="22"/>
      <c r="AI106" s="190">
        <v>1</v>
      </c>
    </row>
    <row r="107" spans="1:35" ht="18" hidden="1" customHeight="1" x14ac:dyDescent="0.2">
      <c r="A107" s="163" t="str">
        <f t="shared" si="17"/>
        <v/>
      </c>
      <c r="B107" s="164">
        <f>B106</f>
        <v>0</v>
      </c>
      <c r="D107" s="371"/>
      <c r="E107" s="371"/>
      <c r="F107" s="371"/>
      <c r="G107" s="371"/>
      <c r="H107" s="371"/>
      <c r="I107" s="371"/>
      <c r="J107" s="371"/>
      <c r="K107" s="371"/>
      <c r="L107" s="371"/>
      <c r="M107" s="371"/>
      <c r="N107" s="371"/>
      <c r="O107" s="175"/>
      <c r="P107" s="175"/>
      <c r="Q107" s="371"/>
      <c r="R107" s="371"/>
      <c r="S107" s="371"/>
      <c r="T107" s="371"/>
      <c r="U107" s="371"/>
      <c r="V107" s="371"/>
      <c r="W107" s="371"/>
      <c r="X107" s="371"/>
      <c r="Y107" s="371"/>
      <c r="Z107" s="371"/>
      <c r="AA107" s="176"/>
      <c r="AB107" s="159" t="s">
        <v>264</v>
      </c>
      <c r="AD107" s="172" t="s">
        <v>249</v>
      </c>
      <c r="AE107" s="167"/>
      <c r="AF107" s="164">
        <f>IF(OR(D105="Show",D105="",Q105="Show",Q105=""),1,0)</f>
        <v>0</v>
      </c>
      <c r="AG107" s="164">
        <f>IF(AND(SUM(AF:AF)&gt;0,OR(AND(D105="Show",D107=""),AND(Q105="Show",Q107=""))),1,0)</f>
        <v>0</v>
      </c>
      <c r="AI107" s="190">
        <v>1</v>
      </c>
    </row>
    <row r="108" spans="1:35" ht="8.5" hidden="1" customHeight="1" x14ac:dyDescent="0.15">
      <c r="A108" s="163" t="str">
        <f t="shared" si="17"/>
        <v/>
      </c>
      <c r="B108" s="164">
        <f>B107</f>
        <v>0</v>
      </c>
      <c r="D108" s="368"/>
      <c r="E108" s="368"/>
      <c r="F108" s="368"/>
      <c r="G108" s="368"/>
      <c r="H108" s="368"/>
      <c r="I108" s="368"/>
      <c r="J108" s="368"/>
      <c r="K108" s="368"/>
      <c r="L108" s="368"/>
      <c r="M108" s="368"/>
      <c r="N108" s="368"/>
      <c r="O108" s="368"/>
      <c r="P108" s="368"/>
      <c r="Q108" s="368"/>
      <c r="R108" s="368"/>
      <c r="S108" s="368"/>
      <c r="T108" s="368"/>
      <c r="U108" s="368"/>
      <c r="V108" s="368"/>
      <c r="W108" s="368"/>
      <c r="X108" s="368"/>
      <c r="Y108" s="368"/>
      <c r="Z108" s="368"/>
      <c r="AA108" s="176"/>
      <c r="AD108" s="165" t="s">
        <v>227</v>
      </c>
      <c r="AE108" s="156"/>
      <c r="AF108" s="22"/>
      <c r="AG108" s="22"/>
      <c r="AI108" s="190">
        <v>1</v>
      </c>
    </row>
    <row r="109" spans="1:35" ht="15.75" hidden="1" customHeight="1" x14ac:dyDescent="0.2">
      <c r="A109" s="163"/>
      <c r="B109" s="164">
        <v>0</v>
      </c>
      <c r="D109" s="369" t="s">
        <v>268</v>
      </c>
      <c r="E109" s="369"/>
      <c r="F109" s="369"/>
      <c r="G109" s="369"/>
      <c r="H109" s="369"/>
      <c r="I109" s="369"/>
      <c r="J109" s="369"/>
      <c r="K109" s="369"/>
      <c r="L109" s="369"/>
      <c r="M109" s="369"/>
      <c r="N109" s="369"/>
      <c r="O109" s="369"/>
      <c r="P109" s="369"/>
      <c r="Q109" s="369"/>
      <c r="R109" s="369"/>
      <c r="S109" s="369"/>
      <c r="T109" s="369"/>
      <c r="U109" s="369"/>
      <c r="V109" s="369"/>
      <c r="W109" s="369"/>
      <c r="X109" s="369"/>
      <c r="Y109" s="369"/>
      <c r="Z109" s="369"/>
      <c r="AB109" s="166" t="s">
        <v>259</v>
      </c>
      <c r="AD109" s="165" t="s">
        <v>260</v>
      </c>
      <c r="AE109" s="134"/>
      <c r="AF109" s="22"/>
      <c r="AG109" s="22"/>
      <c r="AI109" s="190">
        <v>1</v>
      </c>
    </row>
    <row r="110" spans="1:35" ht="15.75" hidden="1" customHeight="1" x14ac:dyDescent="0.2">
      <c r="A110" s="163"/>
      <c r="B110" s="164">
        <v>0</v>
      </c>
      <c r="D110" s="369" t="s">
        <v>269</v>
      </c>
      <c r="E110" s="369"/>
      <c r="F110" s="369"/>
      <c r="G110" s="369"/>
      <c r="H110" s="369"/>
      <c r="I110" s="369"/>
      <c r="J110" s="369"/>
      <c r="K110" s="369"/>
      <c r="L110" s="369"/>
      <c r="M110" s="369"/>
      <c r="N110" s="369"/>
      <c r="O110" s="369"/>
      <c r="P110" s="369"/>
      <c r="Q110" s="369"/>
      <c r="R110" s="369"/>
      <c r="S110" s="369"/>
      <c r="T110" s="369"/>
      <c r="U110" s="369"/>
      <c r="V110" s="369"/>
      <c r="W110" s="369"/>
      <c r="X110" s="369"/>
      <c r="Y110" s="369"/>
      <c r="Z110" s="369"/>
      <c r="AB110" s="166" t="s">
        <v>259</v>
      </c>
      <c r="AD110" s="165" t="s">
        <v>260</v>
      </c>
      <c r="AE110" s="134"/>
      <c r="AF110" s="22"/>
      <c r="AG110" s="22"/>
      <c r="AI110" s="190">
        <v>1</v>
      </c>
    </row>
    <row r="111" spans="1:35" ht="8.5" hidden="1" customHeight="1" x14ac:dyDescent="0.15">
      <c r="A111" s="163" t="str">
        <f>IF(AG111=1,"X","")</f>
        <v/>
      </c>
      <c r="B111" s="164">
        <f>IF(OR(D112="Show",Q112="Show"),1,0)</f>
        <v>0</v>
      </c>
      <c r="D111" s="368"/>
      <c r="E111" s="368"/>
      <c r="F111" s="368"/>
      <c r="G111" s="368"/>
      <c r="H111" s="368"/>
      <c r="I111" s="368"/>
      <c r="J111" s="368"/>
      <c r="K111" s="368"/>
      <c r="L111" s="368"/>
      <c r="M111" s="368"/>
      <c r="N111" s="368"/>
      <c r="O111" s="368"/>
      <c r="P111" s="368"/>
      <c r="Q111" s="368"/>
      <c r="R111" s="368"/>
      <c r="S111" s="368"/>
      <c r="T111" s="368"/>
      <c r="U111" s="368"/>
      <c r="V111" s="368"/>
      <c r="W111" s="368"/>
      <c r="X111" s="368"/>
      <c r="Y111" s="368"/>
      <c r="Z111" s="368"/>
      <c r="AD111" s="165" t="s">
        <v>227</v>
      </c>
      <c r="AE111" s="156"/>
      <c r="AF111" s="22"/>
      <c r="AG111" s="22"/>
      <c r="AI111" s="190">
        <v>1</v>
      </c>
    </row>
    <row r="112" spans="1:35" ht="18" hidden="1" customHeight="1" x14ac:dyDescent="0.2">
      <c r="A112" s="163" t="str">
        <f t="shared" ref="A112:A115" si="18">IF(AG112=1,"X","")</f>
        <v/>
      </c>
      <c r="B112" s="164">
        <v>0</v>
      </c>
      <c r="D112" s="370" t="s">
        <v>267</v>
      </c>
      <c r="E112" s="370"/>
      <c r="F112" s="370"/>
      <c r="G112" s="370"/>
      <c r="H112" s="370"/>
      <c r="I112" s="370"/>
      <c r="J112" s="370"/>
      <c r="K112" s="370"/>
      <c r="L112" s="370"/>
      <c r="M112" s="370"/>
      <c r="N112" s="370"/>
      <c r="O112" s="175"/>
      <c r="P112" s="175"/>
      <c r="Q112" s="370" t="s">
        <v>267</v>
      </c>
      <c r="R112" s="370"/>
      <c r="S112" s="370"/>
      <c r="T112" s="370"/>
      <c r="U112" s="370"/>
      <c r="V112" s="370"/>
      <c r="W112" s="370"/>
      <c r="X112" s="370"/>
      <c r="Y112" s="370"/>
      <c r="Z112" s="370"/>
      <c r="AA112" s="176"/>
      <c r="AB112" s="159" t="s">
        <v>262</v>
      </c>
      <c r="AD112" s="172" t="s">
        <v>249</v>
      </c>
      <c r="AE112" s="134"/>
      <c r="AF112" s="164">
        <f>IF(OR(D112="Show",D112="",Q112="Show",Q112=""),1,0)</f>
        <v>0</v>
      </c>
      <c r="AG112" s="164">
        <f>IF(AND(SUM(AF:AF)&gt;0,OR(D112="",Q112="")),1,0)</f>
        <v>0</v>
      </c>
      <c r="AI112" s="190">
        <v>1</v>
      </c>
    </row>
    <row r="113" spans="1:35" ht="197.25" hidden="1" customHeight="1" x14ac:dyDescent="0.2">
      <c r="A113" s="163" t="str">
        <f t="shared" si="18"/>
        <v/>
      </c>
      <c r="B113" s="164">
        <f>B111</f>
        <v>0</v>
      </c>
      <c r="D113" s="370"/>
      <c r="E113" s="370"/>
      <c r="F113" s="370"/>
      <c r="G113" s="370"/>
      <c r="H113" s="370"/>
      <c r="I113" s="370"/>
      <c r="J113" s="370"/>
      <c r="K113" s="370"/>
      <c r="L113" s="370"/>
      <c r="M113" s="370"/>
      <c r="N113" s="370"/>
      <c r="O113" s="175"/>
      <c r="P113" s="175"/>
      <c r="Q113" s="370"/>
      <c r="R113" s="370"/>
      <c r="S113" s="370"/>
      <c r="T113" s="370"/>
      <c r="U113" s="370"/>
      <c r="V113" s="370"/>
      <c r="W113" s="370"/>
      <c r="X113" s="370"/>
      <c r="Y113" s="370"/>
      <c r="Z113" s="370"/>
      <c r="AA113" s="176"/>
      <c r="AB113" s="159" t="s">
        <v>263</v>
      </c>
      <c r="AD113" s="172" t="s">
        <v>249</v>
      </c>
      <c r="AE113" s="167"/>
      <c r="AF113" s="22"/>
      <c r="AG113" s="22"/>
      <c r="AI113" s="190">
        <v>1</v>
      </c>
    </row>
    <row r="114" spans="1:35" ht="18" hidden="1" customHeight="1" x14ac:dyDescent="0.2">
      <c r="A114" s="163" t="str">
        <f t="shared" si="18"/>
        <v/>
      </c>
      <c r="B114" s="164">
        <f>B113</f>
        <v>0</v>
      </c>
      <c r="D114" s="371"/>
      <c r="E114" s="371"/>
      <c r="F114" s="371"/>
      <c r="G114" s="371"/>
      <c r="H114" s="371"/>
      <c r="I114" s="371"/>
      <c r="J114" s="371"/>
      <c r="K114" s="371"/>
      <c r="L114" s="371"/>
      <c r="M114" s="371"/>
      <c r="N114" s="371"/>
      <c r="O114" s="175"/>
      <c r="P114" s="175"/>
      <c r="Q114" s="371"/>
      <c r="R114" s="371"/>
      <c r="S114" s="371"/>
      <c r="T114" s="371"/>
      <c r="U114" s="371"/>
      <c r="V114" s="371"/>
      <c r="W114" s="371"/>
      <c r="X114" s="371"/>
      <c r="Y114" s="371"/>
      <c r="Z114" s="371"/>
      <c r="AA114" s="176"/>
      <c r="AB114" s="159" t="s">
        <v>264</v>
      </c>
      <c r="AD114" s="172" t="s">
        <v>249</v>
      </c>
      <c r="AE114" s="167"/>
      <c r="AF114" s="164">
        <f>IF(OR(D112="Show",D112="",Q112="Show",Q112=""),1,0)</f>
        <v>0</v>
      </c>
      <c r="AG114" s="164">
        <f>IF(AND(SUM(AF:AF)&gt;0,OR(AND(D112="Show",D114=""),AND(Q112="Show",Q114=""))),1,0)</f>
        <v>0</v>
      </c>
      <c r="AI114" s="190">
        <v>1</v>
      </c>
    </row>
    <row r="115" spans="1:35" ht="8.5" hidden="1" customHeight="1" x14ac:dyDescent="0.15">
      <c r="A115" s="163" t="str">
        <f t="shared" si="18"/>
        <v/>
      </c>
      <c r="B115" s="164">
        <f>B114</f>
        <v>0</v>
      </c>
      <c r="D115" s="368"/>
      <c r="E115" s="368"/>
      <c r="F115" s="368"/>
      <c r="G115" s="368"/>
      <c r="H115" s="368"/>
      <c r="I115" s="368"/>
      <c r="J115" s="368"/>
      <c r="K115" s="368"/>
      <c r="L115" s="368"/>
      <c r="M115" s="368"/>
      <c r="N115" s="368"/>
      <c r="O115" s="368"/>
      <c r="P115" s="368"/>
      <c r="Q115" s="368"/>
      <c r="R115" s="368"/>
      <c r="S115" s="368"/>
      <c r="T115" s="368"/>
      <c r="U115" s="368"/>
      <c r="V115" s="368"/>
      <c r="W115" s="368"/>
      <c r="X115" s="368"/>
      <c r="Y115" s="368"/>
      <c r="Z115" s="368"/>
      <c r="AA115" s="176"/>
      <c r="AD115" s="165" t="s">
        <v>227</v>
      </c>
      <c r="AE115" s="156"/>
      <c r="AF115" s="22"/>
      <c r="AG115" s="22"/>
      <c r="AI115" s="190">
        <v>1</v>
      </c>
    </row>
    <row r="116" spans="1:35" ht="15.75" hidden="1" customHeight="1" x14ac:dyDescent="0.2">
      <c r="A116" s="163"/>
      <c r="B116" s="164">
        <v>0</v>
      </c>
      <c r="D116" s="369" t="s">
        <v>270</v>
      </c>
      <c r="E116" s="369"/>
      <c r="F116" s="369"/>
      <c r="G116" s="369"/>
      <c r="H116" s="369"/>
      <c r="I116" s="369"/>
      <c r="J116" s="369"/>
      <c r="K116" s="369"/>
      <c r="L116" s="369"/>
      <c r="M116" s="369"/>
      <c r="N116" s="369"/>
      <c r="O116" s="369"/>
      <c r="P116" s="369"/>
      <c r="Q116" s="369"/>
      <c r="R116" s="369"/>
      <c r="S116" s="369"/>
      <c r="T116" s="369"/>
      <c r="U116" s="369"/>
      <c r="V116" s="369"/>
      <c r="W116" s="369"/>
      <c r="X116" s="369"/>
      <c r="Y116" s="369"/>
      <c r="Z116" s="369"/>
      <c r="AB116" s="166" t="s">
        <v>259</v>
      </c>
      <c r="AD116" s="165" t="s">
        <v>260</v>
      </c>
      <c r="AE116" s="134"/>
      <c r="AF116" s="22"/>
      <c r="AG116" s="22"/>
      <c r="AI116" s="190">
        <v>1</v>
      </c>
    </row>
    <row r="117" spans="1:35" s="155" customFormat="1" ht="21" hidden="1" customHeight="1" x14ac:dyDescent="0.15">
      <c r="A117" s="163" t="str">
        <f t="shared" ref="A117:A172" si="19">IF(AG117=1,"X","")</f>
        <v/>
      </c>
      <c r="B117" s="170">
        <v>0</v>
      </c>
      <c r="C117" s="177"/>
      <c r="D117" s="380" t="s">
        <v>273</v>
      </c>
      <c r="E117" s="380"/>
      <c r="F117" s="380"/>
      <c r="G117" s="380"/>
      <c r="H117" s="380"/>
      <c r="I117" s="380"/>
      <c r="J117" s="380"/>
      <c r="K117" s="380"/>
      <c r="L117" s="380"/>
      <c r="M117" s="380"/>
      <c r="N117" s="380"/>
      <c r="O117" s="380"/>
      <c r="P117" s="380"/>
      <c r="Q117" s="380"/>
      <c r="R117" s="380"/>
      <c r="S117" s="380"/>
      <c r="T117" s="380"/>
      <c r="U117" s="380"/>
      <c r="V117" s="380"/>
      <c r="W117" s="380"/>
      <c r="X117" s="380"/>
      <c r="Y117" s="380"/>
      <c r="Z117" s="380"/>
      <c r="AB117" s="159" t="s">
        <v>248</v>
      </c>
      <c r="AD117" s="172" t="s">
        <v>249</v>
      </c>
      <c r="AE117" s="167"/>
      <c r="AF117" s="164">
        <f t="shared" ref="AF117:AF119" si="20">IF(B117&lt;&gt;"",1,0)</f>
        <v>1</v>
      </c>
      <c r="AG117" s="164">
        <f>IF(AND(SUM(AF:AF)&gt;0,B117=""),1,0)</f>
        <v>0</v>
      </c>
      <c r="AI117" s="190">
        <v>1</v>
      </c>
    </row>
    <row r="118" spans="1:35" s="155" customFormat="1" ht="46.5" hidden="1" customHeight="1" x14ac:dyDescent="0.2">
      <c r="A118" s="163" t="str">
        <f t="shared" si="19"/>
        <v/>
      </c>
      <c r="B118" s="170">
        <v>0</v>
      </c>
      <c r="C118" s="177"/>
      <c r="D118" s="401" t="s">
        <v>279</v>
      </c>
      <c r="E118" s="401"/>
      <c r="F118" s="401"/>
      <c r="G118" s="401"/>
      <c r="H118" s="401"/>
      <c r="I118" s="401"/>
      <c r="J118" s="401"/>
      <c r="K118" s="401"/>
      <c r="L118" s="401"/>
      <c r="M118" s="401"/>
      <c r="N118" s="401"/>
      <c r="O118" s="401"/>
      <c r="P118" s="401"/>
      <c r="Q118" s="401"/>
      <c r="R118" s="401"/>
      <c r="S118" s="401"/>
      <c r="T118" s="401"/>
      <c r="U118" s="401"/>
      <c r="V118" s="401"/>
      <c r="W118" s="401"/>
      <c r="X118" s="401"/>
      <c r="Y118" s="401"/>
      <c r="Z118" s="401"/>
      <c r="AB118" s="159" t="s">
        <v>248</v>
      </c>
      <c r="AD118" s="172" t="s">
        <v>249</v>
      </c>
      <c r="AE118" s="167"/>
      <c r="AF118" s="164">
        <f t="shared" si="20"/>
        <v>1</v>
      </c>
      <c r="AG118" s="164">
        <f>IF(AND(SUM(AF:AF)&gt;0,B118=""),1,0)</f>
        <v>0</v>
      </c>
      <c r="AI118" s="190">
        <v>1</v>
      </c>
    </row>
    <row r="119" spans="1:35" ht="18" hidden="1" customHeight="1" x14ac:dyDescent="0.2">
      <c r="A119" s="163" t="str">
        <f t="shared" si="19"/>
        <v/>
      </c>
      <c r="B119" s="170">
        <v>0</v>
      </c>
      <c r="D119" s="403" t="s">
        <v>280</v>
      </c>
      <c r="E119" s="403"/>
      <c r="F119" s="403"/>
      <c r="G119" s="403"/>
      <c r="H119" s="403"/>
      <c r="I119" s="403"/>
      <c r="J119" s="403"/>
      <c r="K119" s="403"/>
      <c r="L119" s="403"/>
      <c r="M119" s="403"/>
      <c r="N119" s="403"/>
      <c r="O119" s="403"/>
      <c r="P119" s="403"/>
      <c r="Q119" s="403"/>
      <c r="R119" s="403"/>
      <c r="S119" s="403"/>
      <c r="T119" s="403"/>
      <c r="U119" s="403"/>
      <c r="V119" s="403"/>
      <c r="W119" s="403"/>
      <c r="X119" s="403"/>
      <c r="Y119" s="403"/>
      <c r="Z119" s="403"/>
      <c r="AA119" s="168"/>
      <c r="AB119" s="159" t="s">
        <v>248</v>
      </c>
      <c r="AD119" s="172" t="s">
        <v>249</v>
      </c>
      <c r="AE119" s="167"/>
      <c r="AF119" s="164">
        <f t="shared" si="20"/>
        <v>1</v>
      </c>
      <c r="AG119" s="164">
        <f>IF(AND(SUM(AF:AF)&gt;0,B119=""),1,0)</f>
        <v>0</v>
      </c>
      <c r="AI119" s="190">
        <v>1</v>
      </c>
    </row>
    <row r="120" spans="1:35" ht="8.5" customHeight="1" x14ac:dyDescent="0.15">
      <c r="A120" s="163" t="str">
        <f t="shared" si="19"/>
        <v/>
      </c>
      <c r="B120" s="164">
        <v>1</v>
      </c>
      <c r="D120" s="368"/>
      <c r="E120" s="368"/>
      <c r="F120" s="368"/>
      <c r="G120" s="368"/>
      <c r="H120" s="368"/>
      <c r="I120" s="368"/>
      <c r="J120" s="368"/>
      <c r="K120" s="368"/>
      <c r="L120" s="368"/>
      <c r="M120" s="368"/>
      <c r="N120" s="368"/>
      <c r="O120" s="368"/>
      <c r="P120" s="368"/>
      <c r="Q120" s="368"/>
      <c r="R120" s="368"/>
      <c r="S120" s="368"/>
      <c r="T120" s="368"/>
      <c r="U120" s="368"/>
      <c r="V120" s="368"/>
      <c r="W120" s="368"/>
      <c r="X120" s="368"/>
      <c r="Y120" s="368"/>
      <c r="Z120" s="368"/>
      <c r="AA120" s="176"/>
      <c r="AD120" s="165" t="s">
        <v>227</v>
      </c>
      <c r="AE120" s="156"/>
      <c r="AF120" s="22"/>
      <c r="AG120" s="22"/>
      <c r="AI120" s="190">
        <v>1</v>
      </c>
    </row>
    <row r="121" spans="1:35" ht="31" customHeight="1" x14ac:dyDescent="0.15">
      <c r="A121" s="163" t="str">
        <f t="shared" si="19"/>
        <v/>
      </c>
      <c r="B121" s="170">
        <v>1</v>
      </c>
      <c r="D121" s="399" t="s">
        <v>438</v>
      </c>
      <c r="E121" s="399"/>
      <c r="F121" s="399"/>
      <c r="G121" s="399"/>
      <c r="H121" s="399"/>
      <c r="I121" s="399"/>
      <c r="J121" s="399"/>
      <c r="K121" s="399"/>
      <c r="L121" s="399"/>
      <c r="M121" s="399"/>
      <c r="N121" s="399"/>
      <c r="O121" s="399"/>
      <c r="P121" s="399"/>
      <c r="Q121" s="399"/>
      <c r="R121" s="399"/>
      <c r="S121" s="399"/>
      <c r="T121" s="399"/>
      <c r="U121" s="399"/>
      <c r="V121" s="399"/>
      <c r="W121" s="399"/>
      <c r="X121" s="399"/>
      <c r="Y121" s="399"/>
      <c r="Z121" s="399"/>
      <c r="AB121" s="159" t="s">
        <v>248</v>
      </c>
      <c r="AD121" s="172" t="s">
        <v>249</v>
      </c>
      <c r="AE121" s="156"/>
      <c r="AF121" s="164">
        <f t="shared" ref="AF121" si="21">IF(B121&lt;&gt;"",1,0)</f>
        <v>1</v>
      </c>
      <c r="AG121" s="164">
        <f>IF(AND(SUM(AF:AF)&gt;0,B121=""),1,0)</f>
        <v>0</v>
      </c>
      <c r="AI121" s="190">
        <v>1</v>
      </c>
    </row>
    <row r="122" spans="1:35" ht="18" hidden="1" customHeight="1" x14ac:dyDescent="0.2">
      <c r="A122" s="163" t="str">
        <f t="shared" si="19"/>
        <v/>
      </c>
      <c r="B122" s="170">
        <v>0</v>
      </c>
      <c r="D122" s="375" t="s">
        <v>439</v>
      </c>
      <c r="E122" s="375"/>
      <c r="F122" s="375"/>
      <c r="G122" s="375"/>
      <c r="H122" s="375"/>
      <c r="I122" s="375"/>
      <c r="J122" s="375"/>
      <c r="K122" s="375"/>
      <c r="L122" s="375"/>
      <c r="M122" s="375"/>
      <c r="N122" s="375"/>
      <c r="O122" s="375"/>
      <c r="P122" s="375"/>
      <c r="Q122" s="375"/>
      <c r="R122" s="375"/>
      <c r="S122" s="375"/>
      <c r="T122" s="375"/>
      <c r="U122" s="375"/>
      <c r="V122" s="375"/>
      <c r="W122" s="375"/>
      <c r="X122" s="375"/>
      <c r="Y122" s="375"/>
      <c r="Z122" s="375"/>
      <c r="AB122" s="159" t="s">
        <v>248</v>
      </c>
      <c r="AD122" s="172" t="s">
        <v>249</v>
      </c>
      <c r="AE122" s="167"/>
      <c r="AF122" s="164">
        <f>IF(B122&lt;&gt;"",1,0)</f>
        <v>1</v>
      </c>
      <c r="AG122" s="164">
        <f>IF(AND(SUM(AF:AF)&gt;0,B122=""),1,0)</f>
        <v>0</v>
      </c>
      <c r="AI122" s="190">
        <v>1</v>
      </c>
    </row>
    <row r="123" spans="1:35" s="180" customFormat="1" ht="33" hidden="1" customHeight="1" x14ac:dyDescent="0.2">
      <c r="A123" s="163" t="str">
        <f t="shared" si="19"/>
        <v/>
      </c>
      <c r="B123" s="170">
        <v>0</v>
      </c>
      <c r="C123" s="152"/>
      <c r="D123" s="378" t="s">
        <v>440</v>
      </c>
      <c r="E123" s="378"/>
      <c r="F123" s="378"/>
      <c r="G123" s="378"/>
      <c r="H123" s="378"/>
      <c r="I123" s="378"/>
      <c r="J123" s="378"/>
      <c r="K123" s="378"/>
      <c r="L123" s="378"/>
      <c r="M123" s="378"/>
      <c r="N123" s="378"/>
      <c r="O123" s="378"/>
      <c r="P123" s="378"/>
      <c r="Q123" s="378"/>
      <c r="R123" s="378"/>
      <c r="S123" s="378"/>
      <c r="T123" s="378"/>
      <c r="U123" s="378"/>
      <c r="V123" s="378"/>
      <c r="W123" s="378"/>
      <c r="X123" s="378"/>
      <c r="Y123" s="378"/>
      <c r="Z123" s="378"/>
      <c r="AB123" s="159" t="s">
        <v>248</v>
      </c>
      <c r="AD123" s="172" t="s">
        <v>249</v>
      </c>
      <c r="AE123" s="167"/>
      <c r="AF123" s="164">
        <f t="shared" ref="AF123" si="22">IF(B123&lt;&gt;"",1,0)</f>
        <v>1</v>
      </c>
      <c r="AG123" s="164">
        <f>IF(AND(SUM(AF:AF)&gt;0,B123=""),1,0)</f>
        <v>0</v>
      </c>
      <c r="AI123" s="190">
        <v>1</v>
      </c>
    </row>
    <row r="124" spans="1:35" s="180" customFormat="1" ht="18.5" hidden="1" customHeight="1" x14ac:dyDescent="0.2">
      <c r="A124" s="163" t="str">
        <f t="shared" si="19"/>
        <v/>
      </c>
      <c r="B124" s="164">
        <v>0</v>
      </c>
      <c r="C124" s="152"/>
      <c r="D124" s="179" t="s">
        <v>252</v>
      </c>
      <c r="E124" s="378" t="s">
        <v>441</v>
      </c>
      <c r="F124" s="378"/>
      <c r="G124" s="378"/>
      <c r="H124" s="378"/>
      <c r="I124" s="378"/>
      <c r="J124" s="378"/>
      <c r="K124" s="378"/>
      <c r="L124" s="378"/>
      <c r="M124" s="378"/>
      <c r="N124" s="378"/>
      <c r="O124" s="378"/>
      <c r="P124" s="378"/>
      <c r="Q124" s="378"/>
      <c r="R124" s="378"/>
      <c r="S124" s="378"/>
      <c r="T124" s="378"/>
      <c r="U124" s="378"/>
      <c r="V124" s="378"/>
      <c r="W124" s="378"/>
      <c r="X124" s="378"/>
      <c r="Y124" s="378"/>
      <c r="Z124" s="378"/>
      <c r="AA124" s="168"/>
      <c r="AB124" s="166" t="s">
        <v>259</v>
      </c>
      <c r="AD124" s="165" t="s">
        <v>260</v>
      </c>
      <c r="AE124" s="251"/>
      <c r="AF124" s="22"/>
      <c r="AG124" s="22"/>
      <c r="AI124" s="190">
        <v>1</v>
      </c>
    </row>
    <row r="125" spans="1:35" s="180" customFormat="1" ht="18" hidden="1" customHeight="1" x14ac:dyDescent="0.2">
      <c r="A125" s="163" t="str">
        <f t="shared" si="19"/>
        <v/>
      </c>
      <c r="B125" s="170">
        <v>0</v>
      </c>
      <c r="C125" s="152"/>
      <c r="D125" s="179" t="s">
        <v>252</v>
      </c>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169"/>
      <c r="AB125" s="159" t="s">
        <v>281</v>
      </c>
      <c r="AD125" s="172" t="s">
        <v>249</v>
      </c>
      <c r="AE125" s="167"/>
      <c r="AF125" s="164">
        <f t="shared" ref="AF125:AF127" si="23">IF(B125&lt;&gt;"",1,0)</f>
        <v>1</v>
      </c>
      <c r="AG125" s="164">
        <f>IF(AND(SUM(AF:AF)&gt;0,OR(AND(B125=1,E125=""),AND(B125="",E125=""),AND(B125="",E125&lt;&gt;""),AND(B125=0,E125&lt;&gt;""))),1,0)</f>
        <v>0</v>
      </c>
      <c r="AI125" s="190">
        <v>1</v>
      </c>
    </row>
    <row r="126" spans="1:35" s="180" customFormat="1" ht="18" hidden="1" customHeight="1" x14ac:dyDescent="0.2">
      <c r="A126" s="163" t="str">
        <f t="shared" si="19"/>
        <v/>
      </c>
      <c r="B126" s="170">
        <v>0</v>
      </c>
      <c r="C126" s="152"/>
      <c r="D126" s="179" t="s">
        <v>252</v>
      </c>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169"/>
      <c r="AB126" s="159" t="s">
        <v>281</v>
      </c>
      <c r="AD126" s="172" t="s">
        <v>249</v>
      </c>
      <c r="AE126" s="167"/>
      <c r="AF126" s="164">
        <f t="shared" si="23"/>
        <v>1</v>
      </c>
      <c r="AG126" s="164">
        <f>IF(AND(SUM(AF:AF)&gt;0,OR(AND(B126=1,E126=""),AND(B126="",E126=""),AND(B126="",E126&lt;&gt;""),AND(B126=0,E126&lt;&gt;""))),1,0)</f>
        <v>0</v>
      </c>
      <c r="AI126" s="190">
        <v>1</v>
      </c>
    </row>
    <row r="127" spans="1:35" s="180" customFormat="1" ht="18" hidden="1" customHeight="1" x14ac:dyDescent="0.2">
      <c r="A127" s="163" t="str">
        <f t="shared" si="19"/>
        <v/>
      </c>
      <c r="B127" s="170">
        <v>0</v>
      </c>
      <c r="C127" s="152"/>
      <c r="D127" s="179" t="s">
        <v>252</v>
      </c>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169"/>
      <c r="AB127" s="159" t="s">
        <v>281</v>
      </c>
      <c r="AD127" s="172" t="s">
        <v>249</v>
      </c>
      <c r="AE127" s="167"/>
      <c r="AF127" s="164">
        <f t="shared" si="23"/>
        <v>1</v>
      </c>
      <c r="AG127" s="164">
        <f>IF(AND(SUM(AF:AF)&gt;0,OR(AND(B127=1,E127=""),AND(B127="",E127=""),AND(B127="",E127&lt;&gt;""),AND(B127=0,E127&lt;&gt;""))),1,0)</f>
        <v>0</v>
      </c>
      <c r="AI127" s="190">
        <v>1</v>
      </c>
    </row>
    <row r="128" spans="1:35" ht="21" hidden="1" customHeight="1" x14ac:dyDescent="0.2">
      <c r="A128" s="163" t="str">
        <f t="shared" si="19"/>
        <v/>
      </c>
      <c r="B128" s="164">
        <v>0</v>
      </c>
      <c r="D128" s="418" t="s">
        <v>258</v>
      </c>
      <c r="E128" s="418"/>
      <c r="F128" s="418"/>
      <c r="G128" s="418"/>
      <c r="H128" s="418"/>
      <c r="I128" s="418"/>
      <c r="J128" s="418"/>
      <c r="K128" s="418"/>
      <c r="L128" s="418"/>
      <c r="M128" s="418"/>
      <c r="N128" s="418"/>
      <c r="O128" s="418"/>
      <c r="P128" s="418"/>
      <c r="Q128" s="418"/>
      <c r="R128" s="418"/>
      <c r="S128" s="418"/>
      <c r="T128" s="418"/>
      <c r="U128" s="418"/>
      <c r="V128" s="418"/>
      <c r="W128" s="418"/>
      <c r="X128" s="418"/>
      <c r="Y128" s="418"/>
      <c r="Z128" s="418"/>
      <c r="AB128" s="166" t="s">
        <v>259</v>
      </c>
      <c r="AD128" s="165" t="s">
        <v>260</v>
      </c>
      <c r="AE128" s="251"/>
      <c r="AF128" s="22"/>
      <c r="AG128" s="22"/>
      <c r="AI128" s="190">
        <v>1</v>
      </c>
    </row>
    <row r="129" spans="1:35" ht="15.75" hidden="1" customHeight="1" x14ac:dyDescent="0.2">
      <c r="A129" s="163"/>
      <c r="B129" s="164">
        <v>0</v>
      </c>
      <c r="D129" s="369" t="s">
        <v>261</v>
      </c>
      <c r="E129" s="369"/>
      <c r="F129" s="369"/>
      <c r="G129" s="369"/>
      <c r="H129" s="369"/>
      <c r="I129" s="369"/>
      <c r="J129" s="369"/>
      <c r="K129" s="369"/>
      <c r="L129" s="369"/>
      <c r="M129" s="369"/>
      <c r="N129" s="369"/>
      <c r="O129" s="369"/>
      <c r="P129" s="369"/>
      <c r="Q129" s="369"/>
      <c r="R129" s="369"/>
      <c r="S129" s="369"/>
      <c r="T129" s="369"/>
      <c r="U129" s="369"/>
      <c r="V129" s="369"/>
      <c r="W129" s="369"/>
      <c r="X129" s="369"/>
      <c r="Y129" s="369"/>
      <c r="Z129" s="369"/>
      <c r="AB129" s="166" t="s">
        <v>259</v>
      </c>
      <c r="AD129" s="165" t="s">
        <v>260</v>
      </c>
      <c r="AE129" s="251"/>
      <c r="AF129" s="22"/>
      <c r="AG129" s="22"/>
      <c r="AI129" s="190">
        <v>1</v>
      </c>
    </row>
    <row r="130" spans="1:35" ht="8.5" hidden="1" customHeight="1" x14ac:dyDescent="0.15">
      <c r="A130" s="163" t="str">
        <f>IF(AG130=1,"X","")</f>
        <v/>
      </c>
      <c r="B130" s="164">
        <f>IF(OR(D131="Show",Q131="Show"),1,0)</f>
        <v>0</v>
      </c>
      <c r="D130" s="368"/>
      <c r="E130" s="368"/>
      <c r="F130" s="368"/>
      <c r="G130" s="368"/>
      <c r="H130" s="368"/>
      <c r="I130" s="368"/>
      <c r="J130" s="368"/>
      <c r="K130" s="368"/>
      <c r="L130" s="368"/>
      <c r="M130" s="368"/>
      <c r="N130" s="368"/>
      <c r="O130" s="368"/>
      <c r="P130" s="368"/>
      <c r="Q130" s="368"/>
      <c r="R130" s="368"/>
      <c r="S130" s="368"/>
      <c r="T130" s="368"/>
      <c r="U130" s="368"/>
      <c r="V130" s="368"/>
      <c r="W130" s="368"/>
      <c r="X130" s="368"/>
      <c r="Y130" s="368"/>
      <c r="Z130" s="368"/>
      <c r="AD130" s="165" t="s">
        <v>227</v>
      </c>
      <c r="AE130" s="156"/>
      <c r="AF130" s="22"/>
      <c r="AG130" s="22"/>
      <c r="AI130" s="190">
        <v>1</v>
      </c>
    </row>
    <row r="131" spans="1:35" ht="18" hidden="1" customHeight="1" x14ac:dyDescent="0.2">
      <c r="A131" s="163" t="str">
        <f t="shared" ref="A131:A134" si="24">IF(AG131=1,"X","")</f>
        <v/>
      </c>
      <c r="B131" s="164">
        <v>0</v>
      </c>
      <c r="D131" s="370" t="s">
        <v>267</v>
      </c>
      <c r="E131" s="370"/>
      <c r="F131" s="370"/>
      <c r="G131" s="370"/>
      <c r="H131" s="370"/>
      <c r="I131" s="370"/>
      <c r="J131" s="370"/>
      <c r="K131" s="370"/>
      <c r="L131" s="370"/>
      <c r="M131" s="370"/>
      <c r="N131" s="370"/>
      <c r="O131" s="175"/>
      <c r="P131" s="175"/>
      <c r="Q131" s="370" t="s">
        <v>267</v>
      </c>
      <c r="R131" s="370"/>
      <c r="S131" s="370"/>
      <c r="T131" s="370"/>
      <c r="U131" s="370"/>
      <c r="V131" s="370"/>
      <c r="W131" s="370"/>
      <c r="X131" s="370"/>
      <c r="Y131" s="370"/>
      <c r="Z131" s="370"/>
      <c r="AA131" s="176"/>
      <c r="AB131" s="159" t="s">
        <v>262</v>
      </c>
      <c r="AD131" s="172" t="s">
        <v>249</v>
      </c>
      <c r="AE131" s="251"/>
      <c r="AF131" s="164">
        <f>IF(OR(D131="Show",D131="",Q131="Show",Q131=""),1,0)</f>
        <v>0</v>
      </c>
      <c r="AG131" s="164">
        <f>IF(AND(SUM(AF:AF)&gt;0,OR(D131="",Q131="")),1,0)</f>
        <v>0</v>
      </c>
      <c r="AI131" s="190">
        <v>1</v>
      </c>
    </row>
    <row r="132" spans="1:35" ht="197.25" hidden="1" customHeight="1" x14ac:dyDescent="0.2">
      <c r="A132" s="163" t="str">
        <f t="shared" si="24"/>
        <v/>
      </c>
      <c r="B132" s="164">
        <f>B130</f>
        <v>0</v>
      </c>
      <c r="D132" s="370"/>
      <c r="E132" s="370"/>
      <c r="F132" s="370"/>
      <c r="G132" s="370"/>
      <c r="H132" s="370"/>
      <c r="I132" s="370"/>
      <c r="J132" s="370"/>
      <c r="K132" s="370"/>
      <c r="L132" s="370"/>
      <c r="M132" s="370"/>
      <c r="N132" s="370"/>
      <c r="O132" s="175"/>
      <c r="P132" s="175"/>
      <c r="Q132" s="370"/>
      <c r="R132" s="370"/>
      <c r="S132" s="370"/>
      <c r="T132" s="370"/>
      <c r="U132" s="370"/>
      <c r="V132" s="370"/>
      <c r="W132" s="370"/>
      <c r="X132" s="370"/>
      <c r="Y132" s="370"/>
      <c r="Z132" s="370"/>
      <c r="AA132" s="176"/>
      <c r="AB132" s="159" t="s">
        <v>263</v>
      </c>
      <c r="AD132" s="172" t="s">
        <v>249</v>
      </c>
      <c r="AE132" s="167"/>
      <c r="AF132" s="22"/>
      <c r="AG132" s="22"/>
      <c r="AI132" s="190">
        <v>1</v>
      </c>
    </row>
    <row r="133" spans="1:35" ht="18" hidden="1" customHeight="1" x14ac:dyDescent="0.2">
      <c r="A133" s="163" t="str">
        <f t="shared" si="24"/>
        <v/>
      </c>
      <c r="B133" s="164">
        <f>B132</f>
        <v>0</v>
      </c>
      <c r="D133" s="372"/>
      <c r="E133" s="372"/>
      <c r="F133" s="372"/>
      <c r="G133" s="372"/>
      <c r="H133" s="372"/>
      <c r="I133" s="372"/>
      <c r="J133" s="372"/>
      <c r="K133" s="372"/>
      <c r="L133" s="372"/>
      <c r="M133" s="372"/>
      <c r="N133" s="372"/>
      <c r="O133" s="175"/>
      <c r="P133" s="175"/>
      <c r="Q133" s="372"/>
      <c r="R133" s="372"/>
      <c r="S133" s="372"/>
      <c r="T133" s="372"/>
      <c r="U133" s="372"/>
      <c r="V133" s="372"/>
      <c r="W133" s="372"/>
      <c r="X133" s="372"/>
      <c r="Y133" s="372"/>
      <c r="Z133" s="372"/>
      <c r="AA133" s="176"/>
      <c r="AB133" s="159" t="s">
        <v>264</v>
      </c>
      <c r="AD133" s="172" t="s">
        <v>249</v>
      </c>
      <c r="AE133" s="167"/>
      <c r="AF133" s="164">
        <f>IF(OR(D131="Show",D131="",Q131="Show",Q131=""),1,0)</f>
        <v>0</v>
      </c>
      <c r="AG133" s="164">
        <f>IF(AND(SUM(AF:AF)&gt;0,OR(AND(D131="Show",D133=""),AND(Q131="Show",Q133=""))),1,0)</f>
        <v>0</v>
      </c>
      <c r="AI133" s="190">
        <v>1</v>
      </c>
    </row>
    <row r="134" spans="1:35" ht="8.5" hidden="1" customHeight="1" x14ac:dyDescent="0.15">
      <c r="A134" s="163" t="str">
        <f t="shared" si="24"/>
        <v/>
      </c>
      <c r="B134" s="164">
        <f>B133</f>
        <v>0</v>
      </c>
      <c r="D134" s="368"/>
      <c r="E134" s="368"/>
      <c r="F134" s="368"/>
      <c r="G134" s="368"/>
      <c r="H134" s="368"/>
      <c r="I134" s="368"/>
      <c r="J134" s="368"/>
      <c r="K134" s="368"/>
      <c r="L134" s="368"/>
      <c r="M134" s="368"/>
      <c r="N134" s="368"/>
      <c r="O134" s="368"/>
      <c r="P134" s="368"/>
      <c r="Q134" s="368"/>
      <c r="R134" s="368"/>
      <c r="S134" s="368"/>
      <c r="T134" s="368"/>
      <c r="U134" s="368"/>
      <c r="V134" s="368"/>
      <c r="W134" s="368"/>
      <c r="X134" s="368"/>
      <c r="Y134" s="368"/>
      <c r="Z134" s="368"/>
      <c r="AA134" s="176"/>
      <c r="AD134" s="165" t="s">
        <v>227</v>
      </c>
      <c r="AE134" s="156"/>
      <c r="AF134" s="22"/>
      <c r="AG134" s="22"/>
      <c r="AI134" s="190">
        <v>1</v>
      </c>
    </row>
    <row r="135" spans="1:35" ht="15.75" hidden="1" customHeight="1" x14ac:dyDescent="0.2">
      <c r="A135" s="163"/>
      <c r="B135" s="164">
        <v>0</v>
      </c>
      <c r="D135" s="369" t="s">
        <v>265</v>
      </c>
      <c r="E135" s="369"/>
      <c r="F135" s="369"/>
      <c r="G135" s="369"/>
      <c r="H135" s="369"/>
      <c r="I135" s="369"/>
      <c r="J135" s="369"/>
      <c r="K135" s="369"/>
      <c r="L135" s="369"/>
      <c r="M135" s="369"/>
      <c r="N135" s="369"/>
      <c r="O135" s="369"/>
      <c r="P135" s="369"/>
      <c r="Q135" s="369"/>
      <c r="R135" s="369"/>
      <c r="S135" s="369"/>
      <c r="T135" s="369"/>
      <c r="U135" s="369"/>
      <c r="V135" s="369"/>
      <c r="W135" s="369"/>
      <c r="X135" s="369"/>
      <c r="Y135" s="369"/>
      <c r="Z135" s="369"/>
      <c r="AB135" s="166" t="s">
        <v>259</v>
      </c>
      <c r="AD135" s="165" t="s">
        <v>260</v>
      </c>
      <c r="AE135" s="251"/>
      <c r="AF135" s="22"/>
      <c r="AG135" s="22"/>
      <c r="AI135" s="190">
        <v>1</v>
      </c>
    </row>
    <row r="136" spans="1:35" ht="15.75" hidden="1" customHeight="1" x14ac:dyDescent="0.2">
      <c r="A136" s="163"/>
      <c r="B136" s="164">
        <v>0</v>
      </c>
      <c r="D136" s="369" t="s">
        <v>266</v>
      </c>
      <c r="E136" s="369"/>
      <c r="F136" s="369"/>
      <c r="G136" s="369"/>
      <c r="H136" s="369"/>
      <c r="I136" s="369"/>
      <c r="J136" s="369"/>
      <c r="K136" s="369"/>
      <c r="L136" s="369"/>
      <c r="M136" s="369"/>
      <c r="N136" s="369"/>
      <c r="O136" s="369"/>
      <c r="P136" s="369"/>
      <c r="Q136" s="369"/>
      <c r="R136" s="369"/>
      <c r="S136" s="369"/>
      <c r="T136" s="369"/>
      <c r="U136" s="369"/>
      <c r="V136" s="369"/>
      <c r="W136" s="369"/>
      <c r="X136" s="369"/>
      <c r="Y136" s="369"/>
      <c r="Z136" s="369"/>
      <c r="AB136" s="166" t="s">
        <v>259</v>
      </c>
      <c r="AD136" s="165" t="s">
        <v>260</v>
      </c>
      <c r="AE136" s="251"/>
      <c r="AF136" s="22"/>
      <c r="AG136" s="22"/>
      <c r="AI136" s="190">
        <v>1</v>
      </c>
    </row>
    <row r="137" spans="1:35" ht="8.5" hidden="1" customHeight="1" x14ac:dyDescent="0.15">
      <c r="A137" s="163" t="str">
        <f>IF(AG137=1,"X","")</f>
        <v/>
      </c>
      <c r="B137" s="164">
        <f>IF(OR(D138="Show",Q138="Show"),1,0)</f>
        <v>0</v>
      </c>
      <c r="D137" s="368"/>
      <c r="E137" s="368"/>
      <c r="F137" s="368"/>
      <c r="G137" s="368"/>
      <c r="H137" s="368"/>
      <c r="I137" s="368"/>
      <c r="J137" s="368"/>
      <c r="K137" s="368"/>
      <c r="L137" s="368"/>
      <c r="M137" s="368"/>
      <c r="N137" s="368"/>
      <c r="O137" s="368"/>
      <c r="P137" s="368"/>
      <c r="Q137" s="368"/>
      <c r="R137" s="368"/>
      <c r="S137" s="368"/>
      <c r="T137" s="368"/>
      <c r="U137" s="368"/>
      <c r="V137" s="368"/>
      <c r="W137" s="368"/>
      <c r="X137" s="368"/>
      <c r="Y137" s="368"/>
      <c r="Z137" s="368"/>
      <c r="AD137" s="165" t="s">
        <v>227</v>
      </c>
      <c r="AE137" s="156"/>
      <c r="AF137" s="22"/>
      <c r="AG137" s="22"/>
      <c r="AI137" s="190">
        <v>1</v>
      </c>
    </row>
    <row r="138" spans="1:35" ht="18" hidden="1" customHeight="1" x14ac:dyDescent="0.2">
      <c r="A138" s="163" t="str">
        <f t="shared" ref="A138:A141" si="25">IF(AG138=1,"X","")</f>
        <v/>
      </c>
      <c r="B138" s="164">
        <v>0</v>
      </c>
      <c r="D138" s="370" t="s">
        <v>267</v>
      </c>
      <c r="E138" s="370"/>
      <c r="F138" s="370"/>
      <c r="G138" s="370"/>
      <c r="H138" s="370"/>
      <c r="I138" s="370"/>
      <c r="J138" s="370"/>
      <c r="K138" s="370"/>
      <c r="L138" s="370"/>
      <c r="M138" s="370"/>
      <c r="N138" s="370"/>
      <c r="O138" s="175"/>
      <c r="P138" s="175"/>
      <c r="Q138" s="370" t="s">
        <v>267</v>
      </c>
      <c r="R138" s="370"/>
      <c r="S138" s="370"/>
      <c r="T138" s="370"/>
      <c r="U138" s="370"/>
      <c r="V138" s="370"/>
      <c r="W138" s="370"/>
      <c r="X138" s="370"/>
      <c r="Y138" s="370"/>
      <c r="Z138" s="370"/>
      <c r="AA138" s="176"/>
      <c r="AB138" s="159" t="s">
        <v>262</v>
      </c>
      <c r="AD138" s="172" t="s">
        <v>249</v>
      </c>
      <c r="AE138" s="251"/>
      <c r="AF138" s="164">
        <f>IF(OR(D138="Show",D138="",Q138="Show",Q138=""),1,0)</f>
        <v>0</v>
      </c>
      <c r="AG138" s="164">
        <f>IF(AND(SUM(AF:AF)&gt;0,OR(D138="",Q138="")),1,0)</f>
        <v>0</v>
      </c>
      <c r="AI138" s="190">
        <v>1</v>
      </c>
    </row>
    <row r="139" spans="1:35" ht="197.25" hidden="1" customHeight="1" x14ac:dyDescent="0.2">
      <c r="A139" s="163" t="str">
        <f t="shared" si="25"/>
        <v/>
      </c>
      <c r="B139" s="164">
        <f>B137</f>
        <v>0</v>
      </c>
      <c r="D139" s="370"/>
      <c r="E139" s="370"/>
      <c r="F139" s="370"/>
      <c r="G139" s="370"/>
      <c r="H139" s="370"/>
      <c r="I139" s="370"/>
      <c r="J139" s="370"/>
      <c r="K139" s="370"/>
      <c r="L139" s="370"/>
      <c r="M139" s="370"/>
      <c r="N139" s="370"/>
      <c r="O139" s="175"/>
      <c r="P139" s="175"/>
      <c r="Q139" s="370"/>
      <c r="R139" s="370"/>
      <c r="S139" s="370"/>
      <c r="T139" s="370"/>
      <c r="U139" s="370"/>
      <c r="V139" s="370"/>
      <c r="W139" s="370"/>
      <c r="X139" s="370"/>
      <c r="Y139" s="370"/>
      <c r="Z139" s="370"/>
      <c r="AA139" s="176"/>
      <c r="AB139" s="159" t="s">
        <v>263</v>
      </c>
      <c r="AD139" s="172" t="s">
        <v>249</v>
      </c>
      <c r="AE139" s="167"/>
      <c r="AF139" s="22"/>
      <c r="AG139" s="22"/>
      <c r="AI139" s="190">
        <v>1</v>
      </c>
    </row>
    <row r="140" spans="1:35" ht="18" hidden="1" customHeight="1" x14ac:dyDescent="0.2">
      <c r="A140" s="163" t="str">
        <f t="shared" si="25"/>
        <v/>
      </c>
      <c r="B140" s="164">
        <f>B139</f>
        <v>0</v>
      </c>
      <c r="D140" s="372"/>
      <c r="E140" s="372"/>
      <c r="F140" s="372"/>
      <c r="G140" s="372"/>
      <c r="H140" s="372"/>
      <c r="I140" s="372"/>
      <c r="J140" s="372"/>
      <c r="K140" s="372"/>
      <c r="L140" s="372"/>
      <c r="M140" s="372"/>
      <c r="N140" s="372"/>
      <c r="O140" s="175"/>
      <c r="P140" s="175"/>
      <c r="Q140" s="372"/>
      <c r="R140" s="372"/>
      <c r="S140" s="372"/>
      <c r="T140" s="372"/>
      <c r="U140" s="372"/>
      <c r="V140" s="372"/>
      <c r="W140" s="372"/>
      <c r="X140" s="372"/>
      <c r="Y140" s="372"/>
      <c r="Z140" s="372"/>
      <c r="AA140" s="176"/>
      <c r="AB140" s="159" t="s">
        <v>264</v>
      </c>
      <c r="AD140" s="172" t="s">
        <v>249</v>
      </c>
      <c r="AE140" s="167"/>
      <c r="AF140" s="164">
        <f>IF(OR(D138="Show",D138="",Q138="Show",Q138=""),1,0)</f>
        <v>0</v>
      </c>
      <c r="AG140" s="164">
        <f>IF(AND(SUM(AF:AF)&gt;0,OR(AND(D138="Show",D140=""),AND(Q138="Show",Q140=""))),1,0)</f>
        <v>0</v>
      </c>
      <c r="AI140" s="190">
        <v>1</v>
      </c>
    </row>
    <row r="141" spans="1:35" ht="8.5" hidden="1" customHeight="1" x14ac:dyDescent="0.15">
      <c r="A141" s="163" t="str">
        <f t="shared" si="25"/>
        <v/>
      </c>
      <c r="B141" s="164">
        <f>B140</f>
        <v>0</v>
      </c>
      <c r="D141" s="368"/>
      <c r="E141" s="368"/>
      <c r="F141" s="368"/>
      <c r="G141" s="368"/>
      <c r="H141" s="368"/>
      <c r="I141" s="368"/>
      <c r="J141" s="368"/>
      <c r="K141" s="368"/>
      <c r="L141" s="368"/>
      <c r="M141" s="368"/>
      <c r="N141" s="368"/>
      <c r="O141" s="368"/>
      <c r="P141" s="368"/>
      <c r="Q141" s="368"/>
      <c r="R141" s="368"/>
      <c r="S141" s="368"/>
      <c r="T141" s="368"/>
      <c r="U141" s="368"/>
      <c r="V141" s="368"/>
      <c r="W141" s="368"/>
      <c r="X141" s="368"/>
      <c r="Y141" s="368"/>
      <c r="Z141" s="368"/>
      <c r="AA141" s="176"/>
      <c r="AD141" s="165" t="s">
        <v>227</v>
      </c>
      <c r="AE141" s="156"/>
      <c r="AF141" s="22"/>
      <c r="AG141" s="22"/>
      <c r="AI141" s="190">
        <v>1</v>
      </c>
    </row>
    <row r="142" spans="1:35" ht="15.75" hidden="1" customHeight="1" x14ac:dyDescent="0.2">
      <c r="A142" s="163"/>
      <c r="B142" s="164">
        <v>0</v>
      </c>
      <c r="D142" s="369" t="s">
        <v>268</v>
      </c>
      <c r="E142" s="369"/>
      <c r="F142" s="369"/>
      <c r="G142" s="369"/>
      <c r="H142" s="369"/>
      <c r="I142" s="369"/>
      <c r="J142" s="369"/>
      <c r="K142" s="369"/>
      <c r="L142" s="369"/>
      <c r="M142" s="369"/>
      <c r="N142" s="369"/>
      <c r="O142" s="369"/>
      <c r="P142" s="369"/>
      <c r="Q142" s="369"/>
      <c r="R142" s="369"/>
      <c r="S142" s="369"/>
      <c r="T142" s="369"/>
      <c r="U142" s="369"/>
      <c r="V142" s="369"/>
      <c r="W142" s="369"/>
      <c r="X142" s="369"/>
      <c r="Y142" s="369"/>
      <c r="Z142" s="369"/>
      <c r="AB142" s="166" t="s">
        <v>259</v>
      </c>
      <c r="AD142" s="165" t="s">
        <v>260</v>
      </c>
      <c r="AE142" s="251"/>
      <c r="AF142" s="22"/>
      <c r="AG142" s="22"/>
      <c r="AI142" s="190">
        <v>1</v>
      </c>
    </row>
    <row r="143" spans="1:35" ht="15.75" hidden="1" customHeight="1" x14ac:dyDescent="0.2">
      <c r="A143" s="163"/>
      <c r="B143" s="164">
        <v>0</v>
      </c>
      <c r="D143" s="369" t="s">
        <v>269</v>
      </c>
      <c r="E143" s="369"/>
      <c r="F143" s="369"/>
      <c r="G143" s="369"/>
      <c r="H143" s="369"/>
      <c r="I143" s="369"/>
      <c r="J143" s="369"/>
      <c r="K143" s="369"/>
      <c r="L143" s="369"/>
      <c r="M143" s="369"/>
      <c r="N143" s="369"/>
      <c r="O143" s="369"/>
      <c r="P143" s="369"/>
      <c r="Q143" s="369"/>
      <c r="R143" s="369"/>
      <c r="S143" s="369"/>
      <c r="T143" s="369"/>
      <c r="U143" s="369"/>
      <c r="V143" s="369"/>
      <c r="W143" s="369"/>
      <c r="X143" s="369"/>
      <c r="Y143" s="369"/>
      <c r="Z143" s="369"/>
      <c r="AB143" s="166" t="s">
        <v>259</v>
      </c>
      <c r="AD143" s="165" t="s">
        <v>260</v>
      </c>
      <c r="AE143" s="251"/>
      <c r="AF143" s="22"/>
      <c r="AG143" s="22"/>
      <c r="AI143" s="190">
        <v>1</v>
      </c>
    </row>
    <row r="144" spans="1:35" ht="8.5" hidden="1" customHeight="1" x14ac:dyDescent="0.15">
      <c r="A144" s="163" t="str">
        <f>IF(AG144=1,"X","")</f>
        <v/>
      </c>
      <c r="B144" s="164">
        <f>IF(OR(D145="Show",Q145="Show"),1,0)</f>
        <v>0</v>
      </c>
      <c r="D144" s="368"/>
      <c r="E144" s="368"/>
      <c r="F144" s="368"/>
      <c r="G144" s="368"/>
      <c r="H144" s="368"/>
      <c r="I144" s="368"/>
      <c r="J144" s="368"/>
      <c r="K144" s="368"/>
      <c r="L144" s="368"/>
      <c r="M144" s="368"/>
      <c r="N144" s="368"/>
      <c r="O144" s="368"/>
      <c r="P144" s="368"/>
      <c r="Q144" s="368"/>
      <c r="R144" s="368"/>
      <c r="S144" s="368"/>
      <c r="T144" s="368"/>
      <c r="U144" s="368"/>
      <c r="V144" s="368"/>
      <c r="W144" s="368"/>
      <c r="X144" s="368"/>
      <c r="Y144" s="368"/>
      <c r="Z144" s="368"/>
      <c r="AD144" s="165" t="s">
        <v>227</v>
      </c>
      <c r="AE144" s="156"/>
      <c r="AF144" s="22"/>
      <c r="AG144" s="22"/>
      <c r="AI144" s="190">
        <v>1</v>
      </c>
    </row>
    <row r="145" spans="1:35" ht="18" hidden="1" customHeight="1" x14ac:dyDescent="0.2">
      <c r="A145" s="163" t="str">
        <f t="shared" ref="A145:A148" si="26">IF(AG145=1,"X","")</f>
        <v/>
      </c>
      <c r="B145" s="164">
        <v>0</v>
      </c>
      <c r="D145" s="370" t="s">
        <v>267</v>
      </c>
      <c r="E145" s="370"/>
      <c r="F145" s="370"/>
      <c r="G145" s="370"/>
      <c r="H145" s="370"/>
      <c r="I145" s="370"/>
      <c r="J145" s="370"/>
      <c r="K145" s="370"/>
      <c r="L145" s="370"/>
      <c r="M145" s="370"/>
      <c r="N145" s="370"/>
      <c r="O145" s="175"/>
      <c r="P145" s="175"/>
      <c r="Q145" s="370" t="s">
        <v>267</v>
      </c>
      <c r="R145" s="370"/>
      <c r="S145" s="370"/>
      <c r="T145" s="370"/>
      <c r="U145" s="370"/>
      <c r="V145" s="370"/>
      <c r="W145" s="370"/>
      <c r="X145" s="370"/>
      <c r="Y145" s="370"/>
      <c r="Z145" s="370"/>
      <c r="AA145" s="176"/>
      <c r="AB145" s="159" t="s">
        <v>262</v>
      </c>
      <c r="AD145" s="172" t="s">
        <v>249</v>
      </c>
      <c r="AE145" s="251"/>
      <c r="AF145" s="164">
        <f>IF(OR(D145="Show",D145="",Q145="Show",Q145=""),1,0)</f>
        <v>0</v>
      </c>
      <c r="AG145" s="164">
        <f>IF(AND(SUM(AF:AF)&gt;0,OR(D145="",Q145="")),1,0)</f>
        <v>0</v>
      </c>
      <c r="AI145" s="190">
        <v>1</v>
      </c>
    </row>
    <row r="146" spans="1:35" ht="197.25" hidden="1" customHeight="1" x14ac:dyDescent="0.2">
      <c r="A146" s="163" t="str">
        <f t="shared" si="26"/>
        <v/>
      </c>
      <c r="B146" s="164">
        <f>B144</f>
        <v>0</v>
      </c>
      <c r="D146" s="370"/>
      <c r="E146" s="370"/>
      <c r="F146" s="370"/>
      <c r="G146" s="370"/>
      <c r="H146" s="370"/>
      <c r="I146" s="370"/>
      <c r="J146" s="370"/>
      <c r="K146" s="370"/>
      <c r="L146" s="370"/>
      <c r="M146" s="370"/>
      <c r="N146" s="370"/>
      <c r="O146" s="175"/>
      <c r="P146" s="175"/>
      <c r="Q146" s="370"/>
      <c r="R146" s="370"/>
      <c r="S146" s="370"/>
      <c r="T146" s="370"/>
      <c r="U146" s="370"/>
      <c r="V146" s="370"/>
      <c r="W146" s="370"/>
      <c r="X146" s="370"/>
      <c r="Y146" s="370"/>
      <c r="Z146" s="370"/>
      <c r="AA146" s="176"/>
      <c r="AB146" s="159" t="s">
        <v>263</v>
      </c>
      <c r="AD146" s="172" t="s">
        <v>249</v>
      </c>
      <c r="AE146" s="167"/>
      <c r="AF146" s="22"/>
      <c r="AG146" s="22"/>
      <c r="AI146" s="190">
        <v>1</v>
      </c>
    </row>
    <row r="147" spans="1:35" ht="18" hidden="1" customHeight="1" x14ac:dyDescent="0.2">
      <c r="A147" s="163" t="str">
        <f t="shared" si="26"/>
        <v/>
      </c>
      <c r="B147" s="164">
        <f>B146</f>
        <v>0</v>
      </c>
      <c r="D147" s="372"/>
      <c r="E147" s="372"/>
      <c r="F147" s="372"/>
      <c r="G147" s="372"/>
      <c r="H147" s="372"/>
      <c r="I147" s="372"/>
      <c r="J147" s="372"/>
      <c r="K147" s="372"/>
      <c r="L147" s="372"/>
      <c r="M147" s="372"/>
      <c r="N147" s="372"/>
      <c r="O147" s="175"/>
      <c r="P147" s="175"/>
      <c r="Q147" s="372"/>
      <c r="R147" s="372"/>
      <c r="S147" s="372"/>
      <c r="T147" s="372"/>
      <c r="U147" s="372"/>
      <c r="V147" s="372"/>
      <c r="W147" s="372"/>
      <c r="X147" s="372"/>
      <c r="Y147" s="372"/>
      <c r="Z147" s="372"/>
      <c r="AA147" s="176"/>
      <c r="AB147" s="159" t="s">
        <v>264</v>
      </c>
      <c r="AD147" s="172" t="s">
        <v>249</v>
      </c>
      <c r="AE147" s="167"/>
      <c r="AF147" s="164">
        <f>IF(OR(D145="Show",D145="",Q145="Show",Q145=""),1,0)</f>
        <v>0</v>
      </c>
      <c r="AG147" s="164">
        <f>IF(AND(SUM(AF:AF)&gt;0,OR(AND(D145="Show",D147=""),AND(Q145="Show",Q147=""))),1,0)</f>
        <v>0</v>
      </c>
      <c r="AI147" s="190">
        <v>1</v>
      </c>
    </row>
    <row r="148" spans="1:35" ht="8.5" hidden="1" customHeight="1" x14ac:dyDescent="0.15">
      <c r="A148" s="163" t="str">
        <f t="shared" si="26"/>
        <v/>
      </c>
      <c r="B148" s="164">
        <f>B147</f>
        <v>0</v>
      </c>
      <c r="D148" s="368"/>
      <c r="E148" s="368"/>
      <c r="F148" s="368"/>
      <c r="G148" s="368"/>
      <c r="H148" s="368"/>
      <c r="I148" s="368"/>
      <c r="J148" s="368"/>
      <c r="K148" s="368"/>
      <c r="L148" s="368"/>
      <c r="M148" s="368"/>
      <c r="N148" s="368"/>
      <c r="O148" s="368"/>
      <c r="P148" s="368"/>
      <c r="Q148" s="368"/>
      <c r="R148" s="368"/>
      <c r="S148" s="368"/>
      <c r="T148" s="368"/>
      <c r="U148" s="368"/>
      <c r="V148" s="368"/>
      <c r="W148" s="368"/>
      <c r="X148" s="368"/>
      <c r="Y148" s="368"/>
      <c r="Z148" s="368"/>
      <c r="AA148" s="176"/>
      <c r="AD148" s="165" t="s">
        <v>227</v>
      </c>
      <c r="AE148" s="156"/>
      <c r="AF148" s="22"/>
      <c r="AG148" s="22"/>
      <c r="AI148" s="190">
        <v>1</v>
      </c>
    </row>
    <row r="149" spans="1:35" ht="15.75" hidden="1" customHeight="1" x14ac:dyDescent="0.2">
      <c r="A149" s="163"/>
      <c r="B149" s="164">
        <v>0</v>
      </c>
      <c r="D149" s="369" t="s">
        <v>270</v>
      </c>
      <c r="E149" s="369"/>
      <c r="F149" s="369"/>
      <c r="G149" s="369"/>
      <c r="H149" s="369"/>
      <c r="I149" s="369"/>
      <c r="J149" s="369"/>
      <c r="K149" s="369"/>
      <c r="L149" s="369"/>
      <c r="M149" s="369"/>
      <c r="N149" s="369"/>
      <c r="O149" s="369"/>
      <c r="P149" s="369"/>
      <c r="Q149" s="369"/>
      <c r="R149" s="369"/>
      <c r="S149" s="369"/>
      <c r="T149" s="369"/>
      <c r="U149" s="369"/>
      <c r="V149" s="369"/>
      <c r="W149" s="369"/>
      <c r="X149" s="369"/>
      <c r="Y149" s="369"/>
      <c r="Z149" s="369"/>
      <c r="AB149" s="166" t="s">
        <v>259</v>
      </c>
      <c r="AD149" s="165" t="s">
        <v>260</v>
      </c>
      <c r="AE149" s="251"/>
      <c r="AF149" s="22"/>
      <c r="AG149" s="22"/>
      <c r="AI149" s="190">
        <v>1</v>
      </c>
    </row>
    <row r="150" spans="1:35" ht="18" customHeight="1" x14ac:dyDescent="0.2">
      <c r="A150" s="163" t="str">
        <f t="shared" si="19"/>
        <v/>
      </c>
      <c r="B150" s="170">
        <v>1</v>
      </c>
      <c r="D150" s="375" t="s">
        <v>442</v>
      </c>
      <c r="E150" s="375"/>
      <c r="F150" s="375"/>
      <c r="G150" s="375"/>
      <c r="H150" s="375"/>
      <c r="I150" s="375"/>
      <c r="J150" s="375"/>
      <c r="K150" s="375"/>
      <c r="L150" s="375"/>
      <c r="M150" s="375"/>
      <c r="N150" s="375"/>
      <c r="O150" s="375"/>
      <c r="P150" s="375"/>
      <c r="Q150" s="375"/>
      <c r="R150" s="375"/>
      <c r="S150" s="375"/>
      <c r="T150" s="375"/>
      <c r="U150" s="375"/>
      <c r="V150" s="375"/>
      <c r="W150" s="375"/>
      <c r="X150" s="375"/>
      <c r="Y150" s="375"/>
      <c r="Z150" s="375"/>
      <c r="AB150" s="159" t="s">
        <v>248</v>
      </c>
      <c r="AD150" s="172" t="s">
        <v>249</v>
      </c>
      <c r="AE150" s="167"/>
      <c r="AF150" s="164">
        <f>IF(B150&lt;&gt;"",1,0)</f>
        <v>1</v>
      </c>
      <c r="AG150" s="164">
        <f>IF(AND(SUM(AF:AF)&gt;0,B150=""),1,0)</f>
        <v>0</v>
      </c>
      <c r="AI150" s="190">
        <v>1</v>
      </c>
    </row>
    <row r="151" spans="1:35" s="157" customFormat="1" ht="18" customHeight="1" x14ac:dyDescent="0.2">
      <c r="A151" s="163" t="str">
        <f t="shared" si="19"/>
        <v/>
      </c>
      <c r="B151" s="170">
        <v>1</v>
      </c>
      <c r="C151" s="152"/>
      <c r="D151" s="252" t="s">
        <v>252</v>
      </c>
      <c r="E151" s="404">
        <v>2</v>
      </c>
      <c r="F151" s="404"/>
      <c r="G151" s="375" t="s">
        <v>443</v>
      </c>
      <c r="H151" s="375"/>
      <c r="I151" s="375"/>
      <c r="J151" s="375"/>
      <c r="K151" s="375"/>
      <c r="L151" s="375"/>
      <c r="M151" s="375"/>
      <c r="N151" s="375"/>
      <c r="O151" s="375"/>
      <c r="P151" s="375"/>
      <c r="Q151" s="375"/>
      <c r="R151" s="375"/>
      <c r="S151" s="375"/>
      <c r="T151" s="375"/>
      <c r="U151" s="375"/>
      <c r="V151" s="375"/>
      <c r="W151" s="375"/>
      <c r="X151" s="375"/>
      <c r="Y151" s="375"/>
      <c r="Z151" s="375"/>
      <c r="AB151" s="159" t="s">
        <v>444</v>
      </c>
      <c r="AD151" s="172" t="s">
        <v>249</v>
      </c>
      <c r="AE151" s="167"/>
      <c r="AF151" s="164">
        <f t="shared" ref="AF151:AF162" si="27">IF(B151&lt;&gt;"",1,0)</f>
        <v>1</v>
      </c>
      <c r="AG151" s="164">
        <f>IF(AND(SUM(AF:AF)&gt;0,OR(AND(B151=1,E151=""),AND(B151="",E151=""),AND(B151="",E151&lt;&gt;""),AND(B151=0,E151&lt;&gt;0))),1,0)</f>
        <v>0</v>
      </c>
      <c r="AI151" s="190">
        <v>1</v>
      </c>
    </row>
    <row r="152" spans="1:35" s="157" customFormat="1" ht="18" hidden="1" customHeight="1" x14ac:dyDescent="0.2">
      <c r="A152" s="163" t="str">
        <f t="shared" si="19"/>
        <v/>
      </c>
      <c r="B152" s="170">
        <v>0</v>
      </c>
      <c r="C152" s="152"/>
      <c r="D152" s="252" t="s">
        <v>252</v>
      </c>
      <c r="E152" s="404"/>
      <c r="F152" s="404"/>
      <c r="G152" s="375" t="s">
        <v>445</v>
      </c>
      <c r="H152" s="375"/>
      <c r="I152" s="375"/>
      <c r="J152" s="375"/>
      <c r="K152" s="375"/>
      <c r="L152" s="375"/>
      <c r="M152" s="375"/>
      <c r="N152" s="375"/>
      <c r="O152" s="375"/>
      <c r="P152" s="375"/>
      <c r="Q152" s="375"/>
      <c r="R152" s="375"/>
      <c r="S152" s="375"/>
      <c r="T152" s="375"/>
      <c r="U152" s="375"/>
      <c r="V152" s="375"/>
      <c r="W152" s="375"/>
      <c r="X152" s="375"/>
      <c r="Y152" s="375"/>
      <c r="Z152" s="375"/>
      <c r="AB152" s="159" t="s">
        <v>444</v>
      </c>
      <c r="AD152" s="172" t="s">
        <v>249</v>
      </c>
      <c r="AE152" s="167"/>
      <c r="AF152" s="164">
        <f t="shared" si="27"/>
        <v>1</v>
      </c>
      <c r="AG152" s="164">
        <f>IF(AND(SUM(AF:AF)&gt;0,OR(AND(B152=1,E152=""),AND(B152="",E152=""),AND(B152="",E152&lt;&gt;""),AND(B152=0,E152&lt;&gt;0))),1,0)</f>
        <v>0</v>
      </c>
      <c r="AI152" s="190">
        <v>1</v>
      </c>
    </row>
    <row r="153" spans="1:35" s="157" customFormat="1" ht="18" hidden="1" customHeight="1" x14ac:dyDescent="0.2">
      <c r="A153" s="163" t="str">
        <f t="shared" si="19"/>
        <v/>
      </c>
      <c r="B153" s="170">
        <v>0</v>
      </c>
      <c r="C153" s="152"/>
      <c r="D153" s="252" t="s">
        <v>252</v>
      </c>
      <c r="E153" s="402"/>
      <c r="F153" s="402"/>
      <c r="G153" s="375" t="s">
        <v>446</v>
      </c>
      <c r="H153" s="375"/>
      <c r="I153" s="375"/>
      <c r="J153" s="375"/>
      <c r="K153" s="375"/>
      <c r="L153" s="375"/>
      <c r="M153" s="375"/>
      <c r="N153" s="375"/>
      <c r="O153" s="375"/>
      <c r="P153" s="375"/>
      <c r="Q153" s="375"/>
      <c r="R153" s="375"/>
      <c r="S153" s="375"/>
      <c r="T153" s="375"/>
      <c r="U153" s="375"/>
      <c r="V153" s="375"/>
      <c r="W153" s="375"/>
      <c r="X153" s="375"/>
      <c r="Y153" s="375"/>
      <c r="Z153" s="375"/>
      <c r="AB153" s="159" t="s">
        <v>444</v>
      </c>
      <c r="AD153" s="172" t="s">
        <v>249</v>
      </c>
      <c r="AE153" s="167"/>
      <c r="AF153" s="164">
        <f t="shared" si="27"/>
        <v>1</v>
      </c>
      <c r="AG153" s="164">
        <f>IF(AND(SUM(AF:AF)&gt;0,OR(AND(B153=1,E153=""),AND(B153="",E153=""),AND(B153="",E153&lt;&gt;""),AND(B153=0,E153&lt;&gt;0))),1,0)</f>
        <v>0</v>
      </c>
      <c r="AI153" s="190">
        <v>1</v>
      </c>
    </row>
    <row r="154" spans="1:35" s="157" customFormat="1" ht="18" customHeight="1" x14ac:dyDescent="0.2">
      <c r="A154" s="163" t="str">
        <f t="shared" si="19"/>
        <v/>
      </c>
      <c r="B154" s="170">
        <v>1</v>
      </c>
      <c r="C154" s="152"/>
      <c r="D154" s="252" t="s">
        <v>252</v>
      </c>
      <c r="E154" s="402">
        <v>2</v>
      </c>
      <c r="F154" s="402"/>
      <c r="G154" s="375" t="s">
        <v>447</v>
      </c>
      <c r="H154" s="375"/>
      <c r="I154" s="375"/>
      <c r="J154" s="375"/>
      <c r="K154" s="375"/>
      <c r="L154" s="375"/>
      <c r="M154" s="375"/>
      <c r="N154" s="375"/>
      <c r="O154" s="375"/>
      <c r="P154" s="375"/>
      <c r="Q154" s="375"/>
      <c r="R154" s="375"/>
      <c r="S154" s="375"/>
      <c r="T154" s="375"/>
      <c r="U154" s="375"/>
      <c r="V154" s="375"/>
      <c r="W154" s="375"/>
      <c r="X154" s="375"/>
      <c r="Y154" s="375"/>
      <c r="Z154" s="375"/>
      <c r="AB154" s="159" t="s">
        <v>444</v>
      </c>
      <c r="AD154" s="172" t="s">
        <v>249</v>
      </c>
      <c r="AE154" s="167"/>
      <c r="AF154" s="164">
        <f t="shared" si="27"/>
        <v>1</v>
      </c>
      <c r="AG154" s="164">
        <f>IF(AND(SUM(AF:AF)&gt;0,OR(AND(B154=1,E154=""),AND(B154="",E154=""),AND(B154="",E154&lt;&gt;""),AND(B154=0,E154&lt;&gt;0))),1,0)</f>
        <v>0</v>
      </c>
      <c r="AI154" s="190">
        <v>1</v>
      </c>
    </row>
    <row r="155" spans="1:35" s="157" customFormat="1" ht="18" hidden="1" customHeight="1" x14ac:dyDescent="0.2">
      <c r="A155" s="163" t="str">
        <f t="shared" si="19"/>
        <v/>
      </c>
      <c r="B155" s="170">
        <v>0</v>
      </c>
      <c r="C155" s="152"/>
      <c r="D155" s="252" t="s">
        <v>252</v>
      </c>
      <c r="E155" s="402"/>
      <c r="F155" s="402"/>
      <c r="G155" s="375" t="s">
        <v>448</v>
      </c>
      <c r="H155" s="375"/>
      <c r="I155" s="375"/>
      <c r="J155" s="375"/>
      <c r="K155" s="375"/>
      <c r="L155" s="375"/>
      <c r="M155" s="375"/>
      <c r="N155" s="375"/>
      <c r="O155" s="375"/>
      <c r="P155" s="375"/>
      <c r="Q155" s="375"/>
      <c r="R155" s="375"/>
      <c r="S155" s="375"/>
      <c r="T155" s="375"/>
      <c r="U155" s="375"/>
      <c r="V155" s="375"/>
      <c r="W155" s="375"/>
      <c r="X155" s="375"/>
      <c r="Y155" s="375"/>
      <c r="Z155" s="375"/>
      <c r="AB155" s="159" t="s">
        <v>444</v>
      </c>
      <c r="AD155" s="172" t="s">
        <v>249</v>
      </c>
      <c r="AE155" s="167"/>
      <c r="AF155" s="164">
        <f t="shared" si="27"/>
        <v>1</v>
      </c>
      <c r="AG155" s="164">
        <f>IF(AND(SUM(AF:AF)&gt;0,OR(AND(B155=1,E155=""),AND(B155="",E155=""),AND(B155="",E155&lt;&gt;""),AND(B155=0,E155&lt;&gt;0))),1,0)</f>
        <v>0</v>
      </c>
      <c r="AI155" s="190">
        <v>1</v>
      </c>
    </row>
    <row r="156" spans="1:35" ht="21" hidden="1" customHeight="1" x14ac:dyDescent="0.15">
      <c r="A156" s="163" t="str">
        <f t="shared" si="19"/>
        <v/>
      </c>
      <c r="B156" s="170">
        <v>0</v>
      </c>
      <c r="D156" s="380" t="s">
        <v>449</v>
      </c>
      <c r="E156" s="380"/>
      <c r="F156" s="380"/>
      <c r="G156" s="380"/>
      <c r="H156" s="380"/>
      <c r="I156" s="380"/>
      <c r="J156" s="380"/>
      <c r="K156" s="380"/>
      <c r="L156" s="380"/>
      <c r="M156" s="380"/>
      <c r="N156" s="380"/>
      <c r="O156" s="380"/>
      <c r="P156" s="380"/>
      <c r="Q156" s="380"/>
      <c r="R156" s="380"/>
      <c r="S156" s="380"/>
      <c r="T156" s="380"/>
      <c r="U156" s="380"/>
      <c r="V156" s="380"/>
      <c r="W156" s="380"/>
      <c r="X156" s="380"/>
      <c r="Y156" s="380"/>
      <c r="Z156" s="380"/>
      <c r="AB156" s="159" t="s">
        <v>248</v>
      </c>
      <c r="AD156" s="172" t="s">
        <v>249</v>
      </c>
      <c r="AE156" s="156"/>
      <c r="AF156" s="164">
        <f t="shared" si="27"/>
        <v>1</v>
      </c>
      <c r="AG156" s="164">
        <f>IF(AND(SUM(AF:AF)&gt;0,B156=""),1,0)</f>
        <v>0</v>
      </c>
    </row>
    <row r="157" spans="1:35" s="178" customFormat="1" ht="17.75" customHeight="1" x14ac:dyDescent="0.15">
      <c r="A157" s="163" t="str">
        <f t="shared" si="19"/>
        <v/>
      </c>
      <c r="B157" s="170">
        <v>1</v>
      </c>
      <c r="D157" s="405" t="s">
        <v>450</v>
      </c>
      <c r="E157" s="405"/>
      <c r="F157" s="405"/>
      <c r="G157" s="253">
        <v>4</v>
      </c>
      <c r="H157" s="375" t="s">
        <v>451</v>
      </c>
      <c r="I157" s="375"/>
      <c r="J157" s="375"/>
      <c r="K157" s="375"/>
      <c r="L157" s="375"/>
      <c r="M157" s="375"/>
      <c r="N157" s="375"/>
      <c r="O157" s="375"/>
      <c r="P157" s="375"/>
      <c r="Q157" s="375"/>
      <c r="R157" s="375"/>
      <c r="S157" s="375"/>
      <c r="T157" s="375"/>
      <c r="U157" s="375"/>
      <c r="V157" s="375"/>
      <c r="W157" s="375"/>
      <c r="X157" s="375"/>
      <c r="Y157" s="375"/>
      <c r="Z157" s="375"/>
      <c r="AB157" s="159" t="s">
        <v>452</v>
      </c>
      <c r="AD157" s="172" t="s">
        <v>249</v>
      </c>
      <c r="AE157" s="167"/>
      <c r="AF157" s="164">
        <f t="shared" si="27"/>
        <v>1</v>
      </c>
      <c r="AG157" s="164">
        <f>IF(AND(SUM(AF:AF)&gt;0,OR(AND(B157=1,G157=""),AND(B157="",G157=""),AND(B157="",G157&lt;&gt;""),AND(B157=0,G157&lt;&gt;""))),1,0)</f>
        <v>0</v>
      </c>
    </row>
    <row r="158" spans="1:35" s="178" customFormat="1" ht="17" customHeight="1" x14ac:dyDescent="0.15">
      <c r="A158" s="163" t="str">
        <f t="shared" si="19"/>
        <v/>
      </c>
      <c r="B158" s="170">
        <v>1</v>
      </c>
      <c r="D158" s="375" t="s">
        <v>453</v>
      </c>
      <c r="E158" s="375"/>
      <c r="F158" s="253">
        <v>2</v>
      </c>
      <c r="G158" s="254" t="s">
        <v>454</v>
      </c>
      <c r="H158" s="378" t="s">
        <v>455</v>
      </c>
      <c r="I158" s="378"/>
      <c r="J158" s="378"/>
      <c r="K158" s="378"/>
      <c r="L158" s="378"/>
      <c r="M158" s="378"/>
      <c r="N158" s="378"/>
      <c r="O158" s="378"/>
      <c r="P158" s="378"/>
      <c r="Q158" s="378"/>
      <c r="R158" s="378"/>
      <c r="S158" s="378"/>
      <c r="T158" s="378"/>
      <c r="U158" s="378"/>
      <c r="V158" s="378"/>
      <c r="W158" s="378"/>
      <c r="X158" s="378"/>
      <c r="Y158" s="378"/>
      <c r="Z158" s="378"/>
      <c r="AB158" s="159" t="s">
        <v>452</v>
      </c>
      <c r="AD158" s="172" t="s">
        <v>249</v>
      </c>
      <c r="AE158" s="167"/>
      <c r="AF158" s="164">
        <f t="shared" si="27"/>
        <v>1</v>
      </c>
      <c r="AG158" s="164">
        <f>IF(AND(SUM(AF:AF)&gt;0,OR(AND(B158=1,F158=""),AND(B158="",F158=""),AND(B158="",F158&lt;&gt;""),AND(B158=0,F158&lt;&gt;""))),1,0)</f>
        <v>0</v>
      </c>
    </row>
    <row r="159" spans="1:35" ht="48" customHeight="1" x14ac:dyDescent="0.2">
      <c r="A159" s="163" t="str">
        <f t="shared" si="19"/>
        <v/>
      </c>
      <c r="B159" s="170">
        <v>1</v>
      </c>
      <c r="D159" s="378" t="s">
        <v>456</v>
      </c>
      <c r="E159" s="378"/>
      <c r="F159" s="378"/>
      <c r="G159" s="378"/>
      <c r="H159" s="378"/>
      <c r="I159" s="378"/>
      <c r="J159" s="378"/>
      <c r="K159" s="378"/>
      <c r="L159" s="378"/>
      <c r="M159" s="378"/>
      <c r="N159" s="378"/>
      <c r="O159" s="378"/>
      <c r="P159" s="378"/>
      <c r="Q159" s="378"/>
      <c r="R159" s="378"/>
      <c r="S159" s="378"/>
      <c r="T159" s="378"/>
      <c r="U159" s="378"/>
      <c r="V159" s="378"/>
      <c r="W159" s="378"/>
      <c r="X159" s="378"/>
      <c r="Y159" s="378"/>
      <c r="Z159" s="378"/>
      <c r="AB159" s="159" t="s">
        <v>248</v>
      </c>
      <c r="AD159" s="172" t="s">
        <v>249</v>
      </c>
      <c r="AE159" s="167"/>
      <c r="AF159" s="164">
        <f t="shared" si="27"/>
        <v>1</v>
      </c>
      <c r="AG159" s="164">
        <f>IF(AND(SUM(AF:AF)&gt;0,B159=""),1,0)</f>
        <v>0</v>
      </c>
    </row>
    <row r="160" spans="1:35" s="178" customFormat="1" ht="17.75" hidden="1" customHeight="1" x14ac:dyDescent="0.15">
      <c r="A160" s="163" t="str">
        <f t="shared" si="19"/>
        <v/>
      </c>
      <c r="B160" s="170">
        <v>0</v>
      </c>
      <c r="C160" s="255"/>
      <c r="D160" s="250" t="s">
        <v>457</v>
      </c>
      <c r="E160" s="253"/>
      <c r="F160" s="375" t="s">
        <v>458</v>
      </c>
      <c r="G160" s="375"/>
      <c r="H160" s="375"/>
      <c r="I160" s="375"/>
      <c r="J160" s="375"/>
      <c r="K160" s="375"/>
      <c r="L160" s="375"/>
      <c r="M160" s="375"/>
      <c r="N160" s="375"/>
      <c r="O160" s="375"/>
      <c r="P160" s="375"/>
      <c r="Q160" s="375"/>
      <c r="R160" s="375"/>
      <c r="S160" s="375"/>
      <c r="T160" s="375"/>
      <c r="U160" s="375"/>
      <c r="V160" s="375"/>
      <c r="W160" s="375"/>
      <c r="X160" s="375"/>
      <c r="Y160" s="375"/>
      <c r="Z160" s="375"/>
      <c r="AB160" s="159" t="s">
        <v>452</v>
      </c>
      <c r="AD160" s="172" t="s">
        <v>249</v>
      </c>
      <c r="AE160" s="167"/>
      <c r="AF160" s="164">
        <f t="shared" si="27"/>
        <v>1</v>
      </c>
      <c r="AG160" s="164">
        <f>IF(AND(SUM(AF:AF)&gt;0,OR(AND(B160=1,E160=""),AND(B160="",E160=""),AND(B160="",E160&lt;&gt;""),AND(B160=0,E160&lt;&gt;""))),1,0)</f>
        <v>0</v>
      </c>
    </row>
    <row r="161" spans="1:35" s="155" customFormat="1" ht="31.5" hidden="1" customHeight="1" x14ac:dyDescent="0.2">
      <c r="A161" s="163" t="str">
        <f t="shared" si="19"/>
        <v/>
      </c>
      <c r="B161" s="170">
        <v>0</v>
      </c>
      <c r="C161" s="177"/>
      <c r="D161" s="406" t="s">
        <v>459</v>
      </c>
      <c r="E161" s="406"/>
      <c r="F161" s="406"/>
      <c r="G161" s="406"/>
      <c r="H161" s="406"/>
      <c r="I161" s="406"/>
      <c r="J161" s="406"/>
      <c r="K161" s="406"/>
      <c r="L161" s="406"/>
      <c r="M161" s="406"/>
      <c r="N161" s="406"/>
      <c r="O161" s="406"/>
      <c r="P161" s="406"/>
      <c r="Q161" s="406"/>
      <c r="R161" s="406"/>
      <c r="S161" s="406"/>
      <c r="T161" s="406"/>
      <c r="U161" s="406"/>
      <c r="V161" s="406"/>
      <c r="W161" s="406"/>
      <c r="X161" s="406"/>
      <c r="Y161" s="406"/>
      <c r="Z161" s="406"/>
      <c r="AB161" s="159" t="s">
        <v>248</v>
      </c>
      <c r="AD161" s="172" t="s">
        <v>249</v>
      </c>
      <c r="AE161" s="167"/>
      <c r="AF161" s="164">
        <f t="shared" si="27"/>
        <v>1</v>
      </c>
      <c r="AG161" s="164">
        <f>IF(AND(SUM(AF:AF)&gt;0,B161=""),1,0)</f>
        <v>0</v>
      </c>
    </row>
    <row r="162" spans="1:35" s="155" customFormat="1" ht="16" hidden="1" x14ac:dyDescent="0.2">
      <c r="A162" s="163" t="str">
        <f t="shared" si="19"/>
        <v/>
      </c>
      <c r="B162" s="170">
        <v>0</v>
      </c>
      <c r="C162" s="177"/>
      <c r="D162" s="406" t="s">
        <v>460</v>
      </c>
      <c r="E162" s="406"/>
      <c r="F162" s="406"/>
      <c r="G162" s="406"/>
      <c r="H162" s="406"/>
      <c r="I162" s="406"/>
      <c r="J162" s="406"/>
      <c r="K162" s="406"/>
      <c r="L162" s="406"/>
      <c r="M162" s="406"/>
      <c r="N162" s="406"/>
      <c r="O162" s="406"/>
      <c r="P162" s="406"/>
      <c r="Q162" s="406"/>
      <c r="R162" s="406"/>
      <c r="S162" s="406"/>
      <c r="T162" s="406"/>
      <c r="U162" s="406"/>
      <c r="V162" s="406"/>
      <c r="W162" s="406"/>
      <c r="X162" s="406"/>
      <c r="Y162" s="406"/>
      <c r="Z162" s="406"/>
      <c r="AB162" s="159" t="s">
        <v>248</v>
      </c>
      <c r="AD162" s="172" t="s">
        <v>249</v>
      </c>
      <c r="AE162" s="167"/>
      <c r="AF162" s="164">
        <f t="shared" si="27"/>
        <v>1</v>
      </c>
      <c r="AG162" s="164">
        <f>IF(AND(SUM(AF:AF)&gt;0,B162=""),1,0)</f>
        <v>0</v>
      </c>
    </row>
    <row r="163" spans="1:35" ht="15.75" hidden="1" customHeight="1" x14ac:dyDescent="0.2">
      <c r="A163" s="163"/>
      <c r="B163" s="164">
        <v>0</v>
      </c>
      <c r="D163" s="369" t="s">
        <v>269</v>
      </c>
      <c r="E163" s="369"/>
      <c r="F163" s="369"/>
      <c r="G163" s="369"/>
      <c r="H163" s="369"/>
      <c r="I163" s="369"/>
      <c r="J163" s="369"/>
      <c r="K163" s="369"/>
      <c r="L163" s="369"/>
      <c r="M163" s="369"/>
      <c r="N163" s="369"/>
      <c r="O163" s="369"/>
      <c r="P163" s="369"/>
      <c r="Q163" s="369"/>
      <c r="R163" s="369"/>
      <c r="S163" s="369"/>
      <c r="T163" s="369"/>
      <c r="U163" s="369"/>
      <c r="V163" s="369"/>
      <c r="W163" s="369"/>
      <c r="X163" s="369"/>
      <c r="Y163" s="369"/>
      <c r="Z163" s="369"/>
      <c r="AB163" s="166" t="s">
        <v>259</v>
      </c>
      <c r="AD163" s="165" t="s">
        <v>260</v>
      </c>
      <c r="AE163" s="251"/>
      <c r="AF163" s="22"/>
      <c r="AG163" s="22"/>
      <c r="AI163" s="190">
        <v>1</v>
      </c>
    </row>
    <row r="164" spans="1:35" ht="8.5" customHeight="1" x14ac:dyDescent="0.15">
      <c r="A164" s="163" t="str">
        <f>IF(AG164=1,"X","")</f>
        <v/>
      </c>
      <c r="B164" s="164">
        <f>IF(OR(D165="Show",Q165="Show"),1,0)</f>
        <v>1</v>
      </c>
      <c r="D164" s="368"/>
      <c r="E164" s="368"/>
      <c r="F164" s="368"/>
      <c r="G164" s="368"/>
      <c r="H164" s="368"/>
      <c r="I164" s="368"/>
      <c r="J164" s="368"/>
      <c r="K164" s="368"/>
      <c r="L164" s="368"/>
      <c r="M164" s="368"/>
      <c r="N164" s="368"/>
      <c r="O164" s="368"/>
      <c r="P164" s="368"/>
      <c r="Q164" s="368"/>
      <c r="R164" s="368"/>
      <c r="S164" s="368"/>
      <c r="T164" s="368"/>
      <c r="U164" s="368"/>
      <c r="V164" s="368"/>
      <c r="W164" s="368"/>
      <c r="X164" s="368"/>
      <c r="Y164" s="368"/>
      <c r="Z164" s="368"/>
      <c r="AD164" s="165" t="s">
        <v>227</v>
      </c>
      <c r="AE164" s="156"/>
      <c r="AF164" s="22"/>
      <c r="AG164" s="22"/>
      <c r="AI164" s="190">
        <v>1</v>
      </c>
    </row>
    <row r="165" spans="1:35" ht="18" hidden="1" customHeight="1" x14ac:dyDescent="0.2">
      <c r="A165" s="163" t="str">
        <f t="shared" ref="A165:A168" si="28">IF(AG165=1,"X","")</f>
        <v/>
      </c>
      <c r="B165" s="164">
        <v>0</v>
      </c>
      <c r="D165" s="370" t="s">
        <v>469</v>
      </c>
      <c r="E165" s="370"/>
      <c r="F165" s="370"/>
      <c r="G165" s="370"/>
      <c r="H165" s="370"/>
      <c r="I165" s="370"/>
      <c r="J165" s="370"/>
      <c r="K165" s="370"/>
      <c r="L165" s="370"/>
      <c r="M165" s="370"/>
      <c r="N165" s="370"/>
      <c r="O165" s="175"/>
      <c r="P165" s="175"/>
      <c r="Q165" s="370" t="s">
        <v>469</v>
      </c>
      <c r="R165" s="370"/>
      <c r="S165" s="370"/>
      <c r="T165" s="370"/>
      <c r="U165" s="370"/>
      <c r="V165" s="370"/>
      <c r="W165" s="370"/>
      <c r="X165" s="370"/>
      <c r="Y165" s="370"/>
      <c r="Z165" s="370"/>
      <c r="AA165" s="176"/>
      <c r="AB165" s="159" t="s">
        <v>262</v>
      </c>
      <c r="AD165" s="172" t="s">
        <v>249</v>
      </c>
      <c r="AE165" s="251"/>
      <c r="AF165" s="164">
        <f>IF(OR(D165="Show",D165="",Q165="Show",Q165=""),1,0)</f>
        <v>1</v>
      </c>
      <c r="AG165" s="164">
        <f>IF(AND(SUM(AF:AF)&gt;0,OR(D165="",Q165="")),1,0)</f>
        <v>0</v>
      </c>
      <c r="AI165" s="190">
        <v>1</v>
      </c>
    </row>
    <row r="166" spans="1:35" ht="197.25" customHeight="1" x14ac:dyDescent="0.2">
      <c r="A166" s="163" t="str">
        <f t="shared" si="28"/>
        <v/>
      </c>
      <c r="B166" s="164">
        <f>B164</f>
        <v>1</v>
      </c>
      <c r="D166" s="370"/>
      <c r="E166" s="370"/>
      <c r="F166" s="370"/>
      <c r="G166" s="370"/>
      <c r="H166" s="370"/>
      <c r="I166" s="370"/>
      <c r="J166" s="370"/>
      <c r="K166" s="370"/>
      <c r="L166" s="370"/>
      <c r="M166" s="370"/>
      <c r="N166" s="370"/>
      <c r="O166" s="175"/>
      <c r="P166" s="175"/>
      <c r="Q166" s="370"/>
      <c r="R166" s="370"/>
      <c r="S166" s="370"/>
      <c r="T166" s="370"/>
      <c r="U166" s="370"/>
      <c r="V166" s="370"/>
      <c r="W166" s="370"/>
      <c r="X166" s="370"/>
      <c r="Y166" s="370"/>
      <c r="Z166" s="370"/>
      <c r="AA166" s="176"/>
      <c r="AB166" s="159" t="s">
        <v>263</v>
      </c>
      <c r="AD166" s="172" t="s">
        <v>249</v>
      </c>
      <c r="AE166" s="167"/>
      <c r="AF166" s="22"/>
      <c r="AG166" s="22"/>
      <c r="AI166" s="190">
        <v>1</v>
      </c>
    </row>
    <row r="167" spans="1:35" ht="25.5" customHeight="1" x14ac:dyDescent="0.2">
      <c r="A167" s="163" t="str">
        <f t="shared" si="28"/>
        <v/>
      </c>
      <c r="B167" s="164">
        <f>B166</f>
        <v>1</v>
      </c>
      <c r="D167" s="372" t="s">
        <v>592</v>
      </c>
      <c r="E167" s="372"/>
      <c r="F167" s="372"/>
      <c r="G167" s="372"/>
      <c r="H167" s="372"/>
      <c r="I167" s="372"/>
      <c r="J167" s="372"/>
      <c r="K167" s="372"/>
      <c r="L167" s="372"/>
      <c r="M167" s="372"/>
      <c r="N167" s="372"/>
      <c r="O167" s="175"/>
      <c r="P167" s="175"/>
      <c r="Q167" s="372" t="s">
        <v>593</v>
      </c>
      <c r="R167" s="372"/>
      <c r="S167" s="372"/>
      <c r="T167" s="372"/>
      <c r="U167" s="372"/>
      <c r="V167" s="372"/>
      <c r="W167" s="372"/>
      <c r="X167" s="372"/>
      <c r="Y167" s="372"/>
      <c r="Z167" s="372"/>
      <c r="AA167" s="176"/>
      <c r="AB167" s="159" t="s">
        <v>264</v>
      </c>
      <c r="AD167" s="172" t="s">
        <v>249</v>
      </c>
      <c r="AE167" s="167"/>
      <c r="AF167" s="164">
        <f>IF(OR(D165="Show",D165="",Q165="Show",Q165=""),1,0)</f>
        <v>1</v>
      </c>
      <c r="AG167" s="164">
        <f>IF(AND(SUM(AF:AF)&gt;0,OR(AND(D165="Show",D167=""),AND(Q165="Show",Q167=""))),1,0)</f>
        <v>0</v>
      </c>
      <c r="AI167" s="190">
        <v>1</v>
      </c>
    </row>
    <row r="168" spans="1:35" ht="8.5" customHeight="1" x14ac:dyDescent="0.15">
      <c r="A168" s="163" t="str">
        <f t="shared" si="28"/>
        <v/>
      </c>
      <c r="B168" s="164">
        <f>B167</f>
        <v>1</v>
      </c>
      <c r="D168" s="368"/>
      <c r="E168" s="368"/>
      <c r="F168" s="368"/>
      <c r="G168" s="368"/>
      <c r="H168" s="368"/>
      <c r="I168" s="368"/>
      <c r="J168" s="368"/>
      <c r="K168" s="368"/>
      <c r="L168" s="368"/>
      <c r="M168" s="368"/>
      <c r="N168" s="368"/>
      <c r="O168" s="368"/>
      <c r="P168" s="368"/>
      <c r="Q168" s="368"/>
      <c r="R168" s="368"/>
      <c r="S168" s="368"/>
      <c r="T168" s="368"/>
      <c r="U168" s="368"/>
      <c r="V168" s="368"/>
      <c r="W168" s="368"/>
      <c r="X168" s="368"/>
      <c r="Y168" s="368"/>
      <c r="Z168" s="368"/>
      <c r="AA168" s="176"/>
      <c r="AD168" s="165" t="s">
        <v>227</v>
      </c>
      <c r="AE168" s="156"/>
      <c r="AF168" s="22"/>
      <c r="AG168" s="22"/>
      <c r="AI168" s="190">
        <v>1</v>
      </c>
    </row>
    <row r="169" spans="1:35" ht="15.75" hidden="1" customHeight="1" x14ac:dyDescent="0.2">
      <c r="A169" s="163"/>
      <c r="B169" s="164">
        <v>0</v>
      </c>
      <c r="D169" s="369" t="s">
        <v>270</v>
      </c>
      <c r="E169" s="369"/>
      <c r="F169" s="369"/>
      <c r="G169" s="369"/>
      <c r="H169" s="369"/>
      <c r="I169" s="369"/>
      <c r="J169" s="369"/>
      <c r="K169" s="369"/>
      <c r="L169" s="369"/>
      <c r="M169" s="369"/>
      <c r="N169" s="369"/>
      <c r="O169" s="369"/>
      <c r="P169" s="369"/>
      <c r="Q169" s="369"/>
      <c r="R169" s="369"/>
      <c r="S169" s="369"/>
      <c r="T169" s="369"/>
      <c r="U169" s="369"/>
      <c r="V169" s="369"/>
      <c r="W169" s="369"/>
      <c r="X169" s="369"/>
      <c r="Y169" s="369"/>
      <c r="Z169" s="369"/>
      <c r="AB169" s="166" t="s">
        <v>259</v>
      </c>
      <c r="AD169" s="165" t="s">
        <v>260</v>
      </c>
      <c r="AE169" s="251"/>
      <c r="AF169" s="22"/>
      <c r="AG169" s="22"/>
      <c r="AI169" s="190">
        <v>1</v>
      </c>
    </row>
    <row r="170" spans="1:35" ht="25" hidden="1" customHeight="1" x14ac:dyDescent="0.2">
      <c r="A170" s="163"/>
      <c r="B170" s="164">
        <v>0</v>
      </c>
      <c r="D170" s="374" t="str">
        <f>CONCATENATE("↓ Room Section ", N171," ↓")</f>
        <v>↓ Room Section 1 ↓</v>
      </c>
      <c r="E170" s="374"/>
      <c r="F170" s="374"/>
      <c r="G170" s="374"/>
      <c r="H170" s="374"/>
      <c r="I170" s="374"/>
      <c r="J170" s="374"/>
      <c r="K170" s="374"/>
      <c r="L170" s="374"/>
      <c r="M170" s="374"/>
      <c r="N170" s="374"/>
      <c r="O170" s="374"/>
      <c r="P170" s="374"/>
      <c r="Q170" s="374"/>
      <c r="R170" s="374"/>
      <c r="S170" s="374"/>
      <c r="T170" s="374"/>
      <c r="U170" s="374"/>
      <c r="V170" s="374"/>
      <c r="W170" s="374"/>
      <c r="X170" s="374"/>
      <c r="Y170" s="374"/>
      <c r="Z170" s="374"/>
      <c r="AB170" s="166" t="s">
        <v>259</v>
      </c>
      <c r="AD170" s="165" t="s">
        <v>260</v>
      </c>
      <c r="AE170" s="134"/>
      <c r="AF170" s="22"/>
      <c r="AG170" s="22"/>
      <c r="AI170" s="190">
        <v>1</v>
      </c>
    </row>
    <row r="171" spans="1:35" ht="21" customHeight="1" x14ac:dyDescent="0.15">
      <c r="A171" s="163" t="str">
        <f t="shared" si="19"/>
        <v/>
      </c>
      <c r="B171" s="164">
        <v>1</v>
      </c>
      <c r="D171" s="384" t="s">
        <v>404</v>
      </c>
      <c r="E171" s="384"/>
      <c r="F171" s="384"/>
      <c r="G171" s="384"/>
      <c r="H171" s="384"/>
      <c r="I171" s="384"/>
      <c r="J171" s="384"/>
      <c r="K171" s="384"/>
      <c r="L171" s="385" t="s">
        <v>394</v>
      </c>
      <c r="M171" s="385"/>
      <c r="N171" s="380">
        <v>1</v>
      </c>
      <c r="O171" s="380"/>
      <c r="P171" s="380"/>
      <c r="Q171" s="380"/>
      <c r="R171" s="380"/>
      <c r="S171" s="380"/>
      <c r="T171" s="380"/>
      <c r="U171" s="380"/>
      <c r="V171" s="380"/>
      <c r="W171" s="380"/>
      <c r="X171" s="380"/>
      <c r="Y171" s="380"/>
      <c r="Z171" s="380"/>
      <c r="AB171" s="166" t="s">
        <v>462</v>
      </c>
      <c r="AD171" s="165" t="s">
        <v>463</v>
      </c>
      <c r="AE171" s="134"/>
      <c r="AF171" s="22"/>
      <c r="AG171" s="22"/>
      <c r="AI171" s="190">
        <v>1</v>
      </c>
    </row>
    <row r="172" spans="1:35" s="180" customFormat="1" ht="18" customHeight="1" x14ac:dyDescent="0.2">
      <c r="A172" s="163" t="str">
        <f t="shared" si="19"/>
        <v/>
      </c>
      <c r="B172" s="164">
        <v>1</v>
      </c>
      <c r="C172" s="152"/>
      <c r="D172" s="378" t="s">
        <v>392</v>
      </c>
      <c r="E172" s="378"/>
      <c r="F172" s="378"/>
      <c r="G172" s="378"/>
      <c r="H172" s="378"/>
      <c r="I172" s="373" t="s">
        <v>586</v>
      </c>
      <c r="J172" s="373"/>
      <c r="K172" s="373"/>
      <c r="L172" s="373"/>
      <c r="M172" s="373"/>
      <c r="N172" s="373"/>
      <c r="O172" s="373"/>
      <c r="P172" s="373"/>
      <c r="Q172" s="373"/>
      <c r="R172" s="373"/>
      <c r="S172" s="373"/>
      <c r="T172" s="373"/>
      <c r="U172" s="373"/>
      <c r="V172" s="373"/>
      <c r="W172" s="373"/>
      <c r="X172" s="373"/>
      <c r="Y172" s="373"/>
      <c r="Z172" s="373"/>
      <c r="AA172" s="169"/>
      <c r="AB172" s="159" t="s">
        <v>464</v>
      </c>
      <c r="AD172" s="165" t="s">
        <v>463</v>
      </c>
      <c r="AE172" s="167"/>
      <c r="AF172" s="164">
        <f t="shared" ref="AF172" si="29">IF(B172&lt;&gt;"",1,0)</f>
        <v>1</v>
      </c>
      <c r="AG172" s="164">
        <f>IF(AND(SUM(AF:AF)&gt;0,OR(AND(B172=1,I172=""),AND(B172="",I172=""),AND(B172="",I172&lt;&gt;""),AND(B172=0,I172&lt;&gt;""))),1,0)</f>
        <v>0</v>
      </c>
      <c r="AI172" s="190">
        <v>1</v>
      </c>
    </row>
    <row r="173" spans="1:35" s="180" customFormat="1" ht="18" customHeight="1" x14ac:dyDescent="0.2">
      <c r="A173" s="163" t="str">
        <f t="shared" ref="A173:A183" si="30">IF(AG173=1,"X","")</f>
        <v/>
      </c>
      <c r="B173" s="164">
        <v>1</v>
      </c>
      <c r="C173" s="152"/>
      <c r="D173" s="378" t="s">
        <v>393</v>
      </c>
      <c r="E173" s="378"/>
      <c r="F173" s="378"/>
      <c r="G173" s="378"/>
      <c r="H173" s="378"/>
      <c r="I173" s="373" t="s">
        <v>587</v>
      </c>
      <c r="J173" s="373"/>
      <c r="K173" s="373"/>
      <c r="L173" s="373"/>
      <c r="M173" s="373"/>
      <c r="N173" s="373"/>
      <c r="O173" s="373"/>
      <c r="P173" s="373"/>
      <c r="Q173" s="373"/>
      <c r="R173" s="373"/>
      <c r="S173" s="373"/>
      <c r="T173" s="373"/>
      <c r="U173" s="373"/>
      <c r="V173" s="373"/>
      <c r="W173" s="373"/>
      <c r="X173" s="373"/>
      <c r="Y173" s="373"/>
      <c r="Z173" s="373"/>
      <c r="AA173" s="169"/>
      <c r="AB173" s="159" t="s">
        <v>464</v>
      </c>
      <c r="AD173" s="165" t="s">
        <v>463</v>
      </c>
      <c r="AE173" s="167"/>
      <c r="AF173" s="164">
        <f t="shared" ref="AF173" si="31">IF(B173&lt;&gt;"",1,0)</f>
        <v>1</v>
      </c>
      <c r="AG173" s="164">
        <f>IF(AND(SUM(AF:AF)&gt;0,OR(AND(B173=1,I173=""),AND(B173="",I173=""),AND(B173="",I173&lt;&gt;""),AND(B173=0,I173&lt;&gt;""))),1,0)</f>
        <v>0</v>
      </c>
      <c r="AI173" s="190">
        <v>1</v>
      </c>
    </row>
    <row r="174" spans="1:35" ht="21" customHeight="1" x14ac:dyDescent="0.15">
      <c r="A174" s="163" t="str">
        <f t="shared" si="30"/>
        <v/>
      </c>
      <c r="B174" s="164">
        <v>1</v>
      </c>
      <c r="D174" s="380" t="s">
        <v>313</v>
      </c>
      <c r="E174" s="380"/>
      <c r="F174" s="380"/>
      <c r="G174" s="380"/>
      <c r="H174" s="380"/>
      <c r="I174" s="380"/>
      <c r="J174" s="380"/>
      <c r="K174" s="380"/>
      <c r="L174" s="380"/>
      <c r="M174" s="380"/>
      <c r="N174" s="380"/>
      <c r="O174" s="380"/>
      <c r="P174" s="380"/>
      <c r="Q174" s="380"/>
      <c r="R174" s="380"/>
      <c r="S174" s="380"/>
      <c r="T174" s="380"/>
      <c r="U174" s="380"/>
      <c r="V174" s="380"/>
      <c r="W174" s="380"/>
      <c r="X174" s="380"/>
      <c r="Y174" s="380"/>
      <c r="Z174" s="380"/>
      <c r="AB174" s="166" t="s">
        <v>462</v>
      </c>
      <c r="AD174" s="165" t="s">
        <v>463</v>
      </c>
      <c r="AE174" s="134"/>
      <c r="AF174" s="22"/>
      <c r="AG174" s="22"/>
      <c r="AI174" s="190">
        <v>1</v>
      </c>
    </row>
    <row r="175" spans="1:35" s="180" customFormat="1" ht="18" customHeight="1" x14ac:dyDescent="0.2">
      <c r="A175" s="163" t="str">
        <f t="shared" ref="A175:A176" si="32">IF(AG175=1,"X","")</f>
        <v/>
      </c>
      <c r="B175" s="170">
        <v>1</v>
      </c>
      <c r="C175" s="152"/>
      <c r="D175" s="378" t="s">
        <v>397</v>
      </c>
      <c r="E175" s="378"/>
      <c r="F175" s="378"/>
      <c r="G175" s="378"/>
      <c r="H175" s="378"/>
      <c r="I175" s="378"/>
      <c r="J175" s="378"/>
      <c r="K175" s="378"/>
      <c r="L175" s="378"/>
      <c r="M175" s="378"/>
      <c r="N175" s="378"/>
      <c r="O175" s="378"/>
      <c r="P175" s="378"/>
      <c r="Q175" s="378"/>
      <c r="R175" s="378"/>
      <c r="S175" s="378"/>
      <c r="T175" s="378"/>
      <c r="U175" s="378"/>
      <c r="V175" s="378"/>
      <c r="W175" s="378"/>
      <c r="X175" s="378"/>
      <c r="Y175" s="378"/>
      <c r="Z175" s="378"/>
      <c r="AA175" s="169"/>
      <c r="AB175" s="159" t="s">
        <v>281</v>
      </c>
      <c r="AD175" s="172" t="s">
        <v>249</v>
      </c>
      <c r="AE175" s="167"/>
      <c r="AF175" s="164">
        <f t="shared" ref="AF175:AF178" si="33">IF(B175&lt;&gt;"",1,0)</f>
        <v>1</v>
      </c>
      <c r="AG175" s="164">
        <f>IF(AND(SUM(AF:AF)&gt;0,B175=""),1,0)</f>
        <v>0</v>
      </c>
      <c r="AI175" s="190">
        <v>1</v>
      </c>
    </row>
    <row r="176" spans="1:35" s="180" customFormat="1" ht="18" hidden="1" customHeight="1" x14ac:dyDescent="0.2">
      <c r="A176" s="163" t="str">
        <f t="shared" si="32"/>
        <v/>
      </c>
      <c r="B176" s="170">
        <v>0</v>
      </c>
      <c r="C176" s="152"/>
      <c r="D176" s="378" t="s">
        <v>398</v>
      </c>
      <c r="E176" s="378"/>
      <c r="F176" s="378"/>
      <c r="G176" s="378"/>
      <c r="H176" s="378"/>
      <c r="I176" s="378"/>
      <c r="J176" s="378"/>
      <c r="K176" s="378"/>
      <c r="L176" s="378"/>
      <c r="M176" s="378"/>
      <c r="N176" s="378"/>
      <c r="O176" s="378"/>
      <c r="P176" s="378"/>
      <c r="Q176" s="378"/>
      <c r="R176" s="378"/>
      <c r="S176" s="378"/>
      <c r="T176" s="378"/>
      <c r="U176" s="378"/>
      <c r="V176" s="378"/>
      <c r="W176" s="378"/>
      <c r="X176" s="378"/>
      <c r="Y176" s="378"/>
      <c r="Z176" s="378"/>
      <c r="AA176" s="169"/>
      <c r="AB176" s="159" t="s">
        <v>281</v>
      </c>
      <c r="AD176" s="172" t="s">
        <v>249</v>
      </c>
      <c r="AE176" s="167"/>
      <c r="AF176" s="164">
        <f t="shared" si="33"/>
        <v>1</v>
      </c>
      <c r="AG176" s="164">
        <f>IF(AND(SUM(AF:AF)&gt;0,B176=""),1,0)</f>
        <v>0</v>
      </c>
      <c r="AI176" s="190">
        <v>1</v>
      </c>
    </row>
    <row r="177" spans="1:35" s="180" customFormat="1" ht="18" hidden="1" customHeight="1" x14ac:dyDescent="0.2">
      <c r="A177" s="163" t="str">
        <f t="shared" si="30"/>
        <v/>
      </c>
      <c r="B177" s="170">
        <v>0</v>
      </c>
      <c r="C177" s="152"/>
      <c r="D177" s="179" t="s">
        <v>252</v>
      </c>
      <c r="E177" s="378" t="s">
        <v>315</v>
      </c>
      <c r="F177" s="378"/>
      <c r="G177" s="378"/>
      <c r="H177" s="378"/>
      <c r="I177" s="378"/>
      <c r="J177" s="378"/>
      <c r="K177" s="378"/>
      <c r="L177" s="378"/>
      <c r="M177" s="378"/>
      <c r="N177" s="378"/>
      <c r="O177" s="378"/>
      <c r="P177" s="378"/>
      <c r="Q177" s="378"/>
      <c r="R177" s="378"/>
      <c r="S177" s="378"/>
      <c r="T177" s="378"/>
      <c r="U177" s="378"/>
      <c r="V177" s="378"/>
      <c r="W177" s="378"/>
      <c r="X177" s="378"/>
      <c r="Y177" s="378"/>
      <c r="Z177" s="378"/>
      <c r="AA177" s="169"/>
      <c r="AB177" s="159" t="s">
        <v>281</v>
      </c>
      <c r="AD177" s="172" t="s">
        <v>249</v>
      </c>
      <c r="AE177" s="167"/>
      <c r="AF177" s="164">
        <f t="shared" si="33"/>
        <v>1</v>
      </c>
      <c r="AG177" s="164">
        <f>IF(AND(SUM(AF:AF)&gt;0,B177=""),1,0)</f>
        <v>0</v>
      </c>
      <c r="AI177" s="190">
        <v>1</v>
      </c>
    </row>
    <row r="178" spans="1:35" s="180" customFormat="1" ht="18" hidden="1" customHeight="1" x14ac:dyDescent="0.2">
      <c r="A178" s="163" t="str">
        <f t="shared" si="30"/>
        <v/>
      </c>
      <c r="B178" s="170">
        <v>0</v>
      </c>
      <c r="C178" s="152"/>
      <c r="D178" s="179" t="s">
        <v>252</v>
      </c>
      <c r="E178" s="378" t="s">
        <v>316</v>
      </c>
      <c r="F178" s="378"/>
      <c r="G178" s="378"/>
      <c r="H178" s="378"/>
      <c r="I178" s="378"/>
      <c r="J178" s="378"/>
      <c r="K178" s="378"/>
      <c r="L178" s="378"/>
      <c r="M178" s="378"/>
      <c r="N178" s="378"/>
      <c r="O178" s="378"/>
      <c r="P178" s="378"/>
      <c r="Q178" s="378"/>
      <c r="R178" s="378"/>
      <c r="S178" s="378"/>
      <c r="T178" s="378"/>
      <c r="U178" s="378"/>
      <c r="V178" s="378"/>
      <c r="W178" s="378"/>
      <c r="X178" s="378"/>
      <c r="Y178" s="378"/>
      <c r="Z178" s="378"/>
      <c r="AA178" s="169"/>
      <c r="AB178" s="159" t="s">
        <v>281</v>
      </c>
      <c r="AD178" s="172" t="s">
        <v>249</v>
      </c>
      <c r="AE178" s="167"/>
      <c r="AF178" s="164">
        <f t="shared" si="33"/>
        <v>1</v>
      </c>
      <c r="AG178" s="164">
        <f>IF(AND(SUM(AF:AF)&gt;0,B178=""),1,0)</f>
        <v>0</v>
      </c>
      <c r="AI178" s="190">
        <v>1</v>
      </c>
    </row>
    <row r="179" spans="1:35" s="180" customFormat="1" ht="18.5" hidden="1" customHeight="1" x14ac:dyDescent="0.2">
      <c r="A179" s="163" t="str">
        <f t="shared" si="30"/>
        <v/>
      </c>
      <c r="B179" s="164">
        <v>0</v>
      </c>
      <c r="C179" s="152"/>
      <c r="D179" s="179" t="s">
        <v>252</v>
      </c>
      <c r="E179" s="378" t="s">
        <v>312</v>
      </c>
      <c r="F179" s="378"/>
      <c r="G179" s="378"/>
      <c r="H179" s="378"/>
      <c r="I179" s="378"/>
      <c r="J179" s="378"/>
      <c r="K179" s="378"/>
      <c r="L179" s="378"/>
      <c r="M179" s="378"/>
      <c r="N179" s="378"/>
      <c r="O179" s="378"/>
      <c r="P179" s="378"/>
      <c r="Q179" s="378"/>
      <c r="R179" s="378"/>
      <c r="S179" s="378"/>
      <c r="T179" s="378"/>
      <c r="U179" s="378"/>
      <c r="V179" s="378"/>
      <c r="W179" s="378"/>
      <c r="X179" s="378"/>
      <c r="Y179" s="378"/>
      <c r="Z179" s="378"/>
      <c r="AA179" s="168"/>
      <c r="AB179" s="166" t="s">
        <v>259</v>
      </c>
      <c r="AD179" s="165" t="s">
        <v>260</v>
      </c>
      <c r="AE179" s="134"/>
      <c r="AF179" s="22"/>
      <c r="AG179" s="22"/>
      <c r="AI179" s="190">
        <v>1</v>
      </c>
    </row>
    <row r="180" spans="1:35" s="180" customFormat="1" ht="18" hidden="1" customHeight="1" x14ac:dyDescent="0.2">
      <c r="A180" s="163" t="str">
        <f t="shared" si="30"/>
        <v/>
      </c>
      <c r="B180" s="170">
        <v>0</v>
      </c>
      <c r="C180" s="152"/>
      <c r="D180" s="179" t="s">
        <v>252</v>
      </c>
      <c r="E180" s="373"/>
      <c r="F180" s="373"/>
      <c r="G180" s="373"/>
      <c r="H180" s="373"/>
      <c r="I180" s="373"/>
      <c r="J180" s="373"/>
      <c r="K180" s="373"/>
      <c r="L180" s="373"/>
      <c r="M180" s="373"/>
      <c r="N180" s="373"/>
      <c r="O180" s="373"/>
      <c r="P180" s="373"/>
      <c r="Q180" s="373"/>
      <c r="R180" s="373"/>
      <c r="S180" s="373"/>
      <c r="T180" s="373"/>
      <c r="U180" s="373"/>
      <c r="V180" s="373"/>
      <c r="W180" s="373"/>
      <c r="X180" s="373"/>
      <c r="Y180" s="373"/>
      <c r="Z180" s="373"/>
      <c r="AA180" s="169"/>
      <c r="AB180" s="159" t="s">
        <v>281</v>
      </c>
      <c r="AD180" s="172" t="s">
        <v>249</v>
      </c>
      <c r="AE180" s="167"/>
      <c r="AF180" s="164">
        <f t="shared" ref="AF180:AF182" si="34">IF(B180&lt;&gt;"",1,0)</f>
        <v>1</v>
      </c>
      <c r="AG180" s="164">
        <f>IF(AND(SUM(AF:AF)&gt;0,OR(AND(B180=1,E180=""),AND(B180="",E180=""),AND(B180="",E180&lt;&gt;""),AND(B180=0,E180&lt;&gt;""))),1,0)</f>
        <v>0</v>
      </c>
      <c r="AI180" s="190">
        <v>1</v>
      </c>
    </row>
    <row r="181" spans="1:35" s="180" customFormat="1" ht="18" hidden="1" customHeight="1" x14ac:dyDescent="0.2">
      <c r="A181" s="163" t="str">
        <f t="shared" si="30"/>
        <v/>
      </c>
      <c r="B181" s="170">
        <v>0</v>
      </c>
      <c r="C181" s="152"/>
      <c r="D181" s="179" t="s">
        <v>252</v>
      </c>
      <c r="E181" s="373"/>
      <c r="F181" s="373"/>
      <c r="G181" s="373"/>
      <c r="H181" s="373"/>
      <c r="I181" s="373"/>
      <c r="J181" s="373"/>
      <c r="K181" s="373"/>
      <c r="L181" s="373"/>
      <c r="M181" s="373"/>
      <c r="N181" s="373"/>
      <c r="O181" s="373"/>
      <c r="P181" s="373"/>
      <c r="Q181" s="373"/>
      <c r="R181" s="373"/>
      <c r="S181" s="373"/>
      <c r="T181" s="373"/>
      <c r="U181" s="373"/>
      <c r="V181" s="373"/>
      <c r="W181" s="373"/>
      <c r="X181" s="373"/>
      <c r="Y181" s="373"/>
      <c r="Z181" s="373"/>
      <c r="AA181" s="169"/>
      <c r="AB181" s="159" t="s">
        <v>281</v>
      </c>
      <c r="AD181" s="172" t="s">
        <v>249</v>
      </c>
      <c r="AE181" s="167"/>
      <c r="AF181" s="164">
        <f t="shared" si="34"/>
        <v>1</v>
      </c>
      <c r="AG181" s="164">
        <f>IF(AND(SUM(AF:AF)&gt;0,OR(AND(B181=1,E181=""),AND(B181="",E181=""),AND(B181="",E181&lt;&gt;""),AND(B181=0,E181&lt;&gt;""))),1,0)</f>
        <v>0</v>
      </c>
      <c r="AI181" s="190">
        <v>1</v>
      </c>
    </row>
    <row r="182" spans="1:35" s="180" customFormat="1" ht="18" hidden="1" customHeight="1" x14ac:dyDescent="0.2">
      <c r="A182" s="163" t="str">
        <f t="shared" si="30"/>
        <v/>
      </c>
      <c r="B182" s="170">
        <v>0</v>
      </c>
      <c r="C182" s="152"/>
      <c r="D182" s="179" t="s">
        <v>252</v>
      </c>
      <c r="E182" s="373"/>
      <c r="F182" s="373"/>
      <c r="G182" s="373"/>
      <c r="H182" s="373"/>
      <c r="I182" s="373"/>
      <c r="J182" s="373"/>
      <c r="K182" s="373"/>
      <c r="L182" s="373"/>
      <c r="M182" s="373"/>
      <c r="N182" s="373"/>
      <c r="O182" s="373"/>
      <c r="P182" s="373"/>
      <c r="Q182" s="373"/>
      <c r="R182" s="373"/>
      <c r="S182" s="373"/>
      <c r="T182" s="373"/>
      <c r="U182" s="373"/>
      <c r="V182" s="373"/>
      <c r="W182" s="373"/>
      <c r="X182" s="373"/>
      <c r="Y182" s="373"/>
      <c r="Z182" s="373"/>
      <c r="AA182" s="169"/>
      <c r="AB182" s="159" t="s">
        <v>281</v>
      </c>
      <c r="AD182" s="172" t="s">
        <v>249</v>
      </c>
      <c r="AE182" s="167"/>
      <c r="AF182" s="164">
        <f t="shared" si="34"/>
        <v>1</v>
      </c>
      <c r="AG182" s="164">
        <f>IF(AND(SUM(AF:AF)&gt;0,OR(AND(B182=1,E182=""),AND(B182="",E182=""),AND(B182="",E182&lt;&gt;""),AND(B182=0,E182&lt;&gt;""))),1,0)</f>
        <v>0</v>
      </c>
      <c r="AI182" s="190">
        <v>1</v>
      </c>
    </row>
    <row r="183" spans="1:35" ht="21" hidden="1" customHeight="1" x14ac:dyDescent="0.2">
      <c r="A183" s="163" t="str">
        <f t="shared" si="30"/>
        <v/>
      </c>
      <c r="B183" s="164">
        <v>0</v>
      </c>
      <c r="D183" s="379" t="s">
        <v>258</v>
      </c>
      <c r="E183" s="379"/>
      <c r="F183" s="379"/>
      <c r="G183" s="379"/>
      <c r="H183" s="379"/>
      <c r="I183" s="379"/>
      <c r="J183" s="379"/>
      <c r="K183" s="379"/>
      <c r="L183" s="379"/>
      <c r="M183" s="379"/>
      <c r="N183" s="379"/>
      <c r="O183" s="379"/>
      <c r="P183" s="379"/>
      <c r="Q183" s="379"/>
      <c r="R183" s="379"/>
      <c r="S183" s="379"/>
      <c r="T183" s="379"/>
      <c r="U183" s="379"/>
      <c r="V183" s="379"/>
      <c r="W183" s="379"/>
      <c r="X183" s="379"/>
      <c r="Y183" s="379"/>
      <c r="Z183" s="379"/>
      <c r="AB183" s="166" t="s">
        <v>259</v>
      </c>
      <c r="AD183" s="165" t="s">
        <v>260</v>
      </c>
      <c r="AE183" s="134"/>
      <c r="AF183" s="22"/>
      <c r="AG183" s="22"/>
      <c r="AI183" s="190">
        <v>1</v>
      </c>
    </row>
    <row r="184" spans="1:35" ht="15.75" hidden="1" customHeight="1" x14ac:dyDescent="0.2">
      <c r="A184" s="163"/>
      <c r="B184" s="164">
        <v>0</v>
      </c>
      <c r="D184" s="369" t="s">
        <v>261</v>
      </c>
      <c r="E184" s="369"/>
      <c r="F184" s="369"/>
      <c r="G184" s="369"/>
      <c r="H184" s="369"/>
      <c r="I184" s="369"/>
      <c r="J184" s="369"/>
      <c r="K184" s="369"/>
      <c r="L184" s="369"/>
      <c r="M184" s="369"/>
      <c r="N184" s="369"/>
      <c r="O184" s="369"/>
      <c r="P184" s="369"/>
      <c r="Q184" s="369"/>
      <c r="R184" s="369"/>
      <c r="S184" s="369"/>
      <c r="T184" s="369"/>
      <c r="U184" s="369"/>
      <c r="V184" s="369"/>
      <c r="W184" s="369"/>
      <c r="X184" s="369"/>
      <c r="Y184" s="369"/>
      <c r="Z184" s="369"/>
      <c r="AB184" s="166" t="s">
        <v>259</v>
      </c>
      <c r="AD184" s="165" t="s">
        <v>260</v>
      </c>
      <c r="AE184" s="134"/>
      <c r="AF184" s="22"/>
      <c r="AG184" s="22"/>
      <c r="AI184" s="190">
        <v>1</v>
      </c>
    </row>
    <row r="185" spans="1:35" ht="8.5" hidden="1" customHeight="1" x14ac:dyDescent="0.15">
      <c r="A185" s="163" t="str">
        <f>IF(AG185=1,"X","")</f>
        <v/>
      </c>
      <c r="B185" s="164">
        <f>IF(OR(D186="Show",Q186="Show"),1,0)</f>
        <v>0</v>
      </c>
      <c r="D185" s="368"/>
      <c r="E185" s="368"/>
      <c r="F185" s="368"/>
      <c r="G185" s="368"/>
      <c r="H185" s="368"/>
      <c r="I185" s="368"/>
      <c r="J185" s="368"/>
      <c r="K185" s="368"/>
      <c r="L185" s="368"/>
      <c r="M185" s="368"/>
      <c r="N185" s="368"/>
      <c r="O185" s="368"/>
      <c r="P185" s="368"/>
      <c r="Q185" s="368"/>
      <c r="R185" s="368"/>
      <c r="S185" s="368"/>
      <c r="T185" s="368"/>
      <c r="U185" s="368"/>
      <c r="V185" s="368"/>
      <c r="W185" s="368"/>
      <c r="X185" s="368"/>
      <c r="Y185" s="368"/>
      <c r="Z185" s="368"/>
      <c r="AD185" s="165" t="s">
        <v>227</v>
      </c>
      <c r="AE185" s="156"/>
      <c r="AF185" s="22"/>
      <c r="AG185" s="22"/>
      <c r="AI185" s="190">
        <v>1</v>
      </c>
    </row>
    <row r="186" spans="1:35" ht="18" hidden="1" customHeight="1" x14ac:dyDescent="0.2">
      <c r="A186" s="163" t="str">
        <f t="shared" ref="A186:A189" si="35">IF(AG186=1,"X","")</f>
        <v/>
      </c>
      <c r="B186" s="164">
        <v>0</v>
      </c>
      <c r="D186" s="370" t="s">
        <v>267</v>
      </c>
      <c r="E186" s="370"/>
      <c r="F186" s="370"/>
      <c r="G186" s="370"/>
      <c r="H186" s="370"/>
      <c r="I186" s="370"/>
      <c r="J186" s="370"/>
      <c r="K186" s="370"/>
      <c r="L186" s="370"/>
      <c r="M186" s="370"/>
      <c r="N186" s="370"/>
      <c r="O186" s="175"/>
      <c r="P186" s="175"/>
      <c r="Q186" s="370" t="s">
        <v>267</v>
      </c>
      <c r="R186" s="370"/>
      <c r="S186" s="370"/>
      <c r="T186" s="370"/>
      <c r="U186" s="370"/>
      <c r="V186" s="370"/>
      <c r="W186" s="370"/>
      <c r="X186" s="370"/>
      <c r="Y186" s="370"/>
      <c r="Z186" s="370"/>
      <c r="AA186" s="176"/>
      <c r="AB186" s="159" t="s">
        <v>262</v>
      </c>
      <c r="AD186" s="172" t="s">
        <v>249</v>
      </c>
      <c r="AE186" s="134"/>
      <c r="AF186" s="164">
        <f>IF(OR(D186="Show",D186="",Q186="Show",Q186=""),1,0)</f>
        <v>0</v>
      </c>
      <c r="AG186" s="164">
        <f>IF(AND(SUM(AF:AF)&gt;0,OR(D186="",Q186="")),1,0)</f>
        <v>0</v>
      </c>
      <c r="AI186" s="190">
        <v>1</v>
      </c>
    </row>
    <row r="187" spans="1:35" ht="197.25" hidden="1" customHeight="1" x14ac:dyDescent="0.2">
      <c r="A187" s="163" t="str">
        <f t="shared" si="35"/>
        <v/>
      </c>
      <c r="B187" s="164">
        <f>B185</f>
        <v>0</v>
      </c>
      <c r="D187" s="370"/>
      <c r="E187" s="370"/>
      <c r="F187" s="370"/>
      <c r="G187" s="370"/>
      <c r="H187" s="370"/>
      <c r="I187" s="370"/>
      <c r="J187" s="370"/>
      <c r="K187" s="370"/>
      <c r="L187" s="370"/>
      <c r="M187" s="370"/>
      <c r="N187" s="370"/>
      <c r="O187" s="175"/>
      <c r="P187" s="175"/>
      <c r="Q187" s="370"/>
      <c r="R187" s="370"/>
      <c r="S187" s="370"/>
      <c r="T187" s="370"/>
      <c r="U187" s="370"/>
      <c r="V187" s="370"/>
      <c r="W187" s="370"/>
      <c r="X187" s="370"/>
      <c r="Y187" s="370"/>
      <c r="Z187" s="370"/>
      <c r="AA187" s="176"/>
      <c r="AB187" s="159" t="s">
        <v>263</v>
      </c>
      <c r="AD187" s="172" t="s">
        <v>249</v>
      </c>
      <c r="AE187" s="167"/>
      <c r="AF187" s="22"/>
      <c r="AG187" s="22"/>
      <c r="AI187" s="190">
        <v>1</v>
      </c>
    </row>
    <row r="188" spans="1:35" ht="18" hidden="1" customHeight="1" x14ac:dyDescent="0.2">
      <c r="A188" s="163" t="str">
        <f t="shared" si="35"/>
        <v/>
      </c>
      <c r="B188" s="164">
        <f>B187</f>
        <v>0</v>
      </c>
      <c r="D188" s="371"/>
      <c r="E188" s="371"/>
      <c r="F188" s="371"/>
      <c r="G188" s="371"/>
      <c r="H188" s="371"/>
      <c r="I188" s="371"/>
      <c r="J188" s="371"/>
      <c r="K188" s="371"/>
      <c r="L188" s="371"/>
      <c r="M188" s="371"/>
      <c r="N188" s="371"/>
      <c r="O188" s="175"/>
      <c r="P188" s="175"/>
      <c r="Q188" s="371"/>
      <c r="R188" s="371"/>
      <c r="S188" s="371"/>
      <c r="T188" s="371"/>
      <c r="U188" s="371"/>
      <c r="V188" s="371"/>
      <c r="W188" s="371"/>
      <c r="X188" s="371"/>
      <c r="Y188" s="371"/>
      <c r="Z188" s="371"/>
      <c r="AA188" s="176"/>
      <c r="AB188" s="159" t="s">
        <v>264</v>
      </c>
      <c r="AD188" s="172" t="s">
        <v>249</v>
      </c>
      <c r="AE188" s="167"/>
      <c r="AF188" s="164">
        <f>IF(OR(D186="Show",D186="",Q186="Show",Q186=""),1,0)</f>
        <v>0</v>
      </c>
      <c r="AG188" s="164">
        <f>IF(AND(SUM(AF:AF)&gt;0,OR(AND(D186="Show",D188=""),AND(Q186="Show",Q188=""))),1,0)</f>
        <v>0</v>
      </c>
      <c r="AI188" s="190">
        <v>1</v>
      </c>
    </row>
    <row r="189" spans="1:35" ht="8.5" hidden="1" customHeight="1" x14ac:dyDescent="0.15">
      <c r="A189" s="163" t="str">
        <f t="shared" si="35"/>
        <v/>
      </c>
      <c r="B189" s="164">
        <f>B188</f>
        <v>0</v>
      </c>
      <c r="D189" s="368"/>
      <c r="E189" s="368"/>
      <c r="F189" s="368"/>
      <c r="G189" s="368"/>
      <c r="H189" s="368"/>
      <c r="I189" s="368"/>
      <c r="J189" s="368"/>
      <c r="K189" s="368"/>
      <c r="L189" s="368"/>
      <c r="M189" s="368"/>
      <c r="N189" s="368"/>
      <c r="O189" s="368"/>
      <c r="P189" s="368"/>
      <c r="Q189" s="368"/>
      <c r="R189" s="368"/>
      <c r="S189" s="368"/>
      <c r="T189" s="368"/>
      <c r="U189" s="368"/>
      <c r="V189" s="368"/>
      <c r="W189" s="368"/>
      <c r="X189" s="368"/>
      <c r="Y189" s="368"/>
      <c r="Z189" s="368"/>
      <c r="AA189" s="176"/>
      <c r="AD189" s="165" t="s">
        <v>227</v>
      </c>
      <c r="AE189" s="156"/>
      <c r="AF189" s="22"/>
      <c r="AG189" s="22"/>
      <c r="AI189" s="190">
        <v>1</v>
      </c>
    </row>
    <row r="190" spans="1:35" ht="15.75" hidden="1" customHeight="1" x14ac:dyDescent="0.2">
      <c r="A190" s="163"/>
      <c r="B190" s="164">
        <v>0</v>
      </c>
      <c r="D190" s="369" t="s">
        <v>265</v>
      </c>
      <c r="E190" s="369"/>
      <c r="F190" s="369"/>
      <c r="G190" s="369"/>
      <c r="H190" s="369"/>
      <c r="I190" s="369"/>
      <c r="J190" s="369"/>
      <c r="K190" s="369"/>
      <c r="L190" s="369"/>
      <c r="M190" s="369"/>
      <c r="N190" s="369"/>
      <c r="O190" s="369"/>
      <c r="P190" s="369"/>
      <c r="Q190" s="369"/>
      <c r="R190" s="369"/>
      <c r="S190" s="369"/>
      <c r="T190" s="369"/>
      <c r="U190" s="369"/>
      <c r="V190" s="369"/>
      <c r="W190" s="369"/>
      <c r="X190" s="369"/>
      <c r="Y190" s="369"/>
      <c r="Z190" s="369"/>
      <c r="AB190" s="166" t="s">
        <v>259</v>
      </c>
      <c r="AD190" s="165" t="s">
        <v>260</v>
      </c>
      <c r="AE190" s="134"/>
      <c r="AF190" s="22"/>
      <c r="AG190" s="22"/>
      <c r="AI190" s="190">
        <v>1</v>
      </c>
    </row>
    <row r="191" spans="1:35" ht="21" customHeight="1" x14ac:dyDescent="0.15">
      <c r="A191" s="163" t="str">
        <f t="shared" ref="A191:A203" si="36">IF(AG191=1,"X","")</f>
        <v/>
      </c>
      <c r="B191" s="164">
        <v>1</v>
      </c>
      <c r="D191" s="380" t="s">
        <v>0</v>
      </c>
      <c r="E191" s="380"/>
      <c r="F191" s="380"/>
      <c r="G191" s="380"/>
      <c r="H191" s="380"/>
      <c r="I191" s="380"/>
      <c r="J191" s="380"/>
      <c r="K191" s="380"/>
      <c r="L191" s="380"/>
      <c r="M191" s="380"/>
      <c r="N191" s="380"/>
      <c r="O191" s="380"/>
      <c r="P191" s="380"/>
      <c r="Q191" s="380"/>
      <c r="R191" s="380"/>
      <c r="S191" s="380"/>
      <c r="T191" s="380"/>
      <c r="U191" s="380"/>
      <c r="V191" s="380"/>
      <c r="W191" s="380"/>
      <c r="X191" s="380"/>
      <c r="Y191" s="380"/>
      <c r="Z191" s="380"/>
      <c r="AB191" s="166" t="s">
        <v>462</v>
      </c>
      <c r="AD191" s="165" t="s">
        <v>463</v>
      </c>
      <c r="AE191" s="134"/>
      <c r="AF191" s="22"/>
      <c r="AG191" s="22"/>
      <c r="AI191" s="190">
        <v>1</v>
      </c>
    </row>
    <row r="192" spans="1:35" s="180" customFormat="1" ht="18" customHeight="1" x14ac:dyDescent="0.2">
      <c r="A192" s="163" t="str">
        <f t="shared" ref="A192:A195" si="37">IF(AG192=1,"X","")</f>
        <v/>
      </c>
      <c r="B192" s="170">
        <v>1</v>
      </c>
      <c r="C192" s="152"/>
      <c r="D192" s="378" t="s">
        <v>399</v>
      </c>
      <c r="E192" s="378"/>
      <c r="F192" s="378"/>
      <c r="G192" s="378"/>
      <c r="H192" s="378"/>
      <c r="I192" s="378"/>
      <c r="J192" s="378"/>
      <c r="K192" s="378"/>
      <c r="L192" s="378"/>
      <c r="M192" s="378"/>
      <c r="N192" s="378"/>
      <c r="O192" s="378"/>
      <c r="P192" s="378"/>
      <c r="Q192" s="378"/>
      <c r="R192" s="378"/>
      <c r="S192" s="378"/>
      <c r="T192" s="378"/>
      <c r="U192" s="378"/>
      <c r="V192" s="378"/>
      <c r="W192" s="378"/>
      <c r="X192" s="378"/>
      <c r="Y192" s="378"/>
      <c r="Z192" s="378"/>
      <c r="AA192" s="169"/>
      <c r="AB192" s="159" t="s">
        <v>281</v>
      </c>
      <c r="AD192" s="172" t="s">
        <v>249</v>
      </c>
      <c r="AE192" s="167"/>
      <c r="AF192" s="164">
        <f t="shared" ref="AF192:AF198" si="38">IF(B192&lt;&gt;"",1,0)</f>
        <v>1</v>
      </c>
      <c r="AG192" s="164">
        <f t="shared" ref="AG192:AG198" si="39">IF(AND(SUM(AF:AF)&gt;0,B192=""),1,0)</f>
        <v>0</v>
      </c>
      <c r="AI192" s="190">
        <v>1</v>
      </c>
    </row>
    <row r="193" spans="1:35" s="180" customFormat="1" ht="18" hidden="1" customHeight="1" x14ac:dyDescent="0.2">
      <c r="A193" s="163" t="str">
        <f t="shared" ref="A193" si="40">IF(AG193=1,"X","")</f>
        <v/>
      </c>
      <c r="B193" s="170">
        <v>0</v>
      </c>
      <c r="C193" s="152"/>
      <c r="D193" s="378" t="s">
        <v>400</v>
      </c>
      <c r="E193" s="378"/>
      <c r="F193" s="378"/>
      <c r="G193" s="378"/>
      <c r="H193" s="378"/>
      <c r="I193" s="378"/>
      <c r="J193" s="378"/>
      <c r="K193" s="378"/>
      <c r="L193" s="378"/>
      <c r="M193" s="378"/>
      <c r="N193" s="378"/>
      <c r="O193" s="378"/>
      <c r="P193" s="378"/>
      <c r="Q193" s="378"/>
      <c r="R193" s="378"/>
      <c r="S193" s="378"/>
      <c r="T193" s="378"/>
      <c r="U193" s="378"/>
      <c r="V193" s="378"/>
      <c r="W193" s="378"/>
      <c r="X193" s="378"/>
      <c r="Y193" s="378"/>
      <c r="Z193" s="378"/>
      <c r="AA193" s="169"/>
      <c r="AB193" s="159" t="s">
        <v>281</v>
      </c>
      <c r="AD193" s="172" t="s">
        <v>249</v>
      </c>
      <c r="AE193" s="167"/>
      <c r="AF193" s="164">
        <f t="shared" si="38"/>
        <v>1</v>
      </c>
      <c r="AG193" s="164">
        <f t="shared" si="39"/>
        <v>0</v>
      </c>
      <c r="AI193" s="190">
        <v>1</v>
      </c>
    </row>
    <row r="194" spans="1:35" s="180" customFormat="1" ht="18" hidden="1" customHeight="1" x14ac:dyDescent="0.2">
      <c r="A194" s="163" t="str">
        <f t="shared" si="37"/>
        <v/>
      </c>
      <c r="B194" s="170">
        <v>0</v>
      </c>
      <c r="C194" s="152"/>
      <c r="D194" s="179" t="s">
        <v>252</v>
      </c>
      <c r="E194" s="378" t="s">
        <v>317</v>
      </c>
      <c r="F194" s="378"/>
      <c r="G194" s="378"/>
      <c r="H194" s="378"/>
      <c r="I194" s="378"/>
      <c r="J194" s="378"/>
      <c r="K194" s="378"/>
      <c r="L194" s="378"/>
      <c r="M194" s="378"/>
      <c r="N194" s="378"/>
      <c r="O194" s="378"/>
      <c r="P194" s="378"/>
      <c r="Q194" s="378"/>
      <c r="R194" s="378"/>
      <c r="S194" s="378"/>
      <c r="T194" s="378"/>
      <c r="U194" s="378"/>
      <c r="V194" s="378"/>
      <c r="W194" s="378"/>
      <c r="X194" s="378"/>
      <c r="Y194" s="378"/>
      <c r="Z194" s="378"/>
      <c r="AA194" s="169"/>
      <c r="AB194" s="159" t="s">
        <v>281</v>
      </c>
      <c r="AD194" s="172" t="s">
        <v>249</v>
      </c>
      <c r="AE194" s="167"/>
      <c r="AF194" s="164">
        <f t="shared" si="38"/>
        <v>1</v>
      </c>
      <c r="AG194" s="164">
        <f t="shared" si="39"/>
        <v>0</v>
      </c>
      <c r="AI194" s="190">
        <v>1</v>
      </c>
    </row>
    <row r="195" spans="1:35" s="180" customFormat="1" ht="18" hidden="1" customHeight="1" x14ac:dyDescent="0.2">
      <c r="A195" s="163" t="str">
        <f t="shared" si="37"/>
        <v/>
      </c>
      <c r="B195" s="170">
        <v>0</v>
      </c>
      <c r="C195" s="152"/>
      <c r="D195" s="179" t="s">
        <v>252</v>
      </c>
      <c r="E195" s="378" t="s">
        <v>318</v>
      </c>
      <c r="F195" s="378"/>
      <c r="G195" s="378"/>
      <c r="H195" s="378"/>
      <c r="I195" s="378"/>
      <c r="J195" s="378"/>
      <c r="K195" s="378"/>
      <c r="L195" s="378"/>
      <c r="M195" s="378"/>
      <c r="N195" s="378"/>
      <c r="O195" s="378"/>
      <c r="P195" s="378"/>
      <c r="Q195" s="378"/>
      <c r="R195" s="378"/>
      <c r="S195" s="378"/>
      <c r="T195" s="378"/>
      <c r="U195" s="378"/>
      <c r="V195" s="378"/>
      <c r="W195" s="378"/>
      <c r="X195" s="378"/>
      <c r="Y195" s="378"/>
      <c r="Z195" s="378"/>
      <c r="AA195" s="169"/>
      <c r="AB195" s="159" t="s">
        <v>281</v>
      </c>
      <c r="AD195" s="172" t="s">
        <v>249</v>
      </c>
      <c r="AE195" s="167"/>
      <c r="AF195" s="164">
        <f t="shared" si="38"/>
        <v>1</v>
      </c>
      <c r="AG195" s="164">
        <f t="shared" si="39"/>
        <v>0</v>
      </c>
      <c r="AI195" s="190">
        <v>1</v>
      </c>
    </row>
    <row r="196" spans="1:35" s="180" customFormat="1" ht="18" hidden="1" customHeight="1" x14ac:dyDescent="0.2">
      <c r="A196" s="163" t="str">
        <f t="shared" si="36"/>
        <v/>
      </c>
      <c r="B196" s="170">
        <v>0</v>
      </c>
      <c r="C196" s="152"/>
      <c r="D196" s="179" t="s">
        <v>252</v>
      </c>
      <c r="E196" s="378" t="s">
        <v>405</v>
      </c>
      <c r="F196" s="378"/>
      <c r="G196" s="378"/>
      <c r="H196" s="378"/>
      <c r="I196" s="378"/>
      <c r="J196" s="378"/>
      <c r="K196" s="378"/>
      <c r="L196" s="378"/>
      <c r="M196" s="378"/>
      <c r="N196" s="378"/>
      <c r="O196" s="378"/>
      <c r="P196" s="378"/>
      <c r="Q196" s="378"/>
      <c r="R196" s="378"/>
      <c r="S196" s="378"/>
      <c r="T196" s="378"/>
      <c r="U196" s="378"/>
      <c r="V196" s="378"/>
      <c r="W196" s="378"/>
      <c r="X196" s="378"/>
      <c r="Y196" s="378"/>
      <c r="Z196" s="378"/>
      <c r="AA196" s="169"/>
      <c r="AB196" s="159" t="s">
        <v>281</v>
      </c>
      <c r="AD196" s="172" t="s">
        <v>249</v>
      </c>
      <c r="AE196" s="167"/>
      <c r="AF196" s="164">
        <f t="shared" si="38"/>
        <v>1</v>
      </c>
      <c r="AG196" s="164">
        <f t="shared" si="39"/>
        <v>0</v>
      </c>
      <c r="AI196" s="190">
        <v>1</v>
      </c>
    </row>
    <row r="197" spans="1:35" s="180" customFormat="1" ht="18" hidden="1" customHeight="1" x14ac:dyDescent="0.2">
      <c r="A197" s="163" t="str">
        <f t="shared" si="36"/>
        <v/>
      </c>
      <c r="B197" s="170">
        <v>0</v>
      </c>
      <c r="C197" s="152"/>
      <c r="D197" s="179" t="s">
        <v>252</v>
      </c>
      <c r="E197" s="378" t="s">
        <v>396</v>
      </c>
      <c r="F197" s="378"/>
      <c r="G197" s="378"/>
      <c r="H197" s="378"/>
      <c r="I197" s="378"/>
      <c r="J197" s="378"/>
      <c r="K197" s="378"/>
      <c r="L197" s="378"/>
      <c r="M197" s="378"/>
      <c r="N197" s="378"/>
      <c r="O197" s="378"/>
      <c r="P197" s="378"/>
      <c r="Q197" s="378"/>
      <c r="R197" s="378"/>
      <c r="S197" s="378"/>
      <c r="T197" s="378"/>
      <c r="U197" s="378"/>
      <c r="V197" s="378"/>
      <c r="W197" s="378"/>
      <c r="X197" s="378"/>
      <c r="Y197" s="378"/>
      <c r="Z197" s="378"/>
      <c r="AA197" s="169"/>
      <c r="AB197" s="159" t="s">
        <v>281</v>
      </c>
      <c r="AD197" s="172" t="s">
        <v>249</v>
      </c>
      <c r="AE197" s="167"/>
      <c r="AF197" s="164">
        <f t="shared" si="38"/>
        <v>1</v>
      </c>
      <c r="AG197" s="164">
        <f t="shared" si="39"/>
        <v>0</v>
      </c>
      <c r="AI197" s="190">
        <v>1</v>
      </c>
    </row>
    <row r="198" spans="1:35" s="180" customFormat="1" ht="18" hidden="1" customHeight="1" x14ac:dyDescent="0.2">
      <c r="A198" s="163" t="str">
        <f t="shared" si="36"/>
        <v/>
      </c>
      <c r="B198" s="170">
        <v>0</v>
      </c>
      <c r="C198" s="152"/>
      <c r="D198" s="179" t="s">
        <v>252</v>
      </c>
      <c r="E198" s="378" t="s">
        <v>319</v>
      </c>
      <c r="F198" s="378"/>
      <c r="G198" s="378"/>
      <c r="H198" s="378"/>
      <c r="I198" s="378"/>
      <c r="J198" s="378"/>
      <c r="K198" s="378"/>
      <c r="L198" s="378"/>
      <c r="M198" s="378"/>
      <c r="N198" s="378"/>
      <c r="O198" s="378"/>
      <c r="P198" s="378"/>
      <c r="Q198" s="378"/>
      <c r="R198" s="378"/>
      <c r="S198" s="378"/>
      <c r="T198" s="378"/>
      <c r="U198" s="378"/>
      <c r="V198" s="378"/>
      <c r="W198" s="378"/>
      <c r="X198" s="378"/>
      <c r="Y198" s="378"/>
      <c r="Z198" s="378"/>
      <c r="AA198" s="169"/>
      <c r="AB198" s="159" t="s">
        <v>281</v>
      </c>
      <c r="AD198" s="172" t="s">
        <v>249</v>
      </c>
      <c r="AE198" s="167"/>
      <c r="AF198" s="164">
        <f t="shared" si="38"/>
        <v>1</v>
      </c>
      <c r="AG198" s="164">
        <f t="shared" si="39"/>
        <v>0</v>
      </c>
      <c r="AI198" s="190">
        <v>1</v>
      </c>
    </row>
    <row r="199" spans="1:35" s="180" customFormat="1" ht="18.5" hidden="1" customHeight="1" x14ac:dyDescent="0.2">
      <c r="A199" s="163" t="str">
        <f t="shared" si="36"/>
        <v/>
      </c>
      <c r="B199" s="164">
        <v>0</v>
      </c>
      <c r="C199" s="152"/>
      <c r="D199" s="179" t="s">
        <v>252</v>
      </c>
      <c r="E199" s="378" t="s">
        <v>312</v>
      </c>
      <c r="F199" s="378"/>
      <c r="G199" s="378"/>
      <c r="H199" s="378"/>
      <c r="I199" s="378"/>
      <c r="J199" s="378"/>
      <c r="K199" s="378"/>
      <c r="L199" s="378"/>
      <c r="M199" s="378"/>
      <c r="N199" s="378"/>
      <c r="O199" s="378"/>
      <c r="P199" s="378"/>
      <c r="Q199" s="378"/>
      <c r="R199" s="378"/>
      <c r="S199" s="378"/>
      <c r="T199" s="378"/>
      <c r="U199" s="378"/>
      <c r="V199" s="378"/>
      <c r="W199" s="378"/>
      <c r="X199" s="378"/>
      <c r="Y199" s="378"/>
      <c r="Z199" s="378"/>
      <c r="AA199" s="168"/>
      <c r="AB199" s="166" t="s">
        <v>259</v>
      </c>
      <c r="AD199" s="165" t="s">
        <v>260</v>
      </c>
      <c r="AE199" s="134"/>
      <c r="AF199" s="22"/>
      <c r="AG199" s="22"/>
      <c r="AI199" s="190">
        <v>1</v>
      </c>
    </row>
    <row r="200" spans="1:35" s="180" customFormat="1" ht="18" hidden="1" customHeight="1" x14ac:dyDescent="0.2">
      <c r="A200" s="163" t="str">
        <f t="shared" si="36"/>
        <v/>
      </c>
      <c r="B200" s="170">
        <v>0</v>
      </c>
      <c r="C200" s="152"/>
      <c r="D200" s="179" t="s">
        <v>252</v>
      </c>
      <c r="E200" s="373"/>
      <c r="F200" s="373"/>
      <c r="G200" s="373"/>
      <c r="H200" s="373"/>
      <c r="I200" s="373"/>
      <c r="J200" s="373"/>
      <c r="K200" s="373"/>
      <c r="L200" s="373"/>
      <c r="M200" s="373"/>
      <c r="N200" s="373"/>
      <c r="O200" s="373"/>
      <c r="P200" s="373"/>
      <c r="Q200" s="373"/>
      <c r="R200" s="373"/>
      <c r="S200" s="373"/>
      <c r="T200" s="373"/>
      <c r="U200" s="373"/>
      <c r="V200" s="373"/>
      <c r="W200" s="373"/>
      <c r="X200" s="373"/>
      <c r="Y200" s="373"/>
      <c r="Z200" s="373"/>
      <c r="AA200" s="169"/>
      <c r="AB200" s="159" t="s">
        <v>281</v>
      </c>
      <c r="AD200" s="172" t="s">
        <v>249</v>
      </c>
      <c r="AE200" s="167"/>
      <c r="AF200" s="164">
        <f t="shared" ref="AF200:AF202" si="41">IF(B200&lt;&gt;"",1,0)</f>
        <v>1</v>
      </c>
      <c r="AG200" s="164">
        <f>IF(AND(SUM(AF:AF)&gt;0,OR(AND(B200=1,E200=""),AND(B200="",E200=""),AND(B200="",E200&lt;&gt;""),AND(B200=0,E200&lt;&gt;""))),1,0)</f>
        <v>0</v>
      </c>
      <c r="AI200" s="190">
        <v>1</v>
      </c>
    </row>
    <row r="201" spans="1:35" s="180" customFormat="1" ht="18" hidden="1" customHeight="1" x14ac:dyDescent="0.2">
      <c r="A201" s="163" t="str">
        <f t="shared" si="36"/>
        <v/>
      </c>
      <c r="B201" s="170">
        <v>0</v>
      </c>
      <c r="C201" s="152"/>
      <c r="D201" s="179" t="s">
        <v>252</v>
      </c>
      <c r="E201" s="373"/>
      <c r="F201" s="373"/>
      <c r="G201" s="373"/>
      <c r="H201" s="373"/>
      <c r="I201" s="373"/>
      <c r="J201" s="373"/>
      <c r="K201" s="373"/>
      <c r="L201" s="373"/>
      <c r="M201" s="373"/>
      <c r="N201" s="373"/>
      <c r="O201" s="373"/>
      <c r="P201" s="373"/>
      <c r="Q201" s="373"/>
      <c r="R201" s="373"/>
      <c r="S201" s="373"/>
      <c r="T201" s="373"/>
      <c r="U201" s="373"/>
      <c r="V201" s="373"/>
      <c r="W201" s="373"/>
      <c r="X201" s="373"/>
      <c r="Y201" s="373"/>
      <c r="Z201" s="373"/>
      <c r="AA201" s="169"/>
      <c r="AB201" s="159" t="s">
        <v>281</v>
      </c>
      <c r="AD201" s="172" t="s">
        <v>249</v>
      </c>
      <c r="AE201" s="167"/>
      <c r="AF201" s="164">
        <f t="shared" si="41"/>
        <v>1</v>
      </c>
      <c r="AG201" s="164">
        <f>IF(AND(SUM(AF:AF)&gt;0,OR(AND(B201=1,E201=""),AND(B201="",E201=""),AND(B201="",E201&lt;&gt;""),AND(B201=0,E201&lt;&gt;""))),1,0)</f>
        <v>0</v>
      </c>
      <c r="AI201" s="190">
        <v>1</v>
      </c>
    </row>
    <row r="202" spans="1:35" s="180" customFormat="1" ht="18" hidden="1" customHeight="1" x14ac:dyDescent="0.2">
      <c r="A202" s="163" t="str">
        <f t="shared" si="36"/>
        <v/>
      </c>
      <c r="B202" s="170">
        <v>0</v>
      </c>
      <c r="C202" s="152"/>
      <c r="D202" s="179" t="s">
        <v>252</v>
      </c>
      <c r="E202" s="373"/>
      <c r="F202" s="373"/>
      <c r="G202" s="373"/>
      <c r="H202" s="373"/>
      <c r="I202" s="373"/>
      <c r="J202" s="373"/>
      <c r="K202" s="373"/>
      <c r="L202" s="373"/>
      <c r="M202" s="373"/>
      <c r="N202" s="373"/>
      <c r="O202" s="373"/>
      <c r="P202" s="373"/>
      <c r="Q202" s="373"/>
      <c r="R202" s="373"/>
      <c r="S202" s="373"/>
      <c r="T202" s="373"/>
      <c r="U202" s="373"/>
      <c r="V202" s="373"/>
      <c r="W202" s="373"/>
      <c r="X202" s="373"/>
      <c r="Y202" s="373"/>
      <c r="Z202" s="373"/>
      <c r="AA202" s="169"/>
      <c r="AB202" s="159" t="s">
        <v>281</v>
      </c>
      <c r="AD202" s="172" t="s">
        <v>249</v>
      </c>
      <c r="AE202" s="167"/>
      <c r="AF202" s="164">
        <f t="shared" si="41"/>
        <v>1</v>
      </c>
      <c r="AG202" s="164">
        <f>IF(AND(SUM(AF:AF)&gt;0,OR(AND(B202=1,E202=""),AND(B202="",E202=""),AND(B202="",E202&lt;&gt;""),AND(B202=0,E202&lt;&gt;""))),1,0)</f>
        <v>0</v>
      </c>
      <c r="AI202" s="190">
        <v>1</v>
      </c>
    </row>
    <row r="203" spans="1:35" ht="21" hidden="1" customHeight="1" x14ac:dyDescent="0.2">
      <c r="A203" s="163" t="str">
        <f t="shared" si="36"/>
        <v/>
      </c>
      <c r="B203" s="164">
        <v>0</v>
      </c>
      <c r="D203" s="379" t="s">
        <v>258</v>
      </c>
      <c r="E203" s="379"/>
      <c r="F203" s="379"/>
      <c r="G203" s="379"/>
      <c r="H203" s="379"/>
      <c r="I203" s="379"/>
      <c r="J203" s="379"/>
      <c r="K203" s="379"/>
      <c r="L203" s="379"/>
      <c r="M203" s="379"/>
      <c r="N203" s="379"/>
      <c r="O203" s="379"/>
      <c r="P203" s="379"/>
      <c r="Q203" s="379"/>
      <c r="R203" s="379"/>
      <c r="S203" s="379"/>
      <c r="T203" s="379"/>
      <c r="U203" s="379"/>
      <c r="V203" s="379"/>
      <c r="W203" s="379"/>
      <c r="X203" s="379"/>
      <c r="Y203" s="379"/>
      <c r="Z203" s="379"/>
      <c r="AB203" s="166" t="s">
        <v>259</v>
      </c>
      <c r="AD203" s="165" t="s">
        <v>260</v>
      </c>
      <c r="AE203" s="134"/>
      <c r="AF203" s="22"/>
      <c r="AG203" s="22"/>
      <c r="AI203" s="190">
        <v>1</v>
      </c>
    </row>
    <row r="204" spans="1:35" ht="15.75" hidden="1" customHeight="1" x14ac:dyDescent="0.2">
      <c r="A204" s="163"/>
      <c r="B204" s="164">
        <v>0</v>
      </c>
      <c r="D204" s="369" t="s">
        <v>261</v>
      </c>
      <c r="E204" s="369"/>
      <c r="F204" s="369"/>
      <c r="G204" s="369"/>
      <c r="H204" s="369"/>
      <c r="I204" s="369"/>
      <c r="J204" s="369"/>
      <c r="K204" s="369"/>
      <c r="L204" s="369"/>
      <c r="M204" s="369"/>
      <c r="N204" s="369"/>
      <c r="O204" s="369"/>
      <c r="P204" s="369"/>
      <c r="Q204" s="369"/>
      <c r="R204" s="369"/>
      <c r="S204" s="369"/>
      <c r="T204" s="369"/>
      <c r="U204" s="369"/>
      <c r="V204" s="369"/>
      <c r="W204" s="369"/>
      <c r="X204" s="369"/>
      <c r="Y204" s="369"/>
      <c r="Z204" s="369"/>
      <c r="AB204" s="166" t="s">
        <v>259</v>
      </c>
      <c r="AD204" s="165" t="s">
        <v>260</v>
      </c>
      <c r="AE204" s="134"/>
      <c r="AF204" s="22"/>
      <c r="AG204" s="22"/>
      <c r="AI204" s="190">
        <v>1</v>
      </c>
    </row>
    <row r="205" spans="1:35" ht="8.5" hidden="1" customHeight="1" x14ac:dyDescent="0.15">
      <c r="A205" s="163" t="str">
        <f>IF(AG205=1,"X","")</f>
        <v/>
      </c>
      <c r="B205" s="164">
        <f>IF(OR(D206="Show",Q206="Show"),1,0)</f>
        <v>0</v>
      </c>
      <c r="D205" s="368"/>
      <c r="E205" s="368"/>
      <c r="F205" s="368"/>
      <c r="G205" s="368"/>
      <c r="H205" s="368"/>
      <c r="I205" s="368"/>
      <c r="J205" s="368"/>
      <c r="K205" s="368"/>
      <c r="L205" s="368"/>
      <c r="M205" s="368"/>
      <c r="N205" s="368"/>
      <c r="O205" s="368"/>
      <c r="P205" s="368"/>
      <c r="Q205" s="368"/>
      <c r="R205" s="368"/>
      <c r="S205" s="368"/>
      <c r="T205" s="368"/>
      <c r="U205" s="368"/>
      <c r="V205" s="368"/>
      <c r="W205" s="368"/>
      <c r="X205" s="368"/>
      <c r="Y205" s="368"/>
      <c r="Z205" s="368"/>
      <c r="AD205" s="165" t="s">
        <v>227</v>
      </c>
      <c r="AE205" s="156"/>
      <c r="AF205" s="22"/>
      <c r="AG205" s="22"/>
      <c r="AI205" s="190">
        <v>1</v>
      </c>
    </row>
    <row r="206" spans="1:35" ht="18" hidden="1" customHeight="1" x14ac:dyDescent="0.2">
      <c r="A206" s="163" t="str">
        <f t="shared" ref="A206:A209" si="42">IF(AG206=1,"X","")</f>
        <v/>
      </c>
      <c r="B206" s="164">
        <v>0</v>
      </c>
      <c r="D206" s="370" t="s">
        <v>267</v>
      </c>
      <c r="E206" s="370"/>
      <c r="F206" s="370"/>
      <c r="G206" s="370"/>
      <c r="H206" s="370"/>
      <c r="I206" s="370"/>
      <c r="J206" s="370"/>
      <c r="K206" s="370"/>
      <c r="L206" s="370"/>
      <c r="M206" s="370"/>
      <c r="N206" s="370"/>
      <c r="O206" s="175"/>
      <c r="P206" s="175"/>
      <c r="Q206" s="370" t="s">
        <v>267</v>
      </c>
      <c r="R206" s="370"/>
      <c r="S206" s="370"/>
      <c r="T206" s="370"/>
      <c r="U206" s="370"/>
      <c r="V206" s="370"/>
      <c r="W206" s="370"/>
      <c r="X206" s="370"/>
      <c r="Y206" s="370"/>
      <c r="Z206" s="370"/>
      <c r="AA206" s="176"/>
      <c r="AB206" s="159" t="s">
        <v>262</v>
      </c>
      <c r="AD206" s="172" t="s">
        <v>249</v>
      </c>
      <c r="AE206" s="134"/>
      <c r="AF206" s="164">
        <f>IF(OR(D206="Show",D206="",Q206="Show",Q206=""),1,0)</f>
        <v>0</v>
      </c>
      <c r="AG206" s="164">
        <f>IF(AND(SUM(AF:AF)&gt;0,OR(D206="",Q206="")),1,0)</f>
        <v>0</v>
      </c>
      <c r="AI206" s="190">
        <v>1</v>
      </c>
    </row>
    <row r="207" spans="1:35" ht="197.25" hidden="1" customHeight="1" x14ac:dyDescent="0.2">
      <c r="A207" s="163" t="str">
        <f t="shared" si="42"/>
        <v/>
      </c>
      <c r="B207" s="164">
        <f>B205</f>
        <v>0</v>
      </c>
      <c r="D207" s="370"/>
      <c r="E207" s="370"/>
      <c r="F207" s="370"/>
      <c r="G207" s="370"/>
      <c r="H207" s="370"/>
      <c r="I207" s="370"/>
      <c r="J207" s="370"/>
      <c r="K207" s="370"/>
      <c r="L207" s="370"/>
      <c r="M207" s="370"/>
      <c r="N207" s="370"/>
      <c r="O207" s="175"/>
      <c r="P207" s="175"/>
      <c r="Q207" s="370"/>
      <c r="R207" s="370"/>
      <c r="S207" s="370"/>
      <c r="T207" s="370"/>
      <c r="U207" s="370"/>
      <c r="V207" s="370"/>
      <c r="W207" s="370"/>
      <c r="X207" s="370"/>
      <c r="Y207" s="370"/>
      <c r="Z207" s="370"/>
      <c r="AA207" s="176"/>
      <c r="AB207" s="159" t="s">
        <v>263</v>
      </c>
      <c r="AD207" s="172" t="s">
        <v>249</v>
      </c>
      <c r="AE207" s="167"/>
      <c r="AF207" s="22"/>
      <c r="AG207" s="22"/>
      <c r="AI207" s="190">
        <v>1</v>
      </c>
    </row>
    <row r="208" spans="1:35" ht="18" hidden="1" customHeight="1" x14ac:dyDescent="0.2">
      <c r="A208" s="163" t="str">
        <f t="shared" si="42"/>
        <v/>
      </c>
      <c r="B208" s="164">
        <f>B207</f>
        <v>0</v>
      </c>
      <c r="D208" s="371"/>
      <c r="E208" s="371"/>
      <c r="F208" s="371"/>
      <c r="G208" s="371"/>
      <c r="H208" s="371"/>
      <c r="I208" s="371"/>
      <c r="J208" s="371"/>
      <c r="K208" s="371"/>
      <c r="L208" s="371"/>
      <c r="M208" s="371"/>
      <c r="N208" s="371"/>
      <c r="O208" s="175"/>
      <c r="P208" s="175"/>
      <c r="Q208" s="371"/>
      <c r="R208" s="371"/>
      <c r="S208" s="371"/>
      <c r="T208" s="371"/>
      <c r="U208" s="371"/>
      <c r="V208" s="371"/>
      <c r="W208" s="371"/>
      <c r="X208" s="371"/>
      <c r="Y208" s="371"/>
      <c r="Z208" s="371"/>
      <c r="AA208" s="176"/>
      <c r="AB208" s="159" t="s">
        <v>264</v>
      </c>
      <c r="AD208" s="172" t="s">
        <v>249</v>
      </c>
      <c r="AE208" s="167"/>
      <c r="AF208" s="164">
        <f>IF(OR(D206="Show",D206="",Q206="Show",Q206=""),1,0)</f>
        <v>0</v>
      </c>
      <c r="AG208" s="164">
        <f>IF(AND(SUM(AF:AF)&gt;0,OR(AND(D206="Show",D208=""),AND(Q206="Show",Q208=""))),1,0)</f>
        <v>0</v>
      </c>
      <c r="AI208" s="190">
        <v>1</v>
      </c>
    </row>
    <row r="209" spans="1:35" ht="8.5" hidden="1" customHeight="1" x14ac:dyDescent="0.15">
      <c r="A209" s="163" t="str">
        <f t="shared" si="42"/>
        <v/>
      </c>
      <c r="B209" s="164">
        <f>B208</f>
        <v>0</v>
      </c>
      <c r="D209" s="368"/>
      <c r="E209" s="368"/>
      <c r="F209" s="368"/>
      <c r="G209" s="368"/>
      <c r="H209" s="368"/>
      <c r="I209" s="368"/>
      <c r="J209" s="368"/>
      <c r="K209" s="368"/>
      <c r="L209" s="368"/>
      <c r="M209" s="368"/>
      <c r="N209" s="368"/>
      <c r="O209" s="368"/>
      <c r="P209" s="368"/>
      <c r="Q209" s="368"/>
      <c r="R209" s="368"/>
      <c r="S209" s="368"/>
      <c r="T209" s="368"/>
      <c r="U209" s="368"/>
      <c r="V209" s="368"/>
      <c r="W209" s="368"/>
      <c r="X209" s="368"/>
      <c r="Y209" s="368"/>
      <c r="Z209" s="368"/>
      <c r="AA209" s="176"/>
      <c r="AD209" s="165" t="s">
        <v>227</v>
      </c>
      <c r="AE209" s="156"/>
      <c r="AF209" s="22"/>
      <c r="AG209" s="22"/>
      <c r="AI209" s="190">
        <v>1</v>
      </c>
    </row>
    <row r="210" spans="1:35" ht="15.75" hidden="1" customHeight="1" x14ac:dyDescent="0.2">
      <c r="A210" s="163"/>
      <c r="B210" s="164">
        <v>0</v>
      </c>
      <c r="D210" s="369" t="s">
        <v>265</v>
      </c>
      <c r="E210" s="369"/>
      <c r="F210" s="369"/>
      <c r="G210" s="369"/>
      <c r="H210" s="369"/>
      <c r="I210" s="369"/>
      <c r="J210" s="369"/>
      <c r="K210" s="369"/>
      <c r="L210" s="369"/>
      <c r="M210" s="369"/>
      <c r="N210" s="369"/>
      <c r="O210" s="369"/>
      <c r="P210" s="369"/>
      <c r="Q210" s="369"/>
      <c r="R210" s="369"/>
      <c r="S210" s="369"/>
      <c r="T210" s="369"/>
      <c r="U210" s="369"/>
      <c r="V210" s="369"/>
      <c r="W210" s="369"/>
      <c r="X210" s="369"/>
      <c r="Y210" s="369"/>
      <c r="Z210" s="369"/>
      <c r="AB210" s="166" t="s">
        <v>259</v>
      </c>
      <c r="AD210" s="165" t="s">
        <v>260</v>
      </c>
      <c r="AE210" s="134"/>
      <c r="AF210" s="22"/>
      <c r="AG210" s="22"/>
      <c r="AI210" s="190">
        <v>1</v>
      </c>
    </row>
    <row r="211" spans="1:35" ht="21" customHeight="1" x14ac:dyDescent="0.15">
      <c r="A211" s="163" t="str">
        <f t="shared" ref="A211:A219" si="43">IF(AG211=1,"X","")</f>
        <v/>
      </c>
      <c r="B211" s="164">
        <v>1</v>
      </c>
      <c r="D211" s="380" t="s">
        <v>314</v>
      </c>
      <c r="E211" s="380"/>
      <c r="F211" s="380"/>
      <c r="G211" s="380"/>
      <c r="H211" s="380"/>
      <c r="I211" s="380"/>
      <c r="J211" s="380"/>
      <c r="K211" s="380"/>
      <c r="L211" s="380"/>
      <c r="M211" s="380"/>
      <c r="N211" s="380"/>
      <c r="O211" s="380"/>
      <c r="P211" s="380"/>
      <c r="Q211" s="380"/>
      <c r="R211" s="380"/>
      <c r="S211" s="380"/>
      <c r="T211" s="380"/>
      <c r="U211" s="380"/>
      <c r="V211" s="380"/>
      <c r="W211" s="380"/>
      <c r="X211" s="380"/>
      <c r="Y211" s="380"/>
      <c r="Z211" s="380"/>
      <c r="AB211" s="166" t="s">
        <v>462</v>
      </c>
      <c r="AD211" s="165" t="s">
        <v>463</v>
      </c>
      <c r="AE211" s="134"/>
      <c r="AF211" s="22"/>
      <c r="AG211" s="22"/>
      <c r="AI211" s="190">
        <v>1</v>
      </c>
    </row>
    <row r="212" spans="1:35" s="180" customFormat="1" ht="18" customHeight="1" x14ac:dyDescent="0.2">
      <c r="A212" s="163" t="str">
        <f t="shared" ref="A212:A214" si="44">IF(AG212=1,"X","")</f>
        <v/>
      </c>
      <c r="B212" s="170">
        <v>1</v>
      </c>
      <c r="C212" s="152"/>
      <c r="D212" s="378" t="s">
        <v>401</v>
      </c>
      <c r="E212" s="378"/>
      <c r="F212" s="378"/>
      <c r="G212" s="378"/>
      <c r="H212" s="378"/>
      <c r="I212" s="378"/>
      <c r="J212" s="378"/>
      <c r="K212" s="378"/>
      <c r="L212" s="378"/>
      <c r="M212" s="378"/>
      <c r="N212" s="378"/>
      <c r="O212" s="378"/>
      <c r="P212" s="378"/>
      <c r="Q212" s="378"/>
      <c r="R212" s="378"/>
      <c r="S212" s="378"/>
      <c r="T212" s="378"/>
      <c r="U212" s="378"/>
      <c r="V212" s="378"/>
      <c r="W212" s="378"/>
      <c r="X212" s="378"/>
      <c r="Y212" s="378"/>
      <c r="Z212" s="378"/>
      <c r="AA212" s="169"/>
      <c r="AB212" s="159" t="s">
        <v>281</v>
      </c>
      <c r="AD212" s="172" t="s">
        <v>249</v>
      </c>
      <c r="AE212" s="167"/>
      <c r="AF212" s="164">
        <f t="shared" ref="AF212:AF215" si="45">IF(B212&lt;&gt;"",1,0)</f>
        <v>1</v>
      </c>
      <c r="AG212" s="164">
        <f>IF(AND(SUM(AF:AF)&gt;0,B212=""),1,0)</f>
        <v>0</v>
      </c>
      <c r="AI212" s="190">
        <v>1</v>
      </c>
    </row>
    <row r="213" spans="1:35" s="180" customFormat="1" ht="18" hidden="1" customHeight="1" x14ac:dyDescent="0.2">
      <c r="A213" s="163" t="str">
        <f t="shared" si="44"/>
        <v/>
      </c>
      <c r="B213" s="170">
        <v>0</v>
      </c>
      <c r="C213" s="152"/>
      <c r="D213" s="378" t="s">
        <v>402</v>
      </c>
      <c r="E213" s="378"/>
      <c r="F213" s="378"/>
      <c r="G213" s="378"/>
      <c r="H213" s="378"/>
      <c r="I213" s="378"/>
      <c r="J213" s="378"/>
      <c r="K213" s="378"/>
      <c r="L213" s="378"/>
      <c r="M213" s="378"/>
      <c r="N213" s="378"/>
      <c r="O213" s="378"/>
      <c r="P213" s="378"/>
      <c r="Q213" s="378"/>
      <c r="R213" s="378"/>
      <c r="S213" s="378"/>
      <c r="T213" s="378"/>
      <c r="U213" s="378"/>
      <c r="V213" s="378"/>
      <c r="W213" s="378"/>
      <c r="X213" s="378"/>
      <c r="Y213" s="378"/>
      <c r="Z213" s="378"/>
      <c r="AA213" s="169"/>
      <c r="AB213" s="159" t="s">
        <v>281</v>
      </c>
      <c r="AD213" s="172" t="s">
        <v>249</v>
      </c>
      <c r="AE213" s="167"/>
      <c r="AF213" s="164">
        <f t="shared" si="45"/>
        <v>1</v>
      </c>
      <c r="AG213" s="164">
        <f>IF(AND(SUM(AF:AF)&gt;0,B213=""),1,0)</f>
        <v>0</v>
      </c>
      <c r="AI213" s="190">
        <v>1</v>
      </c>
    </row>
    <row r="214" spans="1:35" s="180" customFormat="1" ht="18" hidden="1" customHeight="1" x14ac:dyDescent="0.2">
      <c r="A214" s="163" t="str">
        <f t="shared" si="44"/>
        <v/>
      </c>
      <c r="B214" s="170">
        <v>0</v>
      </c>
      <c r="C214" s="152"/>
      <c r="D214" s="179" t="s">
        <v>252</v>
      </c>
      <c r="E214" s="378" t="s">
        <v>318</v>
      </c>
      <c r="F214" s="378"/>
      <c r="G214" s="378"/>
      <c r="H214" s="378"/>
      <c r="I214" s="378"/>
      <c r="J214" s="378"/>
      <c r="K214" s="378"/>
      <c r="L214" s="378"/>
      <c r="M214" s="378"/>
      <c r="N214" s="378"/>
      <c r="O214" s="378"/>
      <c r="P214" s="378"/>
      <c r="Q214" s="378"/>
      <c r="R214" s="378"/>
      <c r="S214" s="378"/>
      <c r="T214" s="378"/>
      <c r="U214" s="378"/>
      <c r="V214" s="378"/>
      <c r="W214" s="378"/>
      <c r="X214" s="378"/>
      <c r="Y214" s="378"/>
      <c r="Z214" s="378"/>
      <c r="AA214" s="169"/>
      <c r="AB214" s="159" t="s">
        <v>281</v>
      </c>
      <c r="AD214" s="172" t="s">
        <v>249</v>
      </c>
      <c r="AE214" s="167"/>
      <c r="AF214" s="164">
        <f t="shared" si="45"/>
        <v>1</v>
      </c>
      <c r="AG214" s="164">
        <f>IF(AND(SUM(AF:AF)&gt;0,B214=""),1,0)</f>
        <v>0</v>
      </c>
      <c r="AI214" s="190">
        <v>1</v>
      </c>
    </row>
    <row r="215" spans="1:35" s="180" customFormat="1" ht="18" customHeight="1" x14ac:dyDescent="0.2">
      <c r="A215" s="163" t="str">
        <f t="shared" si="43"/>
        <v/>
      </c>
      <c r="B215" s="170">
        <v>1</v>
      </c>
      <c r="C215" s="152"/>
      <c r="D215" s="179" t="s">
        <v>252</v>
      </c>
      <c r="E215" s="378" t="s">
        <v>405</v>
      </c>
      <c r="F215" s="378"/>
      <c r="G215" s="378"/>
      <c r="H215" s="378"/>
      <c r="I215" s="378"/>
      <c r="J215" s="378"/>
      <c r="K215" s="378"/>
      <c r="L215" s="378"/>
      <c r="M215" s="378"/>
      <c r="N215" s="378"/>
      <c r="O215" s="378"/>
      <c r="P215" s="378"/>
      <c r="Q215" s="378"/>
      <c r="R215" s="378"/>
      <c r="S215" s="378"/>
      <c r="T215" s="378"/>
      <c r="U215" s="378"/>
      <c r="V215" s="378"/>
      <c r="W215" s="378"/>
      <c r="X215" s="378"/>
      <c r="Y215" s="378"/>
      <c r="Z215" s="378"/>
      <c r="AA215" s="169"/>
      <c r="AB215" s="159" t="s">
        <v>281</v>
      </c>
      <c r="AD215" s="172" t="s">
        <v>249</v>
      </c>
      <c r="AE215" s="167"/>
      <c r="AF215" s="164">
        <f t="shared" si="45"/>
        <v>1</v>
      </c>
      <c r="AG215" s="164">
        <f>IF(AND(SUM(AF:AF)&gt;0,B215=""),1,0)</f>
        <v>0</v>
      </c>
      <c r="AI215" s="190">
        <v>1</v>
      </c>
    </row>
    <row r="216" spans="1:35" s="180" customFormat="1" ht="18.5" hidden="1" customHeight="1" x14ac:dyDescent="0.2">
      <c r="A216" s="163" t="str">
        <f t="shared" si="43"/>
        <v/>
      </c>
      <c r="B216" s="164">
        <v>0</v>
      </c>
      <c r="C216" s="152"/>
      <c r="D216" s="179" t="s">
        <v>252</v>
      </c>
      <c r="E216" s="378" t="s">
        <v>312</v>
      </c>
      <c r="F216" s="378"/>
      <c r="G216" s="378"/>
      <c r="H216" s="378"/>
      <c r="I216" s="378"/>
      <c r="J216" s="378"/>
      <c r="K216" s="378"/>
      <c r="L216" s="378"/>
      <c r="M216" s="378"/>
      <c r="N216" s="378"/>
      <c r="O216" s="378"/>
      <c r="P216" s="378"/>
      <c r="Q216" s="378"/>
      <c r="R216" s="378"/>
      <c r="S216" s="378"/>
      <c r="T216" s="378"/>
      <c r="U216" s="378"/>
      <c r="V216" s="378"/>
      <c r="W216" s="378"/>
      <c r="X216" s="378"/>
      <c r="Y216" s="378"/>
      <c r="Z216" s="378"/>
      <c r="AA216" s="168"/>
      <c r="AB216" s="166" t="s">
        <v>259</v>
      </c>
      <c r="AD216" s="165" t="s">
        <v>260</v>
      </c>
      <c r="AE216" s="134"/>
      <c r="AF216" s="22"/>
      <c r="AG216" s="22"/>
      <c r="AI216" s="190">
        <v>1</v>
      </c>
    </row>
    <row r="217" spans="1:35" s="180" customFormat="1" ht="18" customHeight="1" x14ac:dyDescent="0.2">
      <c r="A217" s="163" t="str">
        <f t="shared" si="43"/>
        <v/>
      </c>
      <c r="B217" s="170">
        <v>1</v>
      </c>
      <c r="C217" s="152"/>
      <c r="D217" s="179" t="s">
        <v>252</v>
      </c>
      <c r="E217" s="373" t="s">
        <v>588</v>
      </c>
      <c r="F217" s="373"/>
      <c r="G217" s="373"/>
      <c r="H217" s="373"/>
      <c r="I217" s="373"/>
      <c r="J217" s="373"/>
      <c r="K217" s="373"/>
      <c r="L217" s="373"/>
      <c r="M217" s="373"/>
      <c r="N217" s="373"/>
      <c r="O217" s="373"/>
      <c r="P217" s="373"/>
      <c r="Q217" s="373"/>
      <c r="R217" s="373"/>
      <c r="S217" s="373"/>
      <c r="T217" s="373"/>
      <c r="U217" s="373"/>
      <c r="V217" s="373"/>
      <c r="W217" s="373"/>
      <c r="X217" s="373"/>
      <c r="Y217" s="373"/>
      <c r="Z217" s="373"/>
      <c r="AA217" s="169"/>
      <c r="AB217" s="159" t="s">
        <v>281</v>
      </c>
      <c r="AD217" s="172" t="s">
        <v>249</v>
      </c>
      <c r="AE217" s="167"/>
      <c r="AF217" s="164">
        <f t="shared" ref="AF217:AF219" si="46">IF(B217&lt;&gt;"",1,0)</f>
        <v>1</v>
      </c>
      <c r="AG217" s="164">
        <f>IF(AND(SUM(AF:AF)&gt;0,OR(AND(B217=1,E217=""),AND(B217="",E217=""),AND(B217="",E217&lt;&gt;""),AND(B217=0,E217&lt;&gt;""))),1,0)</f>
        <v>0</v>
      </c>
      <c r="AI217" s="190">
        <v>1</v>
      </c>
    </row>
    <row r="218" spans="1:35" s="180" customFormat="1" ht="18" hidden="1" customHeight="1" x14ac:dyDescent="0.2">
      <c r="A218" s="163" t="str">
        <f t="shared" si="43"/>
        <v/>
      </c>
      <c r="B218" s="170">
        <v>0</v>
      </c>
      <c r="C218" s="152"/>
      <c r="D218" s="179" t="s">
        <v>252</v>
      </c>
      <c r="E218" s="373"/>
      <c r="F218" s="373"/>
      <c r="G218" s="373"/>
      <c r="H218" s="373"/>
      <c r="I218" s="373"/>
      <c r="J218" s="373"/>
      <c r="K218" s="373"/>
      <c r="L218" s="373"/>
      <c r="M218" s="373"/>
      <c r="N218" s="373"/>
      <c r="O218" s="373"/>
      <c r="P218" s="373"/>
      <c r="Q218" s="373"/>
      <c r="R218" s="373"/>
      <c r="S218" s="373"/>
      <c r="T218" s="373"/>
      <c r="U218" s="373"/>
      <c r="V218" s="373"/>
      <c r="W218" s="373"/>
      <c r="X218" s="373"/>
      <c r="Y218" s="373"/>
      <c r="Z218" s="373"/>
      <c r="AA218" s="169"/>
      <c r="AB218" s="159" t="s">
        <v>281</v>
      </c>
      <c r="AD218" s="172" t="s">
        <v>249</v>
      </c>
      <c r="AE218" s="167"/>
      <c r="AF218" s="164">
        <f t="shared" si="46"/>
        <v>1</v>
      </c>
      <c r="AG218" s="164">
        <f>IF(AND(SUM(AF:AF)&gt;0,OR(AND(B218=1,E218=""),AND(B218="",E218=""),AND(B218="",E218&lt;&gt;""),AND(B218=0,E218&lt;&gt;""))),1,0)</f>
        <v>0</v>
      </c>
      <c r="AI218" s="190">
        <v>1</v>
      </c>
    </row>
    <row r="219" spans="1:35" s="180" customFormat="1" ht="18" hidden="1" customHeight="1" x14ac:dyDescent="0.2">
      <c r="A219" s="163" t="str">
        <f t="shared" si="43"/>
        <v/>
      </c>
      <c r="B219" s="170">
        <v>0</v>
      </c>
      <c r="C219" s="152"/>
      <c r="D219" s="179" t="s">
        <v>252</v>
      </c>
      <c r="E219" s="373"/>
      <c r="F219" s="373"/>
      <c r="G219" s="373"/>
      <c r="H219" s="373"/>
      <c r="I219" s="373"/>
      <c r="J219" s="373"/>
      <c r="K219" s="373"/>
      <c r="L219" s="373"/>
      <c r="M219" s="373"/>
      <c r="N219" s="373"/>
      <c r="O219" s="373"/>
      <c r="P219" s="373"/>
      <c r="Q219" s="373"/>
      <c r="R219" s="373"/>
      <c r="S219" s="373"/>
      <c r="T219" s="373"/>
      <c r="U219" s="373"/>
      <c r="V219" s="373"/>
      <c r="W219" s="373"/>
      <c r="X219" s="373"/>
      <c r="Y219" s="373"/>
      <c r="Z219" s="373"/>
      <c r="AA219" s="169"/>
      <c r="AB219" s="159" t="s">
        <v>281</v>
      </c>
      <c r="AD219" s="172" t="s">
        <v>249</v>
      </c>
      <c r="AE219" s="167"/>
      <c r="AF219" s="164">
        <f t="shared" si="46"/>
        <v>1</v>
      </c>
      <c r="AG219" s="164">
        <f>IF(AND(SUM(AF:AF)&gt;0,OR(AND(B219=1,E219=""),AND(B219="",E219=""),AND(B219="",E219&lt;&gt;""),AND(B219=0,E219&lt;&gt;""))),1,0)</f>
        <v>0</v>
      </c>
      <c r="AI219" s="190">
        <v>1</v>
      </c>
    </row>
    <row r="220" spans="1:35" s="180" customFormat="1" ht="18" customHeight="1" x14ac:dyDescent="0.2">
      <c r="A220" s="163" t="str">
        <f t="shared" ref="A220:A221" si="47">IF(AG220=1,"X","")</f>
        <v/>
      </c>
      <c r="B220" s="170">
        <v>1</v>
      </c>
      <c r="C220" s="152"/>
      <c r="D220" s="375" t="s">
        <v>320</v>
      </c>
      <c r="E220" s="375"/>
      <c r="F220" s="375"/>
      <c r="G220" s="375"/>
      <c r="H220" s="375"/>
      <c r="I220" s="375"/>
      <c r="J220" s="375"/>
      <c r="K220" s="375"/>
      <c r="L220" s="375"/>
      <c r="M220" s="375"/>
      <c r="N220" s="375"/>
      <c r="O220" s="375"/>
      <c r="P220" s="375"/>
      <c r="Q220" s="375"/>
      <c r="R220" s="187">
        <v>21</v>
      </c>
      <c r="S220" s="378" t="s">
        <v>321</v>
      </c>
      <c r="T220" s="378"/>
      <c r="U220" s="378"/>
      <c r="V220" s="378"/>
      <c r="W220" s="378"/>
      <c r="X220" s="378"/>
      <c r="Y220" s="378"/>
      <c r="Z220" s="378"/>
      <c r="AA220" s="169"/>
      <c r="AB220" s="159" t="s">
        <v>281</v>
      </c>
      <c r="AD220" s="172" t="s">
        <v>249</v>
      </c>
      <c r="AE220" s="167"/>
      <c r="AF220" s="164">
        <f t="shared" ref="AF220" si="48">IF(B220&lt;&gt;"",1,0)</f>
        <v>1</v>
      </c>
      <c r="AG220" s="164">
        <f>IF(AND(SUM(AF:AF)&gt;0,OR(AND(B220=1,R220=""),AND(B220="",R220=""),AND(B220="",R220&lt;&gt;""),AND(B220=0,R220&lt;&gt;""))),1,0)</f>
        <v>0</v>
      </c>
      <c r="AI220" s="190">
        <v>1</v>
      </c>
    </row>
    <row r="221" spans="1:35" ht="21" hidden="1" customHeight="1" x14ac:dyDescent="0.2">
      <c r="A221" s="163" t="str">
        <f t="shared" si="47"/>
        <v/>
      </c>
      <c r="B221" s="164">
        <v>0</v>
      </c>
      <c r="D221" s="379" t="s">
        <v>258</v>
      </c>
      <c r="E221" s="379"/>
      <c r="F221" s="379"/>
      <c r="G221" s="379"/>
      <c r="H221" s="379"/>
      <c r="I221" s="379"/>
      <c r="J221" s="379"/>
      <c r="K221" s="379"/>
      <c r="L221" s="379"/>
      <c r="M221" s="379"/>
      <c r="N221" s="379"/>
      <c r="O221" s="379"/>
      <c r="P221" s="379"/>
      <c r="Q221" s="379"/>
      <c r="R221" s="379"/>
      <c r="S221" s="379"/>
      <c r="T221" s="379"/>
      <c r="U221" s="379"/>
      <c r="V221" s="379"/>
      <c r="W221" s="379"/>
      <c r="X221" s="379"/>
      <c r="Y221" s="379"/>
      <c r="Z221" s="379"/>
      <c r="AB221" s="166" t="s">
        <v>259</v>
      </c>
      <c r="AD221" s="165" t="s">
        <v>260</v>
      </c>
      <c r="AE221" s="134"/>
      <c r="AF221" s="22"/>
      <c r="AG221" s="22"/>
      <c r="AI221" s="190">
        <v>1</v>
      </c>
    </row>
    <row r="222" spans="1:35" ht="15.75" hidden="1" customHeight="1" x14ac:dyDescent="0.2">
      <c r="A222" s="163"/>
      <c r="B222" s="164">
        <v>0</v>
      </c>
      <c r="D222" s="369" t="s">
        <v>261</v>
      </c>
      <c r="E222" s="369"/>
      <c r="F222" s="369"/>
      <c r="G222" s="369"/>
      <c r="H222" s="369"/>
      <c r="I222" s="369"/>
      <c r="J222" s="369"/>
      <c r="K222" s="369"/>
      <c r="L222" s="369"/>
      <c r="M222" s="369"/>
      <c r="N222" s="369"/>
      <c r="O222" s="369"/>
      <c r="P222" s="369"/>
      <c r="Q222" s="369"/>
      <c r="R222" s="369"/>
      <c r="S222" s="369"/>
      <c r="T222" s="369"/>
      <c r="U222" s="369"/>
      <c r="V222" s="369"/>
      <c r="W222" s="369"/>
      <c r="X222" s="369"/>
      <c r="Y222" s="369"/>
      <c r="Z222" s="369"/>
      <c r="AB222" s="166" t="s">
        <v>259</v>
      </c>
      <c r="AD222" s="165" t="s">
        <v>260</v>
      </c>
      <c r="AE222" s="134"/>
      <c r="AF222" s="22"/>
      <c r="AG222" s="22"/>
      <c r="AI222" s="190">
        <v>1</v>
      </c>
    </row>
    <row r="223" spans="1:35" ht="8.5" customHeight="1" x14ac:dyDescent="0.15">
      <c r="A223" s="163" t="str">
        <f>IF(AG223=1,"X","")</f>
        <v/>
      </c>
      <c r="B223" s="164">
        <f>IF(OR(D224="Show",Q224="Show"),1,0)</f>
        <v>1</v>
      </c>
      <c r="D223" s="368"/>
      <c r="E223" s="368"/>
      <c r="F223" s="368"/>
      <c r="G223" s="368"/>
      <c r="H223" s="368"/>
      <c r="I223" s="368"/>
      <c r="J223" s="368"/>
      <c r="K223" s="368"/>
      <c r="L223" s="368"/>
      <c r="M223" s="368"/>
      <c r="N223" s="368"/>
      <c r="O223" s="368"/>
      <c r="P223" s="368"/>
      <c r="Q223" s="368"/>
      <c r="R223" s="368"/>
      <c r="S223" s="368"/>
      <c r="T223" s="368"/>
      <c r="U223" s="368"/>
      <c r="V223" s="368"/>
      <c r="W223" s="368"/>
      <c r="X223" s="368"/>
      <c r="Y223" s="368"/>
      <c r="Z223" s="368"/>
      <c r="AD223" s="165" t="s">
        <v>227</v>
      </c>
      <c r="AE223" s="156"/>
      <c r="AF223" s="22"/>
      <c r="AG223" s="22"/>
      <c r="AI223" s="190">
        <v>1</v>
      </c>
    </row>
    <row r="224" spans="1:35" ht="18" hidden="1" customHeight="1" x14ac:dyDescent="0.2">
      <c r="A224" s="163" t="str">
        <f t="shared" ref="A224:A227" si="49">IF(AG224=1,"X","")</f>
        <v/>
      </c>
      <c r="B224" s="164">
        <v>0</v>
      </c>
      <c r="D224" s="370" t="s">
        <v>469</v>
      </c>
      <c r="E224" s="370"/>
      <c r="F224" s="370"/>
      <c r="G224" s="370"/>
      <c r="H224" s="370"/>
      <c r="I224" s="370"/>
      <c r="J224" s="370"/>
      <c r="K224" s="370"/>
      <c r="L224" s="370"/>
      <c r="M224" s="370"/>
      <c r="N224" s="370"/>
      <c r="O224" s="175"/>
      <c r="P224" s="175"/>
      <c r="Q224" s="370" t="s">
        <v>469</v>
      </c>
      <c r="R224" s="370"/>
      <c r="S224" s="370"/>
      <c r="T224" s="370"/>
      <c r="U224" s="370"/>
      <c r="V224" s="370"/>
      <c r="W224" s="370"/>
      <c r="X224" s="370"/>
      <c r="Y224" s="370"/>
      <c r="Z224" s="370"/>
      <c r="AA224" s="176"/>
      <c r="AB224" s="159" t="s">
        <v>262</v>
      </c>
      <c r="AD224" s="172" t="s">
        <v>249</v>
      </c>
      <c r="AE224" s="134"/>
      <c r="AF224" s="164">
        <f>IF(OR(D224="Show",D224="",Q224="Show",Q224=""),1,0)</f>
        <v>1</v>
      </c>
      <c r="AG224" s="164">
        <f>IF(AND(SUM(AF:AF)&gt;0,OR(D224="",Q224="")),1,0)</f>
        <v>0</v>
      </c>
      <c r="AI224" s="190">
        <v>1</v>
      </c>
    </row>
    <row r="225" spans="1:35" ht="197.25" customHeight="1" x14ac:dyDescent="0.2">
      <c r="A225" s="163" t="str">
        <f t="shared" si="49"/>
        <v/>
      </c>
      <c r="B225" s="164">
        <f>B223</f>
        <v>1</v>
      </c>
      <c r="D225" s="370"/>
      <c r="E225" s="370"/>
      <c r="F225" s="370"/>
      <c r="G225" s="370"/>
      <c r="H225" s="370"/>
      <c r="I225" s="370"/>
      <c r="J225" s="370"/>
      <c r="K225" s="370"/>
      <c r="L225" s="370"/>
      <c r="M225" s="370"/>
      <c r="N225" s="370"/>
      <c r="O225" s="175"/>
      <c r="P225" s="175"/>
      <c r="Q225" s="370"/>
      <c r="R225" s="370"/>
      <c r="S225" s="370"/>
      <c r="T225" s="370"/>
      <c r="U225" s="370"/>
      <c r="V225" s="370"/>
      <c r="W225" s="370"/>
      <c r="X225" s="370"/>
      <c r="Y225" s="370"/>
      <c r="Z225" s="370"/>
      <c r="AA225" s="176"/>
      <c r="AB225" s="159" t="s">
        <v>263</v>
      </c>
      <c r="AD225" s="172" t="s">
        <v>249</v>
      </c>
      <c r="AE225" s="167"/>
      <c r="AF225" s="22"/>
      <c r="AG225" s="22"/>
      <c r="AI225" s="190">
        <v>1</v>
      </c>
    </row>
    <row r="226" spans="1:35" ht="18" customHeight="1" x14ac:dyDescent="0.2">
      <c r="A226" s="163" t="str">
        <f t="shared" si="49"/>
        <v/>
      </c>
      <c r="B226" s="164">
        <f>B225</f>
        <v>1</v>
      </c>
      <c r="D226" s="371" t="s">
        <v>589</v>
      </c>
      <c r="E226" s="371"/>
      <c r="F226" s="371"/>
      <c r="G226" s="371"/>
      <c r="H226" s="371"/>
      <c r="I226" s="371"/>
      <c r="J226" s="371"/>
      <c r="K226" s="371"/>
      <c r="L226" s="371"/>
      <c r="M226" s="371"/>
      <c r="N226" s="371"/>
      <c r="O226" s="175"/>
      <c r="P226" s="175"/>
      <c r="Q226" s="371" t="s">
        <v>590</v>
      </c>
      <c r="R226" s="371"/>
      <c r="S226" s="371"/>
      <c r="T226" s="371"/>
      <c r="U226" s="371"/>
      <c r="V226" s="371"/>
      <c r="W226" s="371"/>
      <c r="X226" s="371"/>
      <c r="Y226" s="371"/>
      <c r="Z226" s="371"/>
      <c r="AA226" s="176"/>
      <c r="AB226" s="159" t="s">
        <v>264</v>
      </c>
      <c r="AD226" s="172" t="s">
        <v>249</v>
      </c>
      <c r="AE226" s="167"/>
      <c r="AF226" s="164">
        <f>IF(OR(D224="Show",D224="",Q224="Show",Q224=""),1,0)</f>
        <v>1</v>
      </c>
      <c r="AG226" s="164">
        <f>IF(AND(SUM(AF:AF)&gt;0,OR(AND(D224="Show",D226=""),AND(Q224="Show",Q226=""))),1,0)</f>
        <v>0</v>
      </c>
      <c r="AI226" s="190">
        <v>1</v>
      </c>
    </row>
    <row r="227" spans="1:35" ht="8.5" customHeight="1" x14ac:dyDescent="0.15">
      <c r="A227" s="163" t="str">
        <f t="shared" si="49"/>
        <v/>
      </c>
      <c r="B227" s="164">
        <f>B226</f>
        <v>1</v>
      </c>
      <c r="D227" s="368"/>
      <c r="E227" s="368"/>
      <c r="F227" s="368"/>
      <c r="G227" s="368"/>
      <c r="H227" s="368"/>
      <c r="I227" s="368"/>
      <c r="J227" s="368"/>
      <c r="K227" s="368"/>
      <c r="L227" s="368"/>
      <c r="M227" s="368"/>
      <c r="N227" s="368"/>
      <c r="O227" s="368"/>
      <c r="P227" s="368"/>
      <c r="Q227" s="368"/>
      <c r="R227" s="368"/>
      <c r="S227" s="368"/>
      <c r="T227" s="368"/>
      <c r="U227" s="368"/>
      <c r="V227" s="368"/>
      <c r="W227" s="368"/>
      <c r="X227" s="368"/>
      <c r="Y227" s="368"/>
      <c r="Z227" s="368"/>
      <c r="AA227" s="176"/>
      <c r="AD227" s="165" t="s">
        <v>227</v>
      </c>
      <c r="AE227" s="156"/>
      <c r="AF227" s="22"/>
      <c r="AG227" s="22"/>
      <c r="AI227" s="190">
        <v>1</v>
      </c>
    </row>
    <row r="228" spans="1:35" ht="15.75" hidden="1" customHeight="1" x14ac:dyDescent="0.2">
      <c r="A228" s="163"/>
      <c r="B228" s="164">
        <v>0</v>
      </c>
      <c r="D228" s="369" t="s">
        <v>265</v>
      </c>
      <c r="E228" s="369"/>
      <c r="F228" s="369"/>
      <c r="G228" s="369"/>
      <c r="H228" s="369"/>
      <c r="I228" s="369"/>
      <c r="J228" s="369"/>
      <c r="K228" s="369"/>
      <c r="L228" s="369"/>
      <c r="M228" s="369"/>
      <c r="N228" s="369"/>
      <c r="O228" s="369"/>
      <c r="P228" s="369"/>
      <c r="Q228" s="369"/>
      <c r="R228" s="369"/>
      <c r="S228" s="369"/>
      <c r="T228" s="369"/>
      <c r="U228" s="369"/>
      <c r="V228" s="369"/>
      <c r="W228" s="369"/>
      <c r="X228" s="369"/>
      <c r="Y228" s="369"/>
      <c r="Z228" s="369"/>
      <c r="AB228" s="166" t="s">
        <v>259</v>
      </c>
      <c r="AD228" s="165" t="s">
        <v>260</v>
      </c>
      <c r="AE228" s="134"/>
      <c r="AF228" s="22"/>
      <c r="AG228" s="22"/>
      <c r="AI228" s="190">
        <v>1</v>
      </c>
    </row>
    <row r="229" spans="1:35" ht="15.75" hidden="1" customHeight="1" x14ac:dyDescent="0.2">
      <c r="A229" s="163"/>
      <c r="B229" s="164">
        <v>0</v>
      </c>
      <c r="D229" s="369" t="s">
        <v>261</v>
      </c>
      <c r="E229" s="369"/>
      <c r="F229" s="369"/>
      <c r="G229" s="369"/>
      <c r="H229" s="369"/>
      <c r="I229" s="369"/>
      <c r="J229" s="369"/>
      <c r="K229" s="369"/>
      <c r="L229" s="369"/>
      <c r="M229" s="369"/>
      <c r="N229" s="369"/>
      <c r="O229" s="369"/>
      <c r="P229" s="369"/>
      <c r="Q229" s="369"/>
      <c r="R229" s="369"/>
      <c r="S229" s="369"/>
      <c r="T229" s="369"/>
      <c r="U229" s="369"/>
      <c r="V229" s="369"/>
      <c r="W229" s="369"/>
      <c r="X229" s="369"/>
      <c r="Y229" s="369"/>
      <c r="Z229" s="369"/>
      <c r="AB229" s="166" t="s">
        <v>259</v>
      </c>
      <c r="AD229" s="165" t="s">
        <v>260</v>
      </c>
      <c r="AE229" s="134"/>
      <c r="AF229" s="22"/>
      <c r="AG229" s="22"/>
      <c r="AI229" s="190">
        <v>1</v>
      </c>
    </row>
    <row r="230" spans="1:35" ht="8.5" customHeight="1" x14ac:dyDescent="0.15">
      <c r="A230" s="163" t="str">
        <f>IF(AG230=1,"X","")</f>
        <v/>
      </c>
      <c r="B230" s="164">
        <f>IF(OR(D231="Show",Q231="Show"),1,0)</f>
        <v>1</v>
      </c>
      <c r="D230" s="368"/>
      <c r="E230" s="368"/>
      <c r="F230" s="368"/>
      <c r="G230" s="368"/>
      <c r="H230" s="368"/>
      <c r="I230" s="368"/>
      <c r="J230" s="368"/>
      <c r="K230" s="368"/>
      <c r="L230" s="368"/>
      <c r="M230" s="368"/>
      <c r="N230" s="368"/>
      <c r="O230" s="368"/>
      <c r="P230" s="368"/>
      <c r="Q230" s="368"/>
      <c r="R230" s="368"/>
      <c r="S230" s="368"/>
      <c r="T230" s="368"/>
      <c r="U230" s="368"/>
      <c r="V230" s="368"/>
      <c r="W230" s="368"/>
      <c r="X230" s="368"/>
      <c r="Y230" s="368"/>
      <c r="Z230" s="368"/>
      <c r="AD230" s="165" t="s">
        <v>227</v>
      </c>
      <c r="AE230" s="156"/>
      <c r="AF230" s="22"/>
      <c r="AG230" s="22"/>
      <c r="AI230" s="190">
        <v>1</v>
      </c>
    </row>
    <row r="231" spans="1:35" ht="18" hidden="1" customHeight="1" x14ac:dyDescent="0.2">
      <c r="A231" s="163" t="str">
        <f t="shared" ref="A231" si="50">IF(AG231=1,"X","")</f>
        <v/>
      </c>
      <c r="B231" s="164">
        <v>0</v>
      </c>
      <c r="D231" s="370" t="s">
        <v>469</v>
      </c>
      <c r="E231" s="370"/>
      <c r="F231" s="370"/>
      <c r="G231" s="370"/>
      <c r="H231" s="370"/>
      <c r="I231" s="370"/>
      <c r="J231" s="370"/>
      <c r="K231" s="370"/>
      <c r="L231" s="370"/>
      <c r="M231" s="370"/>
      <c r="N231" s="370"/>
      <c r="O231" s="175"/>
      <c r="P231" s="175"/>
      <c r="Q231" s="370" t="s">
        <v>469</v>
      </c>
      <c r="R231" s="370"/>
      <c r="S231" s="370"/>
      <c r="T231" s="370"/>
      <c r="U231" s="370"/>
      <c r="V231" s="370"/>
      <c r="W231" s="370"/>
      <c r="X231" s="370"/>
      <c r="Y231" s="370"/>
      <c r="Z231" s="370"/>
      <c r="AA231" s="176"/>
      <c r="AB231" s="159" t="s">
        <v>262</v>
      </c>
      <c r="AD231" s="172" t="s">
        <v>249</v>
      </c>
      <c r="AE231" s="134"/>
      <c r="AF231" s="164">
        <f>IF(OR(D231="Show",D231="",Q231="Show",Q231=""),1,0)</f>
        <v>1</v>
      </c>
      <c r="AG231" s="164">
        <f>IF(AND(SUM(AF:AF)&gt;0,OR(D231="",Q231="")),1,0)</f>
        <v>0</v>
      </c>
      <c r="AI231" s="190">
        <v>1</v>
      </c>
    </row>
    <row r="232" spans="1:35" ht="197.25" customHeight="1" x14ac:dyDescent="0.2">
      <c r="A232" s="163" t="str">
        <f>IF(AG232=1,"X","")</f>
        <v/>
      </c>
      <c r="B232" s="164">
        <f>B230</f>
        <v>1</v>
      </c>
      <c r="D232" s="370"/>
      <c r="E232" s="370"/>
      <c r="F232" s="370"/>
      <c r="G232" s="370"/>
      <c r="H232" s="370"/>
      <c r="I232" s="370"/>
      <c r="J232" s="370"/>
      <c r="K232" s="370"/>
      <c r="L232" s="370"/>
      <c r="M232" s="370"/>
      <c r="N232" s="370"/>
      <c r="O232" s="175"/>
      <c r="P232" s="175"/>
      <c r="Q232" s="370"/>
      <c r="R232" s="370"/>
      <c r="S232" s="370"/>
      <c r="T232" s="370"/>
      <c r="U232" s="370"/>
      <c r="V232" s="370"/>
      <c r="W232" s="370"/>
      <c r="X232" s="370"/>
      <c r="Y232" s="370"/>
      <c r="Z232" s="370"/>
      <c r="AA232" s="176"/>
      <c r="AB232" s="159" t="s">
        <v>263</v>
      </c>
      <c r="AD232" s="172" t="s">
        <v>249</v>
      </c>
      <c r="AE232" s="167"/>
      <c r="AF232" s="22"/>
      <c r="AG232" s="22"/>
      <c r="AI232" s="190">
        <v>1</v>
      </c>
    </row>
    <row r="233" spans="1:35" ht="18" customHeight="1" x14ac:dyDescent="0.2">
      <c r="A233" s="163" t="str">
        <f t="shared" ref="A233:A234" si="51">IF(AG233=1,"X","")</f>
        <v/>
      </c>
      <c r="B233" s="164">
        <f>B232</f>
        <v>1</v>
      </c>
      <c r="D233" s="371" t="s">
        <v>591</v>
      </c>
      <c r="E233" s="371"/>
      <c r="F233" s="371"/>
      <c r="G233" s="371"/>
      <c r="H233" s="371"/>
      <c r="I233" s="371"/>
      <c r="J233" s="371"/>
      <c r="K233" s="371"/>
      <c r="L233" s="371"/>
      <c r="M233" s="371"/>
      <c r="N233" s="371"/>
      <c r="O233" s="175"/>
      <c r="P233" s="175"/>
      <c r="Q233" s="371" t="s">
        <v>591</v>
      </c>
      <c r="R233" s="371"/>
      <c r="S233" s="371"/>
      <c r="T233" s="371"/>
      <c r="U233" s="371"/>
      <c r="V233" s="371"/>
      <c r="W233" s="371"/>
      <c r="X233" s="371"/>
      <c r="Y233" s="371"/>
      <c r="Z233" s="371"/>
      <c r="AA233" s="176"/>
      <c r="AB233" s="159" t="s">
        <v>264</v>
      </c>
      <c r="AD233" s="172" t="s">
        <v>249</v>
      </c>
      <c r="AE233" s="167"/>
      <c r="AF233" s="164">
        <f>IF(OR(D231="Show",D231="",Q231="Show",Q231=""),1,0)</f>
        <v>1</v>
      </c>
      <c r="AG233" s="164">
        <f>IF(AND(SUM(AF:AF)&gt;0,OR(AND(D231="Show",D233=""),AND(Q231="Show",Q233=""))),1,0)</f>
        <v>0</v>
      </c>
      <c r="AI233" s="190">
        <v>1</v>
      </c>
    </row>
    <row r="234" spans="1:35" ht="8.5" customHeight="1" x14ac:dyDescent="0.15">
      <c r="A234" s="163" t="str">
        <f t="shared" si="51"/>
        <v/>
      </c>
      <c r="B234" s="164">
        <f>B233</f>
        <v>1</v>
      </c>
      <c r="D234" s="368"/>
      <c r="E234" s="368"/>
      <c r="F234" s="368"/>
      <c r="G234" s="368"/>
      <c r="H234" s="368"/>
      <c r="I234" s="368"/>
      <c r="J234" s="368"/>
      <c r="K234" s="368"/>
      <c r="L234" s="368"/>
      <c r="M234" s="368"/>
      <c r="N234" s="368"/>
      <c r="O234" s="368"/>
      <c r="P234" s="368"/>
      <c r="Q234" s="368"/>
      <c r="R234" s="368"/>
      <c r="S234" s="368"/>
      <c r="T234" s="368"/>
      <c r="U234" s="368"/>
      <c r="V234" s="368"/>
      <c r="W234" s="368"/>
      <c r="X234" s="368"/>
      <c r="Y234" s="368"/>
      <c r="Z234" s="368"/>
      <c r="AA234" s="176"/>
      <c r="AD234" s="165" t="s">
        <v>227</v>
      </c>
      <c r="AE234" s="156"/>
      <c r="AF234" s="22"/>
      <c r="AG234" s="22"/>
      <c r="AI234" s="190">
        <v>1</v>
      </c>
    </row>
    <row r="235" spans="1:35" ht="15.75" hidden="1" customHeight="1" x14ac:dyDescent="0.2">
      <c r="A235" s="163"/>
      <c r="B235" s="164">
        <v>0</v>
      </c>
      <c r="D235" s="369" t="s">
        <v>265</v>
      </c>
      <c r="E235" s="369"/>
      <c r="F235" s="369"/>
      <c r="G235" s="369"/>
      <c r="H235" s="369"/>
      <c r="I235" s="369"/>
      <c r="J235" s="369"/>
      <c r="K235" s="369"/>
      <c r="L235" s="369"/>
      <c r="M235" s="369"/>
      <c r="N235" s="369"/>
      <c r="O235" s="369"/>
      <c r="P235" s="369"/>
      <c r="Q235" s="369"/>
      <c r="R235" s="369"/>
      <c r="S235" s="369"/>
      <c r="T235" s="369"/>
      <c r="U235" s="369"/>
      <c r="V235" s="369"/>
      <c r="W235" s="369"/>
      <c r="X235" s="369"/>
      <c r="Y235" s="369"/>
      <c r="Z235" s="369"/>
      <c r="AB235" s="166" t="s">
        <v>259</v>
      </c>
      <c r="AD235" s="165" t="s">
        <v>260</v>
      </c>
      <c r="AE235" s="134"/>
      <c r="AF235" s="22"/>
      <c r="AG235" s="22"/>
      <c r="AI235" s="190">
        <v>1</v>
      </c>
    </row>
    <row r="236" spans="1:35" ht="15.75" hidden="1" customHeight="1" x14ac:dyDescent="0.2">
      <c r="A236" s="163"/>
      <c r="B236" s="164">
        <v>0</v>
      </c>
      <c r="D236" s="369" t="s">
        <v>261</v>
      </c>
      <c r="E236" s="369"/>
      <c r="F236" s="369"/>
      <c r="G236" s="369"/>
      <c r="H236" s="369"/>
      <c r="I236" s="369"/>
      <c r="J236" s="369"/>
      <c r="K236" s="369"/>
      <c r="L236" s="369"/>
      <c r="M236" s="369"/>
      <c r="N236" s="369"/>
      <c r="O236" s="369"/>
      <c r="P236" s="369"/>
      <c r="Q236" s="369"/>
      <c r="R236" s="369"/>
      <c r="S236" s="369"/>
      <c r="T236" s="369"/>
      <c r="U236" s="369"/>
      <c r="V236" s="369"/>
      <c r="W236" s="369"/>
      <c r="X236" s="369"/>
      <c r="Y236" s="369"/>
      <c r="Z236" s="369"/>
      <c r="AB236" s="166" t="s">
        <v>259</v>
      </c>
      <c r="AD236" s="165" t="s">
        <v>260</v>
      </c>
      <c r="AE236" s="134"/>
      <c r="AF236" s="22"/>
      <c r="AG236" s="22"/>
      <c r="AI236" s="190">
        <v>1</v>
      </c>
    </row>
    <row r="237" spans="1:35" ht="2.25" customHeight="1" x14ac:dyDescent="0.15">
      <c r="A237" s="163" t="str">
        <f>IF(AG237=1,"X","")</f>
        <v/>
      </c>
      <c r="B237" s="164">
        <f>IF(OR(D238="Show",Q238="Show"),1,0)</f>
        <v>1</v>
      </c>
      <c r="D237" s="368"/>
      <c r="E237" s="368"/>
      <c r="F237" s="368"/>
      <c r="G237" s="368"/>
      <c r="H237" s="368"/>
      <c r="I237" s="368"/>
      <c r="J237" s="368"/>
      <c r="K237" s="368"/>
      <c r="L237" s="368"/>
      <c r="M237" s="368"/>
      <c r="N237" s="368"/>
      <c r="O237" s="368"/>
      <c r="P237" s="368"/>
      <c r="Q237" s="368"/>
      <c r="R237" s="368"/>
      <c r="S237" s="368"/>
      <c r="T237" s="368"/>
      <c r="U237" s="368"/>
      <c r="V237" s="368"/>
      <c r="W237" s="368"/>
      <c r="X237" s="368"/>
      <c r="Y237" s="368"/>
      <c r="Z237" s="368"/>
      <c r="AD237" s="165" t="s">
        <v>227</v>
      </c>
      <c r="AE237" s="156"/>
      <c r="AF237" s="22"/>
      <c r="AG237" s="22"/>
      <c r="AI237" s="190">
        <v>1</v>
      </c>
    </row>
    <row r="238" spans="1:35" ht="18" hidden="1" customHeight="1" x14ac:dyDescent="0.2">
      <c r="A238" s="163" t="str">
        <f t="shared" ref="A238" si="52">IF(AG238=1,"X","")</f>
        <v/>
      </c>
      <c r="B238" s="164">
        <v>0</v>
      </c>
      <c r="D238" s="370" t="s">
        <v>469</v>
      </c>
      <c r="E238" s="370"/>
      <c r="F238" s="370"/>
      <c r="G238" s="370"/>
      <c r="H238" s="370"/>
      <c r="I238" s="370"/>
      <c r="J238" s="370"/>
      <c r="K238" s="370"/>
      <c r="L238" s="370"/>
      <c r="M238" s="370"/>
      <c r="N238" s="370"/>
      <c r="O238" s="175"/>
      <c r="P238" s="175"/>
      <c r="Q238" s="370" t="s">
        <v>267</v>
      </c>
      <c r="R238" s="370"/>
      <c r="S238" s="370"/>
      <c r="T238" s="370"/>
      <c r="U238" s="370"/>
      <c r="V238" s="370"/>
      <c r="W238" s="370"/>
      <c r="X238" s="370"/>
      <c r="Y238" s="370"/>
      <c r="Z238" s="370"/>
      <c r="AA238" s="176"/>
      <c r="AB238" s="159" t="s">
        <v>262</v>
      </c>
      <c r="AD238" s="172" t="s">
        <v>249</v>
      </c>
      <c r="AE238" s="134"/>
      <c r="AF238" s="164">
        <f>IF(OR(D238="Show",D238="",Q238="Show",Q238=""),1,0)</f>
        <v>1</v>
      </c>
      <c r="AG238" s="164">
        <f>IF(AND(SUM(AF:AF)&gt;0,OR(D238="",Q238="")),1,0)</f>
        <v>0</v>
      </c>
      <c r="AI238" s="190">
        <v>1</v>
      </c>
    </row>
    <row r="239" spans="1:35" ht="197.25" customHeight="1" x14ac:dyDescent="0.2">
      <c r="A239" s="163" t="str">
        <f>IF(AG239=1,"X","")</f>
        <v/>
      </c>
      <c r="B239" s="164">
        <f>B237</f>
        <v>1</v>
      </c>
      <c r="D239" s="370"/>
      <c r="E239" s="370"/>
      <c r="F239" s="370"/>
      <c r="G239" s="370"/>
      <c r="H239" s="370"/>
      <c r="I239" s="370"/>
      <c r="J239" s="370"/>
      <c r="K239" s="370"/>
      <c r="L239" s="370"/>
      <c r="M239" s="370"/>
      <c r="N239" s="370"/>
      <c r="O239" s="175"/>
      <c r="P239" s="175"/>
      <c r="Q239" s="370"/>
      <c r="R239" s="370"/>
      <c r="S239" s="370"/>
      <c r="T239" s="370"/>
      <c r="U239" s="370"/>
      <c r="V239" s="370"/>
      <c r="W239" s="370"/>
      <c r="X239" s="370"/>
      <c r="Y239" s="370"/>
      <c r="Z239" s="370"/>
      <c r="AA239" s="176"/>
      <c r="AB239" s="159" t="s">
        <v>263</v>
      </c>
      <c r="AD239" s="172" t="s">
        <v>249</v>
      </c>
      <c r="AE239" s="167"/>
      <c r="AF239" s="22"/>
      <c r="AG239" s="22"/>
      <c r="AI239" s="190">
        <v>1</v>
      </c>
    </row>
    <row r="240" spans="1:35" ht="18" customHeight="1" x14ac:dyDescent="0.2">
      <c r="A240" s="163" t="str">
        <f t="shared" ref="A240:A241" si="53">IF(AG240=1,"X","")</f>
        <v/>
      </c>
      <c r="B240" s="164">
        <f>B239</f>
        <v>1</v>
      </c>
      <c r="D240" s="371" t="s">
        <v>594</v>
      </c>
      <c r="E240" s="371"/>
      <c r="F240" s="371"/>
      <c r="G240" s="371"/>
      <c r="H240" s="371"/>
      <c r="I240" s="371"/>
      <c r="J240" s="371"/>
      <c r="K240" s="371"/>
      <c r="L240" s="371"/>
      <c r="M240" s="371"/>
      <c r="N240" s="371"/>
      <c r="O240" s="175"/>
      <c r="P240" s="175"/>
      <c r="Q240" s="371"/>
      <c r="R240" s="371"/>
      <c r="S240" s="371"/>
      <c r="T240" s="371"/>
      <c r="U240" s="371"/>
      <c r="V240" s="371"/>
      <c r="W240" s="371"/>
      <c r="X240" s="371"/>
      <c r="Y240" s="371"/>
      <c r="Z240" s="371"/>
      <c r="AA240" s="176"/>
      <c r="AB240" s="159" t="s">
        <v>264</v>
      </c>
      <c r="AD240" s="172" t="s">
        <v>249</v>
      </c>
      <c r="AE240" s="167"/>
      <c r="AF240" s="164">
        <f>IF(OR(D238="Show",D238="",Q238="Show",Q238=""),1,0)</f>
        <v>1</v>
      </c>
      <c r="AG240" s="164">
        <f>IF(AND(SUM(AF:AF)&gt;0,OR(AND(D238="Show",D240=""),AND(Q238="Show",Q240=""))),1,0)</f>
        <v>0</v>
      </c>
      <c r="AI240" s="190">
        <v>1</v>
      </c>
    </row>
    <row r="241" spans="1:35" ht="8.25" hidden="1" customHeight="1" x14ac:dyDescent="0.15">
      <c r="A241" s="163" t="str">
        <f t="shared" si="53"/>
        <v/>
      </c>
      <c r="B241" s="164">
        <f>B240</f>
        <v>1</v>
      </c>
      <c r="D241" s="368"/>
      <c r="E241" s="368"/>
      <c r="F241" s="368"/>
      <c r="G241" s="368"/>
      <c r="H241" s="368"/>
      <c r="I241" s="368"/>
      <c r="J241" s="368"/>
      <c r="K241" s="368"/>
      <c r="L241" s="368"/>
      <c r="M241" s="368"/>
      <c r="N241" s="368"/>
      <c r="O241" s="368"/>
      <c r="P241" s="368"/>
      <c r="Q241" s="368"/>
      <c r="R241" s="368"/>
      <c r="S241" s="368"/>
      <c r="T241" s="368"/>
      <c r="U241" s="368"/>
      <c r="V241" s="368"/>
      <c r="W241" s="368"/>
      <c r="X241" s="368"/>
      <c r="Y241" s="368"/>
      <c r="Z241" s="368"/>
      <c r="AA241" s="176"/>
      <c r="AD241" s="165" t="s">
        <v>227</v>
      </c>
      <c r="AE241" s="156"/>
      <c r="AF241" s="22"/>
      <c r="AG241" s="22"/>
      <c r="AI241" s="190">
        <v>1</v>
      </c>
    </row>
    <row r="242" spans="1:35" ht="15.75" hidden="1" customHeight="1" x14ac:dyDescent="0.2">
      <c r="A242" s="163"/>
      <c r="B242" s="164">
        <v>0</v>
      </c>
      <c r="D242" s="369" t="s">
        <v>265</v>
      </c>
      <c r="E242" s="369"/>
      <c r="F242" s="369"/>
      <c r="G242" s="369"/>
      <c r="H242" s="369"/>
      <c r="I242" s="369"/>
      <c r="J242" s="369"/>
      <c r="K242" s="369"/>
      <c r="L242" s="369"/>
      <c r="M242" s="369"/>
      <c r="N242" s="369"/>
      <c r="O242" s="369"/>
      <c r="P242" s="369"/>
      <c r="Q242" s="369"/>
      <c r="R242" s="369"/>
      <c r="S242" s="369"/>
      <c r="T242" s="369"/>
      <c r="U242" s="369"/>
      <c r="V242" s="369"/>
      <c r="W242" s="369"/>
      <c r="X242" s="369"/>
      <c r="Y242" s="369"/>
      <c r="Z242" s="369"/>
      <c r="AB242" s="166" t="s">
        <v>259</v>
      </c>
      <c r="AD242" s="165" t="s">
        <v>260</v>
      </c>
      <c r="AE242" s="134"/>
      <c r="AF242" s="22"/>
      <c r="AG242" s="22"/>
      <c r="AI242" s="190">
        <v>1</v>
      </c>
    </row>
    <row r="243" spans="1:35" ht="25" hidden="1" customHeight="1" x14ac:dyDescent="0.2">
      <c r="A243" s="163"/>
      <c r="B243" s="164">
        <v>0</v>
      </c>
      <c r="D243" s="374" t="str">
        <f>CONCATENATE("↑ Room Section ", N171," ↑")</f>
        <v>↑ Room Section 1 ↑</v>
      </c>
      <c r="E243" s="374"/>
      <c r="F243" s="374"/>
      <c r="G243" s="374"/>
      <c r="H243" s="374"/>
      <c r="I243" s="374"/>
      <c r="J243" s="374"/>
      <c r="K243" s="374"/>
      <c r="L243" s="374"/>
      <c r="M243" s="374"/>
      <c r="N243" s="374"/>
      <c r="O243" s="374"/>
      <c r="P243" s="374"/>
      <c r="Q243" s="374"/>
      <c r="R243" s="374"/>
      <c r="S243" s="374"/>
      <c r="T243" s="374"/>
      <c r="U243" s="374"/>
      <c r="V243" s="374"/>
      <c r="W243" s="374"/>
      <c r="X243" s="374"/>
      <c r="Y243" s="374"/>
      <c r="Z243" s="374"/>
      <c r="AB243" s="166" t="s">
        <v>259</v>
      </c>
      <c r="AD243" s="165" t="s">
        <v>260</v>
      </c>
      <c r="AE243" s="134"/>
      <c r="AF243" s="22"/>
      <c r="AG243" s="22"/>
      <c r="AI243" s="190">
        <v>1</v>
      </c>
    </row>
    <row r="244" spans="1:35" ht="21" hidden="1" customHeight="1" x14ac:dyDescent="0.2">
      <c r="A244" s="163" t="str">
        <f>IF(OR(SUM(AG245:AG304),Y244=""),"X","")</f>
        <v/>
      </c>
      <c r="B244" s="164">
        <v>0</v>
      </c>
      <c r="D244" s="381" t="str">
        <f>CONCATENATE("Show Room ",N246," Inspection Section?")</f>
        <v>Show Room 2 Inspection Section?</v>
      </c>
      <c r="E244" s="381"/>
      <c r="F244" s="381"/>
      <c r="G244" s="381"/>
      <c r="H244" s="381"/>
      <c r="I244" s="381"/>
      <c r="J244" s="381"/>
      <c r="K244" s="381"/>
      <c r="L244" s="381"/>
      <c r="M244" s="381"/>
      <c r="N244" s="381"/>
      <c r="O244" s="381"/>
      <c r="P244" s="381"/>
      <c r="Q244" s="381"/>
      <c r="R244" s="381"/>
      <c r="S244" s="381"/>
      <c r="T244" s="381"/>
      <c r="U244" s="381"/>
      <c r="V244" s="381"/>
      <c r="W244" s="381"/>
      <c r="X244" s="381"/>
      <c r="Y244" s="382" t="s">
        <v>114</v>
      </c>
      <c r="Z244" s="383"/>
      <c r="AB244" s="166" t="s">
        <v>259</v>
      </c>
      <c r="AD244" s="165" t="s">
        <v>260</v>
      </c>
      <c r="AE244" s="134"/>
      <c r="AF244" s="22"/>
      <c r="AG244" s="22"/>
      <c r="AI244" s="190">
        <v>1</v>
      </c>
    </row>
    <row r="245" spans="1:35" ht="25" hidden="1" customHeight="1" x14ac:dyDescent="0.2">
      <c r="A245" s="163"/>
      <c r="B245" s="164">
        <v>0</v>
      </c>
      <c r="D245" s="374" t="str">
        <f>CONCATENATE("↓ Room Section ", N246," ↓")</f>
        <v>↓ Room Section 2 ↓</v>
      </c>
      <c r="E245" s="374"/>
      <c r="F245" s="374"/>
      <c r="G245" s="374"/>
      <c r="H245" s="374"/>
      <c r="I245" s="374"/>
      <c r="J245" s="374"/>
      <c r="K245" s="374"/>
      <c r="L245" s="374"/>
      <c r="M245" s="374"/>
      <c r="N245" s="374"/>
      <c r="O245" s="374"/>
      <c r="P245" s="374"/>
      <c r="Q245" s="374"/>
      <c r="R245" s="374"/>
      <c r="S245" s="374"/>
      <c r="T245" s="374"/>
      <c r="U245" s="374"/>
      <c r="V245" s="374"/>
      <c r="W245" s="374"/>
      <c r="X245" s="374"/>
      <c r="Y245" s="374"/>
      <c r="Z245" s="374"/>
      <c r="AB245" s="166" t="s">
        <v>259</v>
      </c>
      <c r="AD245" s="165" t="s">
        <v>260</v>
      </c>
      <c r="AE245" s="134"/>
      <c r="AF245" s="22"/>
      <c r="AG245" s="22"/>
      <c r="AI245" s="190">
        <v>1</v>
      </c>
    </row>
    <row r="246" spans="1:35" ht="21" hidden="1" customHeight="1" x14ac:dyDescent="0.15">
      <c r="A246" s="163" t="str">
        <f t="shared" ref="A246:A258" si="54">IF(AG246=1,"X","")</f>
        <v/>
      </c>
      <c r="B246" s="164">
        <f>IF(Y$244="Yes",1,0)</f>
        <v>0</v>
      </c>
      <c r="D246" s="384" t="s">
        <v>404</v>
      </c>
      <c r="E246" s="384"/>
      <c r="F246" s="384"/>
      <c r="G246" s="384"/>
      <c r="H246" s="384"/>
      <c r="I246" s="384"/>
      <c r="J246" s="384"/>
      <c r="K246" s="384"/>
      <c r="L246" s="385" t="s">
        <v>394</v>
      </c>
      <c r="M246" s="385"/>
      <c r="N246" s="380">
        <f>N171+1</f>
        <v>2</v>
      </c>
      <c r="O246" s="380"/>
      <c r="P246" s="380"/>
      <c r="Q246" s="380"/>
      <c r="R246" s="380"/>
      <c r="S246" s="380"/>
      <c r="T246" s="380"/>
      <c r="U246" s="380"/>
      <c r="V246" s="380"/>
      <c r="W246" s="380"/>
      <c r="X246" s="380"/>
      <c r="Y246" s="380"/>
      <c r="Z246" s="380"/>
      <c r="AB246" s="166" t="s">
        <v>462</v>
      </c>
      <c r="AD246" s="165" t="s">
        <v>463</v>
      </c>
      <c r="AE246" s="134"/>
      <c r="AF246" s="22"/>
      <c r="AG246" s="22"/>
      <c r="AI246" s="190">
        <v>1</v>
      </c>
    </row>
    <row r="247" spans="1:35" s="180" customFormat="1" ht="18" hidden="1" customHeight="1" x14ac:dyDescent="0.2">
      <c r="A247" s="163" t="str">
        <f t="shared" si="54"/>
        <v/>
      </c>
      <c r="B247" s="164">
        <f>IF(Y$244="Yes",1,0)</f>
        <v>0</v>
      </c>
      <c r="C247" s="152"/>
      <c r="D247" s="378" t="s">
        <v>392</v>
      </c>
      <c r="E247" s="378"/>
      <c r="F247" s="378"/>
      <c r="G247" s="378"/>
      <c r="H247" s="378"/>
      <c r="I247" s="373"/>
      <c r="J247" s="373"/>
      <c r="K247" s="373"/>
      <c r="L247" s="373"/>
      <c r="M247" s="373"/>
      <c r="N247" s="373"/>
      <c r="O247" s="373"/>
      <c r="P247" s="373"/>
      <c r="Q247" s="373"/>
      <c r="R247" s="373"/>
      <c r="S247" s="373"/>
      <c r="T247" s="373"/>
      <c r="U247" s="373"/>
      <c r="V247" s="373"/>
      <c r="W247" s="373"/>
      <c r="X247" s="373"/>
      <c r="Y247" s="373"/>
      <c r="Z247" s="373"/>
      <c r="AA247" s="169"/>
      <c r="AB247" s="159" t="s">
        <v>464</v>
      </c>
      <c r="AD247" s="165" t="s">
        <v>463</v>
      </c>
      <c r="AE247" s="167"/>
      <c r="AF247" s="164">
        <f t="shared" ref="AF247:AF248" si="55">IF(B247&lt;&gt;"",1,0)</f>
        <v>1</v>
      </c>
      <c r="AG247" s="164">
        <f>IF(AND(SUM(AF:AF)&gt;0,OR(AND(B247=1,Y244="No"),AND(B247=1,I247="",Y244="Yes"),AND(B247="",I247="",Y244="Yes"),AND(B247="",I247&lt;&gt;"",Y244="Yes"),AND(B247=0,I247&lt;&gt;"",Y244="Yes"))),1,0)</f>
        <v>0</v>
      </c>
      <c r="AI247" s="190">
        <v>1</v>
      </c>
    </row>
    <row r="248" spans="1:35" s="180" customFormat="1" ht="18" hidden="1" customHeight="1" x14ac:dyDescent="0.2">
      <c r="A248" s="163" t="str">
        <f t="shared" si="54"/>
        <v/>
      </c>
      <c r="B248" s="164">
        <f>IF(Y$244="Yes",1,0)</f>
        <v>0</v>
      </c>
      <c r="C248" s="152"/>
      <c r="D248" s="378" t="s">
        <v>393</v>
      </c>
      <c r="E248" s="378"/>
      <c r="F248" s="378"/>
      <c r="G248" s="378"/>
      <c r="H248" s="378"/>
      <c r="I248" s="373"/>
      <c r="J248" s="373"/>
      <c r="K248" s="373"/>
      <c r="L248" s="373"/>
      <c r="M248" s="373"/>
      <c r="N248" s="373"/>
      <c r="O248" s="373"/>
      <c r="P248" s="373"/>
      <c r="Q248" s="373"/>
      <c r="R248" s="373"/>
      <c r="S248" s="373"/>
      <c r="T248" s="373"/>
      <c r="U248" s="373"/>
      <c r="V248" s="373"/>
      <c r="W248" s="373"/>
      <c r="X248" s="373"/>
      <c r="Y248" s="373"/>
      <c r="Z248" s="373"/>
      <c r="AA248" s="169"/>
      <c r="AB248" s="159" t="s">
        <v>464</v>
      </c>
      <c r="AD248" s="165" t="s">
        <v>463</v>
      </c>
      <c r="AE248" s="167"/>
      <c r="AF248" s="164">
        <f t="shared" si="55"/>
        <v>1</v>
      </c>
      <c r="AG248" s="164">
        <f>IF(AND(SUM(AF:AF)&gt;0,OR(AND(B248=1,Y244="No"),AND(B248=1,I248="",Y244="Yes"),AND(B248="",I248="",Y244="Yes"),AND(B248="",I248&lt;&gt;"",Y244="Yes"),AND(B248=0,I248&lt;&gt;"",Y244="Yes"))),1,0)</f>
        <v>0</v>
      </c>
      <c r="AI248" s="190">
        <v>1</v>
      </c>
    </row>
    <row r="249" spans="1:35" ht="21" hidden="1" customHeight="1" x14ac:dyDescent="0.15">
      <c r="A249" s="163" t="str">
        <f t="shared" si="54"/>
        <v/>
      </c>
      <c r="B249" s="164">
        <f>IF(Y$244="Yes",1,0)</f>
        <v>0</v>
      </c>
      <c r="D249" s="380" t="s">
        <v>313</v>
      </c>
      <c r="E249" s="380"/>
      <c r="F249" s="380"/>
      <c r="G249" s="380"/>
      <c r="H249" s="380"/>
      <c r="I249" s="380"/>
      <c r="J249" s="380"/>
      <c r="K249" s="380"/>
      <c r="L249" s="380"/>
      <c r="M249" s="380"/>
      <c r="N249" s="380"/>
      <c r="O249" s="380"/>
      <c r="P249" s="380"/>
      <c r="Q249" s="380"/>
      <c r="R249" s="380"/>
      <c r="S249" s="380"/>
      <c r="T249" s="380"/>
      <c r="U249" s="380"/>
      <c r="V249" s="380"/>
      <c r="W249" s="380"/>
      <c r="X249" s="380"/>
      <c r="Y249" s="380"/>
      <c r="Z249" s="380"/>
      <c r="AB249" s="166" t="s">
        <v>462</v>
      </c>
      <c r="AD249" s="165" t="s">
        <v>463</v>
      </c>
      <c r="AE249" s="134"/>
      <c r="AF249" s="22"/>
      <c r="AG249" s="22"/>
      <c r="AI249" s="190">
        <v>1</v>
      </c>
    </row>
    <row r="250" spans="1:35" s="180" customFormat="1" ht="18" hidden="1" customHeight="1" x14ac:dyDescent="0.2">
      <c r="A250" s="163" t="str">
        <f t="shared" si="54"/>
        <v/>
      </c>
      <c r="B250" s="170"/>
      <c r="C250" s="152"/>
      <c r="D250" s="378" t="s">
        <v>397</v>
      </c>
      <c r="E250" s="378"/>
      <c r="F250" s="378"/>
      <c r="G250" s="378"/>
      <c r="H250" s="378"/>
      <c r="I250" s="378"/>
      <c r="J250" s="378"/>
      <c r="K250" s="378"/>
      <c r="L250" s="378"/>
      <c r="M250" s="378"/>
      <c r="N250" s="378"/>
      <c r="O250" s="378"/>
      <c r="P250" s="378"/>
      <c r="Q250" s="378"/>
      <c r="R250" s="378"/>
      <c r="S250" s="378"/>
      <c r="T250" s="378"/>
      <c r="U250" s="378"/>
      <c r="V250" s="378"/>
      <c r="W250" s="378"/>
      <c r="X250" s="378"/>
      <c r="Y250" s="378"/>
      <c r="Z250" s="378"/>
      <c r="AA250" s="169"/>
      <c r="AB250" s="159" t="s">
        <v>281</v>
      </c>
      <c r="AD250" s="172" t="s">
        <v>249</v>
      </c>
      <c r="AE250" s="167"/>
      <c r="AF250" s="164">
        <f t="shared" ref="AF250:AF251" si="56">IF(B250&lt;&gt;"",1,0)</f>
        <v>0</v>
      </c>
      <c r="AG250" s="164">
        <f>IF(AND(SUM(AF:AF)&gt;0,OR(AND(B250="",Y244="Yes"),AND(B250=1,Y244="No"))),1,0)</f>
        <v>0</v>
      </c>
      <c r="AI250" s="190">
        <v>1</v>
      </c>
    </row>
    <row r="251" spans="1:35" s="180" customFormat="1" ht="18" hidden="1" customHeight="1" x14ac:dyDescent="0.2">
      <c r="A251" s="163" t="str">
        <f t="shared" si="54"/>
        <v/>
      </c>
      <c r="B251" s="170"/>
      <c r="C251" s="152"/>
      <c r="D251" s="378" t="s">
        <v>398</v>
      </c>
      <c r="E251" s="378"/>
      <c r="F251" s="378"/>
      <c r="G251" s="378"/>
      <c r="H251" s="378"/>
      <c r="I251" s="378"/>
      <c r="J251" s="378"/>
      <c r="K251" s="378"/>
      <c r="L251" s="378"/>
      <c r="M251" s="378"/>
      <c r="N251" s="378"/>
      <c r="O251" s="378"/>
      <c r="P251" s="378"/>
      <c r="Q251" s="378"/>
      <c r="R251" s="378"/>
      <c r="S251" s="378"/>
      <c r="T251" s="378"/>
      <c r="U251" s="378"/>
      <c r="V251" s="378"/>
      <c r="W251" s="378"/>
      <c r="X251" s="378"/>
      <c r="Y251" s="378"/>
      <c r="Z251" s="378"/>
      <c r="AA251" s="169"/>
      <c r="AB251" s="159" t="s">
        <v>281</v>
      </c>
      <c r="AD251" s="172" t="s">
        <v>249</v>
      </c>
      <c r="AE251" s="167"/>
      <c r="AF251" s="164">
        <f t="shared" si="56"/>
        <v>0</v>
      </c>
      <c r="AG251" s="164">
        <f>IF(AND(SUM(AF:AF)&gt;0,OR(AND(B251="",Y244="Yes"),AND(B251=1,Y244="No"))),1,0)</f>
        <v>0</v>
      </c>
      <c r="AI251" s="190">
        <v>1</v>
      </c>
    </row>
    <row r="252" spans="1:35" s="180" customFormat="1" ht="18" hidden="1" customHeight="1" x14ac:dyDescent="0.2">
      <c r="A252" s="163" t="str">
        <f t="shared" si="54"/>
        <v/>
      </c>
      <c r="B252" s="170"/>
      <c r="C252" s="152"/>
      <c r="D252" s="179" t="s">
        <v>252</v>
      </c>
      <c r="E252" s="378" t="s">
        <v>315</v>
      </c>
      <c r="F252" s="378"/>
      <c r="G252" s="378"/>
      <c r="H252" s="378"/>
      <c r="I252" s="378"/>
      <c r="J252" s="378"/>
      <c r="K252" s="378"/>
      <c r="L252" s="378"/>
      <c r="M252" s="378"/>
      <c r="N252" s="378"/>
      <c r="O252" s="378"/>
      <c r="P252" s="378"/>
      <c r="Q252" s="378"/>
      <c r="R252" s="378"/>
      <c r="S252" s="378"/>
      <c r="T252" s="378"/>
      <c r="U252" s="378"/>
      <c r="V252" s="378"/>
      <c r="W252" s="378"/>
      <c r="X252" s="378"/>
      <c r="Y252" s="378"/>
      <c r="Z252" s="378"/>
      <c r="AA252" s="169"/>
      <c r="AB252" s="159" t="s">
        <v>281</v>
      </c>
      <c r="AD252" s="172" t="s">
        <v>249</v>
      </c>
      <c r="AE252" s="167"/>
      <c r="AF252" s="164">
        <f t="shared" ref="AF252:AF253" si="57">IF(B252&lt;&gt;"",1,0)</f>
        <v>0</v>
      </c>
      <c r="AG252" s="164">
        <f>IF(AND(SUM(AF:AF)&gt;0,OR(AND(B252="",Y244="Yes"),AND(B252=1,Y244="No"))),1,0)</f>
        <v>0</v>
      </c>
      <c r="AI252" s="190">
        <v>1</v>
      </c>
    </row>
    <row r="253" spans="1:35" s="180" customFormat="1" ht="18" hidden="1" customHeight="1" x14ac:dyDescent="0.2">
      <c r="A253" s="163" t="str">
        <f t="shared" si="54"/>
        <v/>
      </c>
      <c r="B253" s="170"/>
      <c r="C253" s="152"/>
      <c r="D253" s="179" t="s">
        <v>252</v>
      </c>
      <c r="E253" s="378" t="s">
        <v>316</v>
      </c>
      <c r="F253" s="378"/>
      <c r="G253" s="378"/>
      <c r="H253" s="378"/>
      <c r="I253" s="378"/>
      <c r="J253" s="378"/>
      <c r="K253" s="378"/>
      <c r="L253" s="378"/>
      <c r="M253" s="378"/>
      <c r="N253" s="378"/>
      <c r="O253" s="378"/>
      <c r="P253" s="378"/>
      <c r="Q253" s="378"/>
      <c r="R253" s="378"/>
      <c r="S253" s="378"/>
      <c r="T253" s="378"/>
      <c r="U253" s="378"/>
      <c r="V253" s="378"/>
      <c r="W253" s="378"/>
      <c r="X253" s="378"/>
      <c r="Y253" s="378"/>
      <c r="Z253" s="378"/>
      <c r="AA253" s="169"/>
      <c r="AB253" s="159" t="s">
        <v>281</v>
      </c>
      <c r="AD253" s="172" t="s">
        <v>249</v>
      </c>
      <c r="AE253" s="167"/>
      <c r="AF253" s="164">
        <f t="shared" si="57"/>
        <v>0</v>
      </c>
      <c r="AG253" s="164">
        <f>IF(AND(SUM(AF:AF)&gt;0,OR(AND(B253="",Y244="Yes"),AND(B253=1,Y244="No"))),1,0)</f>
        <v>0</v>
      </c>
      <c r="AI253" s="190">
        <v>1</v>
      </c>
    </row>
    <row r="254" spans="1:35" s="180" customFormat="1" ht="18.5" hidden="1" customHeight="1" x14ac:dyDescent="0.2">
      <c r="A254" s="163" t="str">
        <f t="shared" si="54"/>
        <v/>
      </c>
      <c r="B254" s="164">
        <v>0</v>
      </c>
      <c r="C254" s="152"/>
      <c r="D254" s="179" t="s">
        <v>252</v>
      </c>
      <c r="E254" s="378" t="s">
        <v>312</v>
      </c>
      <c r="F254" s="378"/>
      <c r="G254" s="378"/>
      <c r="H254" s="378"/>
      <c r="I254" s="378"/>
      <c r="J254" s="378"/>
      <c r="K254" s="378"/>
      <c r="L254" s="378"/>
      <c r="M254" s="378"/>
      <c r="N254" s="378"/>
      <c r="O254" s="378"/>
      <c r="P254" s="378"/>
      <c r="Q254" s="378"/>
      <c r="R254" s="378"/>
      <c r="S254" s="378"/>
      <c r="T254" s="378"/>
      <c r="U254" s="378"/>
      <c r="V254" s="378"/>
      <c r="W254" s="378"/>
      <c r="X254" s="378"/>
      <c r="Y254" s="378"/>
      <c r="Z254" s="378"/>
      <c r="AA254" s="168"/>
      <c r="AB254" s="166" t="s">
        <v>259</v>
      </c>
      <c r="AD254" s="165" t="s">
        <v>260</v>
      </c>
      <c r="AE254" s="134"/>
      <c r="AF254" s="22"/>
      <c r="AG254" s="22"/>
      <c r="AI254" s="190">
        <v>1</v>
      </c>
    </row>
    <row r="255" spans="1:35" s="180" customFormat="1" ht="18" hidden="1" customHeight="1" x14ac:dyDescent="0.2">
      <c r="A255" s="163" t="str">
        <f t="shared" si="54"/>
        <v/>
      </c>
      <c r="B255" s="170"/>
      <c r="C255" s="152"/>
      <c r="D255" s="179" t="s">
        <v>252</v>
      </c>
      <c r="E255" s="373"/>
      <c r="F255" s="373"/>
      <c r="G255" s="373"/>
      <c r="H255" s="373"/>
      <c r="I255" s="373"/>
      <c r="J255" s="373"/>
      <c r="K255" s="373"/>
      <c r="L255" s="373"/>
      <c r="M255" s="373"/>
      <c r="N255" s="373"/>
      <c r="O255" s="373"/>
      <c r="P255" s="373"/>
      <c r="Q255" s="373"/>
      <c r="R255" s="373"/>
      <c r="S255" s="373"/>
      <c r="T255" s="373"/>
      <c r="U255" s="373"/>
      <c r="V255" s="373"/>
      <c r="W255" s="373"/>
      <c r="X255" s="373"/>
      <c r="Y255" s="373"/>
      <c r="Z255" s="373"/>
      <c r="AA255" s="169"/>
      <c r="AB255" s="159" t="s">
        <v>281</v>
      </c>
      <c r="AD255" s="172" t="s">
        <v>249</v>
      </c>
      <c r="AE255" s="167"/>
      <c r="AF255" s="164">
        <f t="shared" ref="AF255:AF257" si="58">IF(B255&lt;&gt;"",1,0)</f>
        <v>0</v>
      </c>
      <c r="AG255" s="164">
        <f>IF(AND(SUM(AF:AF)&gt;0,OR(AND(B255=1,Y244="No"),AND(B255=1,E255="",Y244="Yes"),AND(B255="",E255="",Y244="Yes"),AND(B255="",E255&lt;&gt;"",Y244="Yes"),AND(B255=0,E255&lt;&gt;"",Y244="Yes"))),1,0)</f>
        <v>0</v>
      </c>
      <c r="AI255" s="190">
        <v>1</v>
      </c>
    </row>
    <row r="256" spans="1:35" s="180" customFormat="1" ht="18" hidden="1" customHeight="1" x14ac:dyDescent="0.2">
      <c r="A256" s="163" t="str">
        <f t="shared" si="54"/>
        <v/>
      </c>
      <c r="B256" s="170"/>
      <c r="C256" s="152"/>
      <c r="D256" s="179" t="s">
        <v>252</v>
      </c>
      <c r="E256" s="373"/>
      <c r="F256" s="373"/>
      <c r="G256" s="373"/>
      <c r="H256" s="373"/>
      <c r="I256" s="373"/>
      <c r="J256" s="373"/>
      <c r="K256" s="373"/>
      <c r="L256" s="373"/>
      <c r="M256" s="373"/>
      <c r="N256" s="373"/>
      <c r="O256" s="373"/>
      <c r="P256" s="373"/>
      <c r="Q256" s="373"/>
      <c r="R256" s="373"/>
      <c r="S256" s="373"/>
      <c r="T256" s="373"/>
      <c r="U256" s="373"/>
      <c r="V256" s="373"/>
      <c r="W256" s="373"/>
      <c r="X256" s="373"/>
      <c r="Y256" s="373"/>
      <c r="Z256" s="373"/>
      <c r="AA256" s="169"/>
      <c r="AB256" s="159" t="s">
        <v>281</v>
      </c>
      <c r="AD256" s="172" t="s">
        <v>249</v>
      </c>
      <c r="AE256" s="167"/>
      <c r="AF256" s="164">
        <f t="shared" si="58"/>
        <v>0</v>
      </c>
      <c r="AG256" s="164">
        <f>IF(AND(SUM(AF:AF)&gt;0,OR(AND(B256=1,Y244="No"),AND(B256=1,E256="",Y244="Yes"),AND(B256="",E256="",Y244="Yes"),AND(B256="",E256&lt;&gt;"",Y244="Yes"),AND(B256=0,E256&lt;&gt;"",Y244="Yes"))),1,0)</f>
        <v>0</v>
      </c>
      <c r="AI256" s="190">
        <v>1</v>
      </c>
    </row>
    <row r="257" spans="1:35" s="180" customFormat="1" ht="18" hidden="1" customHeight="1" x14ac:dyDescent="0.2">
      <c r="A257" s="163" t="str">
        <f t="shared" si="54"/>
        <v/>
      </c>
      <c r="B257" s="170"/>
      <c r="C257" s="152"/>
      <c r="D257" s="179" t="s">
        <v>252</v>
      </c>
      <c r="E257" s="373"/>
      <c r="F257" s="373"/>
      <c r="G257" s="373"/>
      <c r="H257" s="373"/>
      <c r="I257" s="373"/>
      <c r="J257" s="373"/>
      <c r="K257" s="373"/>
      <c r="L257" s="373"/>
      <c r="M257" s="373"/>
      <c r="N257" s="373"/>
      <c r="O257" s="373"/>
      <c r="P257" s="373"/>
      <c r="Q257" s="373"/>
      <c r="R257" s="373"/>
      <c r="S257" s="373"/>
      <c r="T257" s="373"/>
      <c r="U257" s="373"/>
      <c r="V257" s="373"/>
      <c r="W257" s="373"/>
      <c r="X257" s="373"/>
      <c r="Y257" s="373"/>
      <c r="Z257" s="373"/>
      <c r="AA257" s="169"/>
      <c r="AB257" s="159" t="s">
        <v>281</v>
      </c>
      <c r="AD257" s="172" t="s">
        <v>249</v>
      </c>
      <c r="AE257" s="167"/>
      <c r="AF257" s="164">
        <f t="shared" si="58"/>
        <v>0</v>
      </c>
      <c r="AG257" s="164">
        <f>IF(AND(SUM(AF:AF)&gt;0,OR(AND(B257=1,Y244="No"),AND(B257=1,E257="",Y244="Yes"),AND(B257="",E257="",Y244="Yes"),AND(B257="",E257&lt;&gt;"",Y244="Yes"),AND(B257=0,E257&lt;&gt;"",Y244="Yes"))),1,0)</f>
        <v>0</v>
      </c>
      <c r="AI257" s="190">
        <v>1</v>
      </c>
    </row>
    <row r="258" spans="1:35" ht="21" hidden="1" customHeight="1" x14ac:dyDescent="0.2">
      <c r="A258" s="163" t="str">
        <f t="shared" si="54"/>
        <v/>
      </c>
      <c r="B258" s="164">
        <v>0</v>
      </c>
      <c r="D258" s="379" t="s">
        <v>258</v>
      </c>
      <c r="E258" s="379"/>
      <c r="F258" s="379"/>
      <c r="G258" s="379"/>
      <c r="H258" s="379"/>
      <c r="I258" s="379"/>
      <c r="J258" s="379"/>
      <c r="K258" s="379"/>
      <c r="L258" s="379"/>
      <c r="M258" s="379"/>
      <c r="N258" s="379"/>
      <c r="O258" s="379"/>
      <c r="P258" s="379"/>
      <c r="Q258" s="379"/>
      <c r="R258" s="379"/>
      <c r="S258" s="379"/>
      <c r="T258" s="379"/>
      <c r="U258" s="379"/>
      <c r="V258" s="379"/>
      <c r="W258" s="379"/>
      <c r="X258" s="379"/>
      <c r="Y258" s="379"/>
      <c r="Z258" s="379"/>
      <c r="AB258" s="166" t="s">
        <v>259</v>
      </c>
      <c r="AD258" s="165" t="s">
        <v>260</v>
      </c>
      <c r="AE258" s="134"/>
      <c r="AF258" s="22"/>
      <c r="AG258" s="22"/>
      <c r="AI258" s="190">
        <v>1</v>
      </c>
    </row>
    <row r="259" spans="1:35" ht="15.75" hidden="1" customHeight="1" x14ac:dyDescent="0.2">
      <c r="A259" s="163"/>
      <c r="B259" s="164">
        <v>0</v>
      </c>
      <c r="D259" s="369" t="s">
        <v>261</v>
      </c>
      <c r="E259" s="369"/>
      <c r="F259" s="369"/>
      <c r="G259" s="369"/>
      <c r="H259" s="369"/>
      <c r="I259" s="369"/>
      <c r="J259" s="369"/>
      <c r="K259" s="369"/>
      <c r="L259" s="369"/>
      <c r="M259" s="369"/>
      <c r="N259" s="369"/>
      <c r="O259" s="369"/>
      <c r="P259" s="369"/>
      <c r="Q259" s="369"/>
      <c r="R259" s="369"/>
      <c r="S259" s="369"/>
      <c r="T259" s="369"/>
      <c r="U259" s="369"/>
      <c r="V259" s="369"/>
      <c r="W259" s="369"/>
      <c r="X259" s="369"/>
      <c r="Y259" s="369"/>
      <c r="Z259" s="369"/>
      <c r="AB259" s="166" t="s">
        <v>259</v>
      </c>
      <c r="AD259" s="165" t="s">
        <v>260</v>
      </c>
      <c r="AE259" s="134"/>
      <c r="AF259" s="22"/>
      <c r="AG259" s="22"/>
      <c r="AI259" s="190">
        <v>1</v>
      </c>
    </row>
    <row r="260" spans="1:35" ht="8.5" hidden="1" customHeight="1" x14ac:dyDescent="0.15">
      <c r="A260" s="163" t="str">
        <f>IF(AG260=1,"X","")</f>
        <v/>
      </c>
      <c r="B260" s="164">
        <f>IF(OR(D261="Show",Q261="Show"),1,0)</f>
        <v>0</v>
      </c>
      <c r="D260" s="368"/>
      <c r="E260" s="368"/>
      <c r="F260" s="368"/>
      <c r="G260" s="368"/>
      <c r="H260" s="368"/>
      <c r="I260" s="368"/>
      <c r="J260" s="368"/>
      <c r="K260" s="368"/>
      <c r="L260" s="368"/>
      <c r="M260" s="368"/>
      <c r="N260" s="368"/>
      <c r="O260" s="368"/>
      <c r="P260" s="368"/>
      <c r="Q260" s="368"/>
      <c r="R260" s="368"/>
      <c r="S260" s="368"/>
      <c r="T260" s="368"/>
      <c r="U260" s="368"/>
      <c r="V260" s="368"/>
      <c r="W260" s="368"/>
      <c r="X260" s="368"/>
      <c r="Y260" s="368"/>
      <c r="Z260" s="368"/>
      <c r="AD260" s="165" t="s">
        <v>227</v>
      </c>
      <c r="AE260" s="156"/>
      <c r="AF260" s="22"/>
      <c r="AG260" s="22"/>
      <c r="AI260" s="190">
        <v>1</v>
      </c>
    </row>
    <row r="261" spans="1:35" ht="18" hidden="1" customHeight="1" x14ac:dyDescent="0.2">
      <c r="A261" s="163" t="str">
        <f t="shared" ref="A261:A264" si="59">IF(AG261=1,"X","")</f>
        <v/>
      </c>
      <c r="B261" s="164">
        <v>0</v>
      </c>
      <c r="D261" s="370" t="s">
        <v>267</v>
      </c>
      <c r="E261" s="370"/>
      <c r="F261" s="370"/>
      <c r="G261" s="370"/>
      <c r="H261" s="370"/>
      <c r="I261" s="370"/>
      <c r="J261" s="370"/>
      <c r="K261" s="370"/>
      <c r="L261" s="370"/>
      <c r="M261" s="370"/>
      <c r="N261" s="370"/>
      <c r="O261" s="175"/>
      <c r="P261" s="175"/>
      <c r="Q261" s="370" t="s">
        <v>267</v>
      </c>
      <c r="R261" s="370"/>
      <c r="S261" s="370"/>
      <c r="T261" s="370"/>
      <c r="U261" s="370"/>
      <c r="V261" s="370"/>
      <c r="W261" s="370"/>
      <c r="X261" s="370"/>
      <c r="Y261" s="370"/>
      <c r="Z261" s="370"/>
      <c r="AA261" s="176"/>
      <c r="AB261" s="159" t="s">
        <v>262</v>
      </c>
      <c r="AD261" s="172" t="s">
        <v>249</v>
      </c>
      <c r="AE261" s="134"/>
      <c r="AF261" s="164">
        <f>IF(OR(D261="Show",D261="",Q261="Show",Q261=""),1,0)</f>
        <v>0</v>
      </c>
      <c r="AG261" s="164">
        <f>IF(AND(SUM(AF:AF)&gt;0,OR(D261="",Q261="")),1,0)</f>
        <v>0</v>
      </c>
      <c r="AI261" s="190">
        <v>1</v>
      </c>
    </row>
    <row r="262" spans="1:35" ht="197.25" hidden="1" customHeight="1" x14ac:dyDescent="0.2">
      <c r="A262" s="163" t="str">
        <f>IF(AG262=1,"X","")</f>
        <v/>
      </c>
      <c r="B262" s="164">
        <f>B260</f>
        <v>0</v>
      </c>
      <c r="D262" s="370"/>
      <c r="E262" s="370"/>
      <c r="F262" s="370"/>
      <c r="G262" s="370"/>
      <c r="H262" s="370"/>
      <c r="I262" s="370"/>
      <c r="J262" s="370"/>
      <c r="K262" s="370"/>
      <c r="L262" s="370"/>
      <c r="M262" s="370"/>
      <c r="N262" s="370"/>
      <c r="O262" s="175"/>
      <c r="P262" s="175"/>
      <c r="Q262" s="370"/>
      <c r="R262" s="370"/>
      <c r="S262" s="370"/>
      <c r="T262" s="370"/>
      <c r="U262" s="370"/>
      <c r="V262" s="370"/>
      <c r="W262" s="370"/>
      <c r="X262" s="370"/>
      <c r="Y262" s="370"/>
      <c r="Z262" s="370"/>
      <c r="AA262" s="176"/>
      <c r="AB262" s="159" t="s">
        <v>263</v>
      </c>
      <c r="AD262" s="172" t="s">
        <v>249</v>
      </c>
      <c r="AE262" s="167"/>
      <c r="AF262" s="22"/>
      <c r="AG262" s="22"/>
      <c r="AI262" s="190">
        <v>1</v>
      </c>
    </row>
    <row r="263" spans="1:35" ht="18" hidden="1" customHeight="1" x14ac:dyDescent="0.2">
      <c r="A263" s="163" t="str">
        <f t="shared" si="59"/>
        <v/>
      </c>
      <c r="B263" s="164">
        <f>B262</f>
        <v>0</v>
      </c>
      <c r="D263" s="371"/>
      <c r="E263" s="371"/>
      <c r="F263" s="371"/>
      <c r="G263" s="371"/>
      <c r="H263" s="371"/>
      <c r="I263" s="371"/>
      <c r="J263" s="371"/>
      <c r="K263" s="371"/>
      <c r="L263" s="371"/>
      <c r="M263" s="371"/>
      <c r="N263" s="371"/>
      <c r="O263" s="175"/>
      <c r="P263" s="175"/>
      <c r="Q263" s="371"/>
      <c r="R263" s="371"/>
      <c r="S263" s="371"/>
      <c r="T263" s="371"/>
      <c r="U263" s="371"/>
      <c r="V263" s="371"/>
      <c r="W263" s="371"/>
      <c r="X263" s="371"/>
      <c r="Y263" s="371"/>
      <c r="Z263" s="371"/>
      <c r="AA263" s="176"/>
      <c r="AB263" s="159" t="s">
        <v>264</v>
      </c>
      <c r="AD263" s="172" t="s">
        <v>249</v>
      </c>
      <c r="AE263" s="167"/>
      <c r="AF263" s="164">
        <f>IF(OR(D261="Show",D261="",Q261="Show",Q261=""),1,0)</f>
        <v>0</v>
      </c>
      <c r="AG263" s="164">
        <f>IF(AND(SUM(AF:AF)&gt;0,OR(AND(D261="Show",D263=""),AND(Q261="Show",Q263=""))),1,0)</f>
        <v>0</v>
      </c>
      <c r="AI263" s="190">
        <v>1</v>
      </c>
    </row>
    <row r="264" spans="1:35" ht="8.5" hidden="1" customHeight="1" x14ac:dyDescent="0.15">
      <c r="A264" s="163" t="str">
        <f t="shared" si="59"/>
        <v/>
      </c>
      <c r="B264" s="164">
        <f>B263</f>
        <v>0</v>
      </c>
      <c r="D264" s="368"/>
      <c r="E264" s="368"/>
      <c r="F264" s="368"/>
      <c r="G264" s="368"/>
      <c r="H264" s="368"/>
      <c r="I264" s="368"/>
      <c r="J264" s="368"/>
      <c r="K264" s="368"/>
      <c r="L264" s="368"/>
      <c r="M264" s="368"/>
      <c r="N264" s="368"/>
      <c r="O264" s="368"/>
      <c r="P264" s="368"/>
      <c r="Q264" s="368"/>
      <c r="R264" s="368"/>
      <c r="S264" s="368"/>
      <c r="T264" s="368"/>
      <c r="U264" s="368"/>
      <c r="V264" s="368"/>
      <c r="W264" s="368"/>
      <c r="X264" s="368"/>
      <c r="Y264" s="368"/>
      <c r="Z264" s="368"/>
      <c r="AA264" s="176"/>
      <c r="AD264" s="165" t="s">
        <v>227</v>
      </c>
      <c r="AE264" s="156"/>
      <c r="AF264" s="22"/>
      <c r="AG264" s="22"/>
      <c r="AI264" s="190">
        <v>1</v>
      </c>
    </row>
    <row r="265" spans="1:35" ht="15.75" hidden="1" customHeight="1" x14ac:dyDescent="0.2">
      <c r="A265" s="163"/>
      <c r="B265" s="164">
        <v>0</v>
      </c>
      <c r="D265" s="369" t="s">
        <v>265</v>
      </c>
      <c r="E265" s="369"/>
      <c r="F265" s="369"/>
      <c r="G265" s="369"/>
      <c r="H265" s="369"/>
      <c r="I265" s="369"/>
      <c r="J265" s="369"/>
      <c r="K265" s="369"/>
      <c r="L265" s="369"/>
      <c r="M265" s="369"/>
      <c r="N265" s="369"/>
      <c r="O265" s="369"/>
      <c r="P265" s="369"/>
      <c r="Q265" s="369"/>
      <c r="R265" s="369"/>
      <c r="S265" s="369"/>
      <c r="T265" s="369"/>
      <c r="U265" s="369"/>
      <c r="V265" s="369"/>
      <c r="W265" s="369"/>
      <c r="X265" s="369"/>
      <c r="Y265" s="369"/>
      <c r="Z265" s="369"/>
      <c r="AB265" s="166" t="s">
        <v>259</v>
      </c>
      <c r="AD265" s="165" t="s">
        <v>260</v>
      </c>
      <c r="AE265" s="134"/>
      <c r="AF265" s="22"/>
      <c r="AG265" s="22"/>
      <c r="AI265" s="190">
        <v>1</v>
      </c>
    </row>
    <row r="266" spans="1:35" ht="21" hidden="1" customHeight="1" x14ac:dyDescent="0.15">
      <c r="A266" s="163" t="str">
        <f t="shared" ref="A266:A278" si="60">IF(AG266=1,"X","")</f>
        <v/>
      </c>
      <c r="B266" s="164">
        <f>IF(Y$244="Yes",1,0)</f>
        <v>0</v>
      </c>
      <c r="D266" s="380" t="s">
        <v>0</v>
      </c>
      <c r="E266" s="380"/>
      <c r="F266" s="380"/>
      <c r="G266" s="380"/>
      <c r="H266" s="380"/>
      <c r="I266" s="380"/>
      <c r="J266" s="380"/>
      <c r="K266" s="380"/>
      <c r="L266" s="380"/>
      <c r="M266" s="380"/>
      <c r="N266" s="380"/>
      <c r="O266" s="380"/>
      <c r="P266" s="380"/>
      <c r="Q266" s="380"/>
      <c r="R266" s="380"/>
      <c r="S266" s="380"/>
      <c r="T266" s="380"/>
      <c r="U266" s="380"/>
      <c r="V266" s="380"/>
      <c r="W266" s="380"/>
      <c r="X266" s="380"/>
      <c r="Y266" s="380"/>
      <c r="Z266" s="380"/>
      <c r="AB266" s="166" t="s">
        <v>462</v>
      </c>
      <c r="AD266" s="165" t="s">
        <v>463</v>
      </c>
      <c r="AE266" s="134"/>
      <c r="AF266" s="22"/>
      <c r="AG266" s="22"/>
      <c r="AI266" s="190">
        <v>1</v>
      </c>
    </row>
    <row r="267" spans="1:35" s="180" customFormat="1" ht="18" hidden="1" customHeight="1" x14ac:dyDescent="0.2">
      <c r="A267" s="163" t="str">
        <f t="shared" si="60"/>
        <v/>
      </c>
      <c r="B267" s="170"/>
      <c r="C267" s="152"/>
      <c r="D267" s="378" t="s">
        <v>399</v>
      </c>
      <c r="E267" s="378"/>
      <c r="F267" s="378"/>
      <c r="G267" s="378"/>
      <c r="H267" s="378"/>
      <c r="I267" s="378"/>
      <c r="J267" s="378"/>
      <c r="K267" s="378"/>
      <c r="L267" s="378"/>
      <c r="M267" s="378"/>
      <c r="N267" s="378"/>
      <c r="O267" s="378"/>
      <c r="P267" s="378"/>
      <c r="Q267" s="378"/>
      <c r="R267" s="378"/>
      <c r="S267" s="378"/>
      <c r="T267" s="378"/>
      <c r="U267" s="378"/>
      <c r="V267" s="378"/>
      <c r="W267" s="378"/>
      <c r="X267" s="378"/>
      <c r="Y267" s="378"/>
      <c r="Z267" s="378"/>
      <c r="AA267" s="169"/>
      <c r="AB267" s="159" t="s">
        <v>281</v>
      </c>
      <c r="AD267" s="172" t="s">
        <v>249</v>
      </c>
      <c r="AE267" s="167"/>
      <c r="AF267" s="164">
        <f t="shared" ref="AF267:AF273" si="61">IF(B267&lt;&gt;"",1,0)</f>
        <v>0</v>
      </c>
      <c r="AG267" s="164">
        <f>IF(AND(SUM(AF:AF)&gt;0,OR(AND(B267="",Y244="Yes"),AND(B267=1,Y244="No"))),1,0)</f>
        <v>0</v>
      </c>
      <c r="AI267" s="190">
        <v>1</v>
      </c>
    </row>
    <row r="268" spans="1:35" s="180" customFormat="1" ht="18" hidden="1" customHeight="1" x14ac:dyDescent="0.2">
      <c r="A268" s="163" t="str">
        <f t="shared" si="60"/>
        <v/>
      </c>
      <c r="B268" s="170"/>
      <c r="C268" s="152"/>
      <c r="D268" s="378" t="s">
        <v>400</v>
      </c>
      <c r="E268" s="378"/>
      <c r="F268" s="378"/>
      <c r="G268" s="378"/>
      <c r="H268" s="378"/>
      <c r="I268" s="378"/>
      <c r="J268" s="378"/>
      <c r="K268" s="378"/>
      <c r="L268" s="378"/>
      <c r="M268" s="378"/>
      <c r="N268" s="378"/>
      <c r="O268" s="378"/>
      <c r="P268" s="378"/>
      <c r="Q268" s="378"/>
      <c r="R268" s="378"/>
      <c r="S268" s="378"/>
      <c r="T268" s="378"/>
      <c r="U268" s="378"/>
      <c r="V268" s="378"/>
      <c r="W268" s="378"/>
      <c r="X268" s="378"/>
      <c r="Y268" s="378"/>
      <c r="Z268" s="378"/>
      <c r="AA268" s="169"/>
      <c r="AB268" s="159" t="s">
        <v>281</v>
      </c>
      <c r="AD268" s="172" t="s">
        <v>249</v>
      </c>
      <c r="AE268" s="167"/>
      <c r="AF268" s="164">
        <f t="shared" si="61"/>
        <v>0</v>
      </c>
      <c r="AG268" s="164">
        <f>IF(AND(SUM(AF:AF)&gt;0,OR(AND(B268="",Y244="Yes"),AND(B268=1,Y244="No"))),1,0)</f>
        <v>0</v>
      </c>
      <c r="AI268" s="190">
        <v>1</v>
      </c>
    </row>
    <row r="269" spans="1:35" s="180" customFormat="1" ht="18" hidden="1" customHeight="1" x14ac:dyDescent="0.2">
      <c r="A269" s="163" t="str">
        <f t="shared" si="60"/>
        <v/>
      </c>
      <c r="B269" s="170"/>
      <c r="C269" s="152"/>
      <c r="D269" s="179" t="s">
        <v>252</v>
      </c>
      <c r="E269" s="378" t="s">
        <v>317</v>
      </c>
      <c r="F269" s="378"/>
      <c r="G269" s="378"/>
      <c r="H269" s="378"/>
      <c r="I269" s="378"/>
      <c r="J269" s="378"/>
      <c r="K269" s="378"/>
      <c r="L269" s="378"/>
      <c r="M269" s="378"/>
      <c r="N269" s="378"/>
      <c r="O269" s="378"/>
      <c r="P269" s="378"/>
      <c r="Q269" s="378"/>
      <c r="R269" s="378"/>
      <c r="S269" s="378"/>
      <c r="T269" s="378"/>
      <c r="U269" s="378"/>
      <c r="V269" s="378"/>
      <c r="W269" s="378"/>
      <c r="X269" s="378"/>
      <c r="Y269" s="378"/>
      <c r="Z269" s="378"/>
      <c r="AA269" s="169"/>
      <c r="AB269" s="159" t="s">
        <v>281</v>
      </c>
      <c r="AD269" s="172" t="s">
        <v>249</v>
      </c>
      <c r="AE269" s="167"/>
      <c r="AF269" s="164">
        <f t="shared" si="61"/>
        <v>0</v>
      </c>
      <c r="AG269" s="164">
        <f>IF(AND(SUM(AF:AF)&gt;0,OR(AND(B269="",Y244="Yes"),AND(B269=1,Y244="No"))),1,0)</f>
        <v>0</v>
      </c>
      <c r="AI269" s="190">
        <v>1</v>
      </c>
    </row>
    <row r="270" spans="1:35" s="180" customFormat="1" ht="18" hidden="1" customHeight="1" x14ac:dyDescent="0.2">
      <c r="A270" s="163" t="str">
        <f t="shared" si="60"/>
        <v/>
      </c>
      <c r="B270" s="170"/>
      <c r="C270" s="152"/>
      <c r="D270" s="179" t="s">
        <v>252</v>
      </c>
      <c r="E270" s="378" t="s">
        <v>318</v>
      </c>
      <c r="F270" s="378"/>
      <c r="G270" s="378"/>
      <c r="H270" s="378"/>
      <c r="I270" s="378"/>
      <c r="J270" s="378"/>
      <c r="K270" s="378"/>
      <c r="L270" s="378"/>
      <c r="M270" s="378"/>
      <c r="N270" s="378"/>
      <c r="O270" s="378"/>
      <c r="P270" s="378"/>
      <c r="Q270" s="378"/>
      <c r="R270" s="378"/>
      <c r="S270" s="378"/>
      <c r="T270" s="378"/>
      <c r="U270" s="378"/>
      <c r="V270" s="378"/>
      <c r="W270" s="378"/>
      <c r="X270" s="378"/>
      <c r="Y270" s="378"/>
      <c r="Z270" s="378"/>
      <c r="AA270" s="169"/>
      <c r="AB270" s="159" t="s">
        <v>281</v>
      </c>
      <c r="AD270" s="172" t="s">
        <v>249</v>
      </c>
      <c r="AE270" s="167"/>
      <c r="AF270" s="164">
        <f t="shared" si="61"/>
        <v>0</v>
      </c>
      <c r="AG270" s="164">
        <f>IF(AND(SUM(AF:AF)&gt;0,OR(AND(B270="",Y244="Yes"),AND(B270=1,Y244="No"))),1,0)</f>
        <v>0</v>
      </c>
      <c r="AI270" s="190">
        <v>1</v>
      </c>
    </row>
    <row r="271" spans="1:35" s="180" customFormat="1" ht="18" hidden="1" customHeight="1" x14ac:dyDescent="0.2">
      <c r="A271" s="163" t="str">
        <f t="shared" si="60"/>
        <v/>
      </c>
      <c r="B271" s="170"/>
      <c r="C271" s="152"/>
      <c r="D271" s="179" t="s">
        <v>252</v>
      </c>
      <c r="E271" s="378" t="s">
        <v>405</v>
      </c>
      <c r="F271" s="378"/>
      <c r="G271" s="378"/>
      <c r="H271" s="378"/>
      <c r="I271" s="378"/>
      <c r="J271" s="378"/>
      <c r="K271" s="378"/>
      <c r="L271" s="378"/>
      <c r="M271" s="378"/>
      <c r="N271" s="378"/>
      <c r="O271" s="378"/>
      <c r="P271" s="378"/>
      <c r="Q271" s="378"/>
      <c r="R271" s="378"/>
      <c r="S271" s="378"/>
      <c r="T271" s="378"/>
      <c r="U271" s="378"/>
      <c r="V271" s="378"/>
      <c r="W271" s="378"/>
      <c r="X271" s="378"/>
      <c r="Y271" s="378"/>
      <c r="Z271" s="378"/>
      <c r="AA271" s="169"/>
      <c r="AB271" s="159" t="s">
        <v>281</v>
      </c>
      <c r="AD271" s="172" t="s">
        <v>249</v>
      </c>
      <c r="AE271" s="167"/>
      <c r="AF271" s="164">
        <f t="shared" si="61"/>
        <v>0</v>
      </c>
      <c r="AG271" s="164">
        <f>IF(AND(SUM(AF:AF)&gt;0,OR(AND(B271="",Y244="Yes"),AND(B271=1,Y244="No"))),1,0)</f>
        <v>0</v>
      </c>
      <c r="AI271" s="190">
        <v>1</v>
      </c>
    </row>
    <row r="272" spans="1:35" s="180" customFormat="1" ht="18" hidden="1" customHeight="1" x14ac:dyDescent="0.2">
      <c r="A272" s="163" t="str">
        <f t="shared" si="60"/>
        <v/>
      </c>
      <c r="B272" s="170"/>
      <c r="C272" s="152"/>
      <c r="D272" s="179" t="s">
        <v>252</v>
      </c>
      <c r="E272" s="378" t="s">
        <v>396</v>
      </c>
      <c r="F272" s="378"/>
      <c r="G272" s="378"/>
      <c r="H272" s="378"/>
      <c r="I272" s="378"/>
      <c r="J272" s="378"/>
      <c r="K272" s="378"/>
      <c r="L272" s="378"/>
      <c r="M272" s="378"/>
      <c r="N272" s="378"/>
      <c r="O272" s="378"/>
      <c r="P272" s="378"/>
      <c r="Q272" s="378"/>
      <c r="R272" s="378"/>
      <c r="S272" s="378"/>
      <c r="T272" s="378"/>
      <c r="U272" s="378"/>
      <c r="V272" s="378"/>
      <c r="W272" s="378"/>
      <c r="X272" s="378"/>
      <c r="Y272" s="378"/>
      <c r="Z272" s="378"/>
      <c r="AA272" s="169"/>
      <c r="AB272" s="159" t="s">
        <v>281</v>
      </c>
      <c r="AD272" s="172" t="s">
        <v>249</v>
      </c>
      <c r="AE272" s="167"/>
      <c r="AF272" s="164">
        <f t="shared" si="61"/>
        <v>0</v>
      </c>
      <c r="AG272" s="164">
        <f>IF(AND(SUM(AF:AF)&gt;0,OR(AND(B272="",Y244="Yes"),AND(B272=1,Y244="No"))),1,0)</f>
        <v>0</v>
      </c>
      <c r="AI272" s="190">
        <v>1</v>
      </c>
    </row>
    <row r="273" spans="1:35" s="180" customFormat="1" ht="18" hidden="1" customHeight="1" x14ac:dyDescent="0.2">
      <c r="A273" s="163" t="str">
        <f t="shared" si="60"/>
        <v/>
      </c>
      <c r="B273" s="170"/>
      <c r="C273" s="152"/>
      <c r="D273" s="179" t="s">
        <v>252</v>
      </c>
      <c r="E273" s="378" t="s">
        <v>319</v>
      </c>
      <c r="F273" s="378"/>
      <c r="G273" s="378"/>
      <c r="H273" s="378"/>
      <c r="I273" s="378"/>
      <c r="J273" s="378"/>
      <c r="K273" s="378"/>
      <c r="L273" s="378"/>
      <c r="M273" s="378"/>
      <c r="N273" s="378"/>
      <c r="O273" s="378"/>
      <c r="P273" s="378"/>
      <c r="Q273" s="378"/>
      <c r="R273" s="378"/>
      <c r="S273" s="378"/>
      <c r="T273" s="378"/>
      <c r="U273" s="378"/>
      <c r="V273" s="378"/>
      <c r="W273" s="378"/>
      <c r="X273" s="378"/>
      <c r="Y273" s="378"/>
      <c r="Z273" s="378"/>
      <c r="AA273" s="169"/>
      <c r="AB273" s="159" t="s">
        <v>281</v>
      </c>
      <c r="AD273" s="172" t="s">
        <v>249</v>
      </c>
      <c r="AE273" s="167"/>
      <c r="AF273" s="164">
        <f t="shared" si="61"/>
        <v>0</v>
      </c>
      <c r="AG273" s="164">
        <f>IF(AND(SUM(AF:AF)&gt;0,OR(AND(B273="",Y244="Yes"),AND(B273=1,Y244="No"))),1,0)</f>
        <v>0</v>
      </c>
      <c r="AI273" s="190">
        <v>1</v>
      </c>
    </row>
    <row r="274" spans="1:35" s="180" customFormat="1" ht="18.5" hidden="1" customHeight="1" x14ac:dyDescent="0.2">
      <c r="A274" s="163" t="str">
        <f t="shared" si="60"/>
        <v/>
      </c>
      <c r="B274" s="164">
        <v>0</v>
      </c>
      <c r="C274" s="152"/>
      <c r="D274" s="179" t="s">
        <v>252</v>
      </c>
      <c r="E274" s="378" t="s">
        <v>312</v>
      </c>
      <c r="F274" s="378"/>
      <c r="G274" s="378"/>
      <c r="H274" s="378"/>
      <c r="I274" s="378"/>
      <c r="J274" s="378"/>
      <c r="K274" s="378"/>
      <c r="L274" s="378"/>
      <c r="M274" s="378"/>
      <c r="N274" s="378"/>
      <c r="O274" s="378"/>
      <c r="P274" s="378"/>
      <c r="Q274" s="378"/>
      <c r="R274" s="378"/>
      <c r="S274" s="378"/>
      <c r="T274" s="378"/>
      <c r="U274" s="378"/>
      <c r="V274" s="378"/>
      <c r="W274" s="378"/>
      <c r="X274" s="378"/>
      <c r="Y274" s="378"/>
      <c r="Z274" s="378"/>
      <c r="AA274" s="168"/>
      <c r="AB274" s="166" t="s">
        <v>259</v>
      </c>
      <c r="AD274" s="165" t="s">
        <v>260</v>
      </c>
      <c r="AE274" s="134"/>
      <c r="AF274" s="22"/>
      <c r="AG274" s="22"/>
      <c r="AI274" s="190">
        <v>1</v>
      </c>
    </row>
    <row r="275" spans="1:35" s="180" customFormat="1" ht="18" hidden="1" customHeight="1" x14ac:dyDescent="0.2">
      <c r="A275" s="163" t="str">
        <f t="shared" si="60"/>
        <v/>
      </c>
      <c r="B275" s="170"/>
      <c r="C275" s="152"/>
      <c r="D275" s="179" t="s">
        <v>252</v>
      </c>
      <c r="E275" s="373"/>
      <c r="F275" s="373"/>
      <c r="G275" s="373"/>
      <c r="H275" s="373"/>
      <c r="I275" s="373"/>
      <c r="J275" s="373"/>
      <c r="K275" s="373"/>
      <c r="L275" s="373"/>
      <c r="M275" s="373"/>
      <c r="N275" s="373"/>
      <c r="O275" s="373"/>
      <c r="P275" s="373"/>
      <c r="Q275" s="373"/>
      <c r="R275" s="373"/>
      <c r="S275" s="373"/>
      <c r="T275" s="373"/>
      <c r="U275" s="373"/>
      <c r="V275" s="373"/>
      <c r="W275" s="373"/>
      <c r="X275" s="373"/>
      <c r="Y275" s="373"/>
      <c r="Z275" s="373"/>
      <c r="AA275" s="169"/>
      <c r="AB275" s="159" t="s">
        <v>281</v>
      </c>
      <c r="AD275" s="172" t="s">
        <v>249</v>
      </c>
      <c r="AE275" s="167"/>
      <c r="AF275" s="164">
        <f t="shared" ref="AF275:AF277" si="62">IF(B275&lt;&gt;"",1,0)</f>
        <v>0</v>
      </c>
      <c r="AG275" s="164">
        <f>IF(AND(SUM(AF:AF)&gt;0,OR(AND(B275=1,Y244="No"),AND(B275=1,E275="",Y244="Yes"),AND(B275="",E275="",Y244="Yes"),AND(B275="",E275&lt;&gt;"",Y244="Yes"),AND(B275=0,E275&lt;&gt;"",Y244="Yes"))),1,0)</f>
        <v>0</v>
      </c>
      <c r="AI275" s="190">
        <v>1</v>
      </c>
    </row>
    <row r="276" spans="1:35" s="180" customFormat="1" ht="18" hidden="1" customHeight="1" x14ac:dyDescent="0.2">
      <c r="A276" s="163" t="str">
        <f t="shared" si="60"/>
        <v/>
      </c>
      <c r="B276" s="170"/>
      <c r="C276" s="152"/>
      <c r="D276" s="179" t="s">
        <v>252</v>
      </c>
      <c r="E276" s="373"/>
      <c r="F276" s="373"/>
      <c r="G276" s="373"/>
      <c r="H276" s="373"/>
      <c r="I276" s="373"/>
      <c r="J276" s="373"/>
      <c r="K276" s="373"/>
      <c r="L276" s="373"/>
      <c r="M276" s="373"/>
      <c r="N276" s="373"/>
      <c r="O276" s="373"/>
      <c r="P276" s="373"/>
      <c r="Q276" s="373"/>
      <c r="R276" s="373"/>
      <c r="S276" s="373"/>
      <c r="T276" s="373"/>
      <c r="U276" s="373"/>
      <c r="V276" s="373"/>
      <c r="W276" s="373"/>
      <c r="X276" s="373"/>
      <c r="Y276" s="373"/>
      <c r="Z276" s="373"/>
      <c r="AA276" s="169"/>
      <c r="AB276" s="159" t="s">
        <v>281</v>
      </c>
      <c r="AD276" s="172" t="s">
        <v>249</v>
      </c>
      <c r="AE276" s="167"/>
      <c r="AF276" s="164">
        <f t="shared" si="62"/>
        <v>0</v>
      </c>
      <c r="AG276" s="164">
        <f>IF(AND(SUM(AF:AF)&gt;0,OR(AND(B276=1,Y244="No"),AND(B276=1,E276="",Y244="Yes"),AND(B276="",E276="",Y244="Yes"),AND(B276="",E276&lt;&gt;"",Y244="Yes"),AND(B276=0,E276&lt;&gt;"",Y244="Yes"))),1,0)</f>
        <v>0</v>
      </c>
      <c r="AI276" s="190">
        <v>1</v>
      </c>
    </row>
    <row r="277" spans="1:35" s="180" customFormat="1" ht="18" hidden="1" customHeight="1" x14ac:dyDescent="0.2">
      <c r="A277" s="163" t="str">
        <f t="shared" si="60"/>
        <v/>
      </c>
      <c r="B277" s="170"/>
      <c r="C277" s="152"/>
      <c r="D277" s="179" t="s">
        <v>252</v>
      </c>
      <c r="E277" s="373"/>
      <c r="F277" s="373"/>
      <c r="G277" s="373"/>
      <c r="H277" s="373"/>
      <c r="I277" s="373"/>
      <c r="J277" s="373"/>
      <c r="K277" s="373"/>
      <c r="L277" s="373"/>
      <c r="M277" s="373"/>
      <c r="N277" s="373"/>
      <c r="O277" s="373"/>
      <c r="P277" s="373"/>
      <c r="Q277" s="373"/>
      <c r="R277" s="373"/>
      <c r="S277" s="373"/>
      <c r="T277" s="373"/>
      <c r="U277" s="373"/>
      <c r="V277" s="373"/>
      <c r="W277" s="373"/>
      <c r="X277" s="373"/>
      <c r="Y277" s="373"/>
      <c r="Z277" s="373"/>
      <c r="AA277" s="169"/>
      <c r="AB277" s="159" t="s">
        <v>281</v>
      </c>
      <c r="AD277" s="172" t="s">
        <v>249</v>
      </c>
      <c r="AE277" s="167"/>
      <c r="AF277" s="164">
        <f t="shared" si="62"/>
        <v>0</v>
      </c>
      <c r="AG277" s="164">
        <f>IF(AND(SUM(AF:AF)&gt;0,OR(AND(B277=1,Y244="No"),AND(B277=1,E277="",Y244="Yes"),AND(B277="",E277="",Y244="Yes"),AND(B277="",E277&lt;&gt;"",Y244="Yes"),AND(B277=0,E277&lt;&gt;"",Y244="Yes"))),1,0)</f>
        <v>0</v>
      </c>
      <c r="AI277" s="190">
        <v>1</v>
      </c>
    </row>
    <row r="278" spans="1:35" ht="21" hidden="1" customHeight="1" x14ac:dyDescent="0.2">
      <c r="A278" s="163" t="str">
        <f t="shared" si="60"/>
        <v/>
      </c>
      <c r="B278" s="164">
        <v>0</v>
      </c>
      <c r="D278" s="379" t="s">
        <v>258</v>
      </c>
      <c r="E278" s="379"/>
      <c r="F278" s="379"/>
      <c r="G278" s="379"/>
      <c r="H278" s="379"/>
      <c r="I278" s="379"/>
      <c r="J278" s="379"/>
      <c r="K278" s="379"/>
      <c r="L278" s="379"/>
      <c r="M278" s="379"/>
      <c r="N278" s="379"/>
      <c r="O278" s="379"/>
      <c r="P278" s="379"/>
      <c r="Q278" s="379"/>
      <c r="R278" s="379"/>
      <c r="S278" s="379"/>
      <c r="T278" s="379"/>
      <c r="U278" s="379"/>
      <c r="V278" s="379"/>
      <c r="W278" s="379"/>
      <c r="X278" s="379"/>
      <c r="Y278" s="379"/>
      <c r="Z278" s="379"/>
      <c r="AB278" s="166" t="s">
        <v>259</v>
      </c>
      <c r="AD278" s="165" t="s">
        <v>260</v>
      </c>
      <c r="AE278" s="134"/>
      <c r="AF278" s="22"/>
      <c r="AG278" s="22"/>
      <c r="AI278" s="190">
        <v>1</v>
      </c>
    </row>
    <row r="279" spans="1:35" ht="15.75" hidden="1" customHeight="1" x14ac:dyDescent="0.2">
      <c r="A279" s="163"/>
      <c r="B279" s="164">
        <v>0</v>
      </c>
      <c r="D279" s="369" t="s">
        <v>261</v>
      </c>
      <c r="E279" s="369"/>
      <c r="F279" s="369"/>
      <c r="G279" s="369"/>
      <c r="H279" s="369"/>
      <c r="I279" s="369"/>
      <c r="J279" s="369"/>
      <c r="K279" s="369"/>
      <c r="L279" s="369"/>
      <c r="M279" s="369"/>
      <c r="N279" s="369"/>
      <c r="O279" s="369"/>
      <c r="P279" s="369"/>
      <c r="Q279" s="369"/>
      <c r="R279" s="369"/>
      <c r="S279" s="369"/>
      <c r="T279" s="369"/>
      <c r="U279" s="369"/>
      <c r="V279" s="369"/>
      <c r="W279" s="369"/>
      <c r="X279" s="369"/>
      <c r="Y279" s="369"/>
      <c r="Z279" s="369"/>
      <c r="AB279" s="166" t="s">
        <v>259</v>
      </c>
      <c r="AD279" s="165" t="s">
        <v>260</v>
      </c>
      <c r="AE279" s="134"/>
      <c r="AF279" s="22"/>
      <c r="AG279" s="22"/>
      <c r="AI279" s="190">
        <v>1</v>
      </c>
    </row>
    <row r="280" spans="1:35" ht="8.5" hidden="1" customHeight="1" x14ac:dyDescent="0.15">
      <c r="A280" s="163" t="str">
        <f>IF(AG280=1,"X","")</f>
        <v/>
      </c>
      <c r="B280" s="164">
        <f>IF(OR(D281="Show",Q281="Show"),1,0)</f>
        <v>0</v>
      </c>
      <c r="D280" s="368"/>
      <c r="E280" s="368"/>
      <c r="F280" s="368"/>
      <c r="G280" s="368"/>
      <c r="H280" s="368"/>
      <c r="I280" s="368"/>
      <c r="J280" s="368"/>
      <c r="K280" s="368"/>
      <c r="L280" s="368"/>
      <c r="M280" s="368"/>
      <c r="N280" s="368"/>
      <c r="O280" s="368"/>
      <c r="P280" s="368"/>
      <c r="Q280" s="368"/>
      <c r="R280" s="368"/>
      <c r="S280" s="368"/>
      <c r="T280" s="368"/>
      <c r="U280" s="368"/>
      <c r="V280" s="368"/>
      <c r="W280" s="368"/>
      <c r="X280" s="368"/>
      <c r="Y280" s="368"/>
      <c r="Z280" s="368"/>
      <c r="AD280" s="165" t="s">
        <v>227</v>
      </c>
      <c r="AE280" s="156"/>
      <c r="AF280" s="22"/>
      <c r="AG280" s="22"/>
      <c r="AI280" s="190">
        <v>1</v>
      </c>
    </row>
    <row r="281" spans="1:35" ht="18" hidden="1" customHeight="1" x14ac:dyDescent="0.2">
      <c r="A281" s="163" t="str">
        <f t="shared" ref="A281:A284" si="63">IF(AG281=1,"X","")</f>
        <v/>
      </c>
      <c r="B281" s="164">
        <v>0</v>
      </c>
      <c r="D281" s="370" t="s">
        <v>267</v>
      </c>
      <c r="E281" s="370"/>
      <c r="F281" s="370"/>
      <c r="G281" s="370"/>
      <c r="H281" s="370"/>
      <c r="I281" s="370"/>
      <c r="J281" s="370"/>
      <c r="K281" s="370"/>
      <c r="L281" s="370"/>
      <c r="M281" s="370"/>
      <c r="N281" s="370"/>
      <c r="O281" s="175"/>
      <c r="P281" s="175"/>
      <c r="Q281" s="370" t="s">
        <v>267</v>
      </c>
      <c r="R281" s="370"/>
      <c r="S281" s="370"/>
      <c r="T281" s="370"/>
      <c r="U281" s="370"/>
      <c r="V281" s="370"/>
      <c r="W281" s="370"/>
      <c r="X281" s="370"/>
      <c r="Y281" s="370"/>
      <c r="Z281" s="370"/>
      <c r="AA281" s="176"/>
      <c r="AB281" s="159" t="s">
        <v>262</v>
      </c>
      <c r="AD281" s="172" t="s">
        <v>249</v>
      </c>
      <c r="AE281" s="134"/>
      <c r="AF281" s="164">
        <f>IF(OR(D281="Show",D281="",Q281="Show",Q281=""),1,0)</f>
        <v>0</v>
      </c>
      <c r="AG281" s="164">
        <f>IF(AND(SUM(AF:AF)&gt;0,OR(D281="",Q281="")),1,0)</f>
        <v>0</v>
      </c>
      <c r="AI281" s="190">
        <v>1</v>
      </c>
    </row>
    <row r="282" spans="1:35" ht="197.25" hidden="1" customHeight="1" x14ac:dyDescent="0.2">
      <c r="A282" s="163" t="str">
        <f t="shared" si="63"/>
        <v/>
      </c>
      <c r="B282" s="164">
        <f>B280</f>
        <v>0</v>
      </c>
      <c r="D282" s="370"/>
      <c r="E282" s="370"/>
      <c r="F282" s="370"/>
      <c r="G282" s="370"/>
      <c r="H282" s="370"/>
      <c r="I282" s="370"/>
      <c r="J282" s="370"/>
      <c r="K282" s="370"/>
      <c r="L282" s="370"/>
      <c r="M282" s="370"/>
      <c r="N282" s="370"/>
      <c r="O282" s="175"/>
      <c r="P282" s="175"/>
      <c r="Q282" s="370"/>
      <c r="R282" s="370"/>
      <c r="S282" s="370"/>
      <c r="T282" s="370"/>
      <c r="U282" s="370"/>
      <c r="V282" s="370"/>
      <c r="W282" s="370"/>
      <c r="X282" s="370"/>
      <c r="Y282" s="370"/>
      <c r="Z282" s="370"/>
      <c r="AA282" s="176"/>
      <c r="AB282" s="159" t="s">
        <v>263</v>
      </c>
      <c r="AD282" s="172" t="s">
        <v>249</v>
      </c>
      <c r="AE282" s="167"/>
      <c r="AF282" s="22"/>
      <c r="AG282" s="22"/>
      <c r="AI282" s="190">
        <v>1</v>
      </c>
    </row>
    <row r="283" spans="1:35" ht="18" hidden="1" customHeight="1" x14ac:dyDescent="0.2">
      <c r="A283" s="163" t="str">
        <f t="shared" si="63"/>
        <v/>
      </c>
      <c r="B283" s="164">
        <f>B282</f>
        <v>0</v>
      </c>
      <c r="D283" s="371"/>
      <c r="E283" s="371"/>
      <c r="F283" s="371"/>
      <c r="G283" s="371"/>
      <c r="H283" s="371"/>
      <c r="I283" s="371"/>
      <c r="J283" s="371"/>
      <c r="K283" s="371"/>
      <c r="L283" s="371"/>
      <c r="M283" s="371"/>
      <c r="N283" s="371"/>
      <c r="O283" s="175"/>
      <c r="P283" s="175"/>
      <c r="Q283" s="371"/>
      <c r="R283" s="371"/>
      <c r="S283" s="371"/>
      <c r="T283" s="371"/>
      <c r="U283" s="371"/>
      <c r="V283" s="371"/>
      <c r="W283" s="371"/>
      <c r="X283" s="371"/>
      <c r="Y283" s="371"/>
      <c r="Z283" s="371"/>
      <c r="AA283" s="176"/>
      <c r="AB283" s="159" t="s">
        <v>264</v>
      </c>
      <c r="AD283" s="172" t="s">
        <v>249</v>
      </c>
      <c r="AE283" s="167"/>
      <c r="AF283" s="164">
        <f>IF(OR(D281="Show",D281="",Q281="Show",Q281=""),1,0)</f>
        <v>0</v>
      </c>
      <c r="AG283" s="164">
        <f>IF(AND(SUM(AF:AF)&gt;0,OR(AND(D281="Show",D283=""),AND(Q281="Show",Q283=""))),1,0)</f>
        <v>0</v>
      </c>
      <c r="AI283" s="190">
        <v>1</v>
      </c>
    </row>
    <row r="284" spans="1:35" ht="8.5" hidden="1" customHeight="1" x14ac:dyDescent="0.15">
      <c r="A284" s="163" t="str">
        <f t="shared" si="63"/>
        <v/>
      </c>
      <c r="B284" s="164">
        <f>B283</f>
        <v>0</v>
      </c>
      <c r="D284" s="368"/>
      <c r="E284" s="368"/>
      <c r="F284" s="368"/>
      <c r="G284" s="368"/>
      <c r="H284" s="368"/>
      <c r="I284" s="368"/>
      <c r="J284" s="368"/>
      <c r="K284" s="368"/>
      <c r="L284" s="368"/>
      <c r="M284" s="368"/>
      <c r="N284" s="368"/>
      <c r="O284" s="368"/>
      <c r="P284" s="368"/>
      <c r="Q284" s="368"/>
      <c r="R284" s="368"/>
      <c r="S284" s="368"/>
      <c r="T284" s="368"/>
      <c r="U284" s="368"/>
      <c r="V284" s="368"/>
      <c r="W284" s="368"/>
      <c r="X284" s="368"/>
      <c r="Y284" s="368"/>
      <c r="Z284" s="368"/>
      <c r="AA284" s="176"/>
      <c r="AD284" s="165" t="s">
        <v>227</v>
      </c>
      <c r="AE284" s="156"/>
      <c r="AF284" s="22"/>
      <c r="AG284" s="22"/>
      <c r="AI284" s="190">
        <v>1</v>
      </c>
    </row>
    <row r="285" spans="1:35" ht="15.75" hidden="1" customHeight="1" x14ac:dyDescent="0.2">
      <c r="A285" s="163"/>
      <c r="B285" s="164">
        <v>0</v>
      </c>
      <c r="D285" s="369" t="s">
        <v>265</v>
      </c>
      <c r="E285" s="369"/>
      <c r="F285" s="369"/>
      <c r="G285" s="369"/>
      <c r="H285" s="369"/>
      <c r="I285" s="369"/>
      <c r="J285" s="369"/>
      <c r="K285" s="369"/>
      <c r="L285" s="369"/>
      <c r="M285" s="369"/>
      <c r="N285" s="369"/>
      <c r="O285" s="369"/>
      <c r="P285" s="369"/>
      <c r="Q285" s="369"/>
      <c r="R285" s="369"/>
      <c r="S285" s="369"/>
      <c r="T285" s="369"/>
      <c r="U285" s="369"/>
      <c r="V285" s="369"/>
      <c r="W285" s="369"/>
      <c r="X285" s="369"/>
      <c r="Y285" s="369"/>
      <c r="Z285" s="369"/>
      <c r="AB285" s="166" t="s">
        <v>259</v>
      </c>
      <c r="AD285" s="165" t="s">
        <v>260</v>
      </c>
      <c r="AE285" s="134"/>
      <c r="AF285" s="22"/>
      <c r="AG285" s="22"/>
      <c r="AI285" s="190">
        <v>1</v>
      </c>
    </row>
    <row r="286" spans="1:35" ht="21" hidden="1" customHeight="1" x14ac:dyDescent="0.15">
      <c r="A286" s="163" t="str">
        <f t="shared" ref="A286:A296" si="64">IF(AG286=1,"X","")</f>
        <v/>
      </c>
      <c r="B286" s="164">
        <f>IF(Y$244="Yes",1,0)</f>
        <v>0</v>
      </c>
      <c r="D286" s="380" t="s">
        <v>314</v>
      </c>
      <c r="E286" s="380"/>
      <c r="F286" s="380"/>
      <c r="G286" s="380"/>
      <c r="H286" s="380"/>
      <c r="I286" s="380"/>
      <c r="J286" s="380"/>
      <c r="K286" s="380"/>
      <c r="L286" s="380"/>
      <c r="M286" s="380"/>
      <c r="N286" s="380"/>
      <c r="O286" s="380"/>
      <c r="P286" s="380"/>
      <c r="Q286" s="380"/>
      <c r="R286" s="380"/>
      <c r="S286" s="380"/>
      <c r="T286" s="380"/>
      <c r="U286" s="380"/>
      <c r="V286" s="380"/>
      <c r="W286" s="380"/>
      <c r="X286" s="380"/>
      <c r="Y286" s="380"/>
      <c r="Z286" s="380"/>
      <c r="AB286" s="166" t="s">
        <v>462</v>
      </c>
      <c r="AD286" s="165" t="s">
        <v>463</v>
      </c>
      <c r="AE286" s="134"/>
      <c r="AF286" s="22"/>
      <c r="AG286" s="22"/>
      <c r="AI286" s="190">
        <v>1</v>
      </c>
    </row>
    <row r="287" spans="1:35" s="180" customFormat="1" ht="18" hidden="1" customHeight="1" x14ac:dyDescent="0.2">
      <c r="A287" s="163" t="str">
        <f t="shared" si="64"/>
        <v/>
      </c>
      <c r="B287" s="170"/>
      <c r="C287" s="152"/>
      <c r="D287" s="378" t="s">
        <v>401</v>
      </c>
      <c r="E287" s="378"/>
      <c r="F287" s="378"/>
      <c r="G287" s="378"/>
      <c r="H287" s="378"/>
      <c r="I287" s="378"/>
      <c r="J287" s="378"/>
      <c r="K287" s="378"/>
      <c r="L287" s="378"/>
      <c r="M287" s="378"/>
      <c r="N287" s="378"/>
      <c r="O287" s="378"/>
      <c r="P287" s="378"/>
      <c r="Q287" s="378"/>
      <c r="R287" s="378"/>
      <c r="S287" s="378"/>
      <c r="T287" s="378"/>
      <c r="U287" s="378"/>
      <c r="V287" s="378"/>
      <c r="W287" s="378"/>
      <c r="X287" s="378"/>
      <c r="Y287" s="378"/>
      <c r="Z287" s="378"/>
      <c r="AA287" s="169"/>
      <c r="AB287" s="159" t="s">
        <v>281</v>
      </c>
      <c r="AD287" s="172" t="s">
        <v>249</v>
      </c>
      <c r="AE287" s="167"/>
      <c r="AF287" s="164">
        <f t="shared" ref="AF287:AF290" si="65">IF(B287&lt;&gt;"",1,0)</f>
        <v>0</v>
      </c>
      <c r="AG287" s="164">
        <f>IF(AND(SUM(AF:AF)&gt;0,OR(AND(B287="",Y244="Yes"),AND(B287=1,Y244="No"))),1,0)</f>
        <v>0</v>
      </c>
      <c r="AI287" s="190">
        <v>1</v>
      </c>
    </row>
    <row r="288" spans="1:35" s="180" customFormat="1" ht="18" hidden="1" customHeight="1" x14ac:dyDescent="0.2">
      <c r="A288" s="163" t="str">
        <f t="shared" si="64"/>
        <v/>
      </c>
      <c r="B288" s="170"/>
      <c r="C288" s="152"/>
      <c r="D288" s="378" t="s">
        <v>402</v>
      </c>
      <c r="E288" s="378"/>
      <c r="F288" s="378"/>
      <c r="G288" s="378"/>
      <c r="H288" s="378"/>
      <c r="I288" s="378"/>
      <c r="J288" s="378"/>
      <c r="K288" s="378"/>
      <c r="L288" s="378"/>
      <c r="M288" s="378"/>
      <c r="N288" s="378"/>
      <c r="O288" s="378"/>
      <c r="P288" s="378"/>
      <c r="Q288" s="378"/>
      <c r="R288" s="378"/>
      <c r="S288" s="378"/>
      <c r="T288" s="378"/>
      <c r="U288" s="378"/>
      <c r="V288" s="378"/>
      <c r="W288" s="378"/>
      <c r="X288" s="378"/>
      <c r="Y288" s="378"/>
      <c r="Z288" s="378"/>
      <c r="AA288" s="169"/>
      <c r="AB288" s="159" t="s">
        <v>281</v>
      </c>
      <c r="AD288" s="172" t="s">
        <v>249</v>
      </c>
      <c r="AE288" s="167"/>
      <c r="AF288" s="164">
        <f t="shared" si="65"/>
        <v>0</v>
      </c>
      <c r="AG288" s="164">
        <f>IF(AND(SUM(AF:AF)&gt;0,OR(AND(B288="",Y244="Yes"),AND(B288=1,Y244="No"))),1,0)</f>
        <v>0</v>
      </c>
      <c r="AI288" s="190">
        <v>1</v>
      </c>
    </row>
    <row r="289" spans="1:35" s="180" customFormat="1" ht="18" hidden="1" customHeight="1" x14ac:dyDescent="0.2">
      <c r="A289" s="163" t="str">
        <f t="shared" si="64"/>
        <v/>
      </c>
      <c r="B289" s="170"/>
      <c r="C289" s="152"/>
      <c r="D289" s="179" t="s">
        <v>252</v>
      </c>
      <c r="E289" s="378" t="s">
        <v>318</v>
      </c>
      <c r="F289" s="378"/>
      <c r="G289" s="378"/>
      <c r="H289" s="378"/>
      <c r="I289" s="378"/>
      <c r="J289" s="378"/>
      <c r="K289" s="378"/>
      <c r="L289" s="378"/>
      <c r="M289" s="378"/>
      <c r="N289" s="378"/>
      <c r="O289" s="378"/>
      <c r="P289" s="378"/>
      <c r="Q289" s="378"/>
      <c r="R289" s="378"/>
      <c r="S289" s="378"/>
      <c r="T289" s="378"/>
      <c r="U289" s="378"/>
      <c r="V289" s="378"/>
      <c r="W289" s="378"/>
      <c r="X289" s="378"/>
      <c r="Y289" s="378"/>
      <c r="Z289" s="378"/>
      <c r="AA289" s="169"/>
      <c r="AB289" s="159" t="s">
        <v>281</v>
      </c>
      <c r="AD289" s="172" t="s">
        <v>249</v>
      </c>
      <c r="AE289" s="167"/>
      <c r="AF289" s="164">
        <f t="shared" si="65"/>
        <v>0</v>
      </c>
      <c r="AG289" s="164">
        <f>IF(AND(SUM(AF:AF)&gt;0,OR(AND(B289="",Y244="Yes"),AND(B289=1,Y244="No"))),1,0)</f>
        <v>0</v>
      </c>
      <c r="AI289" s="190">
        <v>1</v>
      </c>
    </row>
    <row r="290" spans="1:35" s="180" customFormat="1" ht="18" hidden="1" customHeight="1" x14ac:dyDescent="0.2">
      <c r="A290" s="163" t="str">
        <f t="shared" si="64"/>
        <v/>
      </c>
      <c r="B290" s="170"/>
      <c r="C290" s="152"/>
      <c r="D290" s="179" t="s">
        <v>252</v>
      </c>
      <c r="E290" s="378" t="s">
        <v>405</v>
      </c>
      <c r="F290" s="378"/>
      <c r="G290" s="378"/>
      <c r="H290" s="378"/>
      <c r="I290" s="378"/>
      <c r="J290" s="378"/>
      <c r="K290" s="378"/>
      <c r="L290" s="378"/>
      <c r="M290" s="378"/>
      <c r="N290" s="378"/>
      <c r="O290" s="378"/>
      <c r="P290" s="378"/>
      <c r="Q290" s="378"/>
      <c r="R290" s="378"/>
      <c r="S290" s="378"/>
      <c r="T290" s="378"/>
      <c r="U290" s="378"/>
      <c r="V290" s="378"/>
      <c r="W290" s="378"/>
      <c r="X290" s="378"/>
      <c r="Y290" s="378"/>
      <c r="Z290" s="378"/>
      <c r="AA290" s="169"/>
      <c r="AB290" s="159" t="s">
        <v>281</v>
      </c>
      <c r="AD290" s="172" t="s">
        <v>249</v>
      </c>
      <c r="AE290" s="167"/>
      <c r="AF290" s="164">
        <f t="shared" si="65"/>
        <v>0</v>
      </c>
      <c r="AG290" s="164">
        <f>IF(AND(SUM(AF:AF)&gt;0,OR(AND(B290="",Y244="Yes"),AND(B290=1,Y244="No"))),1,0)</f>
        <v>0</v>
      </c>
      <c r="AI290" s="190">
        <v>1</v>
      </c>
    </row>
    <row r="291" spans="1:35" s="180" customFormat="1" ht="18.5" hidden="1" customHeight="1" x14ac:dyDescent="0.2">
      <c r="A291" s="163" t="str">
        <f t="shared" si="64"/>
        <v/>
      </c>
      <c r="B291" s="164">
        <v>0</v>
      </c>
      <c r="C291" s="152"/>
      <c r="D291" s="179" t="s">
        <v>252</v>
      </c>
      <c r="E291" s="378" t="s">
        <v>312</v>
      </c>
      <c r="F291" s="378"/>
      <c r="G291" s="378"/>
      <c r="H291" s="378"/>
      <c r="I291" s="378"/>
      <c r="J291" s="378"/>
      <c r="K291" s="378"/>
      <c r="L291" s="378"/>
      <c r="M291" s="378"/>
      <c r="N291" s="378"/>
      <c r="O291" s="378"/>
      <c r="P291" s="378"/>
      <c r="Q291" s="378"/>
      <c r="R291" s="378"/>
      <c r="S291" s="378"/>
      <c r="T291" s="378"/>
      <c r="U291" s="378"/>
      <c r="V291" s="378"/>
      <c r="W291" s="378"/>
      <c r="X291" s="378"/>
      <c r="Y291" s="378"/>
      <c r="Z291" s="378"/>
      <c r="AA291" s="168"/>
      <c r="AB291" s="166" t="s">
        <v>259</v>
      </c>
      <c r="AD291" s="165" t="s">
        <v>260</v>
      </c>
      <c r="AE291" s="134"/>
      <c r="AF291" s="22"/>
      <c r="AG291" s="22"/>
      <c r="AI291" s="190">
        <v>1</v>
      </c>
    </row>
    <row r="292" spans="1:35" s="180" customFormat="1" ht="18" hidden="1" customHeight="1" x14ac:dyDescent="0.2">
      <c r="A292" s="163" t="str">
        <f t="shared" si="64"/>
        <v/>
      </c>
      <c r="B292" s="170"/>
      <c r="C292" s="152"/>
      <c r="D292" s="179" t="s">
        <v>252</v>
      </c>
      <c r="E292" s="373"/>
      <c r="F292" s="373"/>
      <c r="G292" s="373"/>
      <c r="H292" s="373"/>
      <c r="I292" s="373"/>
      <c r="J292" s="373"/>
      <c r="K292" s="373"/>
      <c r="L292" s="373"/>
      <c r="M292" s="373"/>
      <c r="N292" s="373"/>
      <c r="O292" s="373"/>
      <c r="P292" s="373"/>
      <c r="Q292" s="373"/>
      <c r="R292" s="373"/>
      <c r="S292" s="373"/>
      <c r="T292" s="373"/>
      <c r="U292" s="373"/>
      <c r="V292" s="373"/>
      <c r="W292" s="373"/>
      <c r="X292" s="373"/>
      <c r="Y292" s="373"/>
      <c r="Z292" s="373"/>
      <c r="AA292" s="169"/>
      <c r="AB292" s="159" t="s">
        <v>281</v>
      </c>
      <c r="AD292" s="172" t="s">
        <v>249</v>
      </c>
      <c r="AE292" s="167"/>
      <c r="AF292" s="164">
        <f t="shared" ref="AF292:AF295" si="66">IF(B292&lt;&gt;"",1,0)</f>
        <v>0</v>
      </c>
      <c r="AG292" s="164">
        <f>IF(AND(SUM(AF:AF)&gt;0,OR(AND(B292=1,Y244="No"),AND(B292=1,E292="",Y244="Yes"),AND(B292="",E292="",Y244="Yes"),AND(B292="",E292&lt;&gt;"",Y244="Yes"),AND(B292=0,E292&lt;&gt;"",Y244="Yes"))),1,0)</f>
        <v>0</v>
      </c>
      <c r="AI292" s="190">
        <v>1</v>
      </c>
    </row>
    <row r="293" spans="1:35" s="180" customFormat="1" ht="18" hidden="1" customHeight="1" x14ac:dyDescent="0.2">
      <c r="A293" s="163" t="str">
        <f t="shared" si="64"/>
        <v/>
      </c>
      <c r="B293" s="170"/>
      <c r="C293" s="152"/>
      <c r="D293" s="179" t="s">
        <v>252</v>
      </c>
      <c r="E293" s="373"/>
      <c r="F293" s="373"/>
      <c r="G293" s="373"/>
      <c r="H293" s="373"/>
      <c r="I293" s="373"/>
      <c r="J293" s="373"/>
      <c r="K293" s="373"/>
      <c r="L293" s="373"/>
      <c r="M293" s="373"/>
      <c r="N293" s="373"/>
      <c r="O293" s="373"/>
      <c r="P293" s="373"/>
      <c r="Q293" s="373"/>
      <c r="R293" s="373"/>
      <c r="S293" s="373"/>
      <c r="T293" s="373"/>
      <c r="U293" s="373"/>
      <c r="V293" s="373"/>
      <c r="W293" s="373"/>
      <c r="X293" s="373"/>
      <c r="Y293" s="373"/>
      <c r="Z293" s="373"/>
      <c r="AA293" s="169"/>
      <c r="AB293" s="159" t="s">
        <v>281</v>
      </c>
      <c r="AD293" s="172" t="s">
        <v>249</v>
      </c>
      <c r="AE293" s="167"/>
      <c r="AF293" s="164">
        <f t="shared" si="66"/>
        <v>0</v>
      </c>
      <c r="AG293" s="164">
        <f>IF(AND(SUM(AF:AF)&gt;0,OR(AND(B293=1,Y244="No"),AND(B293=1,E293="",Y244="Yes"),AND(B293="",E293="",Y244="Yes"),AND(B293="",E293&lt;&gt;"",Y244="Yes"),AND(B293=0,E293&lt;&gt;"",Y244="Yes"))),1,0)</f>
        <v>0</v>
      </c>
      <c r="AI293" s="190">
        <v>1</v>
      </c>
    </row>
    <row r="294" spans="1:35" s="180" customFormat="1" ht="18" hidden="1" customHeight="1" x14ac:dyDescent="0.2">
      <c r="A294" s="163" t="str">
        <f t="shared" si="64"/>
        <v/>
      </c>
      <c r="B294" s="170"/>
      <c r="C294" s="152"/>
      <c r="D294" s="179" t="s">
        <v>252</v>
      </c>
      <c r="E294" s="373"/>
      <c r="F294" s="373"/>
      <c r="G294" s="373"/>
      <c r="H294" s="373"/>
      <c r="I294" s="373"/>
      <c r="J294" s="373"/>
      <c r="K294" s="373"/>
      <c r="L294" s="373"/>
      <c r="M294" s="373"/>
      <c r="N294" s="373"/>
      <c r="O294" s="373"/>
      <c r="P294" s="373"/>
      <c r="Q294" s="373"/>
      <c r="R294" s="373"/>
      <c r="S294" s="373"/>
      <c r="T294" s="373"/>
      <c r="U294" s="373"/>
      <c r="V294" s="373"/>
      <c r="W294" s="373"/>
      <c r="X294" s="373"/>
      <c r="Y294" s="373"/>
      <c r="Z294" s="373"/>
      <c r="AA294" s="169"/>
      <c r="AB294" s="159" t="s">
        <v>281</v>
      </c>
      <c r="AD294" s="172" t="s">
        <v>249</v>
      </c>
      <c r="AE294" s="167"/>
      <c r="AF294" s="164">
        <f t="shared" si="66"/>
        <v>0</v>
      </c>
      <c r="AG294" s="164">
        <f>IF(AND(SUM(AF:AF)&gt;0,OR(AND(B294=1,Y244="No"),AND(B294=1,E294="",Y244="Yes"),AND(B294="",E294="",Y244="Yes"),AND(B294="",E294&lt;&gt;"",Y244="Yes"),AND(B294=0,E294&lt;&gt;"",Y244="Yes"))),1,0)</f>
        <v>0</v>
      </c>
      <c r="AI294" s="190">
        <v>1</v>
      </c>
    </row>
    <row r="295" spans="1:35" s="180" customFormat="1" ht="18" hidden="1" customHeight="1" x14ac:dyDescent="0.2">
      <c r="A295" s="163" t="str">
        <f t="shared" si="64"/>
        <v/>
      </c>
      <c r="B295" s="170"/>
      <c r="C295" s="152"/>
      <c r="D295" s="375" t="s">
        <v>320</v>
      </c>
      <c r="E295" s="375"/>
      <c r="F295" s="375"/>
      <c r="G295" s="375"/>
      <c r="H295" s="375"/>
      <c r="I295" s="375"/>
      <c r="J295" s="375"/>
      <c r="K295" s="375"/>
      <c r="L295" s="375"/>
      <c r="M295" s="375"/>
      <c r="N295" s="375"/>
      <c r="O295" s="375"/>
      <c r="P295" s="375"/>
      <c r="Q295" s="375"/>
      <c r="R295" s="187"/>
      <c r="S295" s="378" t="s">
        <v>321</v>
      </c>
      <c r="T295" s="378"/>
      <c r="U295" s="378"/>
      <c r="V295" s="378"/>
      <c r="W295" s="378"/>
      <c r="X295" s="378"/>
      <c r="Y295" s="378"/>
      <c r="Z295" s="378"/>
      <c r="AA295" s="169"/>
      <c r="AB295" s="159" t="s">
        <v>281</v>
      </c>
      <c r="AD295" s="172" t="s">
        <v>249</v>
      </c>
      <c r="AE295" s="167"/>
      <c r="AF295" s="164">
        <f t="shared" si="66"/>
        <v>0</v>
      </c>
      <c r="AG295" s="164">
        <f>IF(AND(SUM(AF:AF)&gt;0,OR(AND(B295=1,Y244="No"),AND(B295=1,R295="",Y244="Yes"),AND(B295="",R295="",Y244="Yes"),AND(B295="",R295&lt;&gt;"",Y244="Yes"),AND(B295=0,R295&lt;&gt;"",Y244="Yes"))),1,0)</f>
        <v>0</v>
      </c>
      <c r="AI295" s="190">
        <v>1</v>
      </c>
    </row>
    <row r="296" spans="1:35" ht="21" hidden="1" customHeight="1" x14ac:dyDescent="0.2">
      <c r="A296" s="163" t="str">
        <f t="shared" si="64"/>
        <v/>
      </c>
      <c r="B296" s="164">
        <v>0</v>
      </c>
      <c r="D296" s="379" t="s">
        <v>258</v>
      </c>
      <c r="E296" s="379"/>
      <c r="F296" s="379"/>
      <c r="G296" s="379"/>
      <c r="H296" s="379"/>
      <c r="I296" s="379"/>
      <c r="J296" s="379"/>
      <c r="K296" s="379"/>
      <c r="L296" s="379"/>
      <c r="M296" s="379"/>
      <c r="N296" s="379"/>
      <c r="O296" s="379"/>
      <c r="P296" s="379"/>
      <c r="Q296" s="379"/>
      <c r="R296" s="379"/>
      <c r="S296" s="379"/>
      <c r="T296" s="379"/>
      <c r="U296" s="379"/>
      <c r="V296" s="379"/>
      <c r="W296" s="379"/>
      <c r="X296" s="379"/>
      <c r="Y296" s="379"/>
      <c r="Z296" s="379"/>
      <c r="AB296" s="166" t="s">
        <v>259</v>
      </c>
      <c r="AD296" s="165" t="s">
        <v>260</v>
      </c>
      <c r="AE296" s="134"/>
      <c r="AF296" s="22"/>
      <c r="AG296" s="22"/>
      <c r="AI296" s="190">
        <v>1</v>
      </c>
    </row>
    <row r="297" spans="1:35" ht="15.75" hidden="1" customHeight="1" x14ac:dyDescent="0.2">
      <c r="A297" s="163"/>
      <c r="B297" s="164">
        <v>0</v>
      </c>
      <c r="D297" s="369" t="s">
        <v>261</v>
      </c>
      <c r="E297" s="369"/>
      <c r="F297" s="369"/>
      <c r="G297" s="369"/>
      <c r="H297" s="369"/>
      <c r="I297" s="369"/>
      <c r="J297" s="369"/>
      <c r="K297" s="369"/>
      <c r="L297" s="369"/>
      <c r="M297" s="369"/>
      <c r="N297" s="369"/>
      <c r="O297" s="369"/>
      <c r="P297" s="369"/>
      <c r="Q297" s="369"/>
      <c r="R297" s="369"/>
      <c r="S297" s="369"/>
      <c r="T297" s="369"/>
      <c r="U297" s="369"/>
      <c r="V297" s="369"/>
      <c r="W297" s="369"/>
      <c r="X297" s="369"/>
      <c r="Y297" s="369"/>
      <c r="Z297" s="369"/>
      <c r="AB297" s="166" t="s">
        <v>259</v>
      </c>
      <c r="AD297" s="165" t="s">
        <v>260</v>
      </c>
      <c r="AE297" s="134"/>
      <c r="AF297" s="22"/>
      <c r="AG297" s="22"/>
      <c r="AI297" s="190">
        <v>1</v>
      </c>
    </row>
    <row r="298" spans="1:35" ht="8.5" hidden="1" customHeight="1" x14ac:dyDescent="0.15">
      <c r="A298" s="163" t="str">
        <f>IF(AG298=1,"X","")</f>
        <v/>
      </c>
      <c r="B298" s="164">
        <f>IF(OR(D299="Show",Q299="Show"),1,0)</f>
        <v>0</v>
      </c>
      <c r="D298" s="368"/>
      <c r="E298" s="368"/>
      <c r="F298" s="368"/>
      <c r="G298" s="368"/>
      <c r="H298" s="368"/>
      <c r="I298" s="368"/>
      <c r="J298" s="368"/>
      <c r="K298" s="368"/>
      <c r="L298" s="368"/>
      <c r="M298" s="368"/>
      <c r="N298" s="368"/>
      <c r="O298" s="368"/>
      <c r="P298" s="368"/>
      <c r="Q298" s="368"/>
      <c r="R298" s="368"/>
      <c r="S298" s="368"/>
      <c r="T298" s="368"/>
      <c r="U298" s="368"/>
      <c r="V298" s="368"/>
      <c r="W298" s="368"/>
      <c r="X298" s="368"/>
      <c r="Y298" s="368"/>
      <c r="Z298" s="368"/>
      <c r="AD298" s="165" t="s">
        <v>227</v>
      </c>
      <c r="AE298" s="156"/>
      <c r="AF298" s="22"/>
      <c r="AG298" s="22"/>
      <c r="AI298" s="190">
        <v>1</v>
      </c>
    </row>
    <row r="299" spans="1:35" ht="18" hidden="1" customHeight="1" x14ac:dyDescent="0.2">
      <c r="A299" s="163" t="str">
        <f t="shared" ref="A299:A302" si="67">IF(AG299=1,"X","")</f>
        <v/>
      </c>
      <c r="B299" s="164">
        <v>0</v>
      </c>
      <c r="D299" s="370" t="s">
        <v>267</v>
      </c>
      <c r="E299" s="370"/>
      <c r="F299" s="370"/>
      <c r="G299" s="370"/>
      <c r="H299" s="370"/>
      <c r="I299" s="370"/>
      <c r="J299" s="370"/>
      <c r="K299" s="370"/>
      <c r="L299" s="370"/>
      <c r="M299" s="370"/>
      <c r="N299" s="370"/>
      <c r="O299" s="175"/>
      <c r="P299" s="175"/>
      <c r="Q299" s="370" t="s">
        <v>267</v>
      </c>
      <c r="R299" s="370"/>
      <c r="S299" s="370"/>
      <c r="T299" s="370"/>
      <c r="U299" s="370"/>
      <c r="V299" s="370"/>
      <c r="W299" s="370"/>
      <c r="X299" s="370"/>
      <c r="Y299" s="370"/>
      <c r="Z299" s="370"/>
      <c r="AA299" s="176"/>
      <c r="AB299" s="159" t="s">
        <v>262</v>
      </c>
      <c r="AD299" s="172" t="s">
        <v>249</v>
      </c>
      <c r="AE299" s="134"/>
      <c r="AF299" s="164">
        <f>IF(OR(D299="Show",D299="",Q299="Show",Q299=""),1,0)</f>
        <v>0</v>
      </c>
      <c r="AG299" s="164">
        <f>IF(AND(SUM(AF:AF)&gt;0,OR(D299="",Q299="")),1,0)</f>
        <v>0</v>
      </c>
      <c r="AI299" s="190">
        <v>1</v>
      </c>
    </row>
    <row r="300" spans="1:35" ht="197.25" hidden="1" customHeight="1" x14ac:dyDescent="0.2">
      <c r="A300" s="163" t="str">
        <f t="shared" si="67"/>
        <v/>
      </c>
      <c r="B300" s="164">
        <f>B298</f>
        <v>0</v>
      </c>
      <c r="D300" s="370"/>
      <c r="E300" s="370"/>
      <c r="F300" s="370"/>
      <c r="G300" s="370"/>
      <c r="H300" s="370"/>
      <c r="I300" s="370"/>
      <c r="J300" s="370"/>
      <c r="K300" s="370"/>
      <c r="L300" s="370"/>
      <c r="M300" s="370"/>
      <c r="N300" s="370"/>
      <c r="O300" s="175"/>
      <c r="P300" s="175"/>
      <c r="Q300" s="370"/>
      <c r="R300" s="370"/>
      <c r="S300" s="370"/>
      <c r="T300" s="370"/>
      <c r="U300" s="370"/>
      <c r="V300" s="370"/>
      <c r="W300" s="370"/>
      <c r="X300" s="370"/>
      <c r="Y300" s="370"/>
      <c r="Z300" s="370"/>
      <c r="AA300" s="176"/>
      <c r="AB300" s="159" t="s">
        <v>263</v>
      </c>
      <c r="AD300" s="172" t="s">
        <v>249</v>
      </c>
      <c r="AE300" s="167"/>
      <c r="AF300" s="22"/>
      <c r="AG300" s="22"/>
      <c r="AI300" s="190">
        <v>1</v>
      </c>
    </row>
    <row r="301" spans="1:35" ht="18" hidden="1" customHeight="1" x14ac:dyDescent="0.2">
      <c r="A301" s="163" t="str">
        <f t="shared" si="67"/>
        <v/>
      </c>
      <c r="B301" s="164">
        <f>B300</f>
        <v>0</v>
      </c>
      <c r="D301" s="371"/>
      <c r="E301" s="371"/>
      <c r="F301" s="371"/>
      <c r="G301" s="371"/>
      <c r="H301" s="371"/>
      <c r="I301" s="371"/>
      <c r="J301" s="371"/>
      <c r="K301" s="371"/>
      <c r="L301" s="371"/>
      <c r="M301" s="371"/>
      <c r="N301" s="371"/>
      <c r="O301" s="175"/>
      <c r="P301" s="175"/>
      <c r="Q301" s="371"/>
      <c r="R301" s="371"/>
      <c r="S301" s="371"/>
      <c r="T301" s="371"/>
      <c r="U301" s="371"/>
      <c r="V301" s="371"/>
      <c r="W301" s="371"/>
      <c r="X301" s="371"/>
      <c r="Y301" s="371"/>
      <c r="Z301" s="371"/>
      <c r="AA301" s="176"/>
      <c r="AB301" s="159" t="s">
        <v>264</v>
      </c>
      <c r="AD301" s="172" t="s">
        <v>249</v>
      </c>
      <c r="AE301" s="167"/>
      <c r="AF301" s="164">
        <f>IF(OR(D299="Show",D299="",Q299="Show",Q299=""),1,0)</f>
        <v>0</v>
      </c>
      <c r="AG301" s="164">
        <f>IF(AND(SUM(AF:AF)&gt;0,OR(AND(D299="Show",D301=""),AND(Q299="Show",Q301=""))),1,0)</f>
        <v>0</v>
      </c>
      <c r="AI301" s="190">
        <v>1</v>
      </c>
    </row>
    <row r="302" spans="1:35" ht="8.5" hidden="1" customHeight="1" x14ac:dyDescent="0.15">
      <c r="A302" s="163" t="str">
        <f t="shared" si="67"/>
        <v/>
      </c>
      <c r="B302" s="164">
        <f>B301</f>
        <v>0</v>
      </c>
      <c r="D302" s="368"/>
      <c r="E302" s="368"/>
      <c r="F302" s="368"/>
      <c r="G302" s="368"/>
      <c r="H302" s="368"/>
      <c r="I302" s="368"/>
      <c r="J302" s="368"/>
      <c r="K302" s="368"/>
      <c r="L302" s="368"/>
      <c r="M302" s="368"/>
      <c r="N302" s="368"/>
      <c r="O302" s="368"/>
      <c r="P302" s="368"/>
      <c r="Q302" s="368"/>
      <c r="R302" s="368"/>
      <c r="S302" s="368"/>
      <c r="T302" s="368"/>
      <c r="U302" s="368"/>
      <c r="V302" s="368"/>
      <c r="W302" s="368"/>
      <c r="X302" s="368"/>
      <c r="Y302" s="368"/>
      <c r="Z302" s="368"/>
      <c r="AA302" s="176"/>
      <c r="AD302" s="165" t="s">
        <v>227</v>
      </c>
      <c r="AE302" s="156"/>
      <c r="AF302" s="22"/>
      <c r="AG302" s="22"/>
      <c r="AI302" s="190">
        <v>1</v>
      </c>
    </row>
    <row r="303" spans="1:35" ht="15.75" hidden="1" customHeight="1" x14ac:dyDescent="0.2">
      <c r="A303" s="163"/>
      <c r="B303" s="164">
        <v>0</v>
      </c>
      <c r="D303" s="369" t="s">
        <v>265</v>
      </c>
      <c r="E303" s="369"/>
      <c r="F303" s="369"/>
      <c r="G303" s="369"/>
      <c r="H303" s="369"/>
      <c r="I303" s="369"/>
      <c r="J303" s="369"/>
      <c r="K303" s="369"/>
      <c r="L303" s="369"/>
      <c r="M303" s="369"/>
      <c r="N303" s="369"/>
      <c r="O303" s="369"/>
      <c r="P303" s="369"/>
      <c r="Q303" s="369"/>
      <c r="R303" s="369"/>
      <c r="S303" s="369"/>
      <c r="T303" s="369"/>
      <c r="U303" s="369"/>
      <c r="V303" s="369"/>
      <c r="W303" s="369"/>
      <c r="X303" s="369"/>
      <c r="Y303" s="369"/>
      <c r="Z303" s="369"/>
      <c r="AB303" s="166" t="s">
        <v>259</v>
      </c>
      <c r="AD303" s="165" t="s">
        <v>260</v>
      </c>
      <c r="AE303" s="134"/>
      <c r="AF303" s="22"/>
      <c r="AG303" s="22"/>
      <c r="AI303" s="190">
        <v>1</v>
      </c>
    </row>
    <row r="304" spans="1:35" ht="25" hidden="1" customHeight="1" x14ac:dyDescent="0.2">
      <c r="A304" s="163"/>
      <c r="B304" s="164">
        <v>0</v>
      </c>
      <c r="D304" s="374" t="str">
        <f>CONCATENATE("↑ Room Section ", N246," ↑")</f>
        <v>↑ Room Section 2 ↑</v>
      </c>
      <c r="E304" s="374"/>
      <c r="F304" s="374"/>
      <c r="G304" s="374"/>
      <c r="H304" s="374"/>
      <c r="I304" s="374"/>
      <c r="J304" s="374"/>
      <c r="K304" s="374"/>
      <c r="L304" s="374"/>
      <c r="M304" s="374"/>
      <c r="N304" s="374"/>
      <c r="O304" s="374"/>
      <c r="P304" s="374"/>
      <c r="Q304" s="374"/>
      <c r="R304" s="374"/>
      <c r="S304" s="374"/>
      <c r="T304" s="374"/>
      <c r="U304" s="374"/>
      <c r="V304" s="374"/>
      <c r="W304" s="374"/>
      <c r="X304" s="374"/>
      <c r="Y304" s="374"/>
      <c r="Z304" s="374"/>
      <c r="AB304" s="166" t="s">
        <v>259</v>
      </c>
      <c r="AD304" s="165" t="s">
        <v>260</v>
      </c>
      <c r="AE304" s="134"/>
      <c r="AF304" s="22"/>
      <c r="AG304" s="22"/>
      <c r="AI304" s="190">
        <v>1</v>
      </c>
    </row>
    <row r="305" spans="1:35" ht="21" hidden="1" customHeight="1" x14ac:dyDescent="0.2">
      <c r="A305" s="163" t="str">
        <f>IF(OR(SUM(AG306:AG365),Y305=""),"X","")</f>
        <v/>
      </c>
      <c r="B305" s="164">
        <v>0</v>
      </c>
      <c r="D305" s="381" t="str">
        <f>CONCATENATE("Show Room ",N307," Inspection Section?")</f>
        <v>Show Room 3 Inspection Section?</v>
      </c>
      <c r="E305" s="381"/>
      <c r="F305" s="381"/>
      <c r="G305" s="381"/>
      <c r="H305" s="381"/>
      <c r="I305" s="381"/>
      <c r="J305" s="381"/>
      <c r="K305" s="381"/>
      <c r="L305" s="381"/>
      <c r="M305" s="381"/>
      <c r="N305" s="381"/>
      <c r="O305" s="381"/>
      <c r="P305" s="381"/>
      <c r="Q305" s="381"/>
      <c r="R305" s="381"/>
      <c r="S305" s="381"/>
      <c r="T305" s="381"/>
      <c r="U305" s="381"/>
      <c r="V305" s="381"/>
      <c r="W305" s="381"/>
      <c r="X305" s="381"/>
      <c r="Y305" s="382" t="s">
        <v>114</v>
      </c>
      <c r="Z305" s="383"/>
      <c r="AB305" s="166" t="s">
        <v>259</v>
      </c>
      <c r="AD305" s="165" t="s">
        <v>260</v>
      </c>
      <c r="AE305" s="134"/>
      <c r="AF305" s="22"/>
      <c r="AG305" s="22"/>
      <c r="AI305" s="190">
        <v>1</v>
      </c>
    </row>
    <row r="306" spans="1:35" ht="25" hidden="1" customHeight="1" x14ac:dyDescent="0.2">
      <c r="A306" s="163"/>
      <c r="B306" s="164">
        <v>0</v>
      </c>
      <c r="D306" s="374" t="str">
        <f>CONCATENATE("↓ Room Section ", N307," ↓")</f>
        <v>↓ Room Section 3 ↓</v>
      </c>
      <c r="E306" s="374"/>
      <c r="F306" s="374"/>
      <c r="G306" s="374"/>
      <c r="H306" s="374"/>
      <c r="I306" s="374"/>
      <c r="J306" s="374"/>
      <c r="K306" s="374"/>
      <c r="L306" s="374"/>
      <c r="M306" s="374"/>
      <c r="N306" s="374"/>
      <c r="O306" s="374"/>
      <c r="P306" s="374"/>
      <c r="Q306" s="374"/>
      <c r="R306" s="374"/>
      <c r="S306" s="374"/>
      <c r="T306" s="374"/>
      <c r="U306" s="374"/>
      <c r="V306" s="374"/>
      <c r="W306" s="374"/>
      <c r="X306" s="374"/>
      <c r="Y306" s="374"/>
      <c r="Z306" s="374"/>
      <c r="AB306" s="166" t="s">
        <v>259</v>
      </c>
      <c r="AD306" s="165" t="s">
        <v>260</v>
      </c>
      <c r="AE306" s="134"/>
      <c r="AF306" s="22"/>
      <c r="AG306" s="22"/>
      <c r="AI306" s="190">
        <v>1</v>
      </c>
    </row>
    <row r="307" spans="1:35" ht="21" hidden="1" customHeight="1" x14ac:dyDescent="0.15">
      <c r="A307" s="163" t="str">
        <f t="shared" ref="A307" si="68">IF(AG307=1,"X","")</f>
        <v/>
      </c>
      <c r="B307" s="164">
        <f>IF(Y$305="Yes",1,0)</f>
        <v>0</v>
      </c>
      <c r="D307" s="384" t="s">
        <v>404</v>
      </c>
      <c r="E307" s="384"/>
      <c r="F307" s="384"/>
      <c r="G307" s="384"/>
      <c r="H307" s="384"/>
      <c r="I307" s="384"/>
      <c r="J307" s="384"/>
      <c r="K307" s="384"/>
      <c r="L307" s="385" t="s">
        <v>394</v>
      </c>
      <c r="M307" s="385"/>
      <c r="N307" s="380">
        <f>N246+1</f>
        <v>3</v>
      </c>
      <c r="O307" s="380"/>
      <c r="P307" s="380"/>
      <c r="Q307" s="380"/>
      <c r="R307" s="380"/>
      <c r="S307" s="380"/>
      <c r="T307" s="380"/>
      <c r="U307" s="380"/>
      <c r="V307" s="380"/>
      <c r="W307" s="380"/>
      <c r="X307" s="380"/>
      <c r="Y307" s="380"/>
      <c r="Z307" s="380"/>
      <c r="AB307" s="166" t="s">
        <v>462</v>
      </c>
      <c r="AD307" s="165" t="s">
        <v>463</v>
      </c>
      <c r="AE307" s="134"/>
      <c r="AF307" s="22"/>
      <c r="AG307" s="22"/>
      <c r="AI307" s="190">
        <v>1</v>
      </c>
    </row>
    <row r="308" spans="1:35" s="180" customFormat="1" ht="18" hidden="1" customHeight="1" x14ac:dyDescent="0.2">
      <c r="A308" s="163" t="str">
        <f t="shared" ref="A308:A319" si="69">IF(AG308=1,"X","")</f>
        <v/>
      </c>
      <c r="B308" s="164">
        <f>IF(Y$305="Yes",1,0)</f>
        <v>0</v>
      </c>
      <c r="C308" s="152"/>
      <c r="D308" s="378" t="s">
        <v>392</v>
      </c>
      <c r="E308" s="378"/>
      <c r="F308" s="378"/>
      <c r="G308" s="378"/>
      <c r="H308" s="378"/>
      <c r="I308" s="373"/>
      <c r="J308" s="373"/>
      <c r="K308" s="373"/>
      <c r="L308" s="373"/>
      <c r="M308" s="373"/>
      <c r="N308" s="373"/>
      <c r="O308" s="373"/>
      <c r="P308" s="373"/>
      <c r="Q308" s="373"/>
      <c r="R308" s="373"/>
      <c r="S308" s="373"/>
      <c r="T308" s="373"/>
      <c r="U308" s="373"/>
      <c r="V308" s="373"/>
      <c r="W308" s="373"/>
      <c r="X308" s="373"/>
      <c r="Y308" s="373"/>
      <c r="Z308" s="373"/>
      <c r="AA308" s="169"/>
      <c r="AB308" s="159" t="s">
        <v>464</v>
      </c>
      <c r="AD308" s="165" t="s">
        <v>463</v>
      </c>
      <c r="AE308" s="167"/>
      <c r="AF308" s="164">
        <f t="shared" ref="AF308:AF309" si="70">IF(B308&lt;&gt;"",1,0)</f>
        <v>1</v>
      </c>
      <c r="AG308" s="164">
        <f>IF(AND(SUM(AF:AF)&gt;0,OR(AND(B308=1,Y305="No"),AND(B308=1,I308="",Y305="Yes"),AND(B308="",I308="",Y305="Yes"),AND(B308="",I308&lt;&gt;"",Y305="Yes"),AND(B308=0,I308&lt;&gt;"",Y305="Yes"))),1,0)</f>
        <v>0</v>
      </c>
      <c r="AI308" s="190">
        <v>1</v>
      </c>
    </row>
    <row r="309" spans="1:35" s="180" customFormat="1" ht="18" hidden="1" customHeight="1" x14ac:dyDescent="0.2">
      <c r="A309" s="163" t="str">
        <f t="shared" si="69"/>
        <v/>
      </c>
      <c r="B309" s="164">
        <f>IF(Y$305="Yes",1,0)</f>
        <v>0</v>
      </c>
      <c r="C309" s="152"/>
      <c r="D309" s="378" t="s">
        <v>393</v>
      </c>
      <c r="E309" s="378"/>
      <c r="F309" s="378"/>
      <c r="G309" s="378"/>
      <c r="H309" s="378"/>
      <c r="I309" s="373"/>
      <c r="J309" s="373"/>
      <c r="K309" s="373"/>
      <c r="L309" s="373"/>
      <c r="M309" s="373"/>
      <c r="N309" s="373"/>
      <c r="O309" s="373"/>
      <c r="P309" s="373"/>
      <c r="Q309" s="373"/>
      <c r="R309" s="373"/>
      <c r="S309" s="373"/>
      <c r="T309" s="373"/>
      <c r="U309" s="373"/>
      <c r="V309" s="373"/>
      <c r="W309" s="373"/>
      <c r="X309" s="373"/>
      <c r="Y309" s="373"/>
      <c r="Z309" s="373"/>
      <c r="AA309" s="169"/>
      <c r="AB309" s="159" t="s">
        <v>464</v>
      </c>
      <c r="AD309" s="165" t="s">
        <v>463</v>
      </c>
      <c r="AE309" s="167"/>
      <c r="AF309" s="164">
        <f t="shared" si="70"/>
        <v>1</v>
      </c>
      <c r="AG309" s="164">
        <f>IF(AND(SUM(AF:AF)&gt;0,OR(AND(B309=1,Y305="No"),AND(B309=1,I309="",Y305="Yes"),AND(B309="",I309="",Y305="Yes"),AND(B309="",I309&lt;&gt;"",Y305="Yes"),AND(B309=0,I309&lt;&gt;"",Y305="Yes"))),1,0)</f>
        <v>0</v>
      </c>
      <c r="AI309" s="190">
        <v>1</v>
      </c>
    </row>
    <row r="310" spans="1:35" ht="21" hidden="1" customHeight="1" x14ac:dyDescent="0.15">
      <c r="A310" s="163" t="str">
        <f t="shared" si="69"/>
        <v/>
      </c>
      <c r="B310" s="164">
        <f>IF(Y$305="Yes",1,0)</f>
        <v>0</v>
      </c>
      <c r="D310" s="380" t="s">
        <v>313</v>
      </c>
      <c r="E310" s="380"/>
      <c r="F310" s="380"/>
      <c r="G310" s="380"/>
      <c r="H310" s="380"/>
      <c r="I310" s="380"/>
      <c r="J310" s="380"/>
      <c r="K310" s="380"/>
      <c r="L310" s="380"/>
      <c r="M310" s="380"/>
      <c r="N310" s="380"/>
      <c r="O310" s="380"/>
      <c r="P310" s="380"/>
      <c r="Q310" s="380"/>
      <c r="R310" s="380"/>
      <c r="S310" s="380"/>
      <c r="T310" s="380"/>
      <c r="U310" s="380"/>
      <c r="V310" s="380"/>
      <c r="W310" s="380"/>
      <c r="X310" s="380"/>
      <c r="Y310" s="380"/>
      <c r="Z310" s="380"/>
      <c r="AB310" s="166" t="s">
        <v>462</v>
      </c>
      <c r="AD310" s="165" t="s">
        <v>463</v>
      </c>
      <c r="AE310" s="134"/>
      <c r="AF310" s="22"/>
      <c r="AG310" s="22"/>
      <c r="AI310" s="190">
        <v>1</v>
      </c>
    </row>
    <row r="311" spans="1:35" s="180" customFormat="1" ht="18" hidden="1" customHeight="1" x14ac:dyDescent="0.2">
      <c r="A311" s="163" t="str">
        <f t="shared" si="69"/>
        <v/>
      </c>
      <c r="B311" s="170"/>
      <c r="C311" s="152"/>
      <c r="D311" s="378" t="s">
        <v>397</v>
      </c>
      <c r="E311" s="378"/>
      <c r="F311" s="378"/>
      <c r="G311" s="378"/>
      <c r="H311" s="378"/>
      <c r="I311" s="378"/>
      <c r="J311" s="378"/>
      <c r="K311" s="378"/>
      <c r="L311" s="378"/>
      <c r="M311" s="378"/>
      <c r="N311" s="378"/>
      <c r="O311" s="378"/>
      <c r="P311" s="378"/>
      <c r="Q311" s="378"/>
      <c r="R311" s="378"/>
      <c r="S311" s="378"/>
      <c r="T311" s="378"/>
      <c r="U311" s="378"/>
      <c r="V311" s="378"/>
      <c r="W311" s="378"/>
      <c r="X311" s="378"/>
      <c r="Y311" s="378"/>
      <c r="Z311" s="378"/>
      <c r="AA311" s="169"/>
      <c r="AB311" s="159" t="s">
        <v>281</v>
      </c>
      <c r="AD311" s="172" t="s">
        <v>249</v>
      </c>
      <c r="AE311" s="167"/>
      <c r="AF311" s="164">
        <f t="shared" ref="AF311:AF312" si="71">IF(B311&lt;&gt;"",1,0)</f>
        <v>0</v>
      </c>
      <c r="AG311" s="164">
        <f>IF(AND(SUM(AF:AF)&gt;0,OR(AND(B311="",Y305="Yes"),AND(B311=1,Y305="No"))),1,0)</f>
        <v>0</v>
      </c>
      <c r="AI311" s="190">
        <v>1</v>
      </c>
    </row>
    <row r="312" spans="1:35" s="180" customFormat="1" ht="18" hidden="1" customHeight="1" x14ac:dyDescent="0.2">
      <c r="A312" s="163" t="str">
        <f t="shared" si="69"/>
        <v/>
      </c>
      <c r="B312" s="170"/>
      <c r="C312" s="152"/>
      <c r="D312" s="378" t="s">
        <v>398</v>
      </c>
      <c r="E312" s="378"/>
      <c r="F312" s="378"/>
      <c r="G312" s="378"/>
      <c r="H312" s="378"/>
      <c r="I312" s="378"/>
      <c r="J312" s="378"/>
      <c r="K312" s="378"/>
      <c r="L312" s="378"/>
      <c r="M312" s="378"/>
      <c r="N312" s="378"/>
      <c r="O312" s="378"/>
      <c r="P312" s="378"/>
      <c r="Q312" s="378"/>
      <c r="R312" s="378"/>
      <c r="S312" s="378"/>
      <c r="T312" s="378"/>
      <c r="U312" s="378"/>
      <c r="V312" s="378"/>
      <c r="W312" s="378"/>
      <c r="X312" s="378"/>
      <c r="Y312" s="378"/>
      <c r="Z312" s="378"/>
      <c r="AA312" s="169"/>
      <c r="AB312" s="159" t="s">
        <v>281</v>
      </c>
      <c r="AD312" s="172" t="s">
        <v>249</v>
      </c>
      <c r="AE312" s="167"/>
      <c r="AF312" s="164">
        <f t="shared" si="71"/>
        <v>0</v>
      </c>
      <c r="AG312" s="164">
        <f>IF(AND(SUM(AF:AF)&gt;0,OR(AND(B312="",Y305="Yes"),AND(B312=1,Y305="No"))),1,0)</f>
        <v>0</v>
      </c>
      <c r="AI312" s="190">
        <v>1</v>
      </c>
    </row>
    <row r="313" spans="1:35" s="180" customFormat="1" ht="18" hidden="1" customHeight="1" x14ac:dyDescent="0.2">
      <c r="A313" s="163" t="str">
        <f t="shared" si="69"/>
        <v/>
      </c>
      <c r="B313" s="170"/>
      <c r="C313" s="152"/>
      <c r="D313" s="179" t="s">
        <v>252</v>
      </c>
      <c r="E313" s="378" t="s">
        <v>315</v>
      </c>
      <c r="F313" s="378"/>
      <c r="G313" s="378"/>
      <c r="H313" s="378"/>
      <c r="I313" s="378"/>
      <c r="J313" s="378"/>
      <c r="K313" s="378"/>
      <c r="L313" s="378"/>
      <c r="M313" s="378"/>
      <c r="N313" s="378"/>
      <c r="O313" s="378"/>
      <c r="P313" s="378"/>
      <c r="Q313" s="378"/>
      <c r="R313" s="378"/>
      <c r="S313" s="378"/>
      <c r="T313" s="378"/>
      <c r="U313" s="378"/>
      <c r="V313" s="378"/>
      <c r="W313" s="378"/>
      <c r="X313" s="378"/>
      <c r="Y313" s="378"/>
      <c r="Z313" s="378"/>
      <c r="AA313" s="169"/>
      <c r="AB313" s="159" t="s">
        <v>281</v>
      </c>
      <c r="AD313" s="172" t="s">
        <v>249</v>
      </c>
      <c r="AE313" s="167"/>
      <c r="AF313" s="164">
        <f t="shared" ref="AF313:AF314" si="72">IF(B313&lt;&gt;"",1,0)</f>
        <v>0</v>
      </c>
      <c r="AG313" s="164">
        <f>IF(AND(SUM(AF:AF)&gt;0,OR(AND(B313="",Y305="Yes"),AND(B313=1,Y305="No"))),1,0)</f>
        <v>0</v>
      </c>
      <c r="AI313" s="190">
        <v>1</v>
      </c>
    </row>
    <row r="314" spans="1:35" s="180" customFormat="1" ht="18" hidden="1" customHeight="1" x14ac:dyDescent="0.2">
      <c r="A314" s="163" t="str">
        <f t="shared" si="69"/>
        <v/>
      </c>
      <c r="B314" s="170"/>
      <c r="C314" s="152"/>
      <c r="D314" s="179" t="s">
        <v>252</v>
      </c>
      <c r="E314" s="378" t="s">
        <v>316</v>
      </c>
      <c r="F314" s="378"/>
      <c r="G314" s="378"/>
      <c r="H314" s="378"/>
      <c r="I314" s="378"/>
      <c r="J314" s="378"/>
      <c r="K314" s="378"/>
      <c r="L314" s="378"/>
      <c r="M314" s="378"/>
      <c r="N314" s="378"/>
      <c r="O314" s="378"/>
      <c r="P314" s="378"/>
      <c r="Q314" s="378"/>
      <c r="R314" s="378"/>
      <c r="S314" s="378"/>
      <c r="T314" s="378"/>
      <c r="U314" s="378"/>
      <c r="V314" s="378"/>
      <c r="W314" s="378"/>
      <c r="X314" s="378"/>
      <c r="Y314" s="378"/>
      <c r="Z314" s="378"/>
      <c r="AA314" s="169"/>
      <c r="AB314" s="159" t="s">
        <v>281</v>
      </c>
      <c r="AD314" s="172" t="s">
        <v>249</v>
      </c>
      <c r="AE314" s="167"/>
      <c r="AF314" s="164">
        <f t="shared" si="72"/>
        <v>0</v>
      </c>
      <c r="AG314" s="164">
        <f>IF(AND(SUM(AF:AF)&gt;0,OR(AND(B314="",Y305="Yes"),AND(B314=1,Y305="No"))),1,0)</f>
        <v>0</v>
      </c>
      <c r="AI314" s="190">
        <v>1</v>
      </c>
    </row>
    <row r="315" spans="1:35" s="180" customFormat="1" ht="18.5" hidden="1" customHeight="1" x14ac:dyDescent="0.2">
      <c r="A315" s="163" t="str">
        <f t="shared" si="69"/>
        <v/>
      </c>
      <c r="B315" s="164">
        <v>0</v>
      </c>
      <c r="C315" s="152"/>
      <c r="D315" s="179" t="s">
        <v>252</v>
      </c>
      <c r="E315" s="378" t="s">
        <v>312</v>
      </c>
      <c r="F315" s="378"/>
      <c r="G315" s="378"/>
      <c r="H315" s="378"/>
      <c r="I315" s="378"/>
      <c r="J315" s="378"/>
      <c r="K315" s="378"/>
      <c r="L315" s="378"/>
      <c r="M315" s="378"/>
      <c r="N315" s="378"/>
      <c r="O315" s="378"/>
      <c r="P315" s="378"/>
      <c r="Q315" s="378"/>
      <c r="R315" s="378"/>
      <c r="S315" s="378"/>
      <c r="T315" s="378"/>
      <c r="U315" s="378"/>
      <c r="V315" s="378"/>
      <c r="W315" s="378"/>
      <c r="X315" s="378"/>
      <c r="Y315" s="378"/>
      <c r="Z315" s="378"/>
      <c r="AA315" s="168"/>
      <c r="AB315" s="166" t="s">
        <v>259</v>
      </c>
      <c r="AD315" s="165" t="s">
        <v>260</v>
      </c>
      <c r="AE315" s="134"/>
      <c r="AF315" s="22"/>
      <c r="AG315" s="22"/>
      <c r="AI315" s="190">
        <v>1</v>
      </c>
    </row>
    <row r="316" spans="1:35" s="180" customFormat="1" ht="18" hidden="1" customHeight="1" x14ac:dyDescent="0.2">
      <c r="A316" s="163" t="str">
        <f t="shared" si="69"/>
        <v/>
      </c>
      <c r="B316" s="170"/>
      <c r="C316" s="152"/>
      <c r="D316" s="179" t="s">
        <v>252</v>
      </c>
      <c r="E316" s="373"/>
      <c r="F316" s="373"/>
      <c r="G316" s="373"/>
      <c r="H316" s="373"/>
      <c r="I316" s="373"/>
      <c r="J316" s="373"/>
      <c r="K316" s="373"/>
      <c r="L316" s="373"/>
      <c r="M316" s="373"/>
      <c r="N316" s="373"/>
      <c r="O316" s="373"/>
      <c r="P316" s="373"/>
      <c r="Q316" s="373"/>
      <c r="R316" s="373"/>
      <c r="S316" s="373"/>
      <c r="T316" s="373"/>
      <c r="U316" s="373"/>
      <c r="V316" s="373"/>
      <c r="W316" s="373"/>
      <c r="X316" s="373"/>
      <c r="Y316" s="373"/>
      <c r="Z316" s="373"/>
      <c r="AA316" s="169"/>
      <c r="AB316" s="159" t="s">
        <v>281</v>
      </c>
      <c r="AD316" s="172" t="s">
        <v>249</v>
      </c>
      <c r="AE316" s="167"/>
      <c r="AF316" s="164">
        <f t="shared" ref="AF316:AF318" si="73">IF(B316&lt;&gt;"",1,0)</f>
        <v>0</v>
      </c>
      <c r="AG316" s="164">
        <f>IF(AND(SUM(AF:AF)&gt;0,OR(AND(B316=1,Y305="No"),AND(B316=1,E316="",Y305="Yes"),AND(B316="",E316="",Y305="Yes"),AND(B316="",E316&lt;&gt;"",Y305="Yes"),AND(B316=0,E316&lt;&gt;"",Y305="Yes"))),1,0)</f>
        <v>0</v>
      </c>
      <c r="AI316" s="190">
        <v>1</v>
      </c>
    </row>
    <row r="317" spans="1:35" s="180" customFormat="1" ht="18" hidden="1" customHeight="1" x14ac:dyDescent="0.2">
      <c r="A317" s="163" t="str">
        <f t="shared" si="69"/>
        <v/>
      </c>
      <c r="B317" s="170"/>
      <c r="C317" s="152"/>
      <c r="D317" s="179" t="s">
        <v>252</v>
      </c>
      <c r="E317" s="373"/>
      <c r="F317" s="373"/>
      <c r="G317" s="373"/>
      <c r="H317" s="373"/>
      <c r="I317" s="373"/>
      <c r="J317" s="373"/>
      <c r="K317" s="373"/>
      <c r="L317" s="373"/>
      <c r="M317" s="373"/>
      <c r="N317" s="373"/>
      <c r="O317" s="373"/>
      <c r="P317" s="373"/>
      <c r="Q317" s="373"/>
      <c r="R317" s="373"/>
      <c r="S317" s="373"/>
      <c r="T317" s="373"/>
      <c r="U317" s="373"/>
      <c r="V317" s="373"/>
      <c r="W317" s="373"/>
      <c r="X317" s="373"/>
      <c r="Y317" s="373"/>
      <c r="Z317" s="373"/>
      <c r="AA317" s="169"/>
      <c r="AB317" s="159" t="s">
        <v>281</v>
      </c>
      <c r="AD317" s="172" t="s">
        <v>249</v>
      </c>
      <c r="AE317" s="167"/>
      <c r="AF317" s="164">
        <f t="shared" si="73"/>
        <v>0</v>
      </c>
      <c r="AG317" s="164">
        <f>IF(AND(SUM(AF:AF)&gt;0,OR(AND(B317=1,Y305="No"),AND(B317=1,E317="",Y305="Yes"),AND(B317="",E317="",Y305="Yes"),AND(B317="",E317&lt;&gt;"",Y305="Yes"),AND(B317=0,E317&lt;&gt;"",Y305="Yes"))),1,0)</f>
        <v>0</v>
      </c>
      <c r="AI317" s="190">
        <v>1</v>
      </c>
    </row>
    <row r="318" spans="1:35" s="180" customFormat="1" ht="18" hidden="1" customHeight="1" x14ac:dyDescent="0.2">
      <c r="A318" s="163" t="str">
        <f t="shared" si="69"/>
        <v/>
      </c>
      <c r="B318" s="170"/>
      <c r="C318" s="152"/>
      <c r="D318" s="179" t="s">
        <v>252</v>
      </c>
      <c r="E318" s="373"/>
      <c r="F318" s="373"/>
      <c r="G318" s="373"/>
      <c r="H318" s="373"/>
      <c r="I318" s="373"/>
      <c r="J318" s="373"/>
      <c r="K318" s="373"/>
      <c r="L318" s="373"/>
      <c r="M318" s="373"/>
      <c r="N318" s="373"/>
      <c r="O318" s="373"/>
      <c r="P318" s="373"/>
      <c r="Q318" s="373"/>
      <c r="R318" s="373"/>
      <c r="S318" s="373"/>
      <c r="T318" s="373"/>
      <c r="U318" s="373"/>
      <c r="V318" s="373"/>
      <c r="W318" s="373"/>
      <c r="X318" s="373"/>
      <c r="Y318" s="373"/>
      <c r="Z318" s="373"/>
      <c r="AA318" s="169"/>
      <c r="AB318" s="159" t="s">
        <v>281</v>
      </c>
      <c r="AD318" s="172" t="s">
        <v>249</v>
      </c>
      <c r="AE318" s="167"/>
      <c r="AF318" s="164">
        <f t="shared" si="73"/>
        <v>0</v>
      </c>
      <c r="AG318" s="164">
        <f>IF(AND(SUM(AF:AF)&gt;0,OR(AND(B318=1,Y305="No"),AND(B318=1,E318="",Y305="Yes"),AND(B318="",E318="",Y305="Yes"),AND(B318="",E318&lt;&gt;"",Y305="Yes"),AND(B318=0,E318&lt;&gt;"",Y305="Yes"))),1,0)</f>
        <v>0</v>
      </c>
      <c r="AI318" s="190">
        <v>1</v>
      </c>
    </row>
    <row r="319" spans="1:35" ht="21" hidden="1" customHeight="1" x14ac:dyDescent="0.2">
      <c r="A319" s="163" t="str">
        <f t="shared" si="69"/>
        <v/>
      </c>
      <c r="B319" s="164">
        <v>0</v>
      </c>
      <c r="D319" s="379" t="s">
        <v>258</v>
      </c>
      <c r="E319" s="379"/>
      <c r="F319" s="379"/>
      <c r="G319" s="379"/>
      <c r="H319" s="379"/>
      <c r="I319" s="379"/>
      <c r="J319" s="379"/>
      <c r="K319" s="379"/>
      <c r="L319" s="379"/>
      <c r="M319" s="379"/>
      <c r="N319" s="379"/>
      <c r="O319" s="379"/>
      <c r="P319" s="379"/>
      <c r="Q319" s="379"/>
      <c r="R319" s="379"/>
      <c r="S319" s="379"/>
      <c r="T319" s="379"/>
      <c r="U319" s="379"/>
      <c r="V319" s="379"/>
      <c r="W319" s="379"/>
      <c r="X319" s="379"/>
      <c r="Y319" s="379"/>
      <c r="Z319" s="379"/>
      <c r="AB319" s="166" t="s">
        <v>259</v>
      </c>
      <c r="AD319" s="165" t="s">
        <v>260</v>
      </c>
      <c r="AE319" s="134"/>
      <c r="AF319" s="22"/>
      <c r="AG319" s="22"/>
      <c r="AI319" s="190">
        <v>1</v>
      </c>
    </row>
    <row r="320" spans="1:35" ht="15.75" hidden="1" customHeight="1" x14ac:dyDescent="0.2">
      <c r="A320" s="163"/>
      <c r="B320" s="164">
        <v>0</v>
      </c>
      <c r="D320" s="369" t="s">
        <v>261</v>
      </c>
      <c r="E320" s="369"/>
      <c r="F320" s="369"/>
      <c r="G320" s="369"/>
      <c r="H320" s="369"/>
      <c r="I320" s="369"/>
      <c r="J320" s="369"/>
      <c r="K320" s="369"/>
      <c r="L320" s="369"/>
      <c r="M320" s="369"/>
      <c r="N320" s="369"/>
      <c r="O320" s="369"/>
      <c r="P320" s="369"/>
      <c r="Q320" s="369"/>
      <c r="R320" s="369"/>
      <c r="S320" s="369"/>
      <c r="T320" s="369"/>
      <c r="U320" s="369"/>
      <c r="V320" s="369"/>
      <c r="W320" s="369"/>
      <c r="X320" s="369"/>
      <c r="Y320" s="369"/>
      <c r="Z320" s="369"/>
      <c r="AB320" s="166" t="s">
        <v>259</v>
      </c>
      <c r="AD320" s="165" t="s">
        <v>260</v>
      </c>
      <c r="AE320" s="134"/>
      <c r="AF320" s="22"/>
      <c r="AG320" s="22"/>
      <c r="AI320" s="190">
        <v>1</v>
      </c>
    </row>
    <row r="321" spans="1:35" ht="8.5" hidden="1" customHeight="1" x14ac:dyDescent="0.15">
      <c r="A321" s="163" t="str">
        <f>IF(AG321=1,"X","")</f>
        <v/>
      </c>
      <c r="B321" s="164">
        <f>IF(OR(D322="Show",Q322="Show"),1,0)</f>
        <v>0</v>
      </c>
      <c r="D321" s="368"/>
      <c r="E321" s="368"/>
      <c r="F321" s="368"/>
      <c r="G321" s="368"/>
      <c r="H321" s="368"/>
      <c r="I321" s="368"/>
      <c r="J321" s="368"/>
      <c r="K321" s="368"/>
      <c r="L321" s="368"/>
      <c r="M321" s="368"/>
      <c r="N321" s="368"/>
      <c r="O321" s="368"/>
      <c r="P321" s="368"/>
      <c r="Q321" s="368"/>
      <c r="R321" s="368"/>
      <c r="S321" s="368"/>
      <c r="T321" s="368"/>
      <c r="U321" s="368"/>
      <c r="V321" s="368"/>
      <c r="W321" s="368"/>
      <c r="X321" s="368"/>
      <c r="Y321" s="368"/>
      <c r="Z321" s="368"/>
      <c r="AD321" s="165" t="s">
        <v>227</v>
      </c>
      <c r="AE321" s="156"/>
      <c r="AF321" s="22"/>
      <c r="AG321" s="22"/>
      <c r="AI321" s="190">
        <v>1</v>
      </c>
    </row>
    <row r="322" spans="1:35" ht="18" hidden="1" customHeight="1" x14ac:dyDescent="0.2">
      <c r="A322" s="163" t="str">
        <f t="shared" ref="A322:A325" si="74">IF(AG322=1,"X","")</f>
        <v/>
      </c>
      <c r="B322" s="164">
        <v>0</v>
      </c>
      <c r="D322" s="370" t="s">
        <v>267</v>
      </c>
      <c r="E322" s="370"/>
      <c r="F322" s="370"/>
      <c r="G322" s="370"/>
      <c r="H322" s="370"/>
      <c r="I322" s="370"/>
      <c r="J322" s="370"/>
      <c r="K322" s="370"/>
      <c r="L322" s="370"/>
      <c r="M322" s="370"/>
      <c r="N322" s="370"/>
      <c r="O322" s="175"/>
      <c r="P322" s="175"/>
      <c r="Q322" s="370" t="s">
        <v>267</v>
      </c>
      <c r="R322" s="370"/>
      <c r="S322" s="370"/>
      <c r="T322" s="370"/>
      <c r="U322" s="370"/>
      <c r="V322" s="370"/>
      <c r="W322" s="370"/>
      <c r="X322" s="370"/>
      <c r="Y322" s="370"/>
      <c r="Z322" s="370"/>
      <c r="AA322" s="176"/>
      <c r="AB322" s="159" t="s">
        <v>262</v>
      </c>
      <c r="AD322" s="172" t="s">
        <v>249</v>
      </c>
      <c r="AE322" s="134"/>
      <c r="AF322" s="164">
        <f>IF(OR(D322="Show",D322="",Q322="Show",Q322=""),1,0)</f>
        <v>0</v>
      </c>
      <c r="AG322" s="164">
        <f>IF(AND(SUM(AF:AF)&gt;0,OR(D322="",Q322="")),1,0)</f>
        <v>0</v>
      </c>
      <c r="AI322" s="190">
        <v>1</v>
      </c>
    </row>
    <row r="323" spans="1:35" ht="197.25" hidden="1" customHeight="1" x14ac:dyDescent="0.2">
      <c r="A323" s="163" t="str">
        <f t="shared" si="74"/>
        <v/>
      </c>
      <c r="B323" s="164">
        <f>B321</f>
        <v>0</v>
      </c>
      <c r="D323" s="370"/>
      <c r="E323" s="370"/>
      <c r="F323" s="370"/>
      <c r="G323" s="370"/>
      <c r="H323" s="370"/>
      <c r="I323" s="370"/>
      <c r="J323" s="370"/>
      <c r="K323" s="370"/>
      <c r="L323" s="370"/>
      <c r="M323" s="370"/>
      <c r="N323" s="370"/>
      <c r="O323" s="175"/>
      <c r="P323" s="175"/>
      <c r="Q323" s="370"/>
      <c r="R323" s="370"/>
      <c r="S323" s="370"/>
      <c r="T323" s="370"/>
      <c r="U323" s="370"/>
      <c r="V323" s="370"/>
      <c r="W323" s="370"/>
      <c r="X323" s="370"/>
      <c r="Y323" s="370"/>
      <c r="Z323" s="370"/>
      <c r="AA323" s="176"/>
      <c r="AB323" s="159" t="s">
        <v>263</v>
      </c>
      <c r="AD323" s="172" t="s">
        <v>249</v>
      </c>
      <c r="AE323" s="167"/>
      <c r="AF323" s="22"/>
      <c r="AG323" s="22"/>
      <c r="AI323" s="190">
        <v>1</v>
      </c>
    </row>
    <row r="324" spans="1:35" ht="18" hidden="1" customHeight="1" x14ac:dyDescent="0.2">
      <c r="A324" s="163" t="str">
        <f t="shared" si="74"/>
        <v/>
      </c>
      <c r="B324" s="164">
        <f>B323</f>
        <v>0</v>
      </c>
      <c r="D324" s="371"/>
      <c r="E324" s="371"/>
      <c r="F324" s="371"/>
      <c r="G324" s="371"/>
      <c r="H324" s="371"/>
      <c r="I324" s="371"/>
      <c r="J324" s="371"/>
      <c r="K324" s="371"/>
      <c r="L324" s="371"/>
      <c r="M324" s="371"/>
      <c r="N324" s="371"/>
      <c r="O324" s="175"/>
      <c r="P324" s="175"/>
      <c r="Q324" s="371"/>
      <c r="R324" s="371"/>
      <c r="S324" s="371"/>
      <c r="T324" s="371"/>
      <c r="U324" s="371"/>
      <c r="V324" s="371"/>
      <c r="W324" s="371"/>
      <c r="X324" s="371"/>
      <c r="Y324" s="371"/>
      <c r="Z324" s="371"/>
      <c r="AA324" s="176"/>
      <c r="AB324" s="159" t="s">
        <v>264</v>
      </c>
      <c r="AD324" s="172" t="s">
        <v>249</v>
      </c>
      <c r="AE324" s="167"/>
      <c r="AF324" s="164">
        <f>IF(OR(D322="Show",D322="",Q322="Show",Q322=""),1,0)</f>
        <v>0</v>
      </c>
      <c r="AG324" s="164">
        <f>IF(AND(SUM(AF:AF)&gt;0,OR(AND(D322="Show",D324=""),AND(Q322="Show",Q324=""))),1,0)</f>
        <v>0</v>
      </c>
      <c r="AI324" s="190">
        <v>1</v>
      </c>
    </row>
    <row r="325" spans="1:35" ht="8.5" hidden="1" customHeight="1" x14ac:dyDescent="0.15">
      <c r="A325" s="163" t="str">
        <f t="shared" si="74"/>
        <v/>
      </c>
      <c r="B325" s="164">
        <f>B324</f>
        <v>0</v>
      </c>
      <c r="D325" s="368"/>
      <c r="E325" s="368"/>
      <c r="F325" s="368"/>
      <c r="G325" s="368"/>
      <c r="H325" s="368"/>
      <c r="I325" s="368"/>
      <c r="J325" s="368"/>
      <c r="K325" s="368"/>
      <c r="L325" s="368"/>
      <c r="M325" s="368"/>
      <c r="N325" s="368"/>
      <c r="O325" s="368"/>
      <c r="P325" s="368"/>
      <c r="Q325" s="368"/>
      <c r="R325" s="368"/>
      <c r="S325" s="368"/>
      <c r="T325" s="368"/>
      <c r="U325" s="368"/>
      <c r="V325" s="368"/>
      <c r="W325" s="368"/>
      <c r="X325" s="368"/>
      <c r="Y325" s="368"/>
      <c r="Z325" s="368"/>
      <c r="AA325" s="176"/>
      <c r="AD325" s="165" t="s">
        <v>227</v>
      </c>
      <c r="AE325" s="156"/>
      <c r="AF325" s="22"/>
      <c r="AG325" s="22"/>
      <c r="AI325" s="190">
        <v>1</v>
      </c>
    </row>
    <row r="326" spans="1:35" ht="15.75" hidden="1" customHeight="1" x14ac:dyDescent="0.2">
      <c r="A326" s="163"/>
      <c r="B326" s="164">
        <v>0</v>
      </c>
      <c r="D326" s="369" t="s">
        <v>265</v>
      </c>
      <c r="E326" s="369"/>
      <c r="F326" s="369"/>
      <c r="G326" s="369"/>
      <c r="H326" s="369"/>
      <c r="I326" s="369"/>
      <c r="J326" s="369"/>
      <c r="K326" s="369"/>
      <c r="L326" s="369"/>
      <c r="M326" s="369"/>
      <c r="N326" s="369"/>
      <c r="O326" s="369"/>
      <c r="P326" s="369"/>
      <c r="Q326" s="369"/>
      <c r="R326" s="369"/>
      <c r="S326" s="369"/>
      <c r="T326" s="369"/>
      <c r="U326" s="369"/>
      <c r="V326" s="369"/>
      <c r="W326" s="369"/>
      <c r="X326" s="369"/>
      <c r="Y326" s="369"/>
      <c r="Z326" s="369"/>
      <c r="AB326" s="166" t="s">
        <v>259</v>
      </c>
      <c r="AD326" s="165" t="s">
        <v>260</v>
      </c>
      <c r="AE326" s="134"/>
      <c r="AF326" s="22"/>
      <c r="AG326" s="22"/>
      <c r="AI326" s="190">
        <v>1</v>
      </c>
    </row>
    <row r="327" spans="1:35" ht="21" hidden="1" customHeight="1" x14ac:dyDescent="0.15">
      <c r="A327" s="163" t="str">
        <f t="shared" ref="A327:A339" si="75">IF(AG327=1,"X","")</f>
        <v/>
      </c>
      <c r="B327" s="164">
        <f>IF(Y$305="Yes",1,0)</f>
        <v>0</v>
      </c>
      <c r="D327" s="380" t="s">
        <v>0</v>
      </c>
      <c r="E327" s="380"/>
      <c r="F327" s="380"/>
      <c r="G327" s="380"/>
      <c r="H327" s="380"/>
      <c r="I327" s="380"/>
      <c r="J327" s="380"/>
      <c r="K327" s="380"/>
      <c r="L327" s="380"/>
      <c r="M327" s="380"/>
      <c r="N327" s="380"/>
      <c r="O327" s="380"/>
      <c r="P327" s="380"/>
      <c r="Q327" s="380"/>
      <c r="R327" s="380"/>
      <c r="S327" s="380"/>
      <c r="T327" s="380"/>
      <c r="U327" s="380"/>
      <c r="V327" s="380"/>
      <c r="W327" s="380"/>
      <c r="X327" s="380"/>
      <c r="Y327" s="380"/>
      <c r="Z327" s="380"/>
      <c r="AB327" s="166" t="s">
        <v>462</v>
      </c>
      <c r="AD327" s="165" t="s">
        <v>463</v>
      </c>
      <c r="AE327" s="134"/>
      <c r="AF327" s="22"/>
      <c r="AG327" s="22"/>
      <c r="AI327" s="190">
        <v>1</v>
      </c>
    </row>
    <row r="328" spans="1:35" s="180" customFormat="1" ht="18" hidden="1" customHeight="1" x14ac:dyDescent="0.2">
      <c r="A328" s="163" t="str">
        <f t="shared" si="75"/>
        <v/>
      </c>
      <c r="B328" s="170"/>
      <c r="C328" s="152"/>
      <c r="D328" s="378" t="s">
        <v>399</v>
      </c>
      <c r="E328" s="378"/>
      <c r="F328" s="378"/>
      <c r="G328" s="378"/>
      <c r="H328" s="378"/>
      <c r="I328" s="378"/>
      <c r="J328" s="378"/>
      <c r="K328" s="378"/>
      <c r="L328" s="378"/>
      <c r="M328" s="378"/>
      <c r="N328" s="378"/>
      <c r="O328" s="378"/>
      <c r="P328" s="378"/>
      <c r="Q328" s="378"/>
      <c r="R328" s="378"/>
      <c r="S328" s="378"/>
      <c r="T328" s="378"/>
      <c r="U328" s="378"/>
      <c r="V328" s="378"/>
      <c r="W328" s="378"/>
      <c r="X328" s="378"/>
      <c r="Y328" s="378"/>
      <c r="Z328" s="378"/>
      <c r="AA328" s="169"/>
      <c r="AB328" s="159" t="s">
        <v>281</v>
      </c>
      <c r="AD328" s="172" t="s">
        <v>249</v>
      </c>
      <c r="AE328" s="167"/>
      <c r="AF328" s="164">
        <f t="shared" ref="AF328:AF334" si="76">IF(B328&lt;&gt;"",1,0)</f>
        <v>0</v>
      </c>
      <c r="AG328" s="164">
        <f>IF(AND(SUM(AF:AF)&gt;0,OR(AND(B328="",Y305="Yes"),AND(B328=1,Y305="No"))),1,0)</f>
        <v>0</v>
      </c>
      <c r="AI328" s="190">
        <v>1</v>
      </c>
    </row>
    <row r="329" spans="1:35" s="180" customFormat="1" ht="18" hidden="1" customHeight="1" x14ac:dyDescent="0.2">
      <c r="A329" s="163" t="str">
        <f t="shared" si="75"/>
        <v/>
      </c>
      <c r="B329" s="170"/>
      <c r="C329" s="152"/>
      <c r="D329" s="378" t="s">
        <v>400</v>
      </c>
      <c r="E329" s="378"/>
      <c r="F329" s="378"/>
      <c r="G329" s="378"/>
      <c r="H329" s="378"/>
      <c r="I329" s="378"/>
      <c r="J329" s="378"/>
      <c r="K329" s="378"/>
      <c r="L329" s="378"/>
      <c r="M329" s="378"/>
      <c r="N329" s="378"/>
      <c r="O329" s="378"/>
      <c r="P329" s="378"/>
      <c r="Q329" s="378"/>
      <c r="R329" s="378"/>
      <c r="S329" s="378"/>
      <c r="T329" s="378"/>
      <c r="U329" s="378"/>
      <c r="V329" s="378"/>
      <c r="W329" s="378"/>
      <c r="X329" s="378"/>
      <c r="Y329" s="378"/>
      <c r="Z329" s="378"/>
      <c r="AA329" s="169"/>
      <c r="AB329" s="159" t="s">
        <v>281</v>
      </c>
      <c r="AD329" s="172" t="s">
        <v>249</v>
      </c>
      <c r="AE329" s="167"/>
      <c r="AF329" s="164">
        <f t="shared" si="76"/>
        <v>0</v>
      </c>
      <c r="AG329" s="164">
        <f>IF(AND(SUM(AF:AF)&gt;0,OR(AND(B329="",Y305="Yes"),AND(B329=1,Y305="No"))),1,0)</f>
        <v>0</v>
      </c>
      <c r="AI329" s="190">
        <v>1</v>
      </c>
    </row>
    <row r="330" spans="1:35" s="180" customFormat="1" ht="18" hidden="1" customHeight="1" x14ac:dyDescent="0.2">
      <c r="A330" s="163" t="str">
        <f t="shared" si="75"/>
        <v/>
      </c>
      <c r="B330" s="170"/>
      <c r="C330" s="152"/>
      <c r="D330" s="179" t="s">
        <v>252</v>
      </c>
      <c r="E330" s="378" t="s">
        <v>317</v>
      </c>
      <c r="F330" s="378"/>
      <c r="G330" s="378"/>
      <c r="H330" s="378"/>
      <c r="I330" s="378"/>
      <c r="J330" s="378"/>
      <c r="K330" s="378"/>
      <c r="L330" s="378"/>
      <c r="M330" s="378"/>
      <c r="N330" s="378"/>
      <c r="O330" s="378"/>
      <c r="P330" s="378"/>
      <c r="Q330" s="378"/>
      <c r="R330" s="378"/>
      <c r="S330" s="378"/>
      <c r="T330" s="378"/>
      <c r="U330" s="378"/>
      <c r="V330" s="378"/>
      <c r="W330" s="378"/>
      <c r="X330" s="378"/>
      <c r="Y330" s="378"/>
      <c r="Z330" s="378"/>
      <c r="AA330" s="169"/>
      <c r="AB330" s="159" t="s">
        <v>281</v>
      </c>
      <c r="AD330" s="172" t="s">
        <v>249</v>
      </c>
      <c r="AE330" s="167"/>
      <c r="AF330" s="164">
        <f t="shared" si="76"/>
        <v>0</v>
      </c>
      <c r="AG330" s="164">
        <f>IF(AND(SUM(AF:AF)&gt;0,OR(AND(B330="",Y305="Yes"),AND(B330=1,Y305="No"))),1,0)</f>
        <v>0</v>
      </c>
      <c r="AI330" s="190">
        <v>1</v>
      </c>
    </row>
    <row r="331" spans="1:35" s="180" customFormat="1" ht="18" hidden="1" customHeight="1" x14ac:dyDescent="0.2">
      <c r="A331" s="163" t="str">
        <f t="shared" si="75"/>
        <v/>
      </c>
      <c r="B331" s="170"/>
      <c r="C331" s="152"/>
      <c r="D331" s="179" t="s">
        <v>252</v>
      </c>
      <c r="E331" s="378" t="s">
        <v>318</v>
      </c>
      <c r="F331" s="378"/>
      <c r="G331" s="378"/>
      <c r="H331" s="378"/>
      <c r="I331" s="378"/>
      <c r="J331" s="378"/>
      <c r="K331" s="378"/>
      <c r="L331" s="378"/>
      <c r="M331" s="378"/>
      <c r="N331" s="378"/>
      <c r="O331" s="378"/>
      <c r="P331" s="378"/>
      <c r="Q331" s="378"/>
      <c r="R331" s="378"/>
      <c r="S331" s="378"/>
      <c r="T331" s="378"/>
      <c r="U331" s="378"/>
      <c r="V331" s="378"/>
      <c r="W331" s="378"/>
      <c r="X331" s="378"/>
      <c r="Y331" s="378"/>
      <c r="Z331" s="378"/>
      <c r="AA331" s="169"/>
      <c r="AB331" s="159" t="s">
        <v>281</v>
      </c>
      <c r="AD331" s="172" t="s">
        <v>249</v>
      </c>
      <c r="AE331" s="167"/>
      <c r="AF331" s="164">
        <f t="shared" si="76"/>
        <v>0</v>
      </c>
      <c r="AG331" s="164">
        <f>IF(AND(SUM(AF:AF)&gt;0,OR(AND(B331="",Y305="Yes"),AND(B331=1,Y305="No"))),1,0)</f>
        <v>0</v>
      </c>
      <c r="AI331" s="190">
        <v>1</v>
      </c>
    </row>
    <row r="332" spans="1:35" s="180" customFormat="1" ht="18" hidden="1" customHeight="1" x14ac:dyDescent="0.2">
      <c r="A332" s="163" t="str">
        <f t="shared" si="75"/>
        <v/>
      </c>
      <c r="B332" s="170"/>
      <c r="C332" s="152"/>
      <c r="D332" s="179" t="s">
        <v>252</v>
      </c>
      <c r="E332" s="378" t="s">
        <v>405</v>
      </c>
      <c r="F332" s="378"/>
      <c r="G332" s="378"/>
      <c r="H332" s="378"/>
      <c r="I332" s="378"/>
      <c r="J332" s="378"/>
      <c r="K332" s="378"/>
      <c r="L332" s="378"/>
      <c r="M332" s="378"/>
      <c r="N332" s="378"/>
      <c r="O332" s="378"/>
      <c r="P332" s="378"/>
      <c r="Q332" s="378"/>
      <c r="R332" s="378"/>
      <c r="S332" s="378"/>
      <c r="T332" s="378"/>
      <c r="U332" s="378"/>
      <c r="V332" s="378"/>
      <c r="W332" s="378"/>
      <c r="X332" s="378"/>
      <c r="Y332" s="378"/>
      <c r="Z332" s="378"/>
      <c r="AA332" s="169"/>
      <c r="AB332" s="159" t="s">
        <v>281</v>
      </c>
      <c r="AD332" s="172" t="s">
        <v>249</v>
      </c>
      <c r="AE332" s="167"/>
      <c r="AF332" s="164">
        <f t="shared" si="76"/>
        <v>0</v>
      </c>
      <c r="AG332" s="164">
        <f>IF(AND(SUM(AF:AF)&gt;0,OR(AND(B332="",Y305="Yes"),AND(B332=1,Y305="No"))),1,0)</f>
        <v>0</v>
      </c>
      <c r="AI332" s="190">
        <v>1</v>
      </c>
    </row>
    <row r="333" spans="1:35" s="180" customFormat="1" ht="18" hidden="1" customHeight="1" x14ac:dyDescent="0.2">
      <c r="A333" s="163" t="str">
        <f t="shared" si="75"/>
        <v/>
      </c>
      <c r="B333" s="170"/>
      <c r="C333" s="152"/>
      <c r="D333" s="179" t="s">
        <v>252</v>
      </c>
      <c r="E333" s="378" t="s">
        <v>396</v>
      </c>
      <c r="F333" s="378"/>
      <c r="G333" s="378"/>
      <c r="H333" s="378"/>
      <c r="I333" s="378"/>
      <c r="J333" s="378"/>
      <c r="K333" s="378"/>
      <c r="L333" s="378"/>
      <c r="M333" s="378"/>
      <c r="N333" s="378"/>
      <c r="O333" s="378"/>
      <c r="P333" s="378"/>
      <c r="Q333" s="378"/>
      <c r="R333" s="378"/>
      <c r="S333" s="378"/>
      <c r="T333" s="378"/>
      <c r="U333" s="378"/>
      <c r="V333" s="378"/>
      <c r="W333" s="378"/>
      <c r="X333" s="378"/>
      <c r="Y333" s="378"/>
      <c r="Z333" s="378"/>
      <c r="AA333" s="169"/>
      <c r="AB333" s="159" t="s">
        <v>281</v>
      </c>
      <c r="AD333" s="172" t="s">
        <v>249</v>
      </c>
      <c r="AE333" s="167"/>
      <c r="AF333" s="164">
        <f t="shared" si="76"/>
        <v>0</v>
      </c>
      <c r="AG333" s="164">
        <f>IF(AND(SUM(AF:AF)&gt;0,OR(AND(B333="",Y305="Yes"),AND(B333=1,Y305="No"))),1,0)</f>
        <v>0</v>
      </c>
      <c r="AI333" s="190">
        <v>1</v>
      </c>
    </row>
    <row r="334" spans="1:35" s="180" customFormat="1" ht="18" hidden="1" customHeight="1" x14ac:dyDescent="0.2">
      <c r="A334" s="163" t="str">
        <f t="shared" si="75"/>
        <v/>
      </c>
      <c r="B334" s="170"/>
      <c r="C334" s="152"/>
      <c r="D334" s="179" t="s">
        <v>252</v>
      </c>
      <c r="E334" s="378" t="s">
        <v>319</v>
      </c>
      <c r="F334" s="378"/>
      <c r="G334" s="378"/>
      <c r="H334" s="378"/>
      <c r="I334" s="378"/>
      <c r="J334" s="378"/>
      <c r="K334" s="378"/>
      <c r="L334" s="378"/>
      <c r="M334" s="378"/>
      <c r="N334" s="378"/>
      <c r="O334" s="378"/>
      <c r="P334" s="378"/>
      <c r="Q334" s="378"/>
      <c r="R334" s="378"/>
      <c r="S334" s="378"/>
      <c r="T334" s="378"/>
      <c r="U334" s="378"/>
      <c r="V334" s="378"/>
      <c r="W334" s="378"/>
      <c r="X334" s="378"/>
      <c r="Y334" s="378"/>
      <c r="Z334" s="378"/>
      <c r="AA334" s="169"/>
      <c r="AB334" s="159" t="s">
        <v>281</v>
      </c>
      <c r="AD334" s="172" t="s">
        <v>249</v>
      </c>
      <c r="AE334" s="167"/>
      <c r="AF334" s="164">
        <f t="shared" si="76"/>
        <v>0</v>
      </c>
      <c r="AG334" s="164">
        <f>IF(AND(SUM(AF:AF)&gt;0,OR(AND(B334="",Y305="Yes"),AND(B334=1,Y305="No"))),1,0)</f>
        <v>0</v>
      </c>
      <c r="AI334" s="190">
        <v>1</v>
      </c>
    </row>
    <row r="335" spans="1:35" s="180" customFormat="1" ht="18.5" hidden="1" customHeight="1" x14ac:dyDescent="0.2">
      <c r="A335" s="163" t="str">
        <f t="shared" si="75"/>
        <v/>
      </c>
      <c r="B335" s="164">
        <v>0</v>
      </c>
      <c r="C335" s="152"/>
      <c r="D335" s="179" t="s">
        <v>252</v>
      </c>
      <c r="E335" s="378" t="s">
        <v>312</v>
      </c>
      <c r="F335" s="378"/>
      <c r="G335" s="378"/>
      <c r="H335" s="378"/>
      <c r="I335" s="378"/>
      <c r="J335" s="378"/>
      <c r="K335" s="378"/>
      <c r="L335" s="378"/>
      <c r="M335" s="378"/>
      <c r="N335" s="378"/>
      <c r="O335" s="378"/>
      <c r="P335" s="378"/>
      <c r="Q335" s="378"/>
      <c r="R335" s="378"/>
      <c r="S335" s="378"/>
      <c r="T335" s="378"/>
      <c r="U335" s="378"/>
      <c r="V335" s="378"/>
      <c r="W335" s="378"/>
      <c r="X335" s="378"/>
      <c r="Y335" s="378"/>
      <c r="Z335" s="378"/>
      <c r="AA335" s="168"/>
      <c r="AB335" s="166" t="s">
        <v>259</v>
      </c>
      <c r="AD335" s="165" t="s">
        <v>260</v>
      </c>
      <c r="AE335" s="134"/>
      <c r="AF335" s="22"/>
      <c r="AG335" s="22"/>
      <c r="AI335" s="190">
        <v>1</v>
      </c>
    </row>
    <row r="336" spans="1:35" s="180" customFormat="1" ht="18" hidden="1" customHeight="1" x14ac:dyDescent="0.2">
      <c r="A336" s="163" t="str">
        <f t="shared" si="75"/>
        <v/>
      </c>
      <c r="B336" s="170"/>
      <c r="C336" s="152"/>
      <c r="D336" s="179" t="s">
        <v>252</v>
      </c>
      <c r="E336" s="373"/>
      <c r="F336" s="373"/>
      <c r="G336" s="373"/>
      <c r="H336" s="373"/>
      <c r="I336" s="373"/>
      <c r="J336" s="373"/>
      <c r="K336" s="373"/>
      <c r="L336" s="373"/>
      <c r="M336" s="373"/>
      <c r="N336" s="373"/>
      <c r="O336" s="373"/>
      <c r="P336" s="373"/>
      <c r="Q336" s="373"/>
      <c r="R336" s="373"/>
      <c r="S336" s="373"/>
      <c r="T336" s="373"/>
      <c r="U336" s="373"/>
      <c r="V336" s="373"/>
      <c r="W336" s="373"/>
      <c r="X336" s="373"/>
      <c r="Y336" s="373"/>
      <c r="Z336" s="373"/>
      <c r="AA336" s="169"/>
      <c r="AB336" s="159" t="s">
        <v>281</v>
      </c>
      <c r="AD336" s="172" t="s">
        <v>249</v>
      </c>
      <c r="AE336" s="167"/>
      <c r="AF336" s="164">
        <f t="shared" ref="AF336:AF338" si="77">IF(B336&lt;&gt;"",1,0)</f>
        <v>0</v>
      </c>
      <c r="AG336" s="164">
        <f>IF(AND(SUM(AF:AF)&gt;0,OR(AND(B336=1,Y305="No"),AND(B336=1,E336="",Y305="Yes"),AND(B336="",E336="",Y305="Yes"),AND(B336="",E336&lt;&gt;"",Y305="Yes"),AND(B336=0,E336&lt;&gt;"",Y305="Yes"))),1,0)</f>
        <v>0</v>
      </c>
      <c r="AI336" s="190">
        <v>1</v>
      </c>
    </row>
    <row r="337" spans="1:35" s="180" customFormat="1" ht="18" hidden="1" customHeight="1" x14ac:dyDescent="0.2">
      <c r="A337" s="163" t="str">
        <f t="shared" si="75"/>
        <v/>
      </c>
      <c r="B337" s="170"/>
      <c r="C337" s="152"/>
      <c r="D337" s="179" t="s">
        <v>252</v>
      </c>
      <c r="E337" s="373"/>
      <c r="F337" s="373"/>
      <c r="G337" s="373"/>
      <c r="H337" s="373"/>
      <c r="I337" s="373"/>
      <c r="J337" s="373"/>
      <c r="K337" s="373"/>
      <c r="L337" s="373"/>
      <c r="M337" s="373"/>
      <c r="N337" s="373"/>
      <c r="O337" s="373"/>
      <c r="P337" s="373"/>
      <c r="Q337" s="373"/>
      <c r="R337" s="373"/>
      <c r="S337" s="373"/>
      <c r="T337" s="373"/>
      <c r="U337" s="373"/>
      <c r="V337" s="373"/>
      <c r="W337" s="373"/>
      <c r="X337" s="373"/>
      <c r="Y337" s="373"/>
      <c r="Z337" s="373"/>
      <c r="AA337" s="169"/>
      <c r="AB337" s="159" t="s">
        <v>281</v>
      </c>
      <c r="AD337" s="172" t="s">
        <v>249</v>
      </c>
      <c r="AE337" s="167"/>
      <c r="AF337" s="164">
        <f t="shared" si="77"/>
        <v>0</v>
      </c>
      <c r="AG337" s="164">
        <f>IF(AND(SUM(AF:AF)&gt;0,OR(AND(B337=1,Y305="No"),AND(B337=1,E337="",Y305="Yes"),AND(B337="",E337="",Y305="Yes"),AND(B337="",E337&lt;&gt;"",Y305="Yes"),AND(B337=0,E337&lt;&gt;"",Y305="Yes"))),1,0)</f>
        <v>0</v>
      </c>
      <c r="AI337" s="190">
        <v>1</v>
      </c>
    </row>
    <row r="338" spans="1:35" s="180" customFormat="1" ht="18" hidden="1" customHeight="1" x14ac:dyDescent="0.2">
      <c r="A338" s="163" t="str">
        <f t="shared" si="75"/>
        <v/>
      </c>
      <c r="B338" s="170"/>
      <c r="C338" s="152"/>
      <c r="D338" s="179" t="s">
        <v>252</v>
      </c>
      <c r="E338" s="373"/>
      <c r="F338" s="373"/>
      <c r="G338" s="373"/>
      <c r="H338" s="373"/>
      <c r="I338" s="373"/>
      <c r="J338" s="373"/>
      <c r="K338" s="373"/>
      <c r="L338" s="373"/>
      <c r="M338" s="373"/>
      <c r="N338" s="373"/>
      <c r="O338" s="373"/>
      <c r="P338" s="373"/>
      <c r="Q338" s="373"/>
      <c r="R338" s="373"/>
      <c r="S338" s="373"/>
      <c r="T338" s="373"/>
      <c r="U338" s="373"/>
      <c r="V338" s="373"/>
      <c r="W338" s="373"/>
      <c r="X338" s="373"/>
      <c r="Y338" s="373"/>
      <c r="Z338" s="373"/>
      <c r="AA338" s="169"/>
      <c r="AB338" s="159" t="s">
        <v>281</v>
      </c>
      <c r="AD338" s="172" t="s">
        <v>249</v>
      </c>
      <c r="AE338" s="167"/>
      <c r="AF338" s="164">
        <f t="shared" si="77"/>
        <v>0</v>
      </c>
      <c r="AG338" s="164">
        <f>IF(AND(SUM(AF:AF)&gt;0,OR(AND(B338=1,Y305="No"),AND(B338=1,E338="",Y305="Yes"),AND(B338="",E338="",Y305="Yes"),AND(B338="",E338&lt;&gt;"",Y305="Yes"),AND(B338=0,E338&lt;&gt;"",Y305="Yes"))),1,0)</f>
        <v>0</v>
      </c>
      <c r="AI338" s="190">
        <v>1</v>
      </c>
    </row>
    <row r="339" spans="1:35" ht="21" hidden="1" customHeight="1" x14ac:dyDescent="0.2">
      <c r="A339" s="163" t="str">
        <f t="shared" si="75"/>
        <v/>
      </c>
      <c r="B339" s="164">
        <v>0</v>
      </c>
      <c r="D339" s="379" t="s">
        <v>258</v>
      </c>
      <c r="E339" s="379"/>
      <c r="F339" s="379"/>
      <c r="G339" s="379"/>
      <c r="H339" s="379"/>
      <c r="I339" s="379"/>
      <c r="J339" s="379"/>
      <c r="K339" s="379"/>
      <c r="L339" s="379"/>
      <c r="M339" s="379"/>
      <c r="N339" s="379"/>
      <c r="O339" s="379"/>
      <c r="P339" s="379"/>
      <c r="Q339" s="379"/>
      <c r="R339" s="379"/>
      <c r="S339" s="379"/>
      <c r="T339" s="379"/>
      <c r="U339" s="379"/>
      <c r="V339" s="379"/>
      <c r="W339" s="379"/>
      <c r="X339" s="379"/>
      <c r="Y339" s="379"/>
      <c r="Z339" s="379"/>
      <c r="AB339" s="166" t="s">
        <v>259</v>
      </c>
      <c r="AD339" s="165" t="s">
        <v>260</v>
      </c>
      <c r="AE339" s="134"/>
      <c r="AF339" s="22"/>
      <c r="AG339" s="22"/>
      <c r="AI339" s="190">
        <v>1</v>
      </c>
    </row>
    <row r="340" spans="1:35" ht="15.75" hidden="1" customHeight="1" x14ac:dyDescent="0.2">
      <c r="A340" s="163"/>
      <c r="B340" s="164">
        <v>0</v>
      </c>
      <c r="D340" s="369" t="s">
        <v>261</v>
      </c>
      <c r="E340" s="369"/>
      <c r="F340" s="369"/>
      <c r="G340" s="369"/>
      <c r="H340" s="369"/>
      <c r="I340" s="369"/>
      <c r="J340" s="369"/>
      <c r="K340" s="369"/>
      <c r="L340" s="369"/>
      <c r="M340" s="369"/>
      <c r="N340" s="369"/>
      <c r="O340" s="369"/>
      <c r="P340" s="369"/>
      <c r="Q340" s="369"/>
      <c r="R340" s="369"/>
      <c r="S340" s="369"/>
      <c r="T340" s="369"/>
      <c r="U340" s="369"/>
      <c r="V340" s="369"/>
      <c r="W340" s="369"/>
      <c r="X340" s="369"/>
      <c r="Y340" s="369"/>
      <c r="Z340" s="369"/>
      <c r="AB340" s="166" t="s">
        <v>259</v>
      </c>
      <c r="AD340" s="165" t="s">
        <v>260</v>
      </c>
      <c r="AE340" s="134"/>
      <c r="AF340" s="22"/>
      <c r="AG340" s="22"/>
      <c r="AI340" s="190">
        <v>1</v>
      </c>
    </row>
    <row r="341" spans="1:35" ht="8.5" hidden="1" customHeight="1" x14ac:dyDescent="0.15">
      <c r="A341" s="163" t="str">
        <f>IF(AG341=1,"X","")</f>
        <v/>
      </c>
      <c r="B341" s="164">
        <f>IF(OR(D342="Show",Q342="Show"),1,0)</f>
        <v>0</v>
      </c>
      <c r="D341" s="368"/>
      <c r="E341" s="368"/>
      <c r="F341" s="368"/>
      <c r="G341" s="368"/>
      <c r="H341" s="368"/>
      <c r="I341" s="368"/>
      <c r="J341" s="368"/>
      <c r="K341" s="368"/>
      <c r="L341" s="368"/>
      <c r="M341" s="368"/>
      <c r="N341" s="368"/>
      <c r="O341" s="368"/>
      <c r="P341" s="368"/>
      <c r="Q341" s="368"/>
      <c r="R341" s="368"/>
      <c r="S341" s="368"/>
      <c r="T341" s="368"/>
      <c r="U341" s="368"/>
      <c r="V341" s="368"/>
      <c r="W341" s="368"/>
      <c r="X341" s="368"/>
      <c r="Y341" s="368"/>
      <c r="Z341" s="368"/>
      <c r="AD341" s="165" t="s">
        <v>227</v>
      </c>
      <c r="AE341" s="156"/>
      <c r="AF341" s="22"/>
      <c r="AG341" s="22"/>
      <c r="AI341" s="190">
        <v>1</v>
      </c>
    </row>
    <row r="342" spans="1:35" ht="18" hidden="1" customHeight="1" x14ac:dyDescent="0.2">
      <c r="A342" s="163" t="str">
        <f t="shared" ref="A342:A345" si="78">IF(AG342=1,"X","")</f>
        <v/>
      </c>
      <c r="B342" s="164">
        <v>0</v>
      </c>
      <c r="D342" s="370" t="s">
        <v>267</v>
      </c>
      <c r="E342" s="370"/>
      <c r="F342" s="370"/>
      <c r="G342" s="370"/>
      <c r="H342" s="370"/>
      <c r="I342" s="370"/>
      <c r="J342" s="370"/>
      <c r="K342" s="370"/>
      <c r="L342" s="370"/>
      <c r="M342" s="370"/>
      <c r="N342" s="370"/>
      <c r="O342" s="175"/>
      <c r="P342" s="175"/>
      <c r="Q342" s="370" t="s">
        <v>267</v>
      </c>
      <c r="R342" s="370"/>
      <c r="S342" s="370"/>
      <c r="T342" s="370"/>
      <c r="U342" s="370"/>
      <c r="V342" s="370"/>
      <c r="W342" s="370"/>
      <c r="X342" s="370"/>
      <c r="Y342" s="370"/>
      <c r="Z342" s="370"/>
      <c r="AA342" s="176"/>
      <c r="AB342" s="159" t="s">
        <v>262</v>
      </c>
      <c r="AD342" s="172" t="s">
        <v>249</v>
      </c>
      <c r="AE342" s="134"/>
      <c r="AF342" s="164">
        <f>IF(OR(D342="Show",D342="",Q342="Show",Q342=""),1,0)</f>
        <v>0</v>
      </c>
      <c r="AG342" s="164">
        <f>IF(AND(SUM(AF:AF)&gt;0,OR(D342="",Q342="")),1,0)</f>
        <v>0</v>
      </c>
      <c r="AI342" s="190">
        <v>1</v>
      </c>
    </row>
    <row r="343" spans="1:35" ht="197.25" hidden="1" customHeight="1" x14ac:dyDescent="0.2">
      <c r="A343" s="163" t="str">
        <f t="shared" si="78"/>
        <v/>
      </c>
      <c r="B343" s="164">
        <f>B341</f>
        <v>0</v>
      </c>
      <c r="D343" s="370"/>
      <c r="E343" s="370"/>
      <c r="F343" s="370"/>
      <c r="G343" s="370"/>
      <c r="H343" s="370"/>
      <c r="I343" s="370"/>
      <c r="J343" s="370"/>
      <c r="K343" s="370"/>
      <c r="L343" s="370"/>
      <c r="M343" s="370"/>
      <c r="N343" s="370"/>
      <c r="O343" s="175"/>
      <c r="P343" s="175"/>
      <c r="Q343" s="370"/>
      <c r="R343" s="370"/>
      <c r="S343" s="370"/>
      <c r="T343" s="370"/>
      <c r="U343" s="370"/>
      <c r="V343" s="370"/>
      <c r="W343" s="370"/>
      <c r="X343" s="370"/>
      <c r="Y343" s="370"/>
      <c r="Z343" s="370"/>
      <c r="AA343" s="176"/>
      <c r="AB343" s="159" t="s">
        <v>263</v>
      </c>
      <c r="AD343" s="172" t="s">
        <v>249</v>
      </c>
      <c r="AE343" s="167"/>
      <c r="AF343" s="22"/>
      <c r="AG343" s="22"/>
      <c r="AI343" s="190">
        <v>1</v>
      </c>
    </row>
    <row r="344" spans="1:35" ht="18" hidden="1" customHeight="1" x14ac:dyDescent="0.2">
      <c r="A344" s="163" t="str">
        <f t="shared" si="78"/>
        <v/>
      </c>
      <c r="B344" s="164">
        <f>B343</f>
        <v>0</v>
      </c>
      <c r="D344" s="371"/>
      <c r="E344" s="371"/>
      <c r="F344" s="371"/>
      <c r="G344" s="371"/>
      <c r="H344" s="371"/>
      <c r="I344" s="371"/>
      <c r="J344" s="371"/>
      <c r="K344" s="371"/>
      <c r="L344" s="371"/>
      <c r="M344" s="371"/>
      <c r="N344" s="371"/>
      <c r="O344" s="175"/>
      <c r="P344" s="175"/>
      <c r="Q344" s="371"/>
      <c r="R344" s="371"/>
      <c r="S344" s="371"/>
      <c r="T344" s="371"/>
      <c r="U344" s="371"/>
      <c r="V344" s="371"/>
      <c r="W344" s="371"/>
      <c r="X344" s="371"/>
      <c r="Y344" s="371"/>
      <c r="Z344" s="371"/>
      <c r="AA344" s="176"/>
      <c r="AB344" s="159" t="s">
        <v>264</v>
      </c>
      <c r="AD344" s="172" t="s">
        <v>249</v>
      </c>
      <c r="AE344" s="167"/>
      <c r="AF344" s="164">
        <f>IF(OR(D342="Show",D342="",Q342="Show",Q342=""),1,0)</f>
        <v>0</v>
      </c>
      <c r="AG344" s="164">
        <f>IF(AND(SUM(AF:AF)&gt;0,OR(AND(D342="Show",D344=""),AND(Q342="Show",Q344=""))),1,0)</f>
        <v>0</v>
      </c>
      <c r="AI344" s="190">
        <v>1</v>
      </c>
    </row>
    <row r="345" spans="1:35" ht="8.5" hidden="1" customHeight="1" x14ac:dyDescent="0.15">
      <c r="A345" s="163" t="str">
        <f t="shared" si="78"/>
        <v/>
      </c>
      <c r="B345" s="164">
        <f>B344</f>
        <v>0</v>
      </c>
      <c r="D345" s="368"/>
      <c r="E345" s="368"/>
      <c r="F345" s="368"/>
      <c r="G345" s="368"/>
      <c r="H345" s="368"/>
      <c r="I345" s="368"/>
      <c r="J345" s="368"/>
      <c r="K345" s="368"/>
      <c r="L345" s="368"/>
      <c r="M345" s="368"/>
      <c r="N345" s="368"/>
      <c r="O345" s="368"/>
      <c r="P345" s="368"/>
      <c r="Q345" s="368"/>
      <c r="R345" s="368"/>
      <c r="S345" s="368"/>
      <c r="T345" s="368"/>
      <c r="U345" s="368"/>
      <c r="V345" s="368"/>
      <c r="W345" s="368"/>
      <c r="X345" s="368"/>
      <c r="Y345" s="368"/>
      <c r="Z345" s="368"/>
      <c r="AA345" s="176"/>
      <c r="AD345" s="165" t="s">
        <v>227</v>
      </c>
      <c r="AE345" s="156"/>
      <c r="AF345" s="22"/>
      <c r="AG345" s="22"/>
      <c r="AI345" s="190">
        <v>1</v>
      </c>
    </row>
    <row r="346" spans="1:35" ht="15.75" hidden="1" customHeight="1" x14ac:dyDescent="0.2">
      <c r="A346" s="163"/>
      <c r="B346" s="164">
        <v>0</v>
      </c>
      <c r="D346" s="369" t="s">
        <v>265</v>
      </c>
      <c r="E346" s="369"/>
      <c r="F346" s="369"/>
      <c r="G346" s="369"/>
      <c r="H346" s="369"/>
      <c r="I346" s="369"/>
      <c r="J346" s="369"/>
      <c r="K346" s="369"/>
      <c r="L346" s="369"/>
      <c r="M346" s="369"/>
      <c r="N346" s="369"/>
      <c r="O346" s="369"/>
      <c r="P346" s="369"/>
      <c r="Q346" s="369"/>
      <c r="R346" s="369"/>
      <c r="S346" s="369"/>
      <c r="T346" s="369"/>
      <c r="U346" s="369"/>
      <c r="V346" s="369"/>
      <c r="W346" s="369"/>
      <c r="X346" s="369"/>
      <c r="Y346" s="369"/>
      <c r="Z346" s="369"/>
      <c r="AB346" s="166" t="s">
        <v>259</v>
      </c>
      <c r="AD346" s="165" t="s">
        <v>260</v>
      </c>
      <c r="AE346" s="134"/>
      <c r="AF346" s="22"/>
      <c r="AG346" s="22"/>
      <c r="AI346" s="190">
        <v>1</v>
      </c>
    </row>
    <row r="347" spans="1:35" ht="21" hidden="1" customHeight="1" x14ac:dyDescent="0.15">
      <c r="A347" s="163" t="str">
        <f t="shared" ref="A347:A357" si="79">IF(AG347=1,"X","")</f>
        <v/>
      </c>
      <c r="B347" s="164">
        <f>IF(Y$305="Yes",1,0)</f>
        <v>0</v>
      </c>
      <c r="D347" s="380" t="s">
        <v>314</v>
      </c>
      <c r="E347" s="380"/>
      <c r="F347" s="380"/>
      <c r="G347" s="380"/>
      <c r="H347" s="380"/>
      <c r="I347" s="380"/>
      <c r="J347" s="380"/>
      <c r="K347" s="380"/>
      <c r="L347" s="380"/>
      <c r="M347" s="380"/>
      <c r="N347" s="380"/>
      <c r="O347" s="380"/>
      <c r="P347" s="380"/>
      <c r="Q347" s="380"/>
      <c r="R347" s="380"/>
      <c r="S347" s="380"/>
      <c r="T347" s="380"/>
      <c r="U347" s="380"/>
      <c r="V347" s="380"/>
      <c r="W347" s="380"/>
      <c r="X347" s="380"/>
      <c r="Y347" s="380"/>
      <c r="Z347" s="380"/>
      <c r="AB347" s="166" t="s">
        <v>462</v>
      </c>
      <c r="AD347" s="165" t="s">
        <v>463</v>
      </c>
      <c r="AE347" s="134"/>
      <c r="AF347" s="22"/>
      <c r="AG347" s="22"/>
      <c r="AI347" s="190">
        <v>1</v>
      </c>
    </row>
    <row r="348" spans="1:35" s="180" customFormat="1" ht="18" hidden="1" customHeight="1" x14ac:dyDescent="0.2">
      <c r="A348" s="163" t="str">
        <f t="shared" si="79"/>
        <v/>
      </c>
      <c r="B348" s="170"/>
      <c r="C348" s="152"/>
      <c r="D348" s="378" t="s">
        <v>401</v>
      </c>
      <c r="E348" s="378"/>
      <c r="F348" s="378"/>
      <c r="G348" s="378"/>
      <c r="H348" s="378"/>
      <c r="I348" s="378"/>
      <c r="J348" s="378"/>
      <c r="K348" s="378"/>
      <c r="L348" s="378"/>
      <c r="M348" s="378"/>
      <c r="N348" s="378"/>
      <c r="O348" s="378"/>
      <c r="P348" s="378"/>
      <c r="Q348" s="378"/>
      <c r="R348" s="378"/>
      <c r="S348" s="378"/>
      <c r="T348" s="378"/>
      <c r="U348" s="378"/>
      <c r="V348" s="378"/>
      <c r="W348" s="378"/>
      <c r="X348" s="378"/>
      <c r="Y348" s="378"/>
      <c r="Z348" s="378"/>
      <c r="AA348" s="169"/>
      <c r="AB348" s="159" t="s">
        <v>281</v>
      </c>
      <c r="AD348" s="172" t="s">
        <v>249</v>
      </c>
      <c r="AE348" s="167"/>
      <c r="AF348" s="164">
        <f t="shared" ref="AF348:AF351" si="80">IF(B348&lt;&gt;"",1,0)</f>
        <v>0</v>
      </c>
      <c r="AG348" s="164">
        <f>IF(AND(SUM(AF:AF)&gt;0,OR(AND(B348="",Y305="Yes"),AND(B348=1,Y305="No"))),1,0)</f>
        <v>0</v>
      </c>
      <c r="AI348" s="190">
        <v>1</v>
      </c>
    </row>
    <row r="349" spans="1:35" s="180" customFormat="1" ht="18" hidden="1" customHeight="1" x14ac:dyDescent="0.2">
      <c r="A349" s="163" t="str">
        <f t="shared" si="79"/>
        <v/>
      </c>
      <c r="B349" s="170"/>
      <c r="C349" s="152"/>
      <c r="D349" s="378" t="s">
        <v>402</v>
      </c>
      <c r="E349" s="378"/>
      <c r="F349" s="378"/>
      <c r="G349" s="378"/>
      <c r="H349" s="378"/>
      <c r="I349" s="378"/>
      <c r="J349" s="378"/>
      <c r="K349" s="378"/>
      <c r="L349" s="378"/>
      <c r="M349" s="378"/>
      <c r="N349" s="378"/>
      <c r="O349" s="378"/>
      <c r="P349" s="378"/>
      <c r="Q349" s="378"/>
      <c r="R349" s="378"/>
      <c r="S349" s="378"/>
      <c r="T349" s="378"/>
      <c r="U349" s="378"/>
      <c r="V349" s="378"/>
      <c r="W349" s="378"/>
      <c r="X349" s="378"/>
      <c r="Y349" s="378"/>
      <c r="Z349" s="378"/>
      <c r="AA349" s="169"/>
      <c r="AB349" s="159" t="s">
        <v>281</v>
      </c>
      <c r="AD349" s="172" t="s">
        <v>249</v>
      </c>
      <c r="AE349" s="167"/>
      <c r="AF349" s="164">
        <f t="shared" si="80"/>
        <v>0</v>
      </c>
      <c r="AG349" s="164">
        <f>IF(AND(SUM(AF:AF)&gt;0,OR(AND(B349="",Y305="Yes"),AND(B349=1,Y305="No"))),1,0)</f>
        <v>0</v>
      </c>
      <c r="AI349" s="190">
        <v>1</v>
      </c>
    </row>
    <row r="350" spans="1:35" s="180" customFormat="1" ht="18" hidden="1" customHeight="1" x14ac:dyDescent="0.2">
      <c r="A350" s="163" t="str">
        <f t="shared" si="79"/>
        <v/>
      </c>
      <c r="B350" s="170"/>
      <c r="C350" s="152"/>
      <c r="D350" s="179" t="s">
        <v>252</v>
      </c>
      <c r="E350" s="378" t="s">
        <v>318</v>
      </c>
      <c r="F350" s="378"/>
      <c r="G350" s="378"/>
      <c r="H350" s="378"/>
      <c r="I350" s="378"/>
      <c r="J350" s="378"/>
      <c r="K350" s="378"/>
      <c r="L350" s="378"/>
      <c r="M350" s="378"/>
      <c r="N350" s="378"/>
      <c r="O350" s="378"/>
      <c r="P350" s="378"/>
      <c r="Q350" s="378"/>
      <c r="R350" s="378"/>
      <c r="S350" s="378"/>
      <c r="T350" s="378"/>
      <c r="U350" s="378"/>
      <c r="V350" s="378"/>
      <c r="W350" s="378"/>
      <c r="X350" s="378"/>
      <c r="Y350" s="378"/>
      <c r="Z350" s="378"/>
      <c r="AA350" s="169"/>
      <c r="AB350" s="159" t="s">
        <v>281</v>
      </c>
      <c r="AD350" s="172" t="s">
        <v>249</v>
      </c>
      <c r="AE350" s="167"/>
      <c r="AF350" s="164">
        <f t="shared" si="80"/>
        <v>0</v>
      </c>
      <c r="AG350" s="164">
        <f>IF(AND(SUM(AF:AF)&gt;0,OR(AND(B350="",Y305="Yes"),AND(B350=1,Y305="No"))),1,0)</f>
        <v>0</v>
      </c>
      <c r="AI350" s="190">
        <v>1</v>
      </c>
    </row>
    <row r="351" spans="1:35" s="180" customFormat="1" ht="18" hidden="1" customHeight="1" x14ac:dyDescent="0.2">
      <c r="A351" s="163" t="str">
        <f t="shared" si="79"/>
        <v/>
      </c>
      <c r="B351" s="170"/>
      <c r="C351" s="152"/>
      <c r="D351" s="179" t="s">
        <v>252</v>
      </c>
      <c r="E351" s="378" t="s">
        <v>405</v>
      </c>
      <c r="F351" s="378"/>
      <c r="G351" s="378"/>
      <c r="H351" s="378"/>
      <c r="I351" s="378"/>
      <c r="J351" s="378"/>
      <c r="K351" s="378"/>
      <c r="L351" s="378"/>
      <c r="M351" s="378"/>
      <c r="N351" s="378"/>
      <c r="O351" s="378"/>
      <c r="P351" s="378"/>
      <c r="Q351" s="378"/>
      <c r="R351" s="378"/>
      <c r="S351" s="378"/>
      <c r="T351" s="378"/>
      <c r="U351" s="378"/>
      <c r="V351" s="378"/>
      <c r="W351" s="378"/>
      <c r="X351" s="378"/>
      <c r="Y351" s="378"/>
      <c r="Z351" s="378"/>
      <c r="AA351" s="169"/>
      <c r="AB351" s="159" t="s">
        <v>281</v>
      </c>
      <c r="AD351" s="172" t="s">
        <v>249</v>
      </c>
      <c r="AE351" s="167"/>
      <c r="AF351" s="164">
        <f t="shared" si="80"/>
        <v>0</v>
      </c>
      <c r="AG351" s="164">
        <f>IF(AND(SUM(AF:AF)&gt;0,OR(AND(B351="",Y305="Yes"),AND(B351=1,Y305="No"))),1,0)</f>
        <v>0</v>
      </c>
      <c r="AI351" s="190">
        <v>1</v>
      </c>
    </row>
    <row r="352" spans="1:35" s="180" customFormat="1" ht="18.5" hidden="1" customHeight="1" x14ac:dyDescent="0.2">
      <c r="A352" s="163" t="str">
        <f t="shared" si="79"/>
        <v/>
      </c>
      <c r="B352" s="164">
        <v>0</v>
      </c>
      <c r="C352" s="152"/>
      <c r="D352" s="179" t="s">
        <v>252</v>
      </c>
      <c r="E352" s="378" t="s">
        <v>312</v>
      </c>
      <c r="F352" s="378"/>
      <c r="G352" s="378"/>
      <c r="H352" s="378"/>
      <c r="I352" s="378"/>
      <c r="J352" s="378"/>
      <c r="K352" s="378"/>
      <c r="L352" s="378"/>
      <c r="M352" s="378"/>
      <c r="N352" s="378"/>
      <c r="O352" s="378"/>
      <c r="P352" s="378"/>
      <c r="Q352" s="378"/>
      <c r="R352" s="378"/>
      <c r="S352" s="378"/>
      <c r="T352" s="378"/>
      <c r="U352" s="378"/>
      <c r="V352" s="378"/>
      <c r="W352" s="378"/>
      <c r="X352" s="378"/>
      <c r="Y352" s="378"/>
      <c r="Z352" s="378"/>
      <c r="AA352" s="168"/>
      <c r="AB352" s="166" t="s">
        <v>259</v>
      </c>
      <c r="AD352" s="165" t="s">
        <v>260</v>
      </c>
      <c r="AE352" s="134"/>
      <c r="AF352" s="22"/>
      <c r="AG352" s="22"/>
      <c r="AI352" s="190">
        <v>1</v>
      </c>
    </row>
    <row r="353" spans="1:35" s="180" customFormat="1" ht="18" hidden="1" customHeight="1" x14ac:dyDescent="0.2">
      <c r="A353" s="163" t="str">
        <f t="shared" si="79"/>
        <v/>
      </c>
      <c r="B353" s="170"/>
      <c r="C353" s="152"/>
      <c r="D353" s="179" t="s">
        <v>252</v>
      </c>
      <c r="E353" s="373"/>
      <c r="F353" s="373"/>
      <c r="G353" s="373"/>
      <c r="H353" s="373"/>
      <c r="I353" s="373"/>
      <c r="J353" s="373"/>
      <c r="K353" s="373"/>
      <c r="L353" s="373"/>
      <c r="M353" s="373"/>
      <c r="N353" s="373"/>
      <c r="O353" s="373"/>
      <c r="P353" s="373"/>
      <c r="Q353" s="373"/>
      <c r="R353" s="373"/>
      <c r="S353" s="373"/>
      <c r="T353" s="373"/>
      <c r="U353" s="373"/>
      <c r="V353" s="373"/>
      <c r="W353" s="373"/>
      <c r="X353" s="373"/>
      <c r="Y353" s="373"/>
      <c r="Z353" s="373"/>
      <c r="AA353" s="169"/>
      <c r="AB353" s="159" t="s">
        <v>281</v>
      </c>
      <c r="AD353" s="172" t="s">
        <v>249</v>
      </c>
      <c r="AE353" s="167"/>
      <c r="AF353" s="164">
        <f t="shared" ref="AF353:AF356" si="81">IF(B353&lt;&gt;"",1,0)</f>
        <v>0</v>
      </c>
      <c r="AG353" s="164">
        <f>IF(AND(SUM(AF:AF)&gt;0,OR(AND(B353=1,Y305="No"),AND(B353=1,E353="",Y305="Yes"),AND(B353="",E353="",Y305="Yes"),AND(B353="",E353&lt;&gt;"",Y305="Yes"),AND(B353=0,E353&lt;&gt;"",Y305="Yes"))),1,0)</f>
        <v>0</v>
      </c>
      <c r="AI353" s="190">
        <v>1</v>
      </c>
    </row>
    <row r="354" spans="1:35" s="180" customFormat="1" ht="18" hidden="1" customHeight="1" x14ac:dyDescent="0.2">
      <c r="A354" s="163" t="str">
        <f t="shared" si="79"/>
        <v/>
      </c>
      <c r="B354" s="170"/>
      <c r="C354" s="152"/>
      <c r="D354" s="179" t="s">
        <v>252</v>
      </c>
      <c r="E354" s="373"/>
      <c r="F354" s="373"/>
      <c r="G354" s="373"/>
      <c r="H354" s="373"/>
      <c r="I354" s="373"/>
      <c r="J354" s="373"/>
      <c r="K354" s="373"/>
      <c r="L354" s="373"/>
      <c r="M354" s="373"/>
      <c r="N354" s="373"/>
      <c r="O354" s="373"/>
      <c r="P354" s="373"/>
      <c r="Q354" s="373"/>
      <c r="R354" s="373"/>
      <c r="S354" s="373"/>
      <c r="T354" s="373"/>
      <c r="U354" s="373"/>
      <c r="V354" s="373"/>
      <c r="W354" s="373"/>
      <c r="X354" s="373"/>
      <c r="Y354" s="373"/>
      <c r="Z354" s="373"/>
      <c r="AA354" s="169"/>
      <c r="AB354" s="159" t="s">
        <v>281</v>
      </c>
      <c r="AD354" s="172" t="s">
        <v>249</v>
      </c>
      <c r="AE354" s="167"/>
      <c r="AF354" s="164">
        <f t="shared" si="81"/>
        <v>0</v>
      </c>
      <c r="AG354" s="164">
        <f>IF(AND(SUM(AF:AF)&gt;0,OR(AND(B354=1,Y305="No"),AND(B354=1,E354="",Y305="Yes"),AND(B354="",E354="",Y305="Yes"),AND(B354="",E354&lt;&gt;"",Y305="Yes"),AND(B354=0,E354&lt;&gt;"",Y305="Yes"))),1,0)</f>
        <v>0</v>
      </c>
      <c r="AI354" s="190">
        <v>1</v>
      </c>
    </row>
    <row r="355" spans="1:35" s="180" customFormat="1" ht="18" hidden="1" customHeight="1" x14ac:dyDescent="0.2">
      <c r="A355" s="163" t="str">
        <f t="shared" si="79"/>
        <v/>
      </c>
      <c r="B355" s="170"/>
      <c r="C355" s="152"/>
      <c r="D355" s="179" t="s">
        <v>252</v>
      </c>
      <c r="E355" s="373"/>
      <c r="F355" s="373"/>
      <c r="G355" s="373"/>
      <c r="H355" s="373"/>
      <c r="I355" s="373"/>
      <c r="J355" s="373"/>
      <c r="K355" s="373"/>
      <c r="L355" s="373"/>
      <c r="M355" s="373"/>
      <c r="N355" s="373"/>
      <c r="O355" s="373"/>
      <c r="P355" s="373"/>
      <c r="Q355" s="373"/>
      <c r="R355" s="373"/>
      <c r="S355" s="373"/>
      <c r="T355" s="373"/>
      <c r="U355" s="373"/>
      <c r="V355" s="373"/>
      <c r="W355" s="373"/>
      <c r="X355" s="373"/>
      <c r="Y355" s="373"/>
      <c r="Z355" s="373"/>
      <c r="AA355" s="169"/>
      <c r="AB355" s="159" t="s">
        <v>281</v>
      </c>
      <c r="AD355" s="172" t="s">
        <v>249</v>
      </c>
      <c r="AE355" s="167"/>
      <c r="AF355" s="164">
        <f t="shared" si="81"/>
        <v>0</v>
      </c>
      <c r="AG355" s="164">
        <f>IF(AND(SUM(AF:AF)&gt;0,OR(AND(B355=1,Y305="No"),AND(B355=1,E355="",Y305="Yes"),AND(B355="",E355="",Y305="Yes"),AND(B355="",E355&lt;&gt;"",Y305="Yes"),AND(B355=0,E355&lt;&gt;"",Y305="Yes"))),1,0)</f>
        <v>0</v>
      </c>
      <c r="AI355" s="190">
        <v>1</v>
      </c>
    </row>
    <row r="356" spans="1:35" s="180" customFormat="1" ht="18" hidden="1" customHeight="1" x14ac:dyDescent="0.2">
      <c r="A356" s="163" t="str">
        <f t="shared" si="79"/>
        <v/>
      </c>
      <c r="B356" s="170"/>
      <c r="C356" s="152"/>
      <c r="D356" s="375" t="s">
        <v>320</v>
      </c>
      <c r="E356" s="375"/>
      <c r="F356" s="375"/>
      <c r="G356" s="375"/>
      <c r="H356" s="375"/>
      <c r="I356" s="375"/>
      <c r="J356" s="375"/>
      <c r="K356" s="375"/>
      <c r="L356" s="375"/>
      <c r="M356" s="375"/>
      <c r="N356" s="375"/>
      <c r="O356" s="375"/>
      <c r="P356" s="375"/>
      <c r="Q356" s="375"/>
      <c r="R356" s="187"/>
      <c r="S356" s="378" t="s">
        <v>321</v>
      </c>
      <c r="T356" s="378"/>
      <c r="U356" s="378"/>
      <c r="V356" s="378"/>
      <c r="W356" s="378"/>
      <c r="X356" s="378"/>
      <c r="Y356" s="378"/>
      <c r="Z356" s="378"/>
      <c r="AA356" s="169"/>
      <c r="AB356" s="159" t="s">
        <v>281</v>
      </c>
      <c r="AD356" s="172" t="s">
        <v>249</v>
      </c>
      <c r="AE356" s="167"/>
      <c r="AF356" s="164">
        <f t="shared" si="81"/>
        <v>0</v>
      </c>
      <c r="AG356" s="164">
        <f>IF(AND(SUM(AF:AF)&gt;0,OR(AND(B356=1,Y305="No"),AND(B356=1,R356="",Y305="Yes"),AND(B356="",R356="",Y305="Yes"),AND(B356="",R356&lt;&gt;"",Y305="Yes"),AND(B356=0,R356&lt;&gt;"",Y305="Yes"))),1,0)</f>
        <v>0</v>
      </c>
      <c r="AI356" s="190">
        <v>1</v>
      </c>
    </row>
    <row r="357" spans="1:35" ht="21" hidden="1" customHeight="1" x14ac:dyDescent="0.2">
      <c r="A357" s="163" t="str">
        <f t="shared" si="79"/>
        <v/>
      </c>
      <c r="B357" s="164">
        <v>0</v>
      </c>
      <c r="D357" s="379" t="s">
        <v>258</v>
      </c>
      <c r="E357" s="379"/>
      <c r="F357" s="379"/>
      <c r="G357" s="379"/>
      <c r="H357" s="379"/>
      <c r="I357" s="379"/>
      <c r="J357" s="379"/>
      <c r="K357" s="379"/>
      <c r="L357" s="379"/>
      <c r="M357" s="379"/>
      <c r="N357" s="379"/>
      <c r="O357" s="379"/>
      <c r="P357" s="379"/>
      <c r="Q357" s="379"/>
      <c r="R357" s="379"/>
      <c r="S357" s="379"/>
      <c r="T357" s="379"/>
      <c r="U357" s="379"/>
      <c r="V357" s="379"/>
      <c r="W357" s="379"/>
      <c r="X357" s="379"/>
      <c r="Y357" s="379"/>
      <c r="Z357" s="379"/>
      <c r="AB357" s="166" t="s">
        <v>259</v>
      </c>
      <c r="AD357" s="165" t="s">
        <v>260</v>
      </c>
      <c r="AE357" s="134"/>
      <c r="AF357" s="22"/>
      <c r="AG357" s="22"/>
      <c r="AI357" s="190">
        <v>1</v>
      </c>
    </row>
    <row r="358" spans="1:35" ht="15.75" hidden="1" customHeight="1" x14ac:dyDescent="0.2">
      <c r="A358" s="163"/>
      <c r="B358" s="164">
        <v>0</v>
      </c>
      <c r="D358" s="369" t="s">
        <v>261</v>
      </c>
      <c r="E358" s="369"/>
      <c r="F358" s="369"/>
      <c r="G358" s="369"/>
      <c r="H358" s="369"/>
      <c r="I358" s="369"/>
      <c r="J358" s="369"/>
      <c r="K358" s="369"/>
      <c r="L358" s="369"/>
      <c r="M358" s="369"/>
      <c r="N358" s="369"/>
      <c r="O358" s="369"/>
      <c r="P358" s="369"/>
      <c r="Q358" s="369"/>
      <c r="R358" s="369"/>
      <c r="S358" s="369"/>
      <c r="T358" s="369"/>
      <c r="U358" s="369"/>
      <c r="V358" s="369"/>
      <c r="W358" s="369"/>
      <c r="X358" s="369"/>
      <c r="Y358" s="369"/>
      <c r="Z358" s="369"/>
      <c r="AB358" s="166" t="s">
        <v>259</v>
      </c>
      <c r="AD358" s="165" t="s">
        <v>260</v>
      </c>
      <c r="AE358" s="134"/>
      <c r="AF358" s="22"/>
      <c r="AG358" s="22"/>
      <c r="AI358" s="190">
        <v>1</v>
      </c>
    </row>
    <row r="359" spans="1:35" ht="8.5" hidden="1" customHeight="1" x14ac:dyDescent="0.15">
      <c r="A359" s="163" t="str">
        <f>IF(AG359=1,"X","")</f>
        <v/>
      </c>
      <c r="B359" s="164">
        <f>IF(OR(D360="Show",Q360="Show"),1,0)</f>
        <v>0</v>
      </c>
      <c r="D359" s="368"/>
      <c r="E359" s="368"/>
      <c r="F359" s="368"/>
      <c r="G359" s="368"/>
      <c r="H359" s="368"/>
      <c r="I359" s="368"/>
      <c r="J359" s="368"/>
      <c r="K359" s="368"/>
      <c r="L359" s="368"/>
      <c r="M359" s="368"/>
      <c r="N359" s="368"/>
      <c r="O359" s="368"/>
      <c r="P359" s="368"/>
      <c r="Q359" s="368"/>
      <c r="R359" s="368"/>
      <c r="S359" s="368"/>
      <c r="T359" s="368"/>
      <c r="U359" s="368"/>
      <c r="V359" s="368"/>
      <c r="W359" s="368"/>
      <c r="X359" s="368"/>
      <c r="Y359" s="368"/>
      <c r="Z359" s="368"/>
      <c r="AD359" s="165" t="s">
        <v>227</v>
      </c>
      <c r="AE359" s="156"/>
      <c r="AF359" s="22"/>
      <c r="AG359" s="22"/>
      <c r="AI359" s="190">
        <v>1</v>
      </c>
    </row>
    <row r="360" spans="1:35" ht="18" hidden="1" customHeight="1" x14ac:dyDescent="0.2">
      <c r="A360" s="163" t="str">
        <f t="shared" ref="A360:A363" si="82">IF(AG360=1,"X","")</f>
        <v/>
      </c>
      <c r="B360" s="164">
        <v>0</v>
      </c>
      <c r="D360" s="370" t="s">
        <v>267</v>
      </c>
      <c r="E360" s="370"/>
      <c r="F360" s="370"/>
      <c r="G360" s="370"/>
      <c r="H360" s="370"/>
      <c r="I360" s="370"/>
      <c r="J360" s="370"/>
      <c r="K360" s="370"/>
      <c r="L360" s="370"/>
      <c r="M360" s="370"/>
      <c r="N360" s="370"/>
      <c r="O360" s="175"/>
      <c r="P360" s="175"/>
      <c r="Q360" s="370" t="s">
        <v>267</v>
      </c>
      <c r="R360" s="370"/>
      <c r="S360" s="370"/>
      <c r="T360" s="370"/>
      <c r="U360" s="370"/>
      <c r="V360" s="370"/>
      <c r="W360" s="370"/>
      <c r="X360" s="370"/>
      <c r="Y360" s="370"/>
      <c r="Z360" s="370"/>
      <c r="AA360" s="176"/>
      <c r="AB360" s="159" t="s">
        <v>262</v>
      </c>
      <c r="AD360" s="172" t="s">
        <v>249</v>
      </c>
      <c r="AE360" s="134"/>
      <c r="AF360" s="164">
        <f>IF(OR(D360="Show",D360="",Q360="Show",Q360=""),1,0)</f>
        <v>0</v>
      </c>
      <c r="AG360" s="164">
        <f>IF(AND(SUM(AF:AF)&gt;0,OR(D360="",Q360="")),1,0)</f>
        <v>0</v>
      </c>
      <c r="AI360" s="190">
        <v>1</v>
      </c>
    </row>
    <row r="361" spans="1:35" ht="197.25" hidden="1" customHeight="1" x14ac:dyDescent="0.2">
      <c r="A361" s="163" t="str">
        <f t="shared" si="82"/>
        <v/>
      </c>
      <c r="B361" s="164">
        <f>B359</f>
        <v>0</v>
      </c>
      <c r="D361" s="370"/>
      <c r="E361" s="370"/>
      <c r="F361" s="370"/>
      <c r="G361" s="370"/>
      <c r="H361" s="370"/>
      <c r="I361" s="370"/>
      <c r="J361" s="370"/>
      <c r="K361" s="370"/>
      <c r="L361" s="370"/>
      <c r="M361" s="370"/>
      <c r="N361" s="370"/>
      <c r="O361" s="175"/>
      <c r="P361" s="175"/>
      <c r="Q361" s="370"/>
      <c r="R361" s="370"/>
      <c r="S361" s="370"/>
      <c r="T361" s="370"/>
      <c r="U361" s="370"/>
      <c r="V361" s="370"/>
      <c r="W361" s="370"/>
      <c r="X361" s="370"/>
      <c r="Y361" s="370"/>
      <c r="Z361" s="370"/>
      <c r="AA361" s="176"/>
      <c r="AB361" s="159" t="s">
        <v>263</v>
      </c>
      <c r="AD361" s="172" t="s">
        <v>249</v>
      </c>
      <c r="AE361" s="167"/>
      <c r="AF361" s="22"/>
      <c r="AG361" s="22"/>
      <c r="AI361" s="190">
        <v>1</v>
      </c>
    </row>
    <row r="362" spans="1:35" ht="18" hidden="1" customHeight="1" x14ac:dyDescent="0.2">
      <c r="A362" s="163" t="str">
        <f t="shared" si="82"/>
        <v/>
      </c>
      <c r="B362" s="164">
        <f>B361</f>
        <v>0</v>
      </c>
      <c r="D362" s="371"/>
      <c r="E362" s="371"/>
      <c r="F362" s="371"/>
      <c r="G362" s="371"/>
      <c r="H362" s="371"/>
      <c r="I362" s="371"/>
      <c r="J362" s="371"/>
      <c r="K362" s="371"/>
      <c r="L362" s="371"/>
      <c r="M362" s="371"/>
      <c r="N362" s="371"/>
      <c r="O362" s="175"/>
      <c r="P362" s="175"/>
      <c r="Q362" s="371"/>
      <c r="R362" s="371"/>
      <c r="S362" s="371"/>
      <c r="T362" s="371"/>
      <c r="U362" s="371"/>
      <c r="V362" s="371"/>
      <c r="W362" s="371"/>
      <c r="X362" s="371"/>
      <c r="Y362" s="371"/>
      <c r="Z362" s="371"/>
      <c r="AA362" s="176"/>
      <c r="AB362" s="159" t="s">
        <v>264</v>
      </c>
      <c r="AD362" s="172" t="s">
        <v>249</v>
      </c>
      <c r="AE362" s="167"/>
      <c r="AF362" s="164">
        <f>IF(OR(D360="Show",D360="",Q360="Show",Q360=""),1,0)</f>
        <v>0</v>
      </c>
      <c r="AG362" s="164">
        <f>IF(AND(SUM(AF:AF)&gt;0,OR(AND(D360="Show",D362=""),AND(Q360="Show",Q362=""))),1,0)</f>
        <v>0</v>
      </c>
      <c r="AI362" s="190">
        <v>1</v>
      </c>
    </row>
    <row r="363" spans="1:35" ht="8.5" hidden="1" customHeight="1" x14ac:dyDescent="0.15">
      <c r="A363" s="163" t="str">
        <f t="shared" si="82"/>
        <v/>
      </c>
      <c r="B363" s="164">
        <f>B362</f>
        <v>0</v>
      </c>
      <c r="D363" s="368"/>
      <c r="E363" s="368"/>
      <c r="F363" s="368"/>
      <c r="G363" s="368"/>
      <c r="H363" s="368"/>
      <c r="I363" s="368"/>
      <c r="J363" s="368"/>
      <c r="K363" s="368"/>
      <c r="L363" s="368"/>
      <c r="M363" s="368"/>
      <c r="N363" s="368"/>
      <c r="O363" s="368"/>
      <c r="P363" s="368"/>
      <c r="Q363" s="368"/>
      <c r="R363" s="368"/>
      <c r="S363" s="368"/>
      <c r="T363" s="368"/>
      <c r="U363" s="368"/>
      <c r="V363" s="368"/>
      <c r="W363" s="368"/>
      <c r="X363" s="368"/>
      <c r="Y363" s="368"/>
      <c r="Z363" s="368"/>
      <c r="AA363" s="176"/>
      <c r="AD363" s="165" t="s">
        <v>227</v>
      </c>
      <c r="AE363" s="156"/>
      <c r="AF363" s="22"/>
      <c r="AG363" s="22"/>
      <c r="AI363" s="190">
        <v>1</v>
      </c>
    </row>
    <row r="364" spans="1:35" ht="15.75" hidden="1" customHeight="1" x14ac:dyDescent="0.2">
      <c r="A364" s="163"/>
      <c r="B364" s="164">
        <v>0</v>
      </c>
      <c r="D364" s="369" t="s">
        <v>265</v>
      </c>
      <c r="E364" s="369"/>
      <c r="F364" s="369"/>
      <c r="G364" s="369"/>
      <c r="H364" s="369"/>
      <c r="I364" s="369"/>
      <c r="J364" s="369"/>
      <c r="K364" s="369"/>
      <c r="L364" s="369"/>
      <c r="M364" s="369"/>
      <c r="N364" s="369"/>
      <c r="O364" s="369"/>
      <c r="P364" s="369"/>
      <c r="Q364" s="369"/>
      <c r="R364" s="369"/>
      <c r="S364" s="369"/>
      <c r="T364" s="369"/>
      <c r="U364" s="369"/>
      <c r="V364" s="369"/>
      <c r="W364" s="369"/>
      <c r="X364" s="369"/>
      <c r="Y364" s="369"/>
      <c r="Z364" s="369"/>
      <c r="AB364" s="166" t="s">
        <v>259</v>
      </c>
      <c r="AD364" s="165" t="s">
        <v>260</v>
      </c>
      <c r="AE364" s="134"/>
      <c r="AF364" s="22"/>
      <c r="AG364" s="22"/>
      <c r="AI364" s="190">
        <v>1</v>
      </c>
    </row>
    <row r="365" spans="1:35" ht="25" hidden="1" customHeight="1" x14ac:dyDescent="0.2">
      <c r="A365" s="163"/>
      <c r="B365" s="164">
        <v>0</v>
      </c>
      <c r="D365" s="374" t="str">
        <f>CONCATENATE("↑ Room Section ", N307," ↑")</f>
        <v>↑ Room Section 3 ↑</v>
      </c>
      <c r="E365" s="374"/>
      <c r="F365" s="374"/>
      <c r="G365" s="374"/>
      <c r="H365" s="374"/>
      <c r="I365" s="374"/>
      <c r="J365" s="374"/>
      <c r="K365" s="374"/>
      <c r="L365" s="374"/>
      <c r="M365" s="374"/>
      <c r="N365" s="374"/>
      <c r="O365" s="374"/>
      <c r="P365" s="374"/>
      <c r="Q365" s="374"/>
      <c r="R365" s="374"/>
      <c r="S365" s="374"/>
      <c r="T365" s="374"/>
      <c r="U365" s="374"/>
      <c r="V365" s="374"/>
      <c r="W365" s="374"/>
      <c r="X365" s="374"/>
      <c r="Y365" s="374"/>
      <c r="Z365" s="374"/>
      <c r="AB365" s="166" t="s">
        <v>259</v>
      </c>
      <c r="AD365" s="165" t="s">
        <v>260</v>
      </c>
      <c r="AE365" s="134"/>
      <c r="AF365" s="22"/>
      <c r="AG365" s="22"/>
      <c r="AI365" s="190">
        <v>1</v>
      </c>
    </row>
    <row r="366" spans="1:35" ht="21" hidden="1" customHeight="1" x14ac:dyDescent="0.2">
      <c r="A366" s="163" t="str">
        <f>IF(OR(SUM(AG367:AG426),Y366=""),"X","")</f>
        <v/>
      </c>
      <c r="B366" s="164">
        <v>0</v>
      </c>
      <c r="D366" s="381" t="str">
        <f>CONCATENATE("Show Room ",N368," Inspection Section?")</f>
        <v>Show Room 4 Inspection Section?</v>
      </c>
      <c r="E366" s="381"/>
      <c r="F366" s="381"/>
      <c r="G366" s="381"/>
      <c r="H366" s="381"/>
      <c r="I366" s="381"/>
      <c r="J366" s="381"/>
      <c r="K366" s="381"/>
      <c r="L366" s="381"/>
      <c r="M366" s="381"/>
      <c r="N366" s="381"/>
      <c r="O366" s="381"/>
      <c r="P366" s="381"/>
      <c r="Q366" s="381"/>
      <c r="R366" s="381"/>
      <c r="S366" s="381"/>
      <c r="T366" s="381"/>
      <c r="U366" s="381"/>
      <c r="V366" s="381"/>
      <c r="W366" s="381"/>
      <c r="X366" s="381"/>
      <c r="Y366" s="382" t="s">
        <v>114</v>
      </c>
      <c r="Z366" s="383"/>
      <c r="AB366" s="166" t="s">
        <v>259</v>
      </c>
      <c r="AD366" s="165" t="s">
        <v>260</v>
      </c>
      <c r="AE366" s="134"/>
      <c r="AF366" s="22"/>
      <c r="AG366" s="22"/>
      <c r="AI366" s="190">
        <v>1</v>
      </c>
    </row>
    <row r="367" spans="1:35" ht="25" hidden="1" customHeight="1" x14ac:dyDescent="0.2">
      <c r="A367" s="163"/>
      <c r="B367" s="164">
        <v>0</v>
      </c>
      <c r="D367" s="374" t="str">
        <f>CONCATENATE("↓ Room Section ", N368," ↓")</f>
        <v>↓ Room Section 4 ↓</v>
      </c>
      <c r="E367" s="374"/>
      <c r="F367" s="374"/>
      <c r="G367" s="374"/>
      <c r="H367" s="374"/>
      <c r="I367" s="374"/>
      <c r="J367" s="374"/>
      <c r="K367" s="374"/>
      <c r="L367" s="374"/>
      <c r="M367" s="374"/>
      <c r="N367" s="374"/>
      <c r="O367" s="374"/>
      <c r="P367" s="374"/>
      <c r="Q367" s="374"/>
      <c r="R367" s="374"/>
      <c r="S367" s="374"/>
      <c r="T367" s="374"/>
      <c r="U367" s="374"/>
      <c r="V367" s="374"/>
      <c r="W367" s="374"/>
      <c r="X367" s="374"/>
      <c r="Y367" s="374"/>
      <c r="Z367" s="374"/>
      <c r="AB367" s="166" t="s">
        <v>259</v>
      </c>
      <c r="AD367" s="165" t="s">
        <v>260</v>
      </c>
      <c r="AE367" s="134"/>
      <c r="AF367" s="22"/>
      <c r="AG367" s="22"/>
      <c r="AI367" s="190">
        <v>1</v>
      </c>
    </row>
    <row r="368" spans="1:35" ht="21" hidden="1" customHeight="1" x14ac:dyDescent="0.15">
      <c r="A368" s="163" t="str">
        <f t="shared" ref="A368:A380" si="83">IF(AG368=1,"X","")</f>
        <v/>
      </c>
      <c r="B368" s="164">
        <f>IF(Y$366="Yes",1,0)</f>
        <v>0</v>
      </c>
      <c r="D368" s="384" t="s">
        <v>404</v>
      </c>
      <c r="E368" s="384"/>
      <c r="F368" s="384"/>
      <c r="G368" s="384"/>
      <c r="H368" s="384"/>
      <c r="I368" s="384"/>
      <c r="J368" s="384"/>
      <c r="K368" s="384"/>
      <c r="L368" s="385" t="s">
        <v>394</v>
      </c>
      <c r="M368" s="385"/>
      <c r="N368" s="380">
        <f>N307+1</f>
        <v>4</v>
      </c>
      <c r="O368" s="380"/>
      <c r="P368" s="380"/>
      <c r="Q368" s="380"/>
      <c r="R368" s="380"/>
      <c r="S368" s="380"/>
      <c r="T368" s="380"/>
      <c r="U368" s="380"/>
      <c r="V368" s="380"/>
      <c r="W368" s="380"/>
      <c r="X368" s="380"/>
      <c r="Y368" s="380"/>
      <c r="Z368" s="380"/>
      <c r="AB368" s="166" t="s">
        <v>462</v>
      </c>
      <c r="AD368" s="165" t="s">
        <v>463</v>
      </c>
      <c r="AE368" s="134"/>
      <c r="AF368" s="22"/>
      <c r="AG368" s="22"/>
      <c r="AI368" s="190">
        <v>1</v>
      </c>
    </row>
    <row r="369" spans="1:35" s="180" customFormat="1" ht="18" hidden="1" customHeight="1" x14ac:dyDescent="0.2">
      <c r="A369" s="163" t="str">
        <f t="shared" si="83"/>
        <v/>
      </c>
      <c r="B369" s="164">
        <f>IF(Y$366="Yes",1,0)</f>
        <v>0</v>
      </c>
      <c r="C369" s="152"/>
      <c r="D369" s="378" t="s">
        <v>392</v>
      </c>
      <c r="E369" s="378"/>
      <c r="F369" s="378"/>
      <c r="G369" s="378"/>
      <c r="H369" s="378"/>
      <c r="I369" s="373"/>
      <c r="J369" s="373"/>
      <c r="K369" s="373"/>
      <c r="L369" s="373"/>
      <c r="M369" s="373"/>
      <c r="N369" s="373"/>
      <c r="O369" s="373"/>
      <c r="P369" s="373"/>
      <c r="Q369" s="373"/>
      <c r="R369" s="373"/>
      <c r="S369" s="373"/>
      <c r="T369" s="373"/>
      <c r="U369" s="373"/>
      <c r="V369" s="373"/>
      <c r="W369" s="373"/>
      <c r="X369" s="373"/>
      <c r="Y369" s="373"/>
      <c r="Z369" s="373"/>
      <c r="AA369" s="169"/>
      <c r="AB369" s="159" t="s">
        <v>464</v>
      </c>
      <c r="AD369" s="165" t="s">
        <v>463</v>
      </c>
      <c r="AE369" s="167"/>
      <c r="AF369" s="164">
        <f t="shared" ref="AF369:AF370" si="84">IF(B369&lt;&gt;"",1,0)</f>
        <v>1</v>
      </c>
      <c r="AG369" s="164">
        <f>IF(AND(SUM(AF:AF)&gt;0,OR(AND(B369=1,Y366="No"),AND(B369=1,I369="",Y366="Yes"),AND(B369="",I369="",Y366="Yes"),AND(B369="",I369&lt;&gt;"",Y366="Yes"),AND(B369=0,I369&lt;&gt;"",Y366="Yes"))),1,0)</f>
        <v>0</v>
      </c>
      <c r="AI369" s="190">
        <v>1</v>
      </c>
    </row>
    <row r="370" spans="1:35" s="180" customFormat="1" ht="18" hidden="1" customHeight="1" x14ac:dyDescent="0.2">
      <c r="A370" s="163" t="str">
        <f t="shared" si="83"/>
        <v/>
      </c>
      <c r="B370" s="164">
        <f>IF(Y$366="Yes",1,0)</f>
        <v>0</v>
      </c>
      <c r="C370" s="152"/>
      <c r="D370" s="378" t="s">
        <v>393</v>
      </c>
      <c r="E370" s="378"/>
      <c r="F370" s="378"/>
      <c r="G370" s="378"/>
      <c r="H370" s="378"/>
      <c r="I370" s="373"/>
      <c r="J370" s="373"/>
      <c r="K370" s="373"/>
      <c r="L370" s="373"/>
      <c r="M370" s="373"/>
      <c r="N370" s="373"/>
      <c r="O370" s="373"/>
      <c r="P370" s="373"/>
      <c r="Q370" s="373"/>
      <c r="R370" s="373"/>
      <c r="S370" s="373"/>
      <c r="T370" s="373"/>
      <c r="U370" s="373"/>
      <c r="V370" s="373"/>
      <c r="W370" s="373"/>
      <c r="X370" s="373"/>
      <c r="Y370" s="373"/>
      <c r="Z370" s="373"/>
      <c r="AA370" s="169"/>
      <c r="AB370" s="159" t="s">
        <v>464</v>
      </c>
      <c r="AD370" s="165" t="s">
        <v>463</v>
      </c>
      <c r="AE370" s="167"/>
      <c r="AF370" s="164">
        <f t="shared" si="84"/>
        <v>1</v>
      </c>
      <c r="AG370" s="164">
        <f>IF(AND(SUM(AF:AF)&gt;0,OR(AND(B370=1,Y366="No"),AND(B370=1,I370="",Y366="Yes"),AND(B370="",I370="",Y366="Yes"),AND(B370="",I370&lt;&gt;"",Y366="Yes"),AND(B370=0,I370&lt;&gt;"",Y366="Yes"))),1,0)</f>
        <v>0</v>
      </c>
      <c r="AI370" s="190">
        <v>1</v>
      </c>
    </row>
    <row r="371" spans="1:35" ht="21" hidden="1" customHeight="1" x14ac:dyDescent="0.15">
      <c r="A371" s="163" t="str">
        <f t="shared" si="83"/>
        <v/>
      </c>
      <c r="B371" s="164">
        <f>IF(Y$366="Yes",1,0)</f>
        <v>0</v>
      </c>
      <c r="D371" s="380" t="s">
        <v>313</v>
      </c>
      <c r="E371" s="380"/>
      <c r="F371" s="380"/>
      <c r="G371" s="380"/>
      <c r="H371" s="380"/>
      <c r="I371" s="380"/>
      <c r="J371" s="380"/>
      <c r="K371" s="380"/>
      <c r="L371" s="380"/>
      <c r="M371" s="380"/>
      <c r="N371" s="380"/>
      <c r="O371" s="380"/>
      <c r="P371" s="380"/>
      <c r="Q371" s="380"/>
      <c r="R371" s="380"/>
      <c r="S371" s="380"/>
      <c r="T371" s="380"/>
      <c r="U371" s="380"/>
      <c r="V371" s="380"/>
      <c r="W371" s="380"/>
      <c r="X371" s="380"/>
      <c r="Y371" s="380"/>
      <c r="Z371" s="380"/>
      <c r="AB371" s="166" t="s">
        <v>462</v>
      </c>
      <c r="AD371" s="165" t="s">
        <v>463</v>
      </c>
      <c r="AE371" s="134"/>
      <c r="AF371" s="22"/>
      <c r="AG371" s="22"/>
      <c r="AI371" s="190">
        <v>1</v>
      </c>
    </row>
    <row r="372" spans="1:35" s="180" customFormat="1" ht="18" hidden="1" customHeight="1" x14ac:dyDescent="0.2">
      <c r="A372" s="163" t="str">
        <f t="shared" si="83"/>
        <v/>
      </c>
      <c r="B372" s="170"/>
      <c r="C372" s="152"/>
      <c r="D372" s="378" t="s">
        <v>397</v>
      </c>
      <c r="E372" s="378"/>
      <c r="F372" s="378"/>
      <c r="G372" s="378"/>
      <c r="H372" s="378"/>
      <c r="I372" s="378"/>
      <c r="J372" s="378"/>
      <c r="K372" s="378"/>
      <c r="L372" s="378"/>
      <c r="M372" s="378"/>
      <c r="N372" s="378"/>
      <c r="O372" s="378"/>
      <c r="P372" s="378"/>
      <c r="Q372" s="378"/>
      <c r="R372" s="378"/>
      <c r="S372" s="378"/>
      <c r="T372" s="378"/>
      <c r="U372" s="378"/>
      <c r="V372" s="378"/>
      <c r="W372" s="378"/>
      <c r="X372" s="378"/>
      <c r="Y372" s="378"/>
      <c r="Z372" s="378"/>
      <c r="AA372" s="169"/>
      <c r="AB372" s="159" t="s">
        <v>281</v>
      </c>
      <c r="AD372" s="172" t="s">
        <v>249</v>
      </c>
      <c r="AE372" s="167"/>
      <c r="AF372" s="164">
        <f t="shared" ref="AF372:AF373" si="85">IF(B372&lt;&gt;"",1,0)</f>
        <v>0</v>
      </c>
      <c r="AG372" s="164">
        <f>IF(AND(SUM(AF:AF)&gt;0,OR(AND(B372="",Y366="Yes"),AND(B372=1,Y366="No"))),1,0)</f>
        <v>0</v>
      </c>
      <c r="AI372" s="190">
        <v>1</v>
      </c>
    </row>
    <row r="373" spans="1:35" s="180" customFormat="1" ht="18" hidden="1" customHeight="1" x14ac:dyDescent="0.2">
      <c r="A373" s="163" t="str">
        <f t="shared" si="83"/>
        <v/>
      </c>
      <c r="B373" s="170"/>
      <c r="C373" s="152"/>
      <c r="D373" s="378" t="s">
        <v>398</v>
      </c>
      <c r="E373" s="378"/>
      <c r="F373" s="378"/>
      <c r="G373" s="378"/>
      <c r="H373" s="378"/>
      <c r="I373" s="378"/>
      <c r="J373" s="378"/>
      <c r="K373" s="378"/>
      <c r="L373" s="378"/>
      <c r="M373" s="378"/>
      <c r="N373" s="378"/>
      <c r="O373" s="378"/>
      <c r="P373" s="378"/>
      <c r="Q373" s="378"/>
      <c r="R373" s="378"/>
      <c r="S373" s="378"/>
      <c r="T373" s="378"/>
      <c r="U373" s="378"/>
      <c r="V373" s="378"/>
      <c r="W373" s="378"/>
      <c r="X373" s="378"/>
      <c r="Y373" s="378"/>
      <c r="Z373" s="378"/>
      <c r="AA373" s="169"/>
      <c r="AB373" s="159" t="s">
        <v>281</v>
      </c>
      <c r="AD373" s="172" t="s">
        <v>249</v>
      </c>
      <c r="AE373" s="167"/>
      <c r="AF373" s="164">
        <f t="shared" si="85"/>
        <v>0</v>
      </c>
      <c r="AG373" s="164">
        <f>IF(AND(SUM(AF:AF)&gt;0,OR(AND(B373="",Y366="Yes"),AND(B373=1,Y366="No"))),1,0)</f>
        <v>0</v>
      </c>
      <c r="AI373" s="190">
        <v>1</v>
      </c>
    </row>
    <row r="374" spans="1:35" s="180" customFormat="1" ht="18" hidden="1" customHeight="1" x14ac:dyDescent="0.2">
      <c r="A374" s="163" t="str">
        <f t="shared" si="83"/>
        <v/>
      </c>
      <c r="B374" s="170"/>
      <c r="C374" s="152"/>
      <c r="D374" s="179" t="s">
        <v>252</v>
      </c>
      <c r="E374" s="378" t="s">
        <v>315</v>
      </c>
      <c r="F374" s="378"/>
      <c r="G374" s="378"/>
      <c r="H374" s="378"/>
      <c r="I374" s="378"/>
      <c r="J374" s="378"/>
      <c r="K374" s="378"/>
      <c r="L374" s="378"/>
      <c r="M374" s="378"/>
      <c r="N374" s="378"/>
      <c r="O374" s="378"/>
      <c r="P374" s="378"/>
      <c r="Q374" s="378"/>
      <c r="R374" s="378"/>
      <c r="S374" s="378"/>
      <c r="T374" s="378"/>
      <c r="U374" s="378"/>
      <c r="V374" s="378"/>
      <c r="W374" s="378"/>
      <c r="X374" s="378"/>
      <c r="Y374" s="378"/>
      <c r="Z374" s="378"/>
      <c r="AA374" s="169"/>
      <c r="AB374" s="159" t="s">
        <v>281</v>
      </c>
      <c r="AD374" s="172" t="s">
        <v>249</v>
      </c>
      <c r="AE374" s="167"/>
      <c r="AF374" s="164">
        <f t="shared" ref="AF374:AF375" si="86">IF(B374&lt;&gt;"",1,0)</f>
        <v>0</v>
      </c>
      <c r="AG374" s="164">
        <f>IF(AND(SUM(AF:AF)&gt;0,OR(AND(B374="",Y366="Yes"),AND(B374=1,Y366="No"))),1,0)</f>
        <v>0</v>
      </c>
      <c r="AI374" s="190">
        <v>1</v>
      </c>
    </row>
    <row r="375" spans="1:35" s="180" customFormat="1" ht="18" hidden="1" customHeight="1" x14ac:dyDescent="0.2">
      <c r="A375" s="163" t="str">
        <f t="shared" si="83"/>
        <v/>
      </c>
      <c r="B375" s="170"/>
      <c r="C375" s="152"/>
      <c r="D375" s="179" t="s">
        <v>252</v>
      </c>
      <c r="E375" s="378" t="s">
        <v>316</v>
      </c>
      <c r="F375" s="378"/>
      <c r="G375" s="378"/>
      <c r="H375" s="378"/>
      <c r="I375" s="378"/>
      <c r="J375" s="378"/>
      <c r="K375" s="378"/>
      <c r="L375" s="378"/>
      <c r="M375" s="378"/>
      <c r="N375" s="378"/>
      <c r="O375" s="378"/>
      <c r="P375" s="378"/>
      <c r="Q375" s="378"/>
      <c r="R375" s="378"/>
      <c r="S375" s="378"/>
      <c r="T375" s="378"/>
      <c r="U375" s="378"/>
      <c r="V375" s="378"/>
      <c r="W375" s="378"/>
      <c r="X375" s="378"/>
      <c r="Y375" s="378"/>
      <c r="Z375" s="378"/>
      <c r="AA375" s="169"/>
      <c r="AB375" s="159" t="s">
        <v>281</v>
      </c>
      <c r="AD375" s="172" t="s">
        <v>249</v>
      </c>
      <c r="AE375" s="167"/>
      <c r="AF375" s="164">
        <f t="shared" si="86"/>
        <v>0</v>
      </c>
      <c r="AG375" s="164">
        <f>IF(AND(SUM(AF:AF)&gt;0,OR(AND(B375="",Y366="Yes"),AND(B375=1,Y366="No"))),1,0)</f>
        <v>0</v>
      </c>
      <c r="AI375" s="190">
        <v>1</v>
      </c>
    </row>
    <row r="376" spans="1:35" s="180" customFormat="1" ht="18.5" hidden="1" customHeight="1" x14ac:dyDescent="0.2">
      <c r="A376" s="163" t="str">
        <f t="shared" si="83"/>
        <v/>
      </c>
      <c r="B376" s="164">
        <v>0</v>
      </c>
      <c r="C376" s="152"/>
      <c r="D376" s="179" t="s">
        <v>252</v>
      </c>
      <c r="E376" s="378" t="s">
        <v>312</v>
      </c>
      <c r="F376" s="378"/>
      <c r="G376" s="378"/>
      <c r="H376" s="378"/>
      <c r="I376" s="378"/>
      <c r="J376" s="378"/>
      <c r="K376" s="378"/>
      <c r="L376" s="378"/>
      <c r="M376" s="378"/>
      <c r="N376" s="378"/>
      <c r="O376" s="378"/>
      <c r="P376" s="378"/>
      <c r="Q376" s="378"/>
      <c r="R376" s="378"/>
      <c r="S376" s="378"/>
      <c r="T376" s="378"/>
      <c r="U376" s="378"/>
      <c r="V376" s="378"/>
      <c r="W376" s="378"/>
      <c r="X376" s="378"/>
      <c r="Y376" s="378"/>
      <c r="Z376" s="378"/>
      <c r="AA376" s="168"/>
      <c r="AB376" s="166" t="s">
        <v>259</v>
      </c>
      <c r="AD376" s="165" t="s">
        <v>260</v>
      </c>
      <c r="AE376" s="134"/>
      <c r="AF376" s="22"/>
      <c r="AG376" s="22"/>
      <c r="AI376" s="190">
        <v>1</v>
      </c>
    </row>
    <row r="377" spans="1:35" s="180" customFormat="1" ht="18" hidden="1" customHeight="1" x14ac:dyDescent="0.2">
      <c r="A377" s="163" t="str">
        <f t="shared" si="83"/>
        <v/>
      </c>
      <c r="B377" s="170"/>
      <c r="C377" s="152"/>
      <c r="D377" s="179" t="s">
        <v>252</v>
      </c>
      <c r="E377" s="373"/>
      <c r="F377" s="373"/>
      <c r="G377" s="373"/>
      <c r="H377" s="373"/>
      <c r="I377" s="373"/>
      <c r="J377" s="373"/>
      <c r="K377" s="373"/>
      <c r="L377" s="373"/>
      <c r="M377" s="373"/>
      <c r="N377" s="373"/>
      <c r="O377" s="373"/>
      <c r="P377" s="373"/>
      <c r="Q377" s="373"/>
      <c r="R377" s="373"/>
      <c r="S377" s="373"/>
      <c r="T377" s="373"/>
      <c r="U377" s="373"/>
      <c r="V377" s="373"/>
      <c r="W377" s="373"/>
      <c r="X377" s="373"/>
      <c r="Y377" s="373"/>
      <c r="Z377" s="373"/>
      <c r="AA377" s="169"/>
      <c r="AB377" s="159" t="s">
        <v>281</v>
      </c>
      <c r="AD377" s="172" t="s">
        <v>249</v>
      </c>
      <c r="AE377" s="167"/>
      <c r="AF377" s="164">
        <f t="shared" ref="AF377:AF379" si="87">IF(B377&lt;&gt;"",1,0)</f>
        <v>0</v>
      </c>
      <c r="AG377" s="164">
        <f>IF(AND(SUM(AF:AF)&gt;0,OR(AND(B377=1,Y366="No"),AND(B377=1,E377="",Y366="Yes"),AND(B377="",E377="",Y366="Yes"),AND(B377="",E377&lt;&gt;"",Y366="Yes"),AND(B377=0,E377&lt;&gt;"",Y366="Yes"))),1,0)</f>
        <v>0</v>
      </c>
      <c r="AI377" s="190">
        <v>1</v>
      </c>
    </row>
    <row r="378" spans="1:35" s="180" customFormat="1" ht="18" hidden="1" customHeight="1" x14ac:dyDescent="0.2">
      <c r="A378" s="163" t="str">
        <f t="shared" si="83"/>
        <v/>
      </c>
      <c r="B378" s="170"/>
      <c r="C378" s="152"/>
      <c r="D378" s="179" t="s">
        <v>252</v>
      </c>
      <c r="E378" s="373"/>
      <c r="F378" s="373"/>
      <c r="G378" s="373"/>
      <c r="H378" s="373"/>
      <c r="I378" s="373"/>
      <c r="J378" s="373"/>
      <c r="K378" s="373"/>
      <c r="L378" s="373"/>
      <c r="M378" s="373"/>
      <c r="N378" s="373"/>
      <c r="O378" s="373"/>
      <c r="P378" s="373"/>
      <c r="Q378" s="373"/>
      <c r="R378" s="373"/>
      <c r="S378" s="373"/>
      <c r="T378" s="373"/>
      <c r="U378" s="373"/>
      <c r="V378" s="373"/>
      <c r="W378" s="373"/>
      <c r="X378" s="373"/>
      <c r="Y378" s="373"/>
      <c r="Z378" s="373"/>
      <c r="AA378" s="169"/>
      <c r="AB378" s="159" t="s">
        <v>281</v>
      </c>
      <c r="AD378" s="172" t="s">
        <v>249</v>
      </c>
      <c r="AE378" s="167"/>
      <c r="AF378" s="164">
        <f t="shared" si="87"/>
        <v>0</v>
      </c>
      <c r="AG378" s="164">
        <f>IF(AND(SUM(AF:AF)&gt;0,OR(AND(B378=1,Y366="No"),AND(B378=1,E378="",Y366="Yes"),AND(B378="",E378="",Y366="Yes"),AND(B378="",E378&lt;&gt;"",Y366="Yes"),AND(B378=0,E378&lt;&gt;"",Y366="Yes"))),1,0)</f>
        <v>0</v>
      </c>
      <c r="AI378" s="190">
        <v>1</v>
      </c>
    </row>
    <row r="379" spans="1:35" s="180" customFormat="1" ht="18" hidden="1" customHeight="1" x14ac:dyDescent="0.2">
      <c r="A379" s="163" t="str">
        <f t="shared" si="83"/>
        <v/>
      </c>
      <c r="B379" s="170"/>
      <c r="C379" s="152"/>
      <c r="D379" s="179" t="s">
        <v>252</v>
      </c>
      <c r="E379" s="373"/>
      <c r="F379" s="373"/>
      <c r="G379" s="373"/>
      <c r="H379" s="373"/>
      <c r="I379" s="373"/>
      <c r="J379" s="373"/>
      <c r="K379" s="373"/>
      <c r="L379" s="373"/>
      <c r="M379" s="373"/>
      <c r="N379" s="373"/>
      <c r="O379" s="373"/>
      <c r="P379" s="373"/>
      <c r="Q379" s="373"/>
      <c r="R379" s="373"/>
      <c r="S379" s="373"/>
      <c r="T379" s="373"/>
      <c r="U379" s="373"/>
      <c r="V379" s="373"/>
      <c r="W379" s="373"/>
      <c r="X379" s="373"/>
      <c r="Y379" s="373"/>
      <c r="Z379" s="373"/>
      <c r="AA379" s="169"/>
      <c r="AB379" s="159" t="s">
        <v>281</v>
      </c>
      <c r="AD379" s="172" t="s">
        <v>249</v>
      </c>
      <c r="AE379" s="167"/>
      <c r="AF379" s="164">
        <f t="shared" si="87"/>
        <v>0</v>
      </c>
      <c r="AG379" s="164">
        <f>IF(AND(SUM(AF:AF)&gt;0,OR(AND(B379=1,Y366="No"),AND(B379=1,E379="",Y366="Yes"),AND(B379="",E379="",Y366="Yes"),AND(B379="",E379&lt;&gt;"",Y366="Yes"),AND(B379=0,E379&lt;&gt;"",Y366="Yes"))),1,0)</f>
        <v>0</v>
      </c>
      <c r="AI379" s="190">
        <v>1</v>
      </c>
    </row>
    <row r="380" spans="1:35" ht="21" hidden="1" customHeight="1" x14ac:dyDescent="0.2">
      <c r="A380" s="163" t="str">
        <f t="shared" si="83"/>
        <v/>
      </c>
      <c r="B380" s="164">
        <v>0</v>
      </c>
      <c r="D380" s="379" t="s">
        <v>258</v>
      </c>
      <c r="E380" s="379"/>
      <c r="F380" s="379"/>
      <c r="G380" s="379"/>
      <c r="H380" s="379"/>
      <c r="I380" s="379"/>
      <c r="J380" s="379"/>
      <c r="K380" s="379"/>
      <c r="L380" s="379"/>
      <c r="M380" s="379"/>
      <c r="N380" s="379"/>
      <c r="O380" s="379"/>
      <c r="P380" s="379"/>
      <c r="Q380" s="379"/>
      <c r="R380" s="379"/>
      <c r="S380" s="379"/>
      <c r="T380" s="379"/>
      <c r="U380" s="379"/>
      <c r="V380" s="379"/>
      <c r="W380" s="379"/>
      <c r="X380" s="379"/>
      <c r="Y380" s="379"/>
      <c r="Z380" s="379"/>
      <c r="AB380" s="166" t="s">
        <v>259</v>
      </c>
      <c r="AD380" s="165" t="s">
        <v>260</v>
      </c>
      <c r="AE380" s="134"/>
      <c r="AF380" s="22"/>
      <c r="AG380" s="22"/>
      <c r="AI380" s="190">
        <v>1</v>
      </c>
    </row>
    <row r="381" spans="1:35" ht="15.75" hidden="1" customHeight="1" x14ac:dyDescent="0.2">
      <c r="A381" s="163"/>
      <c r="B381" s="164">
        <v>0</v>
      </c>
      <c r="D381" s="369" t="s">
        <v>261</v>
      </c>
      <c r="E381" s="369"/>
      <c r="F381" s="369"/>
      <c r="G381" s="369"/>
      <c r="H381" s="369"/>
      <c r="I381" s="369"/>
      <c r="J381" s="369"/>
      <c r="K381" s="369"/>
      <c r="L381" s="369"/>
      <c r="M381" s="369"/>
      <c r="N381" s="369"/>
      <c r="O381" s="369"/>
      <c r="P381" s="369"/>
      <c r="Q381" s="369"/>
      <c r="R381" s="369"/>
      <c r="S381" s="369"/>
      <c r="T381" s="369"/>
      <c r="U381" s="369"/>
      <c r="V381" s="369"/>
      <c r="W381" s="369"/>
      <c r="X381" s="369"/>
      <c r="Y381" s="369"/>
      <c r="Z381" s="369"/>
      <c r="AB381" s="166" t="s">
        <v>259</v>
      </c>
      <c r="AD381" s="165" t="s">
        <v>260</v>
      </c>
      <c r="AE381" s="134"/>
      <c r="AF381" s="22"/>
      <c r="AG381" s="22"/>
      <c r="AI381" s="190">
        <v>1</v>
      </c>
    </row>
    <row r="382" spans="1:35" ht="8.5" hidden="1" customHeight="1" x14ac:dyDescent="0.15">
      <c r="A382" s="163" t="str">
        <f>IF(AG382=1,"X","")</f>
        <v/>
      </c>
      <c r="B382" s="164">
        <f>IF(OR(D383="Show",Q383="Show"),1,0)</f>
        <v>0</v>
      </c>
      <c r="D382" s="368"/>
      <c r="E382" s="368"/>
      <c r="F382" s="368"/>
      <c r="G382" s="368"/>
      <c r="H382" s="368"/>
      <c r="I382" s="368"/>
      <c r="J382" s="368"/>
      <c r="K382" s="368"/>
      <c r="L382" s="368"/>
      <c r="M382" s="368"/>
      <c r="N382" s="368"/>
      <c r="O382" s="368"/>
      <c r="P382" s="368"/>
      <c r="Q382" s="368"/>
      <c r="R382" s="368"/>
      <c r="S382" s="368"/>
      <c r="T382" s="368"/>
      <c r="U382" s="368"/>
      <c r="V382" s="368"/>
      <c r="W382" s="368"/>
      <c r="X382" s="368"/>
      <c r="Y382" s="368"/>
      <c r="Z382" s="368"/>
      <c r="AD382" s="165" t="s">
        <v>227</v>
      </c>
      <c r="AE382" s="156"/>
      <c r="AF382" s="22"/>
      <c r="AG382" s="22"/>
      <c r="AI382" s="190">
        <v>1</v>
      </c>
    </row>
    <row r="383" spans="1:35" ht="18" hidden="1" customHeight="1" x14ac:dyDescent="0.2">
      <c r="A383" s="163" t="str">
        <f t="shared" ref="A383:A386" si="88">IF(AG383=1,"X","")</f>
        <v/>
      </c>
      <c r="B383" s="164">
        <v>0</v>
      </c>
      <c r="D383" s="370" t="s">
        <v>267</v>
      </c>
      <c r="E383" s="370"/>
      <c r="F383" s="370"/>
      <c r="G383" s="370"/>
      <c r="H383" s="370"/>
      <c r="I383" s="370"/>
      <c r="J383" s="370"/>
      <c r="K383" s="370"/>
      <c r="L383" s="370"/>
      <c r="M383" s="370"/>
      <c r="N383" s="370"/>
      <c r="O383" s="175"/>
      <c r="P383" s="175"/>
      <c r="Q383" s="370" t="s">
        <v>267</v>
      </c>
      <c r="R383" s="370"/>
      <c r="S383" s="370"/>
      <c r="T383" s="370"/>
      <c r="U383" s="370"/>
      <c r="V383" s="370"/>
      <c r="W383" s="370"/>
      <c r="X383" s="370"/>
      <c r="Y383" s="370"/>
      <c r="Z383" s="370"/>
      <c r="AA383" s="176"/>
      <c r="AB383" s="159" t="s">
        <v>262</v>
      </c>
      <c r="AD383" s="172" t="s">
        <v>249</v>
      </c>
      <c r="AE383" s="134"/>
      <c r="AF383" s="164">
        <f>IF(OR(D383="Show",D383="",Q383="Show",Q383=""),1,0)</f>
        <v>0</v>
      </c>
      <c r="AG383" s="164">
        <f>IF(AND(SUM(AF:AF)&gt;0,OR(D383="",Q383="")),1,0)</f>
        <v>0</v>
      </c>
      <c r="AI383" s="190">
        <v>1</v>
      </c>
    </row>
    <row r="384" spans="1:35" ht="197.25" hidden="1" customHeight="1" x14ac:dyDescent="0.2">
      <c r="A384" s="163" t="str">
        <f t="shared" si="88"/>
        <v/>
      </c>
      <c r="B384" s="164">
        <f>B382</f>
        <v>0</v>
      </c>
      <c r="D384" s="370"/>
      <c r="E384" s="370"/>
      <c r="F384" s="370"/>
      <c r="G384" s="370"/>
      <c r="H384" s="370"/>
      <c r="I384" s="370"/>
      <c r="J384" s="370"/>
      <c r="K384" s="370"/>
      <c r="L384" s="370"/>
      <c r="M384" s="370"/>
      <c r="N384" s="370"/>
      <c r="O384" s="175"/>
      <c r="P384" s="175"/>
      <c r="Q384" s="370"/>
      <c r="R384" s="370"/>
      <c r="S384" s="370"/>
      <c r="T384" s="370"/>
      <c r="U384" s="370"/>
      <c r="V384" s="370"/>
      <c r="W384" s="370"/>
      <c r="X384" s="370"/>
      <c r="Y384" s="370"/>
      <c r="Z384" s="370"/>
      <c r="AA384" s="176"/>
      <c r="AB384" s="159" t="s">
        <v>263</v>
      </c>
      <c r="AD384" s="172" t="s">
        <v>249</v>
      </c>
      <c r="AE384" s="167"/>
      <c r="AF384" s="22"/>
      <c r="AG384" s="22"/>
      <c r="AI384" s="190">
        <v>1</v>
      </c>
    </row>
    <row r="385" spans="1:35" ht="18" hidden="1" customHeight="1" x14ac:dyDescent="0.2">
      <c r="A385" s="163" t="str">
        <f t="shared" si="88"/>
        <v/>
      </c>
      <c r="B385" s="164">
        <f>B384</f>
        <v>0</v>
      </c>
      <c r="D385" s="371"/>
      <c r="E385" s="371"/>
      <c r="F385" s="371"/>
      <c r="G385" s="371"/>
      <c r="H385" s="371"/>
      <c r="I385" s="371"/>
      <c r="J385" s="371"/>
      <c r="K385" s="371"/>
      <c r="L385" s="371"/>
      <c r="M385" s="371"/>
      <c r="N385" s="371"/>
      <c r="O385" s="175"/>
      <c r="P385" s="175"/>
      <c r="Q385" s="371"/>
      <c r="R385" s="371"/>
      <c r="S385" s="371"/>
      <c r="T385" s="371"/>
      <c r="U385" s="371"/>
      <c r="V385" s="371"/>
      <c r="W385" s="371"/>
      <c r="X385" s="371"/>
      <c r="Y385" s="371"/>
      <c r="Z385" s="371"/>
      <c r="AA385" s="176"/>
      <c r="AB385" s="159" t="s">
        <v>264</v>
      </c>
      <c r="AD385" s="172" t="s">
        <v>249</v>
      </c>
      <c r="AE385" s="167"/>
      <c r="AF385" s="164">
        <f>IF(OR(D383="Show",D383="",Q383="Show",Q383=""),1,0)</f>
        <v>0</v>
      </c>
      <c r="AG385" s="164">
        <f>IF(AND(SUM(AF:AF)&gt;0,OR(AND(D383="Show",D385=""),AND(Q383="Show",Q385=""))),1,0)</f>
        <v>0</v>
      </c>
      <c r="AI385" s="190">
        <v>1</v>
      </c>
    </row>
    <row r="386" spans="1:35" ht="8.5" hidden="1" customHeight="1" x14ac:dyDescent="0.15">
      <c r="A386" s="163" t="str">
        <f t="shared" si="88"/>
        <v/>
      </c>
      <c r="B386" s="164">
        <f>B385</f>
        <v>0</v>
      </c>
      <c r="D386" s="368"/>
      <c r="E386" s="368"/>
      <c r="F386" s="368"/>
      <c r="G386" s="368"/>
      <c r="H386" s="368"/>
      <c r="I386" s="368"/>
      <c r="J386" s="368"/>
      <c r="K386" s="368"/>
      <c r="L386" s="368"/>
      <c r="M386" s="368"/>
      <c r="N386" s="368"/>
      <c r="O386" s="368"/>
      <c r="P386" s="368"/>
      <c r="Q386" s="368"/>
      <c r="R386" s="368"/>
      <c r="S386" s="368"/>
      <c r="T386" s="368"/>
      <c r="U386" s="368"/>
      <c r="V386" s="368"/>
      <c r="W386" s="368"/>
      <c r="X386" s="368"/>
      <c r="Y386" s="368"/>
      <c r="Z386" s="368"/>
      <c r="AA386" s="176"/>
      <c r="AD386" s="165" t="s">
        <v>227</v>
      </c>
      <c r="AE386" s="156"/>
      <c r="AF386" s="22"/>
      <c r="AG386" s="22"/>
      <c r="AI386" s="190">
        <v>1</v>
      </c>
    </row>
    <row r="387" spans="1:35" ht="15.75" hidden="1" customHeight="1" x14ac:dyDescent="0.2">
      <c r="A387" s="163"/>
      <c r="B387" s="164">
        <v>0</v>
      </c>
      <c r="D387" s="369" t="s">
        <v>265</v>
      </c>
      <c r="E387" s="369"/>
      <c r="F387" s="369"/>
      <c r="G387" s="369"/>
      <c r="H387" s="369"/>
      <c r="I387" s="369"/>
      <c r="J387" s="369"/>
      <c r="K387" s="369"/>
      <c r="L387" s="369"/>
      <c r="M387" s="369"/>
      <c r="N387" s="369"/>
      <c r="O387" s="369"/>
      <c r="P387" s="369"/>
      <c r="Q387" s="369"/>
      <c r="R387" s="369"/>
      <c r="S387" s="369"/>
      <c r="T387" s="369"/>
      <c r="U387" s="369"/>
      <c r="V387" s="369"/>
      <c r="W387" s="369"/>
      <c r="X387" s="369"/>
      <c r="Y387" s="369"/>
      <c r="Z387" s="369"/>
      <c r="AB387" s="166" t="s">
        <v>259</v>
      </c>
      <c r="AD387" s="165" t="s">
        <v>260</v>
      </c>
      <c r="AE387" s="134"/>
      <c r="AF387" s="22"/>
      <c r="AG387" s="22"/>
      <c r="AI387" s="190">
        <v>1</v>
      </c>
    </row>
    <row r="388" spans="1:35" ht="21" hidden="1" customHeight="1" x14ac:dyDescent="0.15">
      <c r="A388" s="163" t="str">
        <f t="shared" ref="A388:A400" si="89">IF(AG388=1,"X","")</f>
        <v/>
      </c>
      <c r="B388" s="164">
        <f>IF(Y$366="Yes",1,0)</f>
        <v>0</v>
      </c>
      <c r="D388" s="380" t="s">
        <v>0</v>
      </c>
      <c r="E388" s="380"/>
      <c r="F388" s="380"/>
      <c r="G388" s="380"/>
      <c r="H388" s="380"/>
      <c r="I388" s="380"/>
      <c r="J388" s="380"/>
      <c r="K388" s="380"/>
      <c r="L388" s="380"/>
      <c r="M388" s="380"/>
      <c r="N388" s="380"/>
      <c r="O388" s="380"/>
      <c r="P388" s="380"/>
      <c r="Q388" s="380"/>
      <c r="R388" s="380"/>
      <c r="S388" s="380"/>
      <c r="T388" s="380"/>
      <c r="U388" s="380"/>
      <c r="V388" s="380"/>
      <c r="W388" s="380"/>
      <c r="X388" s="380"/>
      <c r="Y388" s="380"/>
      <c r="Z388" s="380"/>
      <c r="AB388" s="166" t="s">
        <v>462</v>
      </c>
      <c r="AD388" s="165" t="s">
        <v>463</v>
      </c>
      <c r="AE388" s="134"/>
      <c r="AF388" s="22"/>
      <c r="AG388" s="22"/>
      <c r="AI388" s="190">
        <v>1</v>
      </c>
    </row>
    <row r="389" spans="1:35" s="180" customFormat="1" ht="18" hidden="1" customHeight="1" x14ac:dyDescent="0.2">
      <c r="A389" s="163" t="str">
        <f t="shared" si="89"/>
        <v/>
      </c>
      <c r="B389" s="170"/>
      <c r="C389" s="152"/>
      <c r="D389" s="378" t="s">
        <v>399</v>
      </c>
      <c r="E389" s="378"/>
      <c r="F389" s="378"/>
      <c r="G389" s="378"/>
      <c r="H389" s="378"/>
      <c r="I389" s="378"/>
      <c r="J389" s="378"/>
      <c r="K389" s="378"/>
      <c r="L389" s="378"/>
      <c r="M389" s="378"/>
      <c r="N389" s="378"/>
      <c r="O389" s="378"/>
      <c r="P389" s="378"/>
      <c r="Q389" s="378"/>
      <c r="R389" s="378"/>
      <c r="S389" s="378"/>
      <c r="T389" s="378"/>
      <c r="U389" s="378"/>
      <c r="V389" s="378"/>
      <c r="W389" s="378"/>
      <c r="X389" s="378"/>
      <c r="Y389" s="378"/>
      <c r="Z389" s="378"/>
      <c r="AA389" s="169"/>
      <c r="AB389" s="159" t="s">
        <v>281</v>
      </c>
      <c r="AD389" s="172" t="s">
        <v>249</v>
      </c>
      <c r="AE389" s="167"/>
      <c r="AF389" s="164">
        <f t="shared" ref="AF389:AF395" si="90">IF(B389&lt;&gt;"",1,0)</f>
        <v>0</v>
      </c>
      <c r="AG389" s="164">
        <f>IF(AND(SUM(AF:AF)&gt;0,OR(AND(B389="",Y366="Yes"),AND(B389=1,Y366="No"))),1,0)</f>
        <v>0</v>
      </c>
      <c r="AI389" s="190">
        <v>1</v>
      </c>
    </row>
    <row r="390" spans="1:35" s="180" customFormat="1" ht="18" hidden="1" customHeight="1" x14ac:dyDescent="0.2">
      <c r="A390" s="163" t="str">
        <f t="shared" si="89"/>
        <v/>
      </c>
      <c r="B390" s="170"/>
      <c r="C390" s="152"/>
      <c r="D390" s="378" t="s">
        <v>400</v>
      </c>
      <c r="E390" s="378"/>
      <c r="F390" s="378"/>
      <c r="G390" s="378"/>
      <c r="H390" s="378"/>
      <c r="I390" s="378"/>
      <c r="J390" s="378"/>
      <c r="K390" s="378"/>
      <c r="L390" s="378"/>
      <c r="M390" s="378"/>
      <c r="N390" s="378"/>
      <c r="O390" s="378"/>
      <c r="P390" s="378"/>
      <c r="Q390" s="378"/>
      <c r="R390" s="378"/>
      <c r="S390" s="378"/>
      <c r="T390" s="378"/>
      <c r="U390" s="378"/>
      <c r="V390" s="378"/>
      <c r="W390" s="378"/>
      <c r="X390" s="378"/>
      <c r="Y390" s="378"/>
      <c r="Z390" s="378"/>
      <c r="AA390" s="169"/>
      <c r="AB390" s="159" t="s">
        <v>281</v>
      </c>
      <c r="AD390" s="172" t="s">
        <v>249</v>
      </c>
      <c r="AE390" s="167"/>
      <c r="AF390" s="164">
        <f t="shared" si="90"/>
        <v>0</v>
      </c>
      <c r="AG390" s="164">
        <f>IF(AND(SUM(AF:AF)&gt;0,OR(AND(B390="",Y366="Yes"),AND(B390=1,Y366="No"))),1,0)</f>
        <v>0</v>
      </c>
      <c r="AI390" s="190">
        <v>1</v>
      </c>
    </row>
    <row r="391" spans="1:35" s="180" customFormat="1" ht="18" hidden="1" customHeight="1" x14ac:dyDescent="0.2">
      <c r="A391" s="163" t="str">
        <f t="shared" si="89"/>
        <v/>
      </c>
      <c r="B391" s="170"/>
      <c r="C391" s="152"/>
      <c r="D391" s="179" t="s">
        <v>252</v>
      </c>
      <c r="E391" s="378" t="s">
        <v>317</v>
      </c>
      <c r="F391" s="378"/>
      <c r="G391" s="378"/>
      <c r="H391" s="378"/>
      <c r="I391" s="378"/>
      <c r="J391" s="378"/>
      <c r="K391" s="378"/>
      <c r="L391" s="378"/>
      <c r="M391" s="378"/>
      <c r="N391" s="378"/>
      <c r="O391" s="378"/>
      <c r="P391" s="378"/>
      <c r="Q391" s="378"/>
      <c r="R391" s="378"/>
      <c r="S391" s="378"/>
      <c r="T391" s="378"/>
      <c r="U391" s="378"/>
      <c r="V391" s="378"/>
      <c r="W391" s="378"/>
      <c r="X391" s="378"/>
      <c r="Y391" s="378"/>
      <c r="Z391" s="378"/>
      <c r="AA391" s="169"/>
      <c r="AB391" s="159" t="s">
        <v>281</v>
      </c>
      <c r="AD391" s="172" t="s">
        <v>249</v>
      </c>
      <c r="AE391" s="167"/>
      <c r="AF391" s="164">
        <f t="shared" si="90"/>
        <v>0</v>
      </c>
      <c r="AG391" s="164">
        <f>IF(AND(SUM(AF:AF)&gt;0,OR(AND(B391="",Y366="Yes"),AND(B391=1,Y366="No"))),1,0)</f>
        <v>0</v>
      </c>
      <c r="AI391" s="190">
        <v>1</v>
      </c>
    </row>
    <row r="392" spans="1:35" s="180" customFormat="1" ht="18" hidden="1" customHeight="1" x14ac:dyDescent="0.2">
      <c r="A392" s="163" t="str">
        <f t="shared" si="89"/>
        <v/>
      </c>
      <c r="B392" s="170"/>
      <c r="C392" s="152"/>
      <c r="D392" s="179" t="s">
        <v>252</v>
      </c>
      <c r="E392" s="378" t="s">
        <v>318</v>
      </c>
      <c r="F392" s="378"/>
      <c r="G392" s="378"/>
      <c r="H392" s="378"/>
      <c r="I392" s="378"/>
      <c r="J392" s="378"/>
      <c r="K392" s="378"/>
      <c r="L392" s="378"/>
      <c r="M392" s="378"/>
      <c r="N392" s="378"/>
      <c r="O392" s="378"/>
      <c r="P392" s="378"/>
      <c r="Q392" s="378"/>
      <c r="R392" s="378"/>
      <c r="S392" s="378"/>
      <c r="T392" s="378"/>
      <c r="U392" s="378"/>
      <c r="V392" s="378"/>
      <c r="W392" s="378"/>
      <c r="X392" s="378"/>
      <c r="Y392" s="378"/>
      <c r="Z392" s="378"/>
      <c r="AA392" s="169"/>
      <c r="AB392" s="159" t="s">
        <v>281</v>
      </c>
      <c r="AD392" s="172" t="s">
        <v>249</v>
      </c>
      <c r="AE392" s="167"/>
      <c r="AF392" s="164">
        <f t="shared" si="90"/>
        <v>0</v>
      </c>
      <c r="AG392" s="164">
        <f>IF(AND(SUM(AF:AF)&gt;0,OR(AND(B392="",Y366="Yes"),AND(B392=1,Y366="No"))),1,0)</f>
        <v>0</v>
      </c>
      <c r="AI392" s="190">
        <v>1</v>
      </c>
    </row>
    <row r="393" spans="1:35" s="180" customFormat="1" ht="18" hidden="1" customHeight="1" x14ac:dyDescent="0.2">
      <c r="A393" s="163" t="str">
        <f t="shared" si="89"/>
        <v/>
      </c>
      <c r="B393" s="170"/>
      <c r="C393" s="152"/>
      <c r="D393" s="179" t="s">
        <v>252</v>
      </c>
      <c r="E393" s="378" t="s">
        <v>405</v>
      </c>
      <c r="F393" s="378"/>
      <c r="G393" s="378"/>
      <c r="H393" s="378"/>
      <c r="I393" s="378"/>
      <c r="J393" s="378"/>
      <c r="K393" s="378"/>
      <c r="L393" s="378"/>
      <c r="M393" s="378"/>
      <c r="N393" s="378"/>
      <c r="O393" s="378"/>
      <c r="P393" s="378"/>
      <c r="Q393" s="378"/>
      <c r="R393" s="378"/>
      <c r="S393" s="378"/>
      <c r="T393" s="378"/>
      <c r="U393" s="378"/>
      <c r="V393" s="378"/>
      <c r="W393" s="378"/>
      <c r="X393" s="378"/>
      <c r="Y393" s="378"/>
      <c r="Z393" s="378"/>
      <c r="AA393" s="169"/>
      <c r="AB393" s="159" t="s">
        <v>281</v>
      </c>
      <c r="AD393" s="172" t="s">
        <v>249</v>
      </c>
      <c r="AE393" s="167"/>
      <c r="AF393" s="164">
        <f t="shared" si="90"/>
        <v>0</v>
      </c>
      <c r="AG393" s="164">
        <f>IF(AND(SUM(AF:AF)&gt;0,OR(AND(B393="",Y366="Yes"),AND(B393=1,Y366="No"))),1,0)</f>
        <v>0</v>
      </c>
      <c r="AI393" s="190">
        <v>1</v>
      </c>
    </row>
    <row r="394" spans="1:35" s="180" customFormat="1" ht="18" hidden="1" customHeight="1" x14ac:dyDescent="0.2">
      <c r="A394" s="163" t="str">
        <f t="shared" si="89"/>
        <v/>
      </c>
      <c r="B394" s="170"/>
      <c r="C394" s="152"/>
      <c r="D394" s="179" t="s">
        <v>252</v>
      </c>
      <c r="E394" s="378" t="s">
        <v>396</v>
      </c>
      <c r="F394" s="378"/>
      <c r="G394" s="378"/>
      <c r="H394" s="378"/>
      <c r="I394" s="378"/>
      <c r="J394" s="378"/>
      <c r="K394" s="378"/>
      <c r="L394" s="378"/>
      <c r="M394" s="378"/>
      <c r="N394" s="378"/>
      <c r="O394" s="378"/>
      <c r="P394" s="378"/>
      <c r="Q394" s="378"/>
      <c r="R394" s="378"/>
      <c r="S394" s="378"/>
      <c r="T394" s="378"/>
      <c r="U394" s="378"/>
      <c r="V394" s="378"/>
      <c r="W394" s="378"/>
      <c r="X394" s="378"/>
      <c r="Y394" s="378"/>
      <c r="Z394" s="378"/>
      <c r="AA394" s="169"/>
      <c r="AB394" s="159" t="s">
        <v>281</v>
      </c>
      <c r="AD394" s="172" t="s">
        <v>249</v>
      </c>
      <c r="AE394" s="167"/>
      <c r="AF394" s="164">
        <f t="shared" si="90"/>
        <v>0</v>
      </c>
      <c r="AG394" s="164">
        <f>IF(AND(SUM(AF:AF)&gt;0,OR(AND(B394="",Y366="Yes"),AND(B394=1,Y366="No"))),1,0)</f>
        <v>0</v>
      </c>
      <c r="AI394" s="190">
        <v>1</v>
      </c>
    </row>
    <row r="395" spans="1:35" s="180" customFormat="1" ht="18" hidden="1" customHeight="1" x14ac:dyDescent="0.2">
      <c r="A395" s="163" t="str">
        <f t="shared" si="89"/>
        <v/>
      </c>
      <c r="B395" s="170"/>
      <c r="C395" s="152"/>
      <c r="D395" s="179" t="s">
        <v>252</v>
      </c>
      <c r="E395" s="378" t="s">
        <v>319</v>
      </c>
      <c r="F395" s="378"/>
      <c r="G395" s="378"/>
      <c r="H395" s="378"/>
      <c r="I395" s="378"/>
      <c r="J395" s="378"/>
      <c r="K395" s="378"/>
      <c r="L395" s="378"/>
      <c r="M395" s="378"/>
      <c r="N395" s="378"/>
      <c r="O395" s="378"/>
      <c r="P395" s="378"/>
      <c r="Q395" s="378"/>
      <c r="R395" s="378"/>
      <c r="S395" s="378"/>
      <c r="T395" s="378"/>
      <c r="U395" s="378"/>
      <c r="V395" s="378"/>
      <c r="W395" s="378"/>
      <c r="X395" s="378"/>
      <c r="Y395" s="378"/>
      <c r="Z395" s="378"/>
      <c r="AA395" s="169"/>
      <c r="AB395" s="159" t="s">
        <v>281</v>
      </c>
      <c r="AD395" s="172" t="s">
        <v>249</v>
      </c>
      <c r="AE395" s="167"/>
      <c r="AF395" s="164">
        <f t="shared" si="90"/>
        <v>0</v>
      </c>
      <c r="AG395" s="164">
        <f>IF(AND(SUM(AF:AF)&gt;0,OR(AND(B395="",Y366="Yes"),AND(B395=1,Y366="No"))),1,0)</f>
        <v>0</v>
      </c>
      <c r="AI395" s="190">
        <v>1</v>
      </c>
    </row>
    <row r="396" spans="1:35" s="180" customFormat="1" ht="18.5" hidden="1" customHeight="1" x14ac:dyDescent="0.2">
      <c r="A396" s="163" t="str">
        <f t="shared" si="89"/>
        <v/>
      </c>
      <c r="B396" s="164">
        <v>0</v>
      </c>
      <c r="C396" s="152"/>
      <c r="D396" s="179" t="s">
        <v>252</v>
      </c>
      <c r="E396" s="378" t="s">
        <v>312</v>
      </c>
      <c r="F396" s="378"/>
      <c r="G396" s="378"/>
      <c r="H396" s="378"/>
      <c r="I396" s="378"/>
      <c r="J396" s="378"/>
      <c r="K396" s="378"/>
      <c r="L396" s="378"/>
      <c r="M396" s="378"/>
      <c r="N396" s="378"/>
      <c r="O396" s="378"/>
      <c r="P396" s="378"/>
      <c r="Q396" s="378"/>
      <c r="R396" s="378"/>
      <c r="S396" s="378"/>
      <c r="T396" s="378"/>
      <c r="U396" s="378"/>
      <c r="V396" s="378"/>
      <c r="W396" s="378"/>
      <c r="X396" s="378"/>
      <c r="Y396" s="378"/>
      <c r="Z396" s="378"/>
      <c r="AA396" s="168"/>
      <c r="AB396" s="166" t="s">
        <v>259</v>
      </c>
      <c r="AD396" s="165" t="s">
        <v>260</v>
      </c>
      <c r="AE396" s="134"/>
      <c r="AF396" s="22"/>
      <c r="AG396" s="22"/>
      <c r="AI396" s="190">
        <v>1</v>
      </c>
    </row>
    <row r="397" spans="1:35" s="180" customFormat="1" ht="18" hidden="1" customHeight="1" x14ac:dyDescent="0.2">
      <c r="A397" s="163" t="str">
        <f t="shared" si="89"/>
        <v/>
      </c>
      <c r="B397" s="170"/>
      <c r="C397" s="152"/>
      <c r="D397" s="179" t="s">
        <v>252</v>
      </c>
      <c r="E397" s="386"/>
      <c r="F397" s="386"/>
      <c r="G397" s="386"/>
      <c r="H397" s="386"/>
      <c r="I397" s="386"/>
      <c r="J397" s="386"/>
      <c r="K397" s="386"/>
      <c r="L397" s="386"/>
      <c r="M397" s="386"/>
      <c r="N397" s="386"/>
      <c r="O397" s="386"/>
      <c r="P397" s="386"/>
      <c r="Q397" s="386"/>
      <c r="R397" s="386"/>
      <c r="S397" s="386"/>
      <c r="T397" s="386"/>
      <c r="U397" s="386"/>
      <c r="V397" s="386"/>
      <c r="W397" s="386"/>
      <c r="X397" s="386"/>
      <c r="Y397" s="386"/>
      <c r="Z397" s="386"/>
      <c r="AA397" s="169"/>
      <c r="AB397" s="159" t="s">
        <v>281</v>
      </c>
      <c r="AD397" s="172" t="s">
        <v>249</v>
      </c>
      <c r="AE397" s="167"/>
      <c r="AF397" s="164">
        <f t="shared" ref="AF397:AF399" si="91">IF(B397&lt;&gt;"",1,0)</f>
        <v>0</v>
      </c>
      <c r="AG397" s="164">
        <f>IF(AND(SUM(AF:AF)&gt;0,OR(AND(B397=1,Y366="No"),AND(B397=1,E397="",Y366="Yes"),AND(B397="",E397="",Y366="Yes"),AND(B397="",E397&lt;&gt;"",Y366="Yes"),AND(B397=0,E397&lt;&gt;"",Y366="Yes"))),1,0)</f>
        <v>0</v>
      </c>
      <c r="AI397" s="190">
        <v>1</v>
      </c>
    </row>
    <row r="398" spans="1:35" s="180" customFormat="1" ht="18" hidden="1" customHeight="1" x14ac:dyDescent="0.2">
      <c r="A398" s="163" t="str">
        <f t="shared" si="89"/>
        <v/>
      </c>
      <c r="B398" s="170"/>
      <c r="C398" s="152"/>
      <c r="D398" s="179" t="s">
        <v>252</v>
      </c>
      <c r="E398" s="386"/>
      <c r="F398" s="386"/>
      <c r="G398" s="386"/>
      <c r="H398" s="386"/>
      <c r="I398" s="386"/>
      <c r="J398" s="386"/>
      <c r="K398" s="386"/>
      <c r="L398" s="386"/>
      <c r="M398" s="386"/>
      <c r="N398" s="386"/>
      <c r="O398" s="386"/>
      <c r="P398" s="386"/>
      <c r="Q398" s="386"/>
      <c r="R398" s="386"/>
      <c r="S398" s="386"/>
      <c r="T398" s="386"/>
      <c r="U398" s="386"/>
      <c r="V398" s="386"/>
      <c r="W398" s="386"/>
      <c r="X398" s="386"/>
      <c r="Y398" s="386"/>
      <c r="Z398" s="386"/>
      <c r="AA398" s="169"/>
      <c r="AB398" s="159" t="s">
        <v>281</v>
      </c>
      <c r="AD398" s="172" t="s">
        <v>249</v>
      </c>
      <c r="AE398" s="167"/>
      <c r="AF398" s="164">
        <f t="shared" si="91"/>
        <v>0</v>
      </c>
      <c r="AG398" s="164">
        <f>IF(AND(SUM(AF:AF)&gt;0,OR(AND(B398=1,Y366="No"),AND(B398=1,E398="",Y366="Yes"),AND(B398="",E398="",Y366="Yes"),AND(B398="",E398&lt;&gt;"",Y366="Yes"),AND(B398=0,E398&lt;&gt;"",Y366="Yes"))),1,0)</f>
        <v>0</v>
      </c>
      <c r="AI398" s="190">
        <v>1</v>
      </c>
    </row>
    <row r="399" spans="1:35" s="180" customFormat="1" ht="18" hidden="1" customHeight="1" x14ac:dyDescent="0.2">
      <c r="A399" s="163" t="str">
        <f t="shared" si="89"/>
        <v/>
      </c>
      <c r="B399" s="170"/>
      <c r="C399" s="152"/>
      <c r="D399" s="179" t="s">
        <v>252</v>
      </c>
      <c r="E399" s="386"/>
      <c r="F399" s="386"/>
      <c r="G399" s="386"/>
      <c r="H399" s="386"/>
      <c r="I399" s="386"/>
      <c r="J399" s="386"/>
      <c r="K399" s="386"/>
      <c r="L399" s="386"/>
      <c r="M399" s="386"/>
      <c r="N399" s="386"/>
      <c r="O399" s="386"/>
      <c r="P399" s="386"/>
      <c r="Q399" s="386"/>
      <c r="R399" s="386"/>
      <c r="S399" s="386"/>
      <c r="T399" s="386"/>
      <c r="U399" s="386"/>
      <c r="V399" s="386"/>
      <c r="W399" s="386"/>
      <c r="X399" s="386"/>
      <c r="Y399" s="386"/>
      <c r="Z399" s="386"/>
      <c r="AA399" s="169"/>
      <c r="AB399" s="159" t="s">
        <v>281</v>
      </c>
      <c r="AD399" s="172" t="s">
        <v>249</v>
      </c>
      <c r="AE399" s="167"/>
      <c r="AF399" s="164">
        <f t="shared" si="91"/>
        <v>0</v>
      </c>
      <c r="AG399" s="164">
        <f>IF(AND(SUM(AF:AF)&gt;0,OR(AND(B399=1,Y366="No"),AND(B399=1,E399="",Y366="Yes"),AND(B399="",E399="",Y366="Yes"),AND(B399="",E399&lt;&gt;"",Y366="Yes"),AND(B399=0,E399&lt;&gt;"",Y366="Yes"))),1,0)</f>
        <v>0</v>
      </c>
      <c r="AI399" s="190">
        <v>1</v>
      </c>
    </row>
    <row r="400" spans="1:35" ht="21" hidden="1" customHeight="1" x14ac:dyDescent="0.2">
      <c r="A400" s="163" t="str">
        <f t="shared" si="89"/>
        <v/>
      </c>
      <c r="B400" s="164">
        <v>0</v>
      </c>
      <c r="D400" s="379" t="s">
        <v>258</v>
      </c>
      <c r="E400" s="379"/>
      <c r="F400" s="379"/>
      <c r="G400" s="379"/>
      <c r="H400" s="379"/>
      <c r="I400" s="379"/>
      <c r="J400" s="379"/>
      <c r="K400" s="379"/>
      <c r="L400" s="379"/>
      <c r="M400" s="379"/>
      <c r="N400" s="379"/>
      <c r="O400" s="379"/>
      <c r="P400" s="379"/>
      <c r="Q400" s="379"/>
      <c r="R400" s="379"/>
      <c r="S400" s="379"/>
      <c r="T400" s="379"/>
      <c r="U400" s="379"/>
      <c r="V400" s="379"/>
      <c r="W400" s="379"/>
      <c r="X400" s="379"/>
      <c r="Y400" s="379"/>
      <c r="Z400" s="379"/>
      <c r="AB400" s="166" t="s">
        <v>259</v>
      </c>
      <c r="AD400" s="165" t="s">
        <v>260</v>
      </c>
      <c r="AE400" s="134"/>
      <c r="AF400" s="22"/>
      <c r="AG400" s="22"/>
      <c r="AI400" s="190">
        <v>1</v>
      </c>
    </row>
    <row r="401" spans="1:35" ht="15.75" hidden="1" customHeight="1" x14ac:dyDescent="0.2">
      <c r="A401" s="163"/>
      <c r="B401" s="164">
        <v>0</v>
      </c>
      <c r="D401" s="369" t="s">
        <v>261</v>
      </c>
      <c r="E401" s="369"/>
      <c r="F401" s="369"/>
      <c r="G401" s="369"/>
      <c r="H401" s="369"/>
      <c r="I401" s="369"/>
      <c r="J401" s="369"/>
      <c r="K401" s="369"/>
      <c r="L401" s="369"/>
      <c r="M401" s="369"/>
      <c r="N401" s="369"/>
      <c r="O401" s="369"/>
      <c r="P401" s="369"/>
      <c r="Q401" s="369"/>
      <c r="R401" s="369"/>
      <c r="S401" s="369"/>
      <c r="T401" s="369"/>
      <c r="U401" s="369"/>
      <c r="V401" s="369"/>
      <c r="W401" s="369"/>
      <c r="X401" s="369"/>
      <c r="Y401" s="369"/>
      <c r="Z401" s="369"/>
      <c r="AB401" s="166" t="s">
        <v>259</v>
      </c>
      <c r="AD401" s="165" t="s">
        <v>260</v>
      </c>
      <c r="AE401" s="134"/>
      <c r="AF401" s="22"/>
      <c r="AG401" s="22"/>
      <c r="AI401" s="190">
        <v>1</v>
      </c>
    </row>
    <row r="402" spans="1:35" ht="8.5" hidden="1" customHeight="1" x14ac:dyDescent="0.15">
      <c r="A402" s="163" t="str">
        <f>IF(AG402=1,"X","")</f>
        <v/>
      </c>
      <c r="B402" s="164">
        <f>IF(OR(D403="Show",Q403="Show"),1,0)</f>
        <v>0</v>
      </c>
      <c r="D402" s="368"/>
      <c r="E402" s="368"/>
      <c r="F402" s="368"/>
      <c r="G402" s="368"/>
      <c r="H402" s="368"/>
      <c r="I402" s="368"/>
      <c r="J402" s="368"/>
      <c r="K402" s="368"/>
      <c r="L402" s="368"/>
      <c r="M402" s="368"/>
      <c r="N402" s="368"/>
      <c r="O402" s="368"/>
      <c r="P402" s="368"/>
      <c r="Q402" s="368"/>
      <c r="R402" s="368"/>
      <c r="S402" s="368"/>
      <c r="T402" s="368"/>
      <c r="U402" s="368"/>
      <c r="V402" s="368"/>
      <c r="W402" s="368"/>
      <c r="X402" s="368"/>
      <c r="Y402" s="368"/>
      <c r="Z402" s="368"/>
      <c r="AD402" s="165" t="s">
        <v>227</v>
      </c>
      <c r="AE402" s="156"/>
      <c r="AF402" s="22"/>
      <c r="AG402" s="22"/>
      <c r="AI402" s="190">
        <v>1</v>
      </c>
    </row>
    <row r="403" spans="1:35" ht="18" hidden="1" customHeight="1" x14ac:dyDescent="0.2">
      <c r="A403" s="163" t="str">
        <f t="shared" ref="A403:A406" si="92">IF(AG403=1,"X","")</f>
        <v/>
      </c>
      <c r="B403" s="164">
        <v>0</v>
      </c>
      <c r="D403" s="370" t="s">
        <v>267</v>
      </c>
      <c r="E403" s="370"/>
      <c r="F403" s="370"/>
      <c r="G403" s="370"/>
      <c r="H403" s="370"/>
      <c r="I403" s="370"/>
      <c r="J403" s="370"/>
      <c r="K403" s="370"/>
      <c r="L403" s="370"/>
      <c r="M403" s="370"/>
      <c r="N403" s="370"/>
      <c r="O403" s="175"/>
      <c r="P403" s="175"/>
      <c r="Q403" s="370" t="s">
        <v>267</v>
      </c>
      <c r="R403" s="370"/>
      <c r="S403" s="370"/>
      <c r="T403" s="370"/>
      <c r="U403" s="370"/>
      <c r="V403" s="370"/>
      <c r="W403" s="370"/>
      <c r="X403" s="370"/>
      <c r="Y403" s="370"/>
      <c r="Z403" s="370"/>
      <c r="AA403" s="176"/>
      <c r="AB403" s="159" t="s">
        <v>262</v>
      </c>
      <c r="AD403" s="172" t="s">
        <v>249</v>
      </c>
      <c r="AE403" s="134"/>
      <c r="AF403" s="164">
        <f>IF(OR(D403="Show",D403="",Q403="Show",Q403=""),1,0)</f>
        <v>0</v>
      </c>
      <c r="AG403" s="164">
        <f>IF(AND(SUM(AF:AF)&gt;0,OR(D403="",Q403="")),1,0)</f>
        <v>0</v>
      </c>
      <c r="AI403" s="190">
        <v>1</v>
      </c>
    </row>
    <row r="404" spans="1:35" ht="197.25" hidden="1" customHeight="1" x14ac:dyDescent="0.2">
      <c r="A404" s="163" t="str">
        <f t="shared" si="92"/>
        <v/>
      </c>
      <c r="B404" s="164">
        <f>B402</f>
        <v>0</v>
      </c>
      <c r="D404" s="370"/>
      <c r="E404" s="370"/>
      <c r="F404" s="370"/>
      <c r="G404" s="370"/>
      <c r="H404" s="370"/>
      <c r="I404" s="370"/>
      <c r="J404" s="370"/>
      <c r="K404" s="370"/>
      <c r="L404" s="370"/>
      <c r="M404" s="370"/>
      <c r="N404" s="370"/>
      <c r="O404" s="175"/>
      <c r="P404" s="175"/>
      <c r="Q404" s="370"/>
      <c r="R404" s="370"/>
      <c r="S404" s="370"/>
      <c r="T404" s="370"/>
      <c r="U404" s="370"/>
      <c r="V404" s="370"/>
      <c r="W404" s="370"/>
      <c r="X404" s="370"/>
      <c r="Y404" s="370"/>
      <c r="Z404" s="370"/>
      <c r="AA404" s="176"/>
      <c r="AB404" s="159" t="s">
        <v>263</v>
      </c>
      <c r="AD404" s="172" t="s">
        <v>249</v>
      </c>
      <c r="AE404" s="167"/>
      <c r="AF404" s="22"/>
      <c r="AG404" s="22"/>
      <c r="AI404" s="190">
        <v>1</v>
      </c>
    </row>
    <row r="405" spans="1:35" ht="18" hidden="1" customHeight="1" x14ac:dyDescent="0.2">
      <c r="A405" s="163" t="str">
        <f t="shared" si="92"/>
        <v/>
      </c>
      <c r="B405" s="164">
        <f>B404</f>
        <v>0</v>
      </c>
      <c r="D405" s="371"/>
      <c r="E405" s="371"/>
      <c r="F405" s="371"/>
      <c r="G405" s="371"/>
      <c r="H405" s="371"/>
      <c r="I405" s="371"/>
      <c r="J405" s="371"/>
      <c r="K405" s="371"/>
      <c r="L405" s="371"/>
      <c r="M405" s="371"/>
      <c r="N405" s="371"/>
      <c r="O405" s="175"/>
      <c r="P405" s="175"/>
      <c r="Q405" s="371"/>
      <c r="R405" s="371"/>
      <c r="S405" s="371"/>
      <c r="T405" s="371"/>
      <c r="U405" s="371"/>
      <c r="V405" s="371"/>
      <c r="W405" s="371"/>
      <c r="X405" s="371"/>
      <c r="Y405" s="371"/>
      <c r="Z405" s="371"/>
      <c r="AA405" s="176"/>
      <c r="AB405" s="159" t="s">
        <v>264</v>
      </c>
      <c r="AD405" s="172" t="s">
        <v>249</v>
      </c>
      <c r="AE405" s="167"/>
      <c r="AF405" s="164">
        <f>IF(OR(D403="Show",D403="",Q403="Show",Q403=""),1,0)</f>
        <v>0</v>
      </c>
      <c r="AG405" s="164">
        <f>IF(AND(SUM(AF:AF)&gt;0,OR(AND(D403="Show",D405=""),AND(Q403="Show",Q405=""))),1,0)</f>
        <v>0</v>
      </c>
      <c r="AI405" s="190">
        <v>1</v>
      </c>
    </row>
    <row r="406" spans="1:35" ht="8.5" hidden="1" customHeight="1" x14ac:dyDescent="0.15">
      <c r="A406" s="163" t="str">
        <f t="shared" si="92"/>
        <v/>
      </c>
      <c r="B406" s="164">
        <f>B405</f>
        <v>0</v>
      </c>
      <c r="D406" s="368"/>
      <c r="E406" s="368"/>
      <c r="F406" s="368"/>
      <c r="G406" s="368"/>
      <c r="H406" s="368"/>
      <c r="I406" s="368"/>
      <c r="J406" s="368"/>
      <c r="K406" s="368"/>
      <c r="L406" s="368"/>
      <c r="M406" s="368"/>
      <c r="N406" s="368"/>
      <c r="O406" s="368"/>
      <c r="P406" s="368"/>
      <c r="Q406" s="368"/>
      <c r="R406" s="368"/>
      <c r="S406" s="368"/>
      <c r="T406" s="368"/>
      <c r="U406" s="368"/>
      <c r="V406" s="368"/>
      <c r="W406" s="368"/>
      <c r="X406" s="368"/>
      <c r="Y406" s="368"/>
      <c r="Z406" s="368"/>
      <c r="AA406" s="176"/>
      <c r="AD406" s="165" t="s">
        <v>227</v>
      </c>
      <c r="AE406" s="156"/>
      <c r="AF406" s="22"/>
      <c r="AG406" s="22"/>
      <c r="AI406" s="190">
        <v>1</v>
      </c>
    </row>
    <row r="407" spans="1:35" ht="15.75" hidden="1" customHeight="1" x14ac:dyDescent="0.2">
      <c r="A407" s="163"/>
      <c r="B407" s="164">
        <v>0</v>
      </c>
      <c r="D407" s="369" t="s">
        <v>265</v>
      </c>
      <c r="E407" s="369"/>
      <c r="F407" s="369"/>
      <c r="G407" s="369"/>
      <c r="H407" s="369"/>
      <c r="I407" s="369"/>
      <c r="J407" s="369"/>
      <c r="K407" s="369"/>
      <c r="L407" s="369"/>
      <c r="M407" s="369"/>
      <c r="N407" s="369"/>
      <c r="O407" s="369"/>
      <c r="P407" s="369"/>
      <c r="Q407" s="369"/>
      <c r="R407" s="369"/>
      <c r="S407" s="369"/>
      <c r="T407" s="369"/>
      <c r="U407" s="369"/>
      <c r="V407" s="369"/>
      <c r="W407" s="369"/>
      <c r="X407" s="369"/>
      <c r="Y407" s="369"/>
      <c r="Z407" s="369"/>
      <c r="AB407" s="166" t="s">
        <v>259</v>
      </c>
      <c r="AD407" s="165" t="s">
        <v>260</v>
      </c>
      <c r="AE407" s="134"/>
      <c r="AF407" s="22"/>
      <c r="AG407" s="22"/>
      <c r="AI407" s="190">
        <v>1</v>
      </c>
    </row>
    <row r="408" spans="1:35" ht="21" hidden="1" customHeight="1" x14ac:dyDescent="0.15">
      <c r="A408" s="163" t="str">
        <f t="shared" ref="A408:A418" si="93">IF(AG408=1,"X","")</f>
        <v/>
      </c>
      <c r="B408" s="164">
        <f>IF(Y$366="Yes",1,0)</f>
        <v>0</v>
      </c>
      <c r="D408" s="380" t="s">
        <v>314</v>
      </c>
      <c r="E408" s="380"/>
      <c r="F408" s="380"/>
      <c r="G408" s="380"/>
      <c r="H408" s="380"/>
      <c r="I408" s="380"/>
      <c r="J408" s="380"/>
      <c r="K408" s="380"/>
      <c r="L408" s="380"/>
      <c r="M408" s="380"/>
      <c r="N408" s="380"/>
      <c r="O408" s="380"/>
      <c r="P408" s="380"/>
      <c r="Q408" s="380"/>
      <c r="R408" s="380"/>
      <c r="S408" s="380"/>
      <c r="T408" s="380"/>
      <c r="U408" s="380"/>
      <c r="V408" s="380"/>
      <c r="W408" s="380"/>
      <c r="X408" s="380"/>
      <c r="Y408" s="380"/>
      <c r="Z408" s="380"/>
      <c r="AB408" s="166" t="s">
        <v>462</v>
      </c>
      <c r="AD408" s="165" t="s">
        <v>463</v>
      </c>
      <c r="AE408" s="134"/>
      <c r="AF408" s="22"/>
      <c r="AG408" s="22"/>
      <c r="AI408" s="190">
        <v>1</v>
      </c>
    </row>
    <row r="409" spans="1:35" s="180" customFormat="1" ht="18" hidden="1" customHeight="1" x14ac:dyDescent="0.2">
      <c r="A409" s="163" t="str">
        <f t="shared" si="93"/>
        <v/>
      </c>
      <c r="B409" s="170"/>
      <c r="C409" s="152"/>
      <c r="D409" s="378" t="s">
        <v>401</v>
      </c>
      <c r="E409" s="378"/>
      <c r="F409" s="378"/>
      <c r="G409" s="378"/>
      <c r="H409" s="378"/>
      <c r="I409" s="378"/>
      <c r="J409" s="378"/>
      <c r="K409" s="378"/>
      <c r="L409" s="378"/>
      <c r="M409" s="378"/>
      <c r="N409" s="378"/>
      <c r="O409" s="378"/>
      <c r="P409" s="378"/>
      <c r="Q409" s="378"/>
      <c r="R409" s="378"/>
      <c r="S409" s="378"/>
      <c r="T409" s="378"/>
      <c r="U409" s="378"/>
      <c r="V409" s="378"/>
      <c r="W409" s="378"/>
      <c r="X409" s="378"/>
      <c r="Y409" s="378"/>
      <c r="Z409" s="378"/>
      <c r="AA409" s="169"/>
      <c r="AB409" s="159" t="s">
        <v>281</v>
      </c>
      <c r="AD409" s="172" t="s">
        <v>249</v>
      </c>
      <c r="AE409" s="167"/>
      <c r="AF409" s="164">
        <f t="shared" ref="AF409:AF412" si="94">IF(B409&lt;&gt;"",1,0)</f>
        <v>0</v>
      </c>
      <c r="AG409" s="164">
        <f>IF(AND(SUM(AF:AF)&gt;0,OR(AND(B409="",Y366="Yes"),AND(B409=1,Y366="No"))),1,0)</f>
        <v>0</v>
      </c>
      <c r="AI409" s="190">
        <v>1</v>
      </c>
    </row>
    <row r="410" spans="1:35" s="180" customFormat="1" ht="18" hidden="1" customHeight="1" x14ac:dyDescent="0.2">
      <c r="A410" s="163" t="str">
        <f t="shared" si="93"/>
        <v/>
      </c>
      <c r="B410" s="170"/>
      <c r="C410" s="152"/>
      <c r="D410" s="378" t="s">
        <v>402</v>
      </c>
      <c r="E410" s="378"/>
      <c r="F410" s="378"/>
      <c r="G410" s="378"/>
      <c r="H410" s="378"/>
      <c r="I410" s="378"/>
      <c r="J410" s="378"/>
      <c r="K410" s="378"/>
      <c r="L410" s="378"/>
      <c r="M410" s="378"/>
      <c r="N410" s="378"/>
      <c r="O410" s="378"/>
      <c r="P410" s="378"/>
      <c r="Q410" s="378"/>
      <c r="R410" s="378"/>
      <c r="S410" s="378"/>
      <c r="T410" s="378"/>
      <c r="U410" s="378"/>
      <c r="V410" s="378"/>
      <c r="W410" s="378"/>
      <c r="X410" s="378"/>
      <c r="Y410" s="378"/>
      <c r="Z410" s="378"/>
      <c r="AA410" s="169"/>
      <c r="AB410" s="159" t="s">
        <v>281</v>
      </c>
      <c r="AD410" s="172" t="s">
        <v>249</v>
      </c>
      <c r="AE410" s="167"/>
      <c r="AF410" s="164">
        <f t="shared" si="94"/>
        <v>0</v>
      </c>
      <c r="AG410" s="164">
        <f>IF(AND(SUM(AF:AF)&gt;0,OR(AND(B410="",Y366="Yes"),AND(B410=1,Y366="No"))),1,0)</f>
        <v>0</v>
      </c>
      <c r="AI410" s="190">
        <v>1</v>
      </c>
    </row>
    <row r="411" spans="1:35" s="180" customFormat="1" ht="18" hidden="1" customHeight="1" x14ac:dyDescent="0.2">
      <c r="A411" s="163" t="str">
        <f t="shared" si="93"/>
        <v/>
      </c>
      <c r="B411" s="170"/>
      <c r="C411" s="152"/>
      <c r="D411" s="179" t="s">
        <v>252</v>
      </c>
      <c r="E411" s="378" t="s">
        <v>318</v>
      </c>
      <c r="F411" s="378"/>
      <c r="G411" s="378"/>
      <c r="H411" s="378"/>
      <c r="I411" s="378"/>
      <c r="J411" s="378"/>
      <c r="K411" s="378"/>
      <c r="L411" s="378"/>
      <c r="M411" s="378"/>
      <c r="N411" s="378"/>
      <c r="O411" s="378"/>
      <c r="P411" s="378"/>
      <c r="Q411" s="378"/>
      <c r="R411" s="378"/>
      <c r="S411" s="378"/>
      <c r="T411" s="378"/>
      <c r="U411" s="378"/>
      <c r="V411" s="378"/>
      <c r="W411" s="378"/>
      <c r="X411" s="378"/>
      <c r="Y411" s="378"/>
      <c r="Z411" s="378"/>
      <c r="AA411" s="169"/>
      <c r="AB411" s="159" t="s">
        <v>281</v>
      </c>
      <c r="AD411" s="172" t="s">
        <v>249</v>
      </c>
      <c r="AE411" s="167"/>
      <c r="AF411" s="164">
        <f t="shared" si="94"/>
        <v>0</v>
      </c>
      <c r="AG411" s="164">
        <f>IF(AND(SUM(AF:AF)&gt;0,OR(AND(B411="",Y366="Yes"),AND(B411=1,Y366="No"))),1,0)</f>
        <v>0</v>
      </c>
      <c r="AI411" s="190">
        <v>1</v>
      </c>
    </row>
    <row r="412" spans="1:35" s="180" customFormat="1" ht="18" hidden="1" customHeight="1" x14ac:dyDescent="0.2">
      <c r="A412" s="163" t="str">
        <f t="shared" si="93"/>
        <v/>
      </c>
      <c r="B412" s="170"/>
      <c r="C412" s="152"/>
      <c r="D412" s="179" t="s">
        <v>252</v>
      </c>
      <c r="E412" s="378" t="s">
        <v>405</v>
      </c>
      <c r="F412" s="378"/>
      <c r="G412" s="378"/>
      <c r="H412" s="378"/>
      <c r="I412" s="378"/>
      <c r="J412" s="378"/>
      <c r="K412" s="378"/>
      <c r="L412" s="378"/>
      <c r="M412" s="378"/>
      <c r="N412" s="378"/>
      <c r="O412" s="378"/>
      <c r="P412" s="378"/>
      <c r="Q412" s="378"/>
      <c r="R412" s="378"/>
      <c r="S412" s="378"/>
      <c r="T412" s="378"/>
      <c r="U412" s="378"/>
      <c r="V412" s="378"/>
      <c r="W412" s="378"/>
      <c r="X412" s="378"/>
      <c r="Y412" s="378"/>
      <c r="Z412" s="378"/>
      <c r="AA412" s="169"/>
      <c r="AB412" s="159" t="s">
        <v>281</v>
      </c>
      <c r="AD412" s="172" t="s">
        <v>249</v>
      </c>
      <c r="AE412" s="167"/>
      <c r="AF412" s="164">
        <f t="shared" si="94"/>
        <v>0</v>
      </c>
      <c r="AG412" s="164">
        <f>IF(AND(SUM(AF:AF)&gt;0,OR(AND(B412="",Y366="Yes"),AND(B412=1,Y366="No"))),1,0)</f>
        <v>0</v>
      </c>
      <c r="AI412" s="190">
        <v>1</v>
      </c>
    </row>
    <row r="413" spans="1:35" s="180" customFormat="1" ht="18.5" hidden="1" customHeight="1" x14ac:dyDescent="0.2">
      <c r="A413" s="163" t="str">
        <f t="shared" si="93"/>
        <v/>
      </c>
      <c r="B413" s="164">
        <v>0</v>
      </c>
      <c r="C413" s="152"/>
      <c r="D413" s="179" t="s">
        <v>252</v>
      </c>
      <c r="E413" s="378" t="s">
        <v>312</v>
      </c>
      <c r="F413" s="378"/>
      <c r="G413" s="378"/>
      <c r="H413" s="378"/>
      <c r="I413" s="378"/>
      <c r="J413" s="378"/>
      <c r="K413" s="378"/>
      <c r="L413" s="378"/>
      <c r="M413" s="378"/>
      <c r="N413" s="378"/>
      <c r="O413" s="378"/>
      <c r="P413" s="378"/>
      <c r="Q413" s="378"/>
      <c r="R413" s="378"/>
      <c r="S413" s="378"/>
      <c r="T413" s="378"/>
      <c r="U413" s="378"/>
      <c r="V413" s="378"/>
      <c r="W413" s="378"/>
      <c r="X413" s="378"/>
      <c r="Y413" s="378"/>
      <c r="Z413" s="378"/>
      <c r="AA413" s="168"/>
      <c r="AB413" s="166" t="s">
        <v>259</v>
      </c>
      <c r="AD413" s="165" t="s">
        <v>260</v>
      </c>
      <c r="AE413" s="134"/>
      <c r="AF413" s="22"/>
      <c r="AG413" s="22"/>
      <c r="AI413" s="190">
        <v>1</v>
      </c>
    </row>
    <row r="414" spans="1:35" s="180" customFormat="1" ht="18" hidden="1" customHeight="1" x14ac:dyDescent="0.2">
      <c r="A414" s="163" t="str">
        <f t="shared" si="93"/>
        <v/>
      </c>
      <c r="B414" s="170"/>
      <c r="C414" s="152"/>
      <c r="D414" s="179" t="s">
        <v>252</v>
      </c>
      <c r="E414" s="373"/>
      <c r="F414" s="373"/>
      <c r="G414" s="373"/>
      <c r="H414" s="373"/>
      <c r="I414" s="373"/>
      <c r="J414" s="373"/>
      <c r="K414" s="373"/>
      <c r="L414" s="373"/>
      <c r="M414" s="373"/>
      <c r="N414" s="373"/>
      <c r="O414" s="373"/>
      <c r="P414" s="373"/>
      <c r="Q414" s="373"/>
      <c r="R414" s="373"/>
      <c r="S414" s="373"/>
      <c r="T414" s="373"/>
      <c r="U414" s="373"/>
      <c r="V414" s="373"/>
      <c r="W414" s="373"/>
      <c r="X414" s="373"/>
      <c r="Y414" s="373"/>
      <c r="Z414" s="373"/>
      <c r="AA414" s="169"/>
      <c r="AB414" s="159" t="s">
        <v>281</v>
      </c>
      <c r="AD414" s="172" t="s">
        <v>249</v>
      </c>
      <c r="AE414" s="167"/>
      <c r="AF414" s="164">
        <f t="shared" ref="AF414:AF417" si="95">IF(B414&lt;&gt;"",1,0)</f>
        <v>0</v>
      </c>
      <c r="AG414" s="164">
        <f>IF(AND(SUM(AF:AF)&gt;0,OR(AND(B414=1,Y366="No"),AND(B414=1,E414="",Y366="Yes"),AND(B414="",E414="",Y366="Yes"),AND(B414="",E414&lt;&gt;"",Y366="Yes"),AND(B414=0,E414&lt;&gt;"",Y366="Yes"))),1,0)</f>
        <v>0</v>
      </c>
      <c r="AI414" s="190">
        <v>1</v>
      </c>
    </row>
    <row r="415" spans="1:35" s="180" customFormat="1" ht="18" hidden="1" customHeight="1" x14ac:dyDescent="0.2">
      <c r="A415" s="163" t="str">
        <f t="shared" si="93"/>
        <v/>
      </c>
      <c r="B415" s="170"/>
      <c r="C415" s="152"/>
      <c r="D415" s="179" t="s">
        <v>252</v>
      </c>
      <c r="E415" s="373"/>
      <c r="F415" s="373"/>
      <c r="G415" s="373"/>
      <c r="H415" s="373"/>
      <c r="I415" s="373"/>
      <c r="J415" s="373"/>
      <c r="K415" s="373"/>
      <c r="L415" s="373"/>
      <c r="M415" s="373"/>
      <c r="N415" s="373"/>
      <c r="O415" s="373"/>
      <c r="P415" s="373"/>
      <c r="Q415" s="373"/>
      <c r="R415" s="373"/>
      <c r="S415" s="373"/>
      <c r="T415" s="373"/>
      <c r="U415" s="373"/>
      <c r="V415" s="373"/>
      <c r="W415" s="373"/>
      <c r="X415" s="373"/>
      <c r="Y415" s="373"/>
      <c r="Z415" s="373"/>
      <c r="AA415" s="169"/>
      <c r="AB415" s="159" t="s">
        <v>281</v>
      </c>
      <c r="AD415" s="172" t="s">
        <v>249</v>
      </c>
      <c r="AE415" s="167"/>
      <c r="AF415" s="164">
        <f t="shared" si="95"/>
        <v>0</v>
      </c>
      <c r="AG415" s="164">
        <f>IF(AND(SUM(AF:AF)&gt;0,OR(AND(B415=1,Y366="No"),AND(B415=1,E415="",Y366="Yes"),AND(B415="",E415="",Y366="Yes"),AND(B415="",E415&lt;&gt;"",Y366="Yes"),AND(B415=0,E415&lt;&gt;"",Y366="Yes"))),1,0)</f>
        <v>0</v>
      </c>
      <c r="AI415" s="190">
        <v>1</v>
      </c>
    </row>
    <row r="416" spans="1:35" s="180" customFormat="1" ht="18" hidden="1" customHeight="1" x14ac:dyDescent="0.2">
      <c r="A416" s="163" t="str">
        <f t="shared" si="93"/>
        <v/>
      </c>
      <c r="B416" s="170"/>
      <c r="C416" s="152"/>
      <c r="D416" s="179" t="s">
        <v>252</v>
      </c>
      <c r="E416" s="373"/>
      <c r="F416" s="373"/>
      <c r="G416" s="373"/>
      <c r="H416" s="373"/>
      <c r="I416" s="373"/>
      <c r="J416" s="373"/>
      <c r="K416" s="373"/>
      <c r="L416" s="373"/>
      <c r="M416" s="373"/>
      <c r="N416" s="373"/>
      <c r="O416" s="373"/>
      <c r="P416" s="373"/>
      <c r="Q416" s="373"/>
      <c r="R416" s="373"/>
      <c r="S416" s="373"/>
      <c r="T416" s="373"/>
      <c r="U416" s="373"/>
      <c r="V416" s="373"/>
      <c r="W416" s="373"/>
      <c r="X416" s="373"/>
      <c r="Y416" s="373"/>
      <c r="Z416" s="373"/>
      <c r="AA416" s="169"/>
      <c r="AB416" s="159" t="s">
        <v>281</v>
      </c>
      <c r="AD416" s="172" t="s">
        <v>249</v>
      </c>
      <c r="AE416" s="167"/>
      <c r="AF416" s="164">
        <f t="shared" si="95"/>
        <v>0</v>
      </c>
      <c r="AG416" s="164">
        <f>IF(AND(SUM(AF:AF)&gt;0,OR(AND(B416=1,Y366="No"),AND(B416=1,E416="",Y366="Yes"),AND(B416="",E416="",Y366="Yes"),AND(B416="",E416&lt;&gt;"",Y366="Yes"),AND(B416=0,E416&lt;&gt;"",Y366="Yes"))),1,0)</f>
        <v>0</v>
      </c>
      <c r="AI416" s="190">
        <v>1</v>
      </c>
    </row>
    <row r="417" spans="1:35" s="180" customFormat="1" ht="18" hidden="1" customHeight="1" x14ac:dyDescent="0.2">
      <c r="A417" s="163" t="str">
        <f t="shared" si="93"/>
        <v/>
      </c>
      <c r="B417" s="170"/>
      <c r="C417" s="152"/>
      <c r="D417" s="375" t="s">
        <v>320</v>
      </c>
      <c r="E417" s="375"/>
      <c r="F417" s="375"/>
      <c r="G417" s="375"/>
      <c r="H417" s="375"/>
      <c r="I417" s="375"/>
      <c r="J417" s="375"/>
      <c r="K417" s="375"/>
      <c r="L417" s="375"/>
      <c r="M417" s="375"/>
      <c r="N417" s="375"/>
      <c r="O417" s="375"/>
      <c r="P417" s="375"/>
      <c r="Q417" s="375"/>
      <c r="R417" s="187"/>
      <c r="S417" s="378" t="s">
        <v>321</v>
      </c>
      <c r="T417" s="378"/>
      <c r="U417" s="378"/>
      <c r="V417" s="378"/>
      <c r="W417" s="378"/>
      <c r="X417" s="378"/>
      <c r="Y417" s="378"/>
      <c r="Z417" s="378"/>
      <c r="AA417" s="169"/>
      <c r="AB417" s="159" t="s">
        <v>281</v>
      </c>
      <c r="AD417" s="172" t="s">
        <v>249</v>
      </c>
      <c r="AE417" s="167"/>
      <c r="AF417" s="164">
        <f t="shared" si="95"/>
        <v>0</v>
      </c>
      <c r="AG417" s="164">
        <f>IF(AND(SUM(AF:AF)&gt;0,OR(AND(B417=1,Y366="No"),AND(B417=1,R417="",Y366="Yes"),AND(B417="",R417="",Y366="Yes"),AND(B417="",R417&lt;&gt;"",Y366="Yes"),AND(B417=0,R417&lt;&gt;"",Y366="Yes"))),1,0)</f>
        <v>0</v>
      </c>
      <c r="AI417" s="190">
        <v>1</v>
      </c>
    </row>
    <row r="418" spans="1:35" ht="21" hidden="1" customHeight="1" x14ac:dyDescent="0.2">
      <c r="A418" s="163" t="str">
        <f t="shared" si="93"/>
        <v/>
      </c>
      <c r="B418" s="164">
        <v>0</v>
      </c>
      <c r="D418" s="379" t="s">
        <v>258</v>
      </c>
      <c r="E418" s="379"/>
      <c r="F418" s="379"/>
      <c r="G418" s="379"/>
      <c r="H418" s="379"/>
      <c r="I418" s="379"/>
      <c r="J418" s="379"/>
      <c r="K418" s="379"/>
      <c r="L418" s="379"/>
      <c r="M418" s="379"/>
      <c r="N418" s="379"/>
      <c r="O418" s="379"/>
      <c r="P418" s="379"/>
      <c r="Q418" s="379"/>
      <c r="R418" s="379"/>
      <c r="S418" s="379"/>
      <c r="T418" s="379"/>
      <c r="U418" s="379"/>
      <c r="V418" s="379"/>
      <c r="W418" s="379"/>
      <c r="X418" s="379"/>
      <c r="Y418" s="379"/>
      <c r="Z418" s="379"/>
      <c r="AB418" s="166" t="s">
        <v>259</v>
      </c>
      <c r="AD418" s="165" t="s">
        <v>260</v>
      </c>
      <c r="AE418" s="134"/>
      <c r="AF418" s="22"/>
      <c r="AG418" s="22"/>
      <c r="AI418" s="190">
        <v>1</v>
      </c>
    </row>
    <row r="419" spans="1:35" ht="15.75" hidden="1" customHeight="1" x14ac:dyDescent="0.2">
      <c r="A419" s="163"/>
      <c r="B419" s="164">
        <v>0</v>
      </c>
      <c r="D419" s="369" t="s">
        <v>261</v>
      </c>
      <c r="E419" s="369"/>
      <c r="F419" s="369"/>
      <c r="G419" s="369"/>
      <c r="H419" s="369"/>
      <c r="I419" s="369"/>
      <c r="J419" s="369"/>
      <c r="K419" s="369"/>
      <c r="L419" s="369"/>
      <c r="M419" s="369"/>
      <c r="N419" s="369"/>
      <c r="O419" s="369"/>
      <c r="P419" s="369"/>
      <c r="Q419" s="369"/>
      <c r="R419" s="369"/>
      <c r="S419" s="369"/>
      <c r="T419" s="369"/>
      <c r="U419" s="369"/>
      <c r="V419" s="369"/>
      <c r="W419" s="369"/>
      <c r="X419" s="369"/>
      <c r="Y419" s="369"/>
      <c r="Z419" s="369"/>
      <c r="AB419" s="166" t="s">
        <v>259</v>
      </c>
      <c r="AD419" s="165" t="s">
        <v>260</v>
      </c>
      <c r="AE419" s="134"/>
      <c r="AF419" s="22"/>
      <c r="AG419" s="22"/>
      <c r="AI419" s="190">
        <v>1</v>
      </c>
    </row>
    <row r="420" spans="1:35" ht="8.5" hidden="1" customHeight="1" x14ac:dyDescent="0.15">
      <c r="A420" s="163" t="str">
        <f>IF(AG420=1,"X","")</f>
        <v/>
      </c>
      <c r="B420" s="164">
        <f>IF(OR(D421="Show",Q421="Show"),1,0)</f>
        <v>0</v>
      </c>
      <c r="D420" s="368"/>
      <c r="E420" s="368"/>
      <c r="F420" s="368"/>
      <c r="G420" s="368"/>
      <c r="H420" s="368"/>
      <c r="I420" s="368"/>
      <c r="J420" s="368"/>
      <c r="K420" s="368"/>
      <c r="L420" s="368"/>
      <c r="M420" s="368"/>
      <c r="N420" s="368"/>
      <c r="O420" s="368"/>
      <c r="P420" s="368"/>
      <c r="Q420" s="368"/>
      <c r="R420" s="368"/>
      <c r="S420" s="368"/>
      <c r="T420" s="368"/>
      <c r="U420" s="368"/>
      <c r="V420" s="368"/>
      <c r="W420" s="368"/>
      <c r="X420" s="368"/>
      <c r="Y420" s="368"/>
      <c r="Z420" s="368"/>
      <c r="AD420" s="165" t="s">
        <v>227</v>
      </c>
      <c r="AE420" s="156"/>
      <c r="AF420" s="22"/>
      <c r="AG420" s="22"/>
      <c r="AI420" s="190">
        <v>1</v>
      </c>
    </row>
    <row r="421" spans="1:35" ht="18" hidden="1" customHeight="1" x14ac:dyDescent="0.2">
      <c r="A421" s="163" t="str">
        <f t="shared" ref="A421:A424" si="96">IF(AG421=1,"X","")</f>
        <v/>
      </c>
      <c r="B421" s="164">
        <v>0</v>
      </c>
      <c r="D421" s="370" t="s">
        <v>267</v>
      </c>
      <c r="E421" s="370"/>
      <c r="F421" s="370"/>
      <c r="G421" s="370"/>
      <c r="H421" s="370"/>
      <c r="I421" s="370"/>
      <c r="J421" s="370"/>
      <c r="K421" s="370"/>
      <c r="L421" s="370"/>
      <c r="M421" s="370"/>
      <c r="N421" s="370"/>
      <c r="O421" s="175"/>
      <c r="P421" s="175"/>
      <c r="Q421" s="370" t="s">
        <v>267</v>
      </c>
      <c r="R421" s="370"/>
      <c r="S421" s="370"/>
      <c r="T421" s="370"/>
      <c r="U421" s="370"/>
      <c r="V421" s="370"/>
      <c r="W421" s="370"/>
      <c r="X421" s="370"/>
      <c r="Y421" s="370"/>
      <c r="Z421" s="370"/>
      <c r="AA421" s="176"/>
      <c r="AB421" s="159" t="s">
        <v>262</v>
      </c>
      <c r="AD421" s="172" t="s">
        <v>249</v>
      </c>
      <c r="AE421" s="134"/>
      <c r="AF421" s="164">
        <f>IF(OR(D421="Show",D421="",Q421="Show",Q421=""),1,0)</f>
        <v>0</v>
      </c>
      <c r="AG421" s="164">
        <f>IF(AND(SUM(AF:AF)&gt;0,OR(D421="",Q421="")),1,0)</f>
        <v>0</v>
      </c>
      <c r="AI421" s="190">
        <v>1</v>
      </c>
    </row>
    <row r="422" spans="1:35" ht="197.25" hidden="1" customHeight="1" x14ac:dyDescent="0.2">
      <c r="A422" s="163" t="str">
        <f t="shared" si="96"/>
        <v/>
      </c>
      <c r="B422" s="164">
        <f>B420</f>
        <v>0</v>
      </c>
      <c r="D422" s="370"/>
      <c r="E422" s="370"/>
      <c r="F422" s="370"/>
      <c r="G422" s="370"/>
      <c r="H422" s="370"/>
      <c r="I422" s="370"/>
      <c r="J422" s="370"/>
      <c r="K422" s="370"/>
      <c r="L422" s="370"/>
      <c r="M422" s="370"/>
      <c r="N422" s="370"/>
      <c r="O422" s="175"/>
      <c r="P422" s="175"/>
      <c r="Q422" s="370"/>
      <c r="R422" s="370"/>
      <c r="S422" s="370"/>
      <c r="T422" s="370"/>
      <c r="U422" s="370"/>
      <c r="V422" s="370"/>
      <c r="W422" s="370"/>
      <c r="X422" s="370"/>
      <c r="Y422" s="370"/>
      <c r="Z422" s="370"/>
      <c r="AA422" s="176"/>
      <c r="AB422" s="159" t="s">
        <v>263</v>
      </c>
      <c r="AD422" s="172" t="s">
        <v>249</v>
      </c>
      <c r="AE422" s="167"/>
      <c r="AF422" s="22"/>
      <c r="AG422" s="22"/>
      <c r="AI422" s="190">
        <v>1</v>
      </c>
    </row>
    <row r="423" spans="1:35" ht="18" hidden="1" customHeight="1" x14ac:dyDescent="0.2">
      <c r="A423" s="163" t="str">
        <f t="shared" si="96"/>
        <v/>
      </c>
      <c r="B423" s="164">
        <f>B422</f>
        <v>0</v>
      </c>
      <c r="D423" s="371"/>
      <c r="E423" s="371"/>
      <c r="F423" s="371"/>
      <c r="G423" s="371"/>
      <c r="H423" s="371"/>
      <c r="I423" s="371"/>
      <c r="J423" s="371"/>
      <c r="K423" s="371"/>
      <c r="L423" s="371"/>
      <c r="M423" s="371"/>
      <c r="N423" s="371"/>
      <c r="O423" s="175"/>
      <c r="P423" s="175"/>
      <c r="Q423" s="371"/>
      <c r="R423" s="371"/>
      <c r="S423" s="371"/>
      <c r="T423" s="371"/>
      <c r="U423" s="371"/>
      <c r="V423" s="371"/>
      <c r="W423" s="371"/>
      <c r="X423" s="371"/>
      <c r="Y423" s="371"/>
      <c r="Z423" s="371"/>
      <c r="AA423" s="176"/>
      <c r="AB423" s="159" t="s">
        <v>264</v>
      </c>
      <c r="AD423" s="172" t="s">
        <v>249</v>
      </c>
      <c r="AE423" s="167"/>
      <c r="AF423" s="164">
        <f>IF(OR(D421="Show",D421="",Q421="Show",Q421=""),1,0)</f>
        <v>0</v>
      </c>
      <c r="AG423" s="164">
        <f>IF(AND(SUM(AF:AF)&gt;0,OR(AND(D421="Show",D423=""),AND(Q421="Show",Q423=""))),1,0)</f>
        <v>0</v>
      </c>
      <c r="AI423" s="190">
        <v>1</v>
      </c>
    </row>
    <row r="424" spans="1:35" ht="8.5" hidden="1" customHeight="1" x14ac:dyDescent="0.15">
      <c r="A424" s="163" t="str">
        <f t="shared" si="96"/>
        <v/>
      </c>
      <c r="B424" s="164">
        <f>B423</f>
        <v>0</v>
      </c>
      <c r="D424" s="368"/>
      <c r="E424" s="368"/>
      <c r="F424" s="368"/>
      <c r="G424" s="368"/>
      <c r="H424" s="368"/>
      <c r="I424" s="368"/>
      <c r="J424" s="368"/>
      <c r="K424" s="368"/>
      <c r="L424" s="368"/>
      <c r="M424" s="368"/>
      <c r="N424" s="368"/>
      <c r="O424" s="368"/>
      <c r="P424" s="368"/>
      <c r="Q424" s="368"/>
      <c r="R424" s="368"/>
      <c r="S424" s="368"/>
      <c r="T424" s="368"/>
      <c r="U424" s="368"/>
      <c r="V424" s="368"/>
      <c r="W424" s="368"/>
      <c r="X424" s="368"/>
      <c r="Y424" s="368"/>
      <c r="Z424" s="368"/>
      <c r="AA424" s="176"/>
      <c r="AD424" s="165" t="s">
        <v>227</v>
      </c>
      <c r="AE424" s="156"/>
      <c r="AF424" s="22"/>
      <c r="AG424" s="22"/>
      <c r="AI424" s="190">
        <v>1</v>
      </c>
    </row>
    <row r="425" spans="1:35" ht="15.75" hidden="1" customHeight="1" x14ac:dyDescent="0.2">
      <c r="A425" s="163"/>
      <c r="B425" s="164">
        <v>0</v>
      </c>
      <c r="D425" s="369" t="s">
        <v>265</v>
      </c>
      <c r="E425" s="369"/>
      <c r="F425" s="369"/>
      <c r="G425" s="369"/>
      <c r="H425" s="369"/>
      <c r="I425" s="369"/>
      <c r="J425" s="369"/>
      <c r="K425" s="369"/>
      <c r="L425" s="369"/>
      <c r="M425" s="369"/>
      <c r="N425" s="369"/>
      <c r="O425" s="369"/>
      <c r="P425" s="369"/>
      <c r="Q425" s="369"/>
      <c r="R425" s="369"/>
      <c r="S425" s="369"/>
      <c r="T425" s="369"/>
      <c r="U425" s="369"/>
      <c r="V425" s="369"/>
      <c r="W425" s="369"/>
      <c r="X425" s="369"/>
      <c r="Y425" s="369"/>
      <c r="Z425" s="369"/>
      <c r="AB425" s="166" t="s">
        <v>259</v>
      </c>
      <c r="AD425" s="165" t="s">
        <v>260</v>
      </c>
      <c r="AE425" s="134"/>
      <c r="AF425" s="22"/>
      <c r="AG425" s="22"/>
      <c r="AI425" s="190">
        <v>1</v>
      </c>
    </row>
    <row r="426" spans="1:35" ht="25" hidden="1" customHeight="1" x14ac:dyDescent="0.2">
      <c r="A426" s="163"/>
      <c r="B426" s="164">
        <v>0</v>
      </c>
      <c r="D426" s="374" t="str">
        <f>CONCATENATE("↑ Room Section ", N368," ↑")</f>
        <v>↑ Room Section 4 ↑</v>
      </c>
      <c r="E426" s="374"/>
      <c r="F426" s="374"/>
      <c r="G426" s="374"/>
      <c r="H426" s="374"/>
      <c r="I426" s="374"/>
      <c r="J426" s="374"/>
      <c r="K426" s="374"/>
      <c r="L426" s="374"/>
      <c r="M426" s="374"/>
      <c r="N426" s="374"/>
      <c r="O426" s="374"/>
      <c r="P426" s="374"/>
      <c r="Q426" s="374"/>
      <c r="R426" s="374"/>
      <c r="S426" s="374"/>
      <c r="T426" s="374"/>
      <c r="U426" s="374"/>
      <c r="V426" s="374"/>
      <c r="W426" s="374"/>
      <c r="X426" s="374"/>
      <c r="Y426" s="374"/>
      <c r="Z426" s="374"/>
      <c r="AB426" s="166" t="s">
        <v>259</v>
      </c>
      <c r="AD426" s="165" t="s">
        <v>260</v>
      </c>
      <c r="AE426" s="134"/>
      <c r="AF426" s="22"/>
      <c r="AG426" s="22"/>
      <c r="AI426" s="190">
        <v>1</v>
      </c>
    </row>
    <row r="427" spans="1:35" ht="21" hidden="1" customHeight="1" x14ac:dyDescent="0.2">
      <c r="A427" s="163" t="str">
        <f>IF(OR(SUM(AG428:AG487),Y427=""),"X","")</f>
        <v/>
      </c>
      <c r="B427" s="164">
        <v>0</v>
      </c>
      <c r="D427" s="381" t="str">
        <f>CONCATENATE("Show Room ",N429," Inspection Section?")</f>
        <v>Show Room 5 Inspection Section?</v>
      </c>
      <c r="E427" s="381"/>
      <c r="F427" s="381"/>
      <c r="G427" s="381"/>
      <c r="H427" s="381"/>
      <c r="I427" s="381"/>
      <c r="J427" s="381"/>
      <c r="K427" s="381"/>
      <c r="L427" s="381"/>
      <c r="M427" s="381"/>
      <c r="N427" s="381"/>
      <c r="O427" s="381"/>
      <c r="P427" s="381"/>
      <c r="Q427" s="381"/>
      <c r="R427" s="381"/>
      <c r="S427" s="381"/>
      <c r="T427" s="381"/>
      <c r="U427" s="381"/>
      <c r="V427" s="381"/>
      <c r="W427" s="381"/>
      <c r="X427" s="381"/>
      <c r="Y427" s="382" t="s">
        <v>114</v>
      </c>
      <c r="Z427" s="383"/>
      <c r="AB427" s="166" t="s">
        <v>259</v>
      </c>
      <c r="AD427" s="165" t="s">
        <v>260</v>
      </c>
      <c r="AE427" s="134"/>
      <c r="AF427" s="22"/>
      <c r="AG427" s="22"/>
      <c r="AI427" s="190">
        <v>1</v>
      </c>
    </row>
    <row r="428" spans="1:35" ht="25" hidden="1" customHeight="1" x14ac:dyDescent="0.2">
      <c r="A428" s="163"/>
      <c r="B428" s="164">
        <v>0</v>
      </c>
      <c r="D428" s="374" t="str">
        <f>CONCATENATE("↓ Room Section ", N429," ↓")</f>
        <v>↓ Room Section 5 ↓</v>
      </c>
      <c r="E428" s="374"/>
      <c r="F428" s="374"/>
      <c r="G428" s="374"/>
      <c r="H428" s="374"/>
      <c r="I428" s="374"/>
      <c r="J428" s="374"/>
      <c r="K428" s="374"/>
      <c r="L428" s="374"/>
      <c r="M428" s="374"/>
      <c r="N428" s="374"/>
      <c r="O428" s="374"/>
      <c r="P428" s="374"/>
      <c r="Q428" s="374"/>
      <c r="R428" s="374"/>
      <c r="S428" s="374"/>
      <c r="T428" s="374"/>
      <c r="U428" s="374"/>
      <c r="V428" s="374"/>
      <c r="W428" s="374"/>
      <c r="X428" s="374"/>
      <c r="Y428" s="374"/>
      <c r="Z428" s="374"/>
      <c r="AB428" s="166" t="s">
        <v>259</v>
      </c>
      <c r="AD428" s="165" t="s">
        <v>260</v>
      </c>
      <c r="AE428" s="134"/>
      <c r="AF428" s="22"/>
      <c r="AG428" s="22"/>
      <c r="AI428" s="190">
        <v>1</v>
      </c>
    </row>
    <row r="429" spans="1:35" ht="21" hidden="1" customHeight="1" x14ac:dyDescent="0.15">
      <c r="A429" s="163" t="str">
        <f t="shared" ref="A429:A441" si="97">IF(AG429=1,"X","")</f>
        <v/>
      </c>
      <c r="B429" s="164">
        <f>IF(Y$427="Yes",1,0)</f>
        <v>0</v>
      </c>
      <c r="D429" s="384" t="s">
        <v>404</v>
      </c>
      <c r="E429" s="384"/>
      <c r="F429" s="384"/>
      <c r="G429" s="384"/>
      <c r="H429" s="384"/>
      <c r="I429" s="384"/>
      <c r="J429" s="384"/>
      <c r="K429" s="384"/>
      <c r="L429" s="385" t="s">
        <v>394</v>
      </c>
      <c r="M429" s="385"/>
      <c r="N429" s="380">
        <f>N368+1</f>
        <v>5</v>
      </c>
      <c r="O429" s="380"/>
      <c r="P429" s="380"/>
      <c r="Q429" s="380"/>
      <c r="R429" s="380"/>
      <c r="S429" s="380"/>
      <c r="T429" s="380"/>
      <c r="U429" s="380"/>
      <c r="V429" s="380"/>
      <c r="W429" s="380"/>
      <c r="X429" s="380"/>
      <c r="Y429" s="380"/>
      <c r="Z429" s="380"/>
      <c r="AB429" s="166" t="s">
        <v>462</v>
      </c>
      <c r="AD429" s="165" t="s">
        <v>463</v>
      </c>
      <c r="AE429" s="134"/>
      <c r="AF429" s="22"/>
      <c r="AG429" s="22"/>
      <c r="AI429" s="190">
        <v>1</v>
      </c>
    </row>
    <row r="430" spans="1:35" s="180" customFormat="1" ht="18" hidden="1" customHeight="1" x14ac:dyDescent="0.2">
      <c r="A430" s="163" t="str">
        <f t="shared" si="97"/>
        <v/>
      </c>
      <c r="B430" s="164">
        <f>IF(Y$427="Yes",1,0)</f>
        <v>0</v>
      </c>
      <c r="C430" s="152"/>
      <c r="D430" s="378" t="s">
        <v>392</v>
      </c>
      <c r="E430" s="378"/>
      <c r="F430" s="378"/>
      <c r="G430" s="378"/>
      <c r="H430" s="378"/>
      <c r="I430" s="373"/>
      <c r="J430" s="373"/>
      <c r="K430" s="373"/>
      <c r="L430" s="373"/>
      <c r="M430" s="373"/>
      <c r="N430" s="373"/>
      <c r="O430" s="373"/>
      <c r="P430" s="373"/>
      <c r="Q430" s="373"/>
      <c r="R430" s="373"/>
      <c r="S430" s="373"/>
      <c r="T430" s="373"/>
      <c r="U430" s="373"/>
      <c r="V430" s="373"/>
      <c r="W430" s="373"/>
      <c r="X430" s="373"/>
      <c r="Y430" s="373"/>
      <c r="Z430" s="373"/>
      <c r="AA430" s="169"/>
      <c r="AB430" s="159" t="s">
        <v>464</v>
      </c>
      <c r="AD430" s="165" t="s">
        <v>463</v>
      </c>
      <c r="AE430" s="167"/>
      <c r="AF430" s="164">
        <f t="shared" ref="AF430:AF431" si="98">IF(B430&lt;&gt;"",1,0)</f>
        <v>1</v>
      </c>
      <c r="AG430" s="164">
        <f>IF(AND(SUM(AF:AF)&gt;0,OR(AND(B430=1,Y427="No"),AND(B430=1,I430="",Y427="Yes"),AND(B430="",I430="",Y427="Yes"),AND(B430="",I430&lt;&gt;"",Y427="Yes"),AND(B430=0,I430&lt;&gt;"",Y427="Yes"))),1,0)</f>
        <v>0</v>
      </c>
      <c r="AI430" s="190">
        <v>1</v>
      </c>
    </row>
    <row r="431" spans="1:35" s="180" customFormat="1" ht="18" hidden="1" customHeight="1" x14ac:dyDescent="0.2">
      <c r="A431" s="163" t="str">
        <f t="shared" si="97"/>
        <v/>
      </c>
      <c r="B431" s="164">
        <f>IF(Y$427="Yes",1,0)</f>
        <v>0</v>
      </c>
      <c r="C431" s="152"/>
      <c r="D431" s="378" t="s">
        <v>393</v>
      </c>
      <c r="E431" s="378"/>
      <c r="F431" s="378"/>
      <c r="G431" s="378"/>
      <c r="H431" s="378"/>
      <c r="I431" s="373"/>
      <c r="J431" s="373"/>
      <c r="K431" s="373"/>
      <c r="L431" s="373"/>
      <c r="M431" s="373"/>
      <c r="N431" s="373"/>
      <c r="O431" s="373"/>
      <c r="P431" s="373"/>
      <c r="Q431" s="373"/>
      <c r="R431" s="373"/>
      <c r="S431" s="373"/>
      <c r="T431" s="373"/>
      <c r="U431" s="373"/>
      <c r="V431" s="373"/>
      <c r="W431" s="373"/>
      <c r="X431" s="373"/>
      <c r="Y431" s="373"/>
      <c r="Z431" s="373"/>
      <c r="AA431" s="169"/>
      <c r="AB431" s="159" t="s">
        <v>464</v>
      </c>
      <c r="AD431" s="165" t="s">
        <v>463</v>
      </c>
      <c r="AE431" s="167"/>
      <c r="AF431" s="164">
        <f t="shared" si="98"/>
        <v>1</v>
      </c>
      <c r="AG431" s="164">
        <f>IF(AND(SUM(AF:AF)&gt;0,OR(AND(B431=1,Y427="No"),AND(B431=1,I431="",Y427="Yes"),AND(B431="",I431="",Y427="Yes"),AND(B431="",I431&lt;&gt;"",Y427="Yes"),AND(B431=0,I431&lt;&gt;"",Y427="Yes"))),1,0)</f>
        <v>0</v>
      </c>
      <c r="AI431" s="190">
        <v>1</v>
      </c>
    </row>
    <row r="432" spans="1:35" ht="21" hidden="1" customHeight="1" x14ac:dyDescent="0.15">
      <c r="A432" s="163" t="str">
        <f t="shared" si="97"/>
        <v/>
      </c>
      <c r="B432" s="164">
        <f>IF(Y$427="Yes",1,0)</f>
        <v>0</v>
      </c>
      <c r="D432" s="380" t="s">
        <v>313</v>
      </c>
      <c r="E432" s="380"/>
      <c r="F432" s="380"/>
      <c r="G432" s="380"/>
      <c r="H432" s="380"/>
      <c r="I432" s="380"/>
      <c r="J432" s="380"/>
      <c r="K432" s="380"/>
      <c r="L432" s="380"/>
      <c r="M432" s="380"/>
      <c r="N432" s="380"/>
      <c r="O432" s="380"/>
      <c r="P432" s="380"/>
      <c r="Q432" s="380"/>
      <c r="R432" s="380"/>
      <c r="S432" s="380"/>
      <c r="T432" s="380"/>
      <c r="U432" s="380"/>
      <c r="V432" s="380"/>
      <c r="W432" s="380"/>
      <c r="X432" s="380"/>
      <c r="Y432" s="380"/>
      <c r="Z432" s="380"/>
      <c r="AB432" s="166" t="s">
        <v>462</v>
      </c>
      <c r="AD432" s="165" t="s">
        <v>463</v>
      </c>
      <c r="AE432" s="134"/>
      <c r="AF432" s="22"/>
      <c r="AG432" s="22"/>
      <c r="AI432" s="190">
        <v>1</v>
      </c>
    </row>
    <row r="433" spans="1:35" s="180" customFormat="1" ht="18" hidden="1" customHeight="1" x14ac:dyDescent="0.2">
      <c r="A433" s="163" t="str">
        <f t="shared" si="97"/>
        <v/>
      </c>
      <c r="B433" s="170"/>
      <c r="C433" s="152"/>
      <c r="D433" s="378" t="s">
        <v>397</v>
      </c>
      <c r="E433" s="378"/>
      <c r="F433" s="378"/>
      <c r="G433" s="378"/>
      <c r="H433" s="378"/>
      <c r="I433" s="378"/>
      <c r="J433" s="378"/>
      <c r="K433" s="378"/>
      <c r="L433" s="378"/>
      <c r="M433" s="378"/>
      <c r="N433" s="378"/>
      <c r="O433" s="378"/>
      <c r="P433" s="378"/>
      <c r="Q433" s="378"/>
      <c r="R433" s="378"/>
      <c r="S433" s="378"/>
      <c r="T433" s="378"/>
      <c r="U433" s="378"/>
      <c r="V433" s="378"/>
      <c r="W433" s="378"/>
      <c r="X433" s="378"/>
      <c r="Y433" s="378"/>
      <c r="Z433" s="378"/>
      <c r="AA433" s="169"/>
      <c r="AB433" s="159" t="s">
        <v>281</v>
      </c>
      <c r="AD433" s="172" t="s">
        <v>249</v>
      </c>
      <c r="AE433" s="167"/>
      <c r="AF433" s="164">
        <f t="shared" ref="AF433:AF434" si="99">IF(B433&lt;&gt;"",1,0)</f>
        <v>0</v>
      </c>
      <c r="AG433" s="164">
        <f>IF(AND(SUM(AF:AF)&gt;0,OR(AND(B433="",Y427="Yes"),AND(B433=1,Y427="No"))),1,0)</f>
        <v>0</v>
      </c>
      <c r="AI433" s="190">
        <v>1</v>
      </c>
    </row>
    <row r="434" spans="1:35" s="180" customFormat="1" ht="18" hidden="1" customHeight="1" x14ac:dyDescent="0.2">
      <c r="A434" s="163" t="str">
        <f t="shared" si="97"/>
        <v/>
      </c>
      <c r="B434" s="170"/>
      <c r="C434" s="152"/>
      <c r="D434" s="378" t="s">
        <v>398</v>
      </c>
      <c r="E434" s="378"/>
      <c r="F434" s="378"/>
      <c r="G434" s="378"/>
      <c r="H434" s="378"/>
      <c r="I434" s="378"/>
      <c r="J434" s="378"/>
      <c r="K434" s="378"/>
      <c r="L434" s="378"/>
      <c r="M434" s="378"/>
      <c r="N434" s="378"/>
      <c r="O434" s="378"/>
      <c r="P434" s="378"/>
      <c r="Q434" s="378"/>
      <c r="R434" s="378"/>
      <c r="S434" s="378"/>
      <c r="T434" s="378"/>
      <c r="U434" s="378"/>
      <c r="V434" s="378"/>
      <c r="W434" s="378"/>
      <c r="X434" s="378"/>
      <c r="Y434" s="378"/>
      <c r="Z434" s="378"/>
      <c r="AA434" s="169"/>
      <c r="AB434" s="159" t="s">
        <v>281</v>
      </c>
      <c r="AD434" s="172" t="s">
        <v>249</v>
      </c>
      <c r="AE434" s="167"/>
      <c r="AF434" s="164">
        <f t="shared" si="99"/>
        <v>0</v>
      </c>
      <c r="AG434" s="164">
        <f>IF(AND(SUM(AF:AF)&gt;0,OR(AND(B434="",Y427="Yes"),AND(B434=1,Y427="No"))),1,0)</f>
        <v>0</v>
      </c>
      <c r="AI434" s="190">
        <v>1</v>
      </c>
    </row>
    <row r="435" spans="1:35" s="180" customFormat="1" ht="18" hidden="1" customHeight="1" x14ac:dyDescent="0.2">
      <c r="A435" s="163" t="str">
        <f t="shared" si="97"/>
        <v/>
      </c>
      <c r="B435" s="170"/>
      <c r="C435" s="152"/>
      <c r="D435" s="179" t="s">
        <v>252</v>
      </c>
      <c r="E435" s="378" t="s">
        <v>315</v>
      </c>
      <c r="F435" s="378"/>
      <c r="G435" s="378"/>
      <c r="H435" s="378"/>
      <c r="I435" s="378"/>
      <c r="J435" s="378"/>
      <c r="K435" s="378"/>
      <c r="L435" s="378"/>
      <c r="M435" s="378"/>
      <c r="N435" s="378"/>
      <c r="O435" s="378"/>
      <c r="P435" s="378"/>
      <c r="Q435" s="378"/>
      <c r="R435" s="378"/>
      <c r="S435" s="378"/>
      <c r="T435" s="378"/>
      <c r="U435" s="378"/>
      <c r="V435" s="378"/>
      <c r="W435" s="378"/>
      <c r="X435" s="378"/>
      <c r="Y435" s="378"/>
      <c r="Z435" s="378"/>
      <c r="AA435" s="169"/>
      <c r="AB435" s="159" t="s">
        <v>281</v>
      </c>
      <c r="AD435" s="172" t="s">
        <v>249</v>
      </c>
      <c r="AE435" s="167"/>
      <c r="AF435" s="164">
        <f t="shared" ref="AF435:AF436" si="100">IF(B435&lt;&gt;"",1,0)</f>
        <v>0</v>
      </c>
      <c r="AG435" s="164">
        <f>IF(AND(SUM(AF:AF)&gt;0,OR(AND(B435="",Y427="Yes"),AND(B435=1,Y427="No"))),1,0)</f>
        <v>0</v>
      </c>
      <c r="AI435" s="190">
        <v>1</v>
      </c>
    </row>
    <row r="436" spans="1:35" s="180" customFormat="1" ht="18" hidden="1" customHeight="1" x14ac:dyDescent="0.2">
      <c r="A436" s="163" t="str">
        <f t="shared" si="97"/>
        <v/>
      </c>
      <c r="B436" s="170"/>
      <c r="C436" s="152"/>
      <c r="D436" s="179" t="s">
        <v>252</v>
      </c>
      <c r="E436" s="378" t="s">
        <v>316</v>
      </c>
      <c r="F436" s="378"/>
      <c r="G436" s="378"/>
      <c r="H436" s="378"/>
      <c r="I436" s="378"/>
      <c r="J436" s="378"/>
      <c r="K436" s="378"/>
      <c r="L436" s="378"/>
      <c r="M436" s="378"/>
      <c r="N436" s="378"/>
      <c r="O436" s="378"/>
      <c r="P436" s="378"/>
      <c r="Q436" s="378"/>
      <c r="R436" s="378"/>
      <c r="S436" s="378"/>
      <c r="T436" s="378"/>
      <c r="U436" s="378"/>
      <c r="V436" s="378"/>
      <c r="W436" s="378"/>
      <c r="X436" s="378"/>
      <c r="Y436" s="378"/>
      <c r="Z436" s="378"/>
      <c r="AA436" s="169"/>
      <c r="AB436" s="159" t="s">
        <v>281</v>
      </c>
      <c r="AD436" s="172" t="s">
        <v>249</v>
      </c>
      <c r="AE436" s="167"/>
      <c r="AF436" s="164">
        <f t="shared" si="100"/>
        <v>0</v>
      </c>
      <c r="AG436" s="164">
        <f>IF(AND(SUM(AF:AF)&gt;0,OR(AND(B436="",Y427="Yes"),AND(B436=1,Y427="No"))),1,0)</f>
        <v>0</v>
      </c>
      <c r="AI436" s="190">
        <v>1</v>
      </c>
    </row>
    <row r="437" spans="1:35" s="180" customFormat="1" ht="18.5" hidden="1" customHeight="1" x14ac:dyDescent="0.2">
      <c r="A437" s="163" t="str">
        <f t="shared" si="97"/>
        <v/>
      </c>
      <c r="B437" s="164">
        <v>0</v>
      </c>
      <c r="C437" s="152"/>
      <c r="D437" s="179" t="s">
        <v>252</v>
      </c>
      <c r="E437" s="378" t="s">
        <v>312</v>
      </c>
      <c r="F437" s="378"/>
      <c r="G437" s="378"/>
      <c r="H437" s="378"/>
      <c r="I437" s="378"/>
      <c r="J437" s="378"/>
      <c r="K437" s="378"/>
      <c r="L437" s="378"/>
      <c r="M437" s="378"/>
      <c r="N437" s="378"/>
      <c r="O437" s="378"/>
      <c r="P437" s="378"/>
      <c r="Q437" s="378"/>
      <c r="R437" s="378"/>
      <c r="S437" s="378"/>
      <c r="T437" s="378"/>
      <c r="U437" s="378"/>
      <c r="V437" s="378"/>
      <c r="W437" s="378"/>
      <c r="X437" s="378"/>
      <c r="Y437" s="378"/>
      <c r="Z437" s="378"/>
      <c r="AA437" s="168"/>
      <c r="AB437" s="166" t="s">
        <v>259</v>
      </c>
      <c r="AD437" s="165" t="s">
        <v>260</v>
      </c>
      <c r="AE437" s="134"/>
      <c r="AF437" s="22"/>
      <c r="AG437" s="22"/>
      <c r="AI437" s="190">
        <v>1</v>
      </c>
    </row>
    <row r="438" spans="1:35" s="180" customFormat="1" ht="18" hidden="1" customHeight="1" x14ac:dyDescent="0.2">
      <c r="A438" s="163" t="str">
        <f t="shared" si="97"/>
        <v/>
      </c>
      <c r="B438" s="170"/>
      <c r="C438" s="152"/>
      <c r="D438" s="179" t="s">
        <v>252</v>
      </c>
      <c r="E438" s="373"/>
      <c r="F438" s="373"/>
      <c r="G438" s="373"/>
      <c r="H438" s="373"/>
      <c r="I438" s="373"/>
      <c r="J438" s="373"/>
      <c r="K438" s="373"/>
      <c r="L438" s="373"/>
      <c r="M438" s="373"/>
      <c r="N438" s="373"/>
      <c r="O438" s="373"/>
      <c r="P438" s="373"/>
      <c r="Q438" s="373"/>
      <c r="R438" s="373"/>
      <c r="S438" s="373"/>
      <c r="T438" s="373"/>
      <c r="U438" s="373"/>
      <c r="V438" s="373"/>
      <c r="W438" s="373"/>
      <c r="X438" s="373"/>
      <c r="Y438" s="373"/>
      <c r="Z438" s="373"/>
      <c r="AA438" s="169"/>
      <c r="AB438" s="159" t="s">
        <v>281</v>
      </c>
      <c r="AD438" s="172" t="s">
        <v>249</v>
      </c>
      <c r="AE438" s="167"/>
      <c r="AF438" s="164">
        <f t="shared" ref="AF438:AF440" si="101">IF(B438&lt;&gt;"",1,0)</f>
        <v>0</v>
      </c>
      <c r="AG438" s="164">
        <f>IF(AND(SUM(AF:AF)&gt;0,OR(AND(B438=1,Y427="No"),AND(B438=1,E438="",Y427="Yes"),AND(B438="",E438="",Y427="Yes"),AND(B438="",E438&lt;&gt;"",Y427="Yes"),AND(B438=0,E438&lt;&gt;"",Y427="Yes"))),1,0)</f>
        <v>0</v>
      </c>
      <c r="AI438" s="190">
        <v>1</v>
      </c>
    </row>
    <row r="439" spans="1:35" s="180" customFormat="1" ht="18" hidden="1" customHeight="1" x14ac:dyDescent="0.2">
      <c r="A439" s="163" t="str">
        <f t="shared" si="97"/>
        <v/>
      </c>
      <c r="B439" s="170"/>
      <c r="C439" s="152"/>
      <c r="D439" s="179" t="s">
        <v>252</v>
      </c>
      <c r="E439" s="373"/>
      <c r="F439" s="373"/>
      <c r="G439" s="373"/>
      <c r="H439" s="373"/>
      <c r="I439" s="373"/>
      <c r="J439" s="373"/>
      <c r="K439" s="373"/>
      <c r="L439" s="373"/>
      <c r="M439" s="373"/>
      <c r="N439" s="373"/>
      <c r="O439" s="373"/>
      <c r="P439" s="373"/>
      <c r="Q439" s="373"/>
      <c r="R439" s="373"/>
      <c r="S439" s="373"/>
      <c r="T439" s="373"/>
      <c r="U439" s="373"/>
      <c r="V439" s="373"/>
      <c r="W439" s="373"/>
      <c r="X439" s="373"/>
      <c r="Y439" s="373"/>
      <c r="Z439" s="373"/>
      <c r="AA439" s="169"/>
      <c r="AB439" s="159" t="s">
        <v>281</v>
      </c>
      <c r="AD439" s="172" t="s">
        <v>249</v>
      </c>
      <c r="AE439" s="167"/>
      <c r="AF439" s="164">
        <f t="shared" si="101"/>
        <v>0</v>
      </c>
      <c r="AG439" s="164">
        <f>IF(AND(SUM(AF:AF)&gt;0,OR(AND(B439=1,Y427="No"),AND(B439=1,E439="",Y427="Yes"),AND(B439="",E439="",Y427="Yes"),AND(B439="",E439&lt;&gt;"",Y427="Yes"),AND(B439=0,E439&lt;&gt;"",Y427="Yes"))),1,0)</f>
        <v>0</v>
      </c>
      <c r="AI439" s="190">
        <v>1</v>
      </c>
    </row>
    <row r="440" spans="1:35" s="180" customFormat="1" ht="18" hidden="1" customHeight="1" x14ac:dyDescent="0.2">
      <c r="A440" s="163" t="str">
        <f t="shared" si="97"/>
        <v/>
      </c>
      <c r="B440" s="170"/>
      <c r="C440" s="152"/>
      <c r="D440" s="179" t="s">
        <v>252</v>
      </c>
      <c r="E440" s="373"/>
      <c r="F440" s="373"/>
      <c r="G440" s="373"/>
      <c r="H440" s="373"/>
      <c r="I440" s="373"/>
      <c r="J440" s="373"/>
      <c r="K440" s="373"/>
      <c r="L440" s="373"/>
      <c r="M440" s="373"/>
      <c r="N440" s="373"/>
      <c r="O440" s="373"/>
      <c r="P440" s="373"/>
      <c r="Q440" s="373"/>
      <c r="R440" s="373"/>
      <c r="S440" s="373"/>
      <c r="T440" s="373"/>
      <c r="U440" s="373"/>
      <c r="V440" s="373"/>
      <c r="W440" s="373"/>
      <c r="X440" s="373"/>
      <c r="Y440" s="373"/>
      <c r="Z440" s="373"/>
      <c r="AA440" s="169"/>
      <c r="AB440" s="159" t="s">
        <v>281</v>
      </c>
      <c r="AD440" s="172" t="s">
        <v>249</v>
      </c>
      <c r="AE440" s="167"/>
      <c r="AF440" s="164">
        <f t="shared" si="101"/>
        <v>0</v>
      </c>
      <c r="AG440" s="164">
        <f>IF(AND(SUM(AF:AF)&gt;0,OR(AND(B440=1,Y427="No"),AND(B440=1,E440="",Y427="Yes"),AND(B440="",E440="",Y427="Yes"),AND(B440="",E440&lt;&gt;"",Y427="Yes"),AND(B440=0,E440&lt;&gt;"",Y427="Yes"))),1,0)</f>
        <v>0</v>
      </c>
      <c r="AI440" s="190">
        <v>1</v>
      </c>
    </row>
    <row r="441" spans="1:35" ht="21" hidden="1" customHeight="1" x14ac:dyDescent="0.2">
      <c r="A441" s="163" t="str">
        <f t="shared" si="97"/>
        <v/>
      </c>
      <c r="B441" s="164">
        <v>0</v>
      </c>
      <c r="D441" s="379" t="s">
        <v>258</v>
      </c>
      <c r="E441" s="379"/>
      <c r="F441" s="379"/>
      <c r="G441" s="379"/>
      <c r="H441" s="379"/>
      <c r="I441" s="379"/>
      <c r="J441" s="379"/>
      <c r="K441" s="379"/>
      <c r="L441" s="379"/>
      <c r="M441" s="379"/>
      <c r="N441" s="379"/>
      <c r="O441" s="379"/>
      <c r="P441" s="379"/>
      <c r="Q441" s="379"/>
      <c r="R441" s="379"/>
      <c r="S441" s="379"/>
      <c r="T441" s="379"/>
      <c r="U441" s="379"/>
      <c r="V441" s="379"/>
      <c r="W441" s="379"/>
      <c r="X441" s="379"/>
      <c r="Y441" s="379"/>
      <c r="Z441" s="379"/>
      <c r="AB441" s="166" t="s">
        <v>259</v>
      </c>
      <c r="AD441" s="165" t="s">
        <v>260</v>
      </c>
      <c r="AE441" s="134"/>
      <c r="AF441" s="22"/>
      <c r="AG441" s="22"/>
      <c r="AI441" s="190">
        <v>1</v>
      </c>
    </row>
    <row r="442" spans="1:35" ht="15.75" hidden="1" customHeight="1" x14ac:dyDescent="0.2">
      <c r="A442" s="163"/>
      <c r="B442" s="164">
        <v>0</v>
      </c>
      <c r="D442" s="369" t="s">
        <v>261</v>
      </c>
      <c r="E442" s="369"/>
      <c r="F442" s="369"/>
      <c r="G442" s="369"/>
      <c r="H442" s="369"/>
      <c r="I442" s="369"/>
      <c r="J442" s="369"/>
      <c r="K442" s="369"/>
      <c r="L442" s="369"/>
      <c r="M442" s="369"/>
      <c r="N442" s="369"/>
      <c r="O442" s="369"/>
      <c r="P442" s="369"/>
      <c r="Q442" s="369"/>
      <c r="R442" s="369"/>
      <c r="S442" s="369"/>
      <c r="T442" s="369"/>
      <c r="U442" s="369"/>
      <c r="V442" s="369"/>
      <c r="W442" s="369"/>
      <c r="X442" s="369"/>
      <c r="Y442" s="369"/>
      <c r="Z442" s="369"/>
      <c r="AB442" s="166" t="s">
        <v>259</v>
      </c>
      <c r="AD442" s="165" t="s">
        <v>260</v>
      </c>
      <c r="AE442" s="134"/>
      <c r="AF442" s="22"/>
      <c r="AG442" s="22"/>
      <c r="AI442" s="190">
        <v>1</v>
      </c>
    </row>
    <row r="443" spans="1:35" ht="8.5" hidden="1" customHeight="1" x14ac:dyDescent="0.15">
      <c r="A443" s="163" t="str">
        <f>IF(AG443=1,"X","")</f>
        <v/>
      </c>
      <c r="B443" s="164">
        <f>IF(OR(D444="Show",Q444="Show"),1,0)</f>
        <v>0</v>
      </c>
      <c r="D443" s="368"/>
      <c r="E443" s="368"/>
      <c r="F443" s="368"/>
      <c r="G443" s="368"/>
      <c r="H443" s="368"/>
      <c r="I443" s="368"/>
      <c r="J443" s="368"/>
      <c r="K443" s="368"/>
      <c r="L443" s="368"/>
      <c r="M443" s="368"/>
      <c r="N443" s="368"/>
      <c r="O443" s="368"/>
      <c r="P443" s="368"/>
      <c r="Q443" s="368"/>
      <c r="R443" s="368"/>
      <c r="S443" s="368"/>
      <c r="T443" s="368"/>
      <c r="U443" s="368"/>
      <c r="V443" s="368"/>
      <c r="W443" s="368"/>
      <c r="X443" s="368"/>
      <c r="Y443" s="368"/>
      <c r="Z443" s="368"/>
      <c r="AD443" s="165" t="s">
        <v>227</v>
      </c>
      <c r="AE443" s="156"/>
      <c r="AF443" s="22"/>
      <c r="AG443" s="22"/>
      <c r="AI443" s="190">
        <v>1</v>
      </c>
    </row>
    <row r="444" spans="1:35" ht="18" hidden="1" customHeight="1" x14ac:dyDescent="0.2">
      <c r="A444" s="163" t="str">
        <f t="shared" ref="A444:A447" si="102">IF(AG444=1,"X","")</f>
        <v/>
      </c>
      <c r="B444" s="164">
        <v>0</v>
      </c>
      <c r="D444" s="370" t="s">
        <v>267</v>
      </c>
      <c r="E444" s="370"/>
      <c r="F444" s="370"/>
      <c r="G444" s="370"/>
      <c r="H444" s="370"/>
      <c r="I444" s="370"/>
      <c r="J444" s="370"/>
      <c r="K444" s="370"/>
      <c r="L444" s="370"/>
      <c r="M444" s="370"/>
      <c r="N444" s="370"/>
      <c r="O444" s="175"/>
      <c r="P444" s="175"/>
      <c r="Q444" s="370" t="s">
        <v>267</v>
      </c>
      <c r="R444" s="370"/>
      <c r="S444" s="370"/>
      <c r="T444" s="370"/>
      <c r="U444" s="370"/>
      <c r="V444" s="370"/>
      <c r="W444" s="370"/>
      <c r="X444" s="370"/>
      <c r="Y444" s="370"/>
      <c r="Z444" s="370"/>
      <c r="AA444" s="176"/>
      <c r="AB444" s="159" t="s">
        <v>262</v>
      </c>
      <c r="AD444" s="172" t="s">
        <v>249</v>
      </c>
      <c r="AE444" s="134"/>
      <c r="AF444" s="164">
        <f>IF(OR(D444="Show",D444="",Q444="Show",Q444=""),1,0)</f>
        <v>0</v>
      </c>
      <c r="AG444" s="164">
        <f>IF(AND(SUM(AF:AF)&gt;0,OR(D444="",Q444="")),1,0)</f>
        <v>0</v>
      </c>
      <c r="AI444" s="190">
        <v>1</v>
      </c>
    </row>
    <row r="445" spans="1:35" ht="197.25" hidden="1" customHeight="1" x14ac:dyDescent="0.2">
      <c r="A445" s="163" t="str">
        <f t="shared" si="102"/>
        <v/>
      </c>
      <c r="B445" s="164">
        <f>B443</f>
        <v>0</v>
      </c>
      <c r="D445" s="370"/>
      <c r="E445" s="370"/>
      <c r="F445" s="370"/>
      <c r="G445" s="370"/>
      <c r="H445" s="370"/>
      <c r="I445" s="370"/>
      <c r="J445" s="370"/>
      <c r="K445" s="370"/>
      <c r="L445" s="370"/>
      <c r="M445" s="370"/>
      <c r="N445" s="370"/>
      <c r="O445" s="175"/>
      <c r="P445" s="175"/>
      <c r="Q445" s="370"/>
      <c r="R445" s="370"/>
      <c r="S445" s="370"/>
      <c r="T445" s="370"/>
      <c r="U445" s="370"/>
      <c r="V445" s="370"/>
      <c r="W445" s="370"/>
      <c r="X445" s="370"/>
      <c r="Y445" s="370"/>
      <c r="Z445" s="370"/>
      <c r="AA445" s="176"/>
      <c r="AB445" s="159" t="s">
        <v>263</v>
      </c>
      <c r="AD445" s="172" t="s">
        <v>249</v>
      </c>
      <c r="AE445" s="167"/>
      <c r="AF445" s="22"/>
      <c r="AG445" s="22"/>
      <c r="AI445" s="190">
        <v>1</v>
      </c>
    </row>
    <row r="446" spans="1:35" ht="18" hidden="1" customHeight="1" x14ac:dyDescent="0.2">
      <c r="A446" s="163" t="str">
        <f t="shared" si="102"/>
        <v/>
      </c>
      <c r="B446" s="164">
        <f>B445</f>
        <v>0</v>
      </c>
      <c r="D446" s="371"/>
      <c r="E446" s="371"/>
      <c r="F446" s="371"/>
      <c r="G446" s="371"/>
      <c r="H446" s="371"/>
      <c r="I446" s="371"/>
      <c r="J446" s="371"/>
      <c r="K446" s="371"/>
      <c r="L446" s="371"/>
      <c r="M446" s="371"/>
      <c r="N446" s="371"/>
      <c r="O446" s="175"/>
      <c r="P446" s="175"/>
      <c r="Q446" s="371"/>
      <c r="R446" s="371"/>
      <c r="S446" s="371"/>
      <c r="T446" s="371"/>
      <c r="U446" s="371"/>
      <c r="V446" s="371"/>
      <c r="W446" s="371"/>
      <c r="X446" s="371"/>
      <c r="Y446" s="371"/>
      <c r="Z446" s="371"/>
      <c r="AA446" s="176"/>
      <c r="AB446" s="159" t="s">
        <v>264</v>
      </c>
      <c r="AD446" s="172" t="s">
        <v>249</v>
      </c>
      <c r="AE446" s="167"/>
      <c r="AF446" s="164">
        <f>IF(OR(D444="Show",D444="",Q444="Show",Q444=""),1,0)</f>
        <v>0</v>
      </c>
      <c r="AG446" s="164">
        <f>IF(AND(SUM(AF:AF)&gt;0,OR(AND(D444="Show",D446=""),AND(Q444="Show",Q446=""))),1,0)</f>
        <v>0</v>
      </c>
      <c r="AI446" s="190">
        <v>1</v>
      </c>
    </row>
    <row r="447" spans="1:35" ht="8.5" hidden="1" customHeight="1" x14ac:dyDescent="0.15">
      <c r="A447" s="163" t="str">
        <f t="shared" si="102"/>
        <v/>
      </c>
      <c r="B447" s="164">
        <f>B446</f>
        <v>0</v>
      </c>
      <c r="D447" s="368"/>
      <c r="E447" s="368"/>
      <c r="F447" s="368"/>
      <c r="G447" s="368"/>
      <c r="H447" s="368"/>
      <c r="I447" s="368"/>
      <c r="J447" s="368"/>
      <c r="K447" s="368"/>
      <c r="L447" s="368"/>
      <c r="M447" s="368"/>
      <c r="N447" s="368"/>
      <c r="O447" s="368"/>
      <c r="P447" s="368"/>
      <c r="Q447" s="368"/>
      <c r="R447" s="368"/>
      <c r="S447" s="368"/>
      <c r="T447" s="368"/>
      <c r="U447" s="368"/>
      <c r="V447" s="368"/>
      <c r="W447" s="368"/>
      <c r="X447" s="368"/>
      <c r="Y447" s="368"/>
      <c r="Z447" s="368"/>
      <c r="AA447" s="176"/>
      <c r="AD447" s="165" t="s">
        <v>227</v>
      </c>
      <c r="AE447" s="156"/>
      <c r="AF447" s="22"/>
      <c r="AG447" s="22"/>
      <c r="AI447" s="190">
        <v>1</v>
      </c>
    </row>
    <row r="448" spans="1:35" ht="15.75" hidden="1" customHeight="1" x14ac:dyDescent="0.2">
      <c r="A448" s="163"/>
      <c r="B448" s="164">
        <v>0</v>
      </c>
      <c r="D448" s="369" t="s">
        <v>265</v>
      </c>
      <c r="E448" s="369"/>
      <c r="F448" s="369"/>
      <c r="G448" s="369"/>
      <c r="H448" s="369"/>
      <c r="I448" s="369"/>
      <c r="J448" s="369"/>
      <c r="K448" s="369"/>
      <c r="L448" s="369"/>
      <c r="M448" s="369"/>
      <c r="N448" s="369"/>
      <c r="O448" s="369"/>
      <c r="P448" s="369"/>
      <c r="Q448" s="369"/>
      <c r="R448" s="369"/>
      <c r="S448" s="369"/>
      <c r="T448" s="369"/>
      <c r="U448" s="369"/>
      <c r="V448" s="369"/>
      <c r="W448" s="369"/>
      <c r="X448" s="369"/>
      <c r="Y448" s="369"/>
      <c r="Z448" s="369"/>
      <c r="AB448" s="166" t="s">
        <v>259</v>
      </c>
      <c r="AD448" s="165" t="s">
        <v>260</v>
      </c>
      <c r="AE448" s="134"/>
      <c r="AF448" s="22"/>
      <c r="AG448" s="22"/>
      <c r="AI448" s="190">
        <v>1</v>
      </c>
    </row>
    <row r="449" spans="1:35" ht="21" hidden="1" customHeight="1" x14ac:dyDescent="0.15">
      <c r="A449" s="163" t="str">
        <f t="shared" ref="A449:A461" si="103">IF(AG449=1,"X","")</f>
        <v/>
      </c>
      <c r="B449" s="164">
        <f>IF(Y$427="Yes",1,0)</f>
        <v>0</v>
      </c>
      <c r="D449" s="380" t="s">
        <v>0</v>
      </c>
      <c r="E449" s="380"/>
      <c r="F449" s="380"/>
      <c r="G449" s="380"/>
      <c r="H449" s="380"/>
      <c r="I449" s="380"/>
      <c r="J449" s="380"/>
      <c r="K449" s="380"/>
      <c r="L449" s="380"/>
      <c r="M449" s="380"/>
      <c r="N449" s="380"/>
      <c r="O449" s="380"/>
      <c r="P449" s="380"/>
      <c r="Q449" s="380"/>
      <c r="R449" s="380"/>
      <c r="S449" s="380"/>
      <c r="T449" s="380"/>
      <c r="U449" s="380"/>
      <c r="V449" s="380"/>
      <c r="W449" s="380"/>
      <c r="X449" s="380"/>
      <c r="Y449" s="380"/>
      <c r="Z449" s="380"/>
      <c r="AB449" s="166" t="s">
        <v>462</v>
      </c>
      <c r="AD449" s="165" t="s">
        <v>463</v>
      </c>
      <c r="AE449" s="134"/>
      <c r="AF449" s="22"/>
      <c r="AG449" s="22"/>
      <c r="AI449" s="190">
        <v>1</v>
      </c>
    </row>
    <row r="450" spans="1:35" s="180" customFormat="1" ht="18" hidden="1" customHeight="1" x14ac:dyDescent="0.2">
      <c r="A450" s="163" t="str">
        <f t="shared" si="103"/>
        <v/>
      </c>
      <c r="B450" s="170"/>
      <c r="C450" s="152"/>
      <c r="D450" s="378" t="s">
        <v>399</v>
      </c>
      <c r="E450" s="378"/>
      <c r="F450" s="378"/>
      <c r="G450" s="378"/>
      <c r="H450" s="378"/>
      <c r="I450" s="378"/>
      <c r="J450" s="378"/>
      <c r="K450" s="378"/>
      <c r="L450" s="378"/>
      <c r="M450" s="378"/>
      <c r="N450" s="378"/>
      <c r="O450" s="378"/>
      <c r="P450" s="378"/>
      <c r="Q450" s="378"/>
      <c r="R450" s="378"/>
      <c r="S450" s="378"/>
      <c r="T450" s="378"/>
      <c r="U450" s="378"/>
      <c r="V450" s="378"/>
      <c r="W450" s="378"/>
      <c r="X450" s="378"/>
      <c r="Y450" s="378"/>
      <c r="Z450" s="378"/>
      <c r="AA450" s="169"/>
      <c r="AB450" s="159" t="s">
        <v>281</v>
      </c>
      <c r="AD450" s="172" t="s">
        <v>249</v>
      </c>
      <c r="AE450" s="167"/>
      <c r="AF450" s="164">
        <f t="shared" ref="AF450:AF456" si="104">IF(B450&lt;&gt;"",1,0)</f>
        <v>0</v>
      </c>
      <c r="AG450" s="164">
        <f>IF(AND(SUM(AF:AF)&gt;0,OR(AND(B450="",Y427="Yes"),AND(B450=1,Y427="No"))),1,0)</f>
        <v>0</v>
      </c>
      <c r="AI450" s="190">
        <v>1</v>
      </c>
    </row>
    <row r="451" spans="1:35" s="180" customFormat="1" ht="18" hidden="1" customHeight="1" x14ac:dyDescent="0.2">
      <c r="A451" s="163" t="str">
        <f t="shared" si="103"/>
        <v/>
      </c>
      <c r="B451" s="170"/>
      <c r="C451" s="152"/>
      <c r="D451" s="378" t="s">
        <v>400</v>
      </c>
      <c r="E451" s="378"/>
      <c r="F451" s="378"/>
      <c r="G451" s="378"/>
      <c r="H451" s="378"/>
      <c r="I451" s="378"/>
      <c r="J451" s="378"/>
      <c r="K451" s="378"/>
      <c r="L451" s="378"/>
      <c r="M451" s="378"/>
      <c r="N451" s="378"/>
      <c r="O451" s="378"/>
      <c r="P451" s="378"/>
      <c r="Q451" s="378"/>
      <c r="R451" s="378"/>
      <c r="S451" s="378"/>
      <c r="T451" s="378"/>
      <c r="U451" s="378"/>
      <c r="V451" s="378"/>
      <c r="W451" s="378"/>
      <c r="X451" s="378"/>
      <c r="Y451" s="378"/>
      <c r="Z451" s="378"/>
      <c r="AA451" s="169"/>
      <c r="AB451" s="159" t="s">
        <v>281</v>
      </c>
      <c r="AD451" s="172" t="s">
        <v>249</v>
      </c>
      <c r="AE451" s="167"/>
      <c r="AF451" s="164">
        <f t="shared" si="104"/>
        <v>0</v>
      </c>
      <c r="AG451" s="164">
        <f>IF(AND(SUM(AF:AF)&gt;0,OR(AND(B451="",Y427="Yes"),AND(B451=1,Y427="No"))),1,0)</f>
        <v>0</v>
      </c>
      <c r="AI451" s="190">
        <v>1</v>
      </c>
    </row>
    <row r="452" spans="1:35" s="180" customFormat="1" ht="18" hidden="1" customHeight="1" x14ac:dyDescent="0.2">
      <c r="A452" s="163" t="str">
        <f t="shared" si="103"/>
        <v/>
      </c>
      <c r="B452" s="170"/>
      <c r="C452" s="152"/>
      <c r="D452" s="179" t="s">
        <v>252</v>
      </c>
      <c r="E452" s="378" t="s">
        <v>317</v>
      </c>
      <c r="F452" s="378"/>
      <c r="G452" s="378"/>
      <c r="H452" s="378"/>
      <c r="I452" s="378"/>
      <c r="J452" s="378"/>
      <c r="K452" s="378"/>
      <c r="L452" s="378"/>
      <c r="M452" s="378"/>
      <c r="N452" s="378"/>
      <c r="O452" s="378"/>
      <c r="P452" s="378"/>
      <c r="Q452" s="378"/>
      <c r="R452" s="378"/>
      <c r="S452" s="378"/>
      <c r="T452" s="378"/>
      <c r="U452" s="378"/>
      <c r="V452" s="378"/>
      <c r="W452" s="378"/>
      <c r="X452" s="378"/>
      <c r="Y452" s="378"/>
      <c r="Z452" s="378"/>
      <c r="AA452" s="169"/>
      <c r="AB452" s="159" t="s">
        <v>281</v>
      </c>
      <c r="AD452" s="172" t="s">
        <v>249</v>
      </c>
      <c r="AE452" s="167"/>
      <c r="AF452" s="164">
        <f t="shared" si="104"/>
        <v>0</v>
      </c>
      <c r="AG452" s="164">
        <f>IF(AND(SUM(AF:AF)&gt;0,OR(AND(B452="",Y427="Yes"),AND(B452=1,Y427="No"))),1,0)</f>
        <v>0</v>
      </c>
      <c r="AI452" s="190">
        <v>1</v>
      </c>
    </row>
    <row r="453" spans="1:35" s="180" customFormat="1" ht="18" hidden="1" customHeight="1" x14ac:dyDescent="0.2">
      <c r="A453" s="163" t="str">
        <f t="shared" si="103"/>
        <v/>
      </c>
      <c r="B453" s="170"/>
      <c r="C453" s="152"/>
      <c r="D453" s="179" t="s">
        <v>252</v>
      </c>
      <c r="E453" s="378" t="s">
        <v>318</v>
      </c>
      <c r="F453" s="378"/>
      <c r="G453" s="378"/>
      <c r="H453" s="378"/>
      <c r="I453" s="378"/>
      <c r="J453" s="378"/>
      <c r="K453" s="378"/>
      <c r="L453" s="378"/>
      <c r="M453" s="378"/>
      <c r="N453" s="378"/>
      <c r="O453" s="378"/>
      <c r="P453" s="378"/>
      <c r="Q453" s="378"/>
      <c r="R453" s="378"/>
      <c r="S453" s="378"/>
      <c r="T453" s="378"/>
      <c r="U453" s="378"/>
      <c r="V453" s="378"/>
      <c r="W453" s="378"/>
      <c r="X453" s="378"/>
      <c r="Y453" s="378"/>
      <c r="Z453" s="378"/>
      <c r="AA453" s="169"/>
      <c r="AB453" s="159" t="s">
        <v>281</v>
      </c>
      <c r="AD453" s="172" t="s">
        <v>249</v>
      </c>
      <c r="AE453" s="167"/>
      <c r="AF453" s="164">
        <f t="shared" si="104"/>
        <v>0</v>
      </c>
      <c r="AG453" s="164">
        <f>IF(AND(SUM(AF:AF)&gt;0,OR(AND(B453="",Y427="Yes"),AND(B453=1,Y427="No"))),1,0)</f>
        <v>0</v>
      </c>
      <c r="AI453" s="190">
        <v>1</v>
      </c>
    </row>
    <row r="454" spans="1:35" s="180" customFormat="1" ht="18" hidden="1" customHeight="1" x14ac:dyDescent="0.2">
      <c r="A454" s="163" t="str">
        <f t="shared" si="103"/>
        <v/>
      </c>
      <c r="B454" s="170"/>
      <c r="C454" s="152"/>
      <c r="D454" s="179" t="s">
        <v>252</v>
      </c>
      <c r="E454" s="378" t="s">
        <v>405</v>
      </c>
      <c r="F454" s="378"/>
      <c r="G454" s="378"/>
      <c r="H454" s="378"/>
      <c r="I454" s="378"/>
      <c r="J454" s="378"/>
      <c r="K454" s="378"/>
      <c r="L454" s="378"/>
      <c r="M454" s="378"/>
      <c r="N454" s="378"/>
      <c r="O454" s="378"/>
      <c r="P454" s="378"/>
      <c r="Q454" s="378"/>
      <c r="R454" s="378"/>
      <c r="S454" s="378"/>
      <c r="T454" s="378"/>
      <c r="U454" s="378"/>
      <c r="V454" s="378"/>
      <c r="W454" s="378"/>
      <c r="X454" s="378"/>
      <c r="Y454" s="378"/>
      <c r="Z454" s="378"/>
      <c r="AA454" s="169"/>
      <c r="AB454" s="159" t="s">
        <v>281</v>
      </c>
      <c r="AD454" s="172" t="s">
        <v>249</v>
      </c>
      <c r="AE454" s="167"/>
      <c r="AF454" s="164">
        <f t="shared" si="104"/>
        <v>0</v>
      </c>
      <c r="AG454" s="164">
        <f>IF(AND(SUM(AF:AF)&gt;0,OR(AND(B454="",Y427="Yes"),AND(B454=1,Y427="No"))),1,0)</f>
        <v>0</v>
      </c>
      <c r="AI454" s="190">
        <v>1</v>
      </c>
    </row>
    <row r="455" spans="1:35" s="180" customFormat="1" ht="18" hidden="1" customHeight="1" x14ac:dyDescent="0.2">
      <c r="A455" s="163" t="str">
        <f t="shared" si="103"/>
        <v/>
      </c>
      <c r="B455" s="170"/>
      <c r="C455" s="152"/>
      <c r="D455" s="179" t="s">
        <v>252</v>
      </c>
      <c r="E455" s="378" t="s">
        <v>396</v>
      </c>
      <c r="F455" s="378"/>
      <c r="G455" s="378"/>
      <c r="H455" s="378"/>
      <c r="I455" s="378"/>
      <c r="J455" s="378"/>
      <c r="K455" s="378"/>
      <c r="L455" s="378"/>
      <c r="M455" s="378"/>
      <c r="N455" s="378"/>
      <c r="O455" s="378"/>
      <c r="P455" s="378"/>
      <c r="Q455" s="378"/>
      <c r="R455" s="378"/>
      <c r="S455" s="378"/>
      <c r="T455" s="378"/>
      <c r="U455" s="378"/>
      <c r="V455" s="378"/>
      <c r="W455" s="378"/>
      <c r="X455" s="378"/>
      <c r="Y455" s="378"/>
      <c r="Z455" s="378"/>
      <c r="AA455" s="169"/>
      <c r="AB455" s="159" t="s">
        <v>281</v>
      </c>
      <c r="AD455" s="172" t="s">
        <v>249</v>
      </c>
      <c r="AE455" s="167"/>
      <c r="AF455" s="164">
        <f t="shared" si="104"/>
        <v>0</v>
      </c>
      <c r="AG455" s="164">
        <f>IF(AND(SUM(AF:AF)&gt;0,OR(AND(B455="",Y427="Yes"),AND(B455=1,Y427="No"))),1,0)</f>
        <v>0</v>
      </c>
      <c r="AI455" s="190">
        <v>1</v>
      </c>
    </row>
    <row r="456" spans="1:35" s="180" customFormat="1" ht="18" hidden="1" customHeight="1" x14ac:dyDescent="0.2">
      <c r="A456" s="163" t="str">
        <f t="shared" si="103"/>
        <v/>
      </c>
      <c r="B456" s="170"/>
      <c r="C456" s="152"/>
      <c r="D456" s="179" t="s">
        <v>252</v>
      </c>
      <c r="E456" s="378" t="s">
        <v>319</v>
      </c>
      <c r="F456" s="378"/>
      <c r="G456" s="378"/>
      <c r="H456" s="378"/>
      <c r="I456" s="378"/>
      <c r="J456" s="378"/>
      <c r="K456" s="378"/>
      <c r="L456" s="378"/>
      <c r="M456" s="378"/>
      <c r="N456" s="378"/>
      <c r="O456" s="378"/>
      <c r="P456" s="378"/>
      <c r="Q456" s="378"/>
      <c r="R456" s="378"/>
      <c r="S456" s="378"/>
      <c r="T456" s="378"/>
      <c r="U456" s="378"/>
      <c r="V456" s="378"/>
      <c r="W456" s="378"/>
      <c r="X456" s="378"/>
      <c r="Y456" s="378"/>
      <c r="Z456" s="378"/>
      <c r="AA456" s="169"/>
      <c r="AB456" s="159" t="s">
        <v>281</v>
      </c>
      <c r="AD456" s="172" t="s">
        <v>249</v>
      </c>
      <c r="AE456" s="167"/>
      <c r="AF456" s="164">
        <f t="shared" si="104"/>
        <v>0</v>
      </c>
      <c r="AG456" s="164">
        <f>IF(AND(SUM(AF:AF)&gt;0,OR(AND(B456="",Y427="Yes"),AND(B456=1,Y427="No"))),1,0)</f>
        <v>0</v>
      </c>
      <c r="AI456" s="190">
        <v>1</v>
      </c>
    </row>
    <row r="457" spans="1:35" s="180" customFormat="1" ht="18.5" hidden="1" customHeight="1" x14ac:dyDescent="0.2">
      <c r="A457" s="163" t="str">
        <f t="shared" si="103"/>
        <v/>
      </c>
      <c r="B457" s="164">
        <v>0</v>
      </c>
      <c r="C457" s="152"/>
      <c r="D457" s="179" t="s">
        <v>252</v>
      </c>
      <c r="E457" s="378" t="s">
        <v>312</v>
      </c>
      <c r="F457" s="378"/>
      <c r="G457" s="378"/>
      <c r="H457" s="378"/>
      <c r="I457" s="378"/>
      <c r="J457" s="378"/>
      <c r="K457" s="378"/>
      <c r="L457" s="378"/>
      <c r="M457" s="378"/>
      <c r="N457" s="378"/>
      <c r="O457" s="378"/>
      <c r="P457" s="378"/>
      <c r="Q457" s="378"/>
      <c r="R457" s="378"/>
      <c r="S457" s="378"/>
      <c r="T457" s="378"/>
      <c r="U457" s="378"/>
      <c r="V457" s="378"/>
      <c r="W457" s="378"/>
      <c r="X457" s="378"/>
      <c r="Y457" s="378"/>
      <c r="Z457" s="378"/>
      <c r="AA457" s="168"/>
      <c r="AB457" s="166" t="s">
        <v>259</v>
      </c>
      <c r="AD457" s="165" t="s">
        <v>260</v>
      </c>
      <c r="AE457" s="134"/>
      <c r="AF457" s="22"/>
      <c r="AG457" s="22"/>
      <c r="AI457" s="190">
        <v>1</v>
      </c>
    </row>
    <row r="458" spans="1:35" s="180" customFormat="1" ht="18" hidden="1" customHeight="1" x14ac:dyDescent="0.2">
      <c r="A458" s="163" t="str">
        <f t="shared" si="103"/>
        <v/>
      </c>
      <c r="B458" s="170"/>
      <c r="C458" s="152"/>
      <c r="D458" s="179" t="s">
        <v>252</v>
      </c>
      <c r="E458" s="373"/>
      <c r="F458" s="373"/>
      <c r="G458" s="373"/>
      <c r="H458" s="373"/>
      <c r="I458" s="373"/>
      <c r="J458" s="373"/>
      <c r="K458" s="373"/>
      <c r="L458" s="373"/>
      <c r="M458" s="373"/>
      <c r="N458" s="373"/>
      <c r="O458" s="373"/>
      <c r="P458" s="373"/>
      <c r="Q458" s="373"/>
      <c r="R458" s="373"/>
      <c r="S458" s="373"/>
      <c r="T458" s="373"/>
      <c r="U458" s="373"/>
      <c r="V458" s="373"/>
      <c r="W458" s="373"/>
      <c r="X458" s="373"/>
      <c r="Y458" s="373"/>
      <c r="Z458" s="373"/>
      <c r="AA458" s="169"/>
      <c r="AB458" s="159" t="s">
        <v>281</v>
      </c>
      <c r="AD458" s="172" t="s">
        <v>249</v>
      </c>
      <c r="AE458" s="167"/>
      <c r="AF458" s="164">
        <f t="shared" ref="AF458:AF460" si="105">IF(B458&lt;&gt;"",1,0)</f>
        <v>0</v>
      </c>
      <c r="AG458" s="164">
        <f>IF(AND(SUM(AF:AF)&gt;0,OR(AND(B458=1,Y427="No"),AND(B458=1,E458="",Y427="Yes"),AND(B458="",E458="",Y427="Yes"),AND(B458="",E458&lt;&gt;"",Y427="Yes"),AND(B458=0,E458&lt;&gt;"",Y427="Yes"))),1,0)</f>
        <v>0</v>
      </c>
      <c r="AI458" s="190">
        <v>1</v>
      </c>
    </row>
    <row r="459" spans="1:35" s="180" customFormat="1" ht="18" hidden="1" customHeight="1" x14ac:dyDescent="0.2">
      <c r="A459" s="163" t="str">
        <f t="shared" si="103"/>
        <v/>
      </c>
      <c r="B459" s="170"/>
      <c r="C459" s="152"/>
      <c r="D459" s="179" t="s">
        <v>252</v>
      </c>
      <c r="E459" s="373"/>
      <c r="F459" s="373"/>
      <c r="G459" s="373"/>
      <c r="H459" s="373"/>
      <c r="I459" s="373"/>
      <c r="J459" s="373"/>
      <c r="K459" s="373"/>
      <c r="L459" s="373"/>
      <c r="M459" s="373"/>
      <c r="N459" s="373"/>
      <c r="O459" s="373"/>
      <c r="P459" s="373"/>
      <c r="Q459" s="373"/>
      <c r="R459" s="373"/>
      <c r="S459" s="373"/>
      <c r="T459" s="373"/>
      <c r="U459" s="373"/>
      <c r="V459" s="373"/>
      <c r="W459" s="373"/>
      <c r="X459" s="373"/>
      <c r="Y459" s="373"/>
      <c r="Z459" s="373"/>
      <c r="AA459" s="169"/>
      <c r="AB459" s="159" t="s">
        <v>281</v>
      </c>
      <c r="AD459" s="172" t="s">
        <v>249</v>
      </c>
      <c r="AE459" s="167"/>
      <c r="AF459" s="164">
        <f t="shared" si="105"/>
        <v>0</v>
      </c>
      <c r="AG459" s="164">
        <f>IF(AND(SUM(AF:AF)&gt;0,OR(AND(B459=1,Y427="No"),AND(B459=1,E459="",Y427="Yes"),AND(B459="",E459="",Y427="Yes"),AND(B459="",E459&lt;&gt;"",Y427="Yes"),AND(B459=0,E459&lt;&gt;"",Y427="Yes"))),1,0)</f>
        <v>0</v>
      </c>
      <c r="AI459" s="190">
        <v>1</v>
      </c>
    </row>
    <row r="460" spans="1:35" s="180" customFormat="1" ht="18" hidden="1" customHeight="1" x14ac:dyDescent="0.2">
      <c r="A460" s="163" t="str">
        <f t="shared" si="103"/>
        <v/>
      </c>
      <c r="B460" s="170"/>
      <c r="C460" s="152"/>
      <c r="D460" s="179" t="s">
        <v>252</v>
      </c>
      <c r="E460" s="373"/>
      <c r="F460" s="373"/>
      <c r="G460" s="373"/>
      <c r="H460" s="373"/>
      <c r="I460" s="373"/>
      <c r="J460" s="373"/>
      <c r="K460" s="373"/>
      <c r="L460" s="373"/>
      <c r="M460" s="373"/>
      <c r="N460" s="373"/>
      <c r="O460" s="373"/>
      <c r="P460" s="373"/>
      <c r="Q460" s="373"/>
      <c r="R460" s="373"/>
      <c r="S460" s="373"/>
      <c r="T460" s="373"/>
      <c r="U460" s="373"/>
      <c r="V460" s="373"/>
      <c r="W460" s="373"/>
      <c r="X460" s="373"/>
      <c r="Y460" s="373"/>
      <c r="Z460" s="373"/>
      <c r="AA460" s="169"/>
      <c r="AB460" s="159" t="s">
        <v>281</v>
      </c>
      <c r="AD460" s="172" t="s">
        <v>249</v>
      </c>
      <c r="AE460" s="167"/>
      <c r="AF460" s="164">
        <f t="shared" si="105"/>
        <v>0</v>
      </c>
      <c r="AG460" s="164">
        <f>IF(AND(SUM(AF:AF)&gt;0,OR(AND(B460=1,Y427="No"),AND(B460=1,E460="",Y427="Yes"),AND(B460="",E460="",Y427="Yes"),AND(B460="",E460&lt;&gt;"",Y427="Yes"),AND(B460=0,E460&lt;&gt;"",Y427="Yes"))),1,0)</f>
        <v>0</v>
      </c>
      <c r="AI460" s="190">
        <v>1</v>
      </c>
    </row>
    <row r="461" spans="1:35" ht="21" hidden="1" customHeight="1" x14ac:dyDescent="0.2">
      <c r="A461" s="163" t="str">
        <f t="shared" si="103"/>
        <v/>
      </c>
      <c r="B461" s="164">
        <v>0</v>
      </c>
      <c r="D461" s="379" t="s">
        <v>258</v>
      </c>
      <c r="E461" s="379"/>
      <c r="F461" s="379"/>
      <c r="G461" s="379"/>
      <c r="H461" s="379"/>
      <c r="I461" s="379"/>
      <c r="J461" s="379"/>
      <c r="K461" s="379"/>
      <c r="L461" s="379"/>
      <c r="M461" s="379"/>
      <c r="N461" s="379"/>
      <c r="O461" s="379"/>
      <c r="P461" s="379"/>
      <c r="Q461" s="379"/>
      <c r="R461" s="379"/>
      <c r="S461" s="379"/>
      <c r="T461" s="379"/>
      <c r="U461" s="379"/>
      <c r="V461" s="379"/>
      <c r="W461" s="379"/>
      <c r="X461" s="379"/>
      <c r="Y461" s="379"/>
      <c r="Z461" s="379"/>
      <c r="AB461" s="166" t="s">
        <v>259</v>
      </c>
      <c r="AD461" s="165" t="s">
        <v>260</v>
      </c>
      <c r="AE461" s="134"/>
      <c r="AF461" s="22"/>
      <c r="AG461" s="22"/>
      <c r="AI461" s="190">
        <v>1</v>
      </c>
    </row>
    <row r="462" spans="1:35" ht="15.75" hidden="1" customHeight="1" x14ac:dyDescent="0.2">
      <c r="A462" s="163"/>
      <c r="B462" s="164">
        <v>0</v>
      </c>
      <c r="D462" s="369" t="s">
        <v>261</v>
      </c>
      <c r="E462" s="369"/>
      <c r="F462" s="369"/>
      <c r="G462" s="369"/>
      <c r="H462" s="369"/>
      <c r="I462" s="369"/>
      <c r="J462" s="369"/>
      <c r="K462" s="369"/>
      <c r="L462" s="369"/>
      <c r="M462" s="369"/>
      <c r="N462" s="369"/>
      <c r="O462" s="369"/>
      <c r="P462" s="369"/>
      <c r="Q462" s="369"/>
      <c r="R462" s="369"/>
      <c r="S462" s="369"/>
      <c r="T462" s="369"/>
      <c r="U462" s="369"/>
      <c r="V462" s="369"/>
      <c r="W462" s="369"/>
      <c r="X462" s="369"/>
      <c r="Y462" s="369"/>
      <c r="Z462" s="369"/>
      <c r="AB462" s="166" t="s">
        <v>259</v>
      </c>
      <c r="AD462" s="165" t="s">
        <v>260</v>
      </c>
      <c r="AE462" s="134"/>
      <c r="AF462" s="22"/>
      <c r="AG462" s="22"/>
      <c r="AI462" s="190">
        <v>1</v>
      </c>
    </row>
    <row r="463" spans="1:35" ht="8.5" hidden="1" customHeight="1" x14ac:dyDescent="0.15">
      <c r="A463" s="163" t="str">
        <f>IF(AG463=1,"X","")</f>
        <v/>
      </c>
      <c r="B463" s="164">
        <f>IF(OR(D464="Show",Q464="Show"),1,0)</f>
        <v>0</v>
      </c>
      <c r="D463" s="368"/>
      <c r="E463" s="368"/>
      <c r="F463" s="368"/>
      <c r="G463" s="368"/>
      <c r="H463" s="368"/>
      <c r="I463" s="368"/>
      <c r="J463" s="368"/>
      <c r="K463" s="368"/>
      <c r="L463" s="368"/>
      <c r="M463" s="368"/>
      <c r="N463" s="368"/>
      <c r="O463" s="368"/>
      <c r="P463" s="368"/>
      <c r="Q463" s="368"/>
      <c r="R463" s="368"/>
      <c r="S463" s="368"/>
      <c r="T463" s="368"/>
      <c r="U463" s="368"/>
      <c r="V463" s="368"/>
      <c r="W463" s="368"/>
      <c r="X463" s="368"/>
      <c r="Y463" s="368"/>
      <c r="Z463" s="368"/>
      <c r="AD463" s="165" t="s">
        <v>227</v>
      </c>
      <c r="AE463" s="156"/>
      <c r="AF463" s="22"/>
      <c r="AG463" s="22"/>
      <c r="AI463" s="190">
        <v>1</v>
      </c>
    </row>
    <row r="464" spans="1:35" ht="18" hidden="1" customHeight="1" x14ac:dyDescent="0.2">
      <c r="A464" s="163" t="str">
        <f t="shared" ref="A464:A467" si="106">IF(AG464=1,"X","")</f>
        <v/>
      </c>
      <c r="B464" s="164">
        <v>0</v>
      </c>
      <c r="D464" s="370" t="s">
        <v>267</v>
      </c>
      <c r="E464" s="370"/>
      <c r="F464" s="370"/>
      <c r="G464" s="370"/>
      <c r="H464" s="370"/>
      <c r="I464" s="370"/>
      <c r="J464" s="370"/>
      <c r="K464" s="370"/>
      <c r="L464" s="370"/>
      <c r="M464" s="370"/>
      <c r="N464" s="370"/>
      <c r="O464" s="175"/>
      <c r="P464" s="175"/>
      <c r="Q464" s="370" t="s">
        <v>267</v>
      </c>
      <c r="R464" s="370"/>
      <c r="S464" s="370"/>
      <c r="T464" s="370"/>
      <c r="U464" s="370"/>
      <c r="V464" s="370"/>
      <c r="W464" s="370"/>
      <c r="X464" s="370"/>
      <c r="Y464" s="370"/>
      <c r="Z464" s="370"/>
      <c r="AA464" s="176"/>
      <c r="AB464" s="159" t="s">
        <v>262</v>
      </c>
      <c r="AD464" s="172" t="s">
        <v>249</v>
      </c>
      <c r="AE464" s="134"/>
      <c r="AF464" s="164">
        <f>IF(OR(D464="Show",D464="",Q464="Show",Q464=""),1,0)</f>
        <v>0</v>
      </c>
      <c r="AG464" s="164">
        <f>IF(AND(SUM(AF:AF)&gt;0,OR(D464="",Q464="")),1,0)</f>
        <v>0</v>
      </c>
      <c r="AI464" s="190">
        <v>1</v>
      </c>
    </row>
    <row r="465" spans="1:35" ht="197.25" hidden="1" customHeight="1" x14ac:dyDescent="0.2">
      <c r="A465" s="163" t="str">
        <f t="shared" si="106"/>
        <v/>
      </c>
      <c r="B465" s="164">
        <f>B463</f>
        <v>0</v>
      </c>
      <c r="D465" s="370"/>
      <c r="E465" s="370"/>
      <c r="F465" s="370"/>
      <c r="G465" s="370"/>
      <c r="H465" s="370"/>
      <c r="I465" s="370"/>
      <c r="J465" s="370"/>
      <c r="K465" s="370"/>
      <c r="L465" s="370"/>
      <c r="M465" s="370"/>
      <c r="N465" s="370"/>
      <c r="O465" s="175"/>
      <c r="P465" s="175"/>
      <c r="Q465" s="370"/>
      <c r="R465" s="370"/>
      <c r="S465" s="370"/>
      <c r="T465" s="370"/>
      <c r="U465" s="370"/>
      <c r="V465" s="370"/>
      <c r="W465" s="370"/>
      <c r="X465" s="370"/>
      <c r="Y465" s="370"/>
      <c r="Z465" s="370"/>
      <c r="AA465" s="176"/>
      <c r="AB465" s="159" t="s">
        <v>263</v>
      </c>
      <c r="AD465" s="172" t="s">
        <v>249</v>
      </c>
      <c r="AE465" s="167"/>
      <c r="AF465" s="22"/>
      <c r="AG465" s="22"/>
      <c r="AI465" s="190">
        <v>1</v>
      </c>
    </row>
    <row r="466" spans="1:35" ht="18" hidden="1" customHeight="1" x14ac:dyDescent="0.2">
      <c r="A466" s="163" t="str">
        <f t="shared" si="106"/>
        <v/>
      </c>
      <c r="B466" s="164">
        <f>B465</f>
        <v>0</v>
      </c>
      <c r="D466" s="371"/>
      <c r="E466" s="371"/>
      <c r="F466" s="371"/>
      <c r="G466" s="371"/>
      <c r="H466" s="371"/>
      <c r="I466" s="371"/>
      <c r="J466" s="371"/>
      <c r="K466" s="371"/>
      <c r="L466" s="371"/>
      <c r="M466" s="371"/>
      <c r="N466" s="371"/>
      <c r="O466" s="175"/>
      <c r="P466" s="175"/>
      <c r="Q466" s="371"/>
      <c r="R466" s="371"/>
      <c r="S466" s="371"/>
      <c r="T466" s="371"/>
      <c r="U466" s="371"/>
      <c r="V466" s="371"/>
      <c r="W466" s="371"/>
      <c r="X466" s="371"/>
      <c r="Y466" s="371"/>
      <c r="Z466" s="371"/>
      <c r="AA466" s="176"/>
      <c r="AB466" s="159" t="s">
        <v>264</v>
      </c>
      <c r="AD466" s="172" t="s">
        <v>249</v>
      </c>
      <c r="AE466" s="167"/>
      <c r="AF466" s="164">
        <f>IF(OR(D464="Show",D464="",Q464="Show",Q464=""),1,0)</f>
        <v>0</v>
      </c>
      <c r="AG466" s="164">
        <f>IF(AND(SUM(AF:AF)&gt;0,OR(AND(D464="Show",D466=""),AND(Q464="Show",Q466=""))),1,0)</f>
        <v>0</v>
      </c>
      <c r="AI466" s="190">
        <v>1</v>
      </c>
    </row>
    <row r="467" spans="1:35" ht="8.5" hidden="1" customHeight="1" x14ac:dyDescent="0.15">
      <c r="A467" s="163" t="str">
        <f t="shared" si="106"/>
        <v/>
      </c>
      <c r="B467" s="164">
        <f>B466</f>
        <v>0</v>
      </c>
      <c r="D467" s="368"/>
      <c r="E467" s="368"/>
      <c r="F467" s="368"/>
      <c r="G467" s="368"/>
      <c r="H467" s="368"/>
      <c r="I467" s="368"/>
      <c r="J467" s="368"/>
      <c r="K467" s="368"/>
      <c r="L467" s="368"/>
      <c r="M467" s="368"/>
      <c r="N467" s="368"/>
      <c r="O467" s="368"/>
      <c r="P467" s="368"/>
      <c r="Q467" s="368"/>
      <c r="R467" s="368"/>
      <c r="S467" s="368"/>
      <c r="T467" s="368"/>
      <c r="U467" s="368"/>
      <c r="V467" s="368"/>
      <c r="W467" s="368"/>
      <c r="X467" s="368"/>
      <c r="Y467" s="368"/>
      <c r="Z467" s="368"/>
      <c r="AA467" s="176"/>
      <c r="AD467" s="165" t="s">
        <v>227</v>
      </c>
      <c r="AE467" s="156"/>
      <c r="AF467" s="22"/>
      <c r="AG467" s="22"/>
      <c r="AI467" s="190">
        <v>1</v>
      </c>
    </row>
    <row r="468" spans="1:35" ht="15.75" hidden="1" customHeight="1" x14ac:dyDescent="0.2">
      <c r="A468" s="163"/>
      <c r="B468" s="164">
        <v>0</v>
      </c>
      <c r="D468" s="369" t="s">
        <v>265</v>
      </c>
      <c r="E468" s="369"/>
      <c r="F468" s="369"/>
      <c r="G468" s="369"/>
      <c r="H468" s="369"/>
      <c r="I468" s="369"/>
      <c r="J468" s="369"/>
      <c r="K468" s="369"/>
      <c r="L468" s="369"/>
      <c r="M468" s="369"/>
      <c r="N468" s="369"/>
      <c r="O468" s="369"/>
      <c r="P468" s="369"/>
      <c r="Q468" s="369"/>
      <c r="R468" s="369"/>
      <c r="S468" s="369"/>
      <c r="T468" s="369"/>
      <c r="U468" s="369"/>
      <c r="V468" s="369"/>
      <c r="W468" s="369"/>
      <c r="X468" s="369"/>
      <c r="Y468" s="369"/>
      <c r="Z468" s="369"/>
      <c r="AB468" s="166" t="s">
        <v>259</v>
      </c>
      <c r="AD468" s="165" t="s">
        <v>260</v>
      </c>
      <c r="AE468" s="134"/>
      <c r="AF468" s="22"/>
      <c r="AG468" s="22"/>
      <c r="AI468" s="190">
        <v>1</v>
      </c>
    </row>
    <row r="469" spans="1:35" ht="21" hidden="1" customHeight="1" x14ac:dyDescent="0.15">
      <c r="A469" s="163" t="str">
        <f t="shared" ref="A469:A479" si="107">IF(AG469=1,"X","")</f>
        <v/>
      </c>
      <c r="B469" s="164">
        <f>IF(Y$427="Yes",1,0)</f>
        <v>0</v>
      </c>
      <c r="D469" s="380" t="s">
        <v>314</v>
      </c>
      <c r="E469" s="380"/>
      <c r="F469" s="380"/>
      <c r="G469" s="380"/>
      <c r="H469" s="380"/>
      <c r="I469" s="380"/>
      <c r="J469" s="380"/>
      <c r="K469" s="380"/>
      <c r="L469" s="380"/>
      <c r="M469" s="380"/>
      <c r="N469" s="380"/>
      <c r="O469" s="380"/>
      <c r="P469" s="380"/>
      <c r="Q469" s="380"/>
      <c r="R469" s="380"/>
      <c r="S469" s="380"/>
      <c r="T469" s="380"/>
      <c r="U469" s="380"/>
      <c r="V469" s="380"/>
      <c r="W469" s="380"/>
      <c r="X469" s="380"/>
      <c r="Y469" s="380"/>
      <c r="Z469" s="380"/>
      <c r="AB469" s="166" t="s">
        <v>462</v>
      </c>
      <c r="AD469" s="165" t="s">
        <v>463</v>
      </c>
      <c r="AE469" s="134"/>
      <c r="AF469" s="22"/>
      <c r="AG469" s="22"/>
      <c r="AI469" s="190">
        <v>1</v>
      </c>
    </row>
    <row r="470" spans="1:35" s="180" customFormat="1" ht="18" hidden="1" customHeight="1" x14ac:dyDescent="0.2">
      <c r="A470" s="163" t="str">
        <f t="shared" si="107"/>
        <v/>
      </c>
      <c r="B470" s="170"/>
      <c r="C470" s="152"/>
      <c r="D470" s="378" t="s">
        <v>401</v>
      </c>
      <c r="E470" s="378"/>
      <c r="F470" s="378"/>
      <c r="G470" s="378"/>
      <c r="H470" s="378"/>
      <c r="I470" s="378"/>
      <c r="J470" s="378"/>
      <c r="K470" s="378"/>
      <c r="L470" s="378"/>
      <c r="M470" s="378"/>
      <c r="N470" s="378"/>
      <c r="O470" s="378"/>
      <c r="P470" s="378"/>
      <c r="Q470" s="378"/>
      <c r="R470" s="378"/>
      <c r="S470" s="378"/>
      <c r="T470" s="378"/>
      <c r="U470" s="378"/>
      <c r="V470" s="378"/>
      <c r="W470" s="378"/>
      <c r="X470" s="378"/>
      <c r="Y470" s="378"/>
      <c r="Z470" s="378"/>
      <c r="AA470" s="169"/>
      <c r="AB470" s="159" t="s">
        <v>281</v>
      </c>
      <c r="AD470" s="172" t="s">
        <v>249</v>
      </c>
      <c r="AE470" s="167"/>
      <c r="AF470" s="164">
        <f t="shared" ref="AF470:AF473" si="108">IF(B470&lt;&gt;"",1,0)</f>
        <v>0</v>
      </c>
      <c r="AG470" s="164">
        <f>IF(AND(SUM(AF:AF)&gt;0,OR(AND(B470="",Y427="Yes"),AND(B470=1,Y427="No"))),1,0)</f>
        <v>0</v>
      </c>
      <c r="AI470" s="190">
        <v>1</v>
      </c>
    </row>
    <row r="471" spans="1:35" s="180" customFormat="1" ht="18" hidden="1" customHeight="1" x14ac:dyDescent="0.2">
      <c r="A471" s="163" t="str">
        <f t="shared" si="107"/>
        <v/>
      </c>
      <c r="B471" s="170"/>
      <c r="C471" s="152"/>
      <c r="D471" s="378" t="s">
        <v>402</v>
      </c>
      <c r="E471" s="378"/>
      <c r="F471" s="378"/>
      <c r="G471" s="378"/>
      <c r="H471" s="378"/>
      <c r="I471" s="378"/>
      <c r="J471" s="378"/>
      <c r="K471" s="378"/>
      <c r="L471" s="378"/>
      <c r="M471" s="378"/>
      <c r="N471" s="378"/>
      <c r="O471" s="378"/>
      <c r="P471" s="378"/>
      <c r="Q471" s="378"/>
      <c r="R471" s="378"/>
      <c r="S471" s="378"/>
      <c r="T471" s="378"/>
      <c r="U471" s="378"/>
      <c r="V471" s="378"/>
      <c r="W471" s="378"/>
      <c r="X471" s="378"/>
      <c r="Y471" s="378"/>
      <c r="Z471" s="378"/>
      <c r="AA471" s="169"/>
      <c r="AB471" s="159" t="s">
        <v>281</v>
      </c>
      <c r="AD471" s="172" t="s">
        <v>249</v>
      </c>
      <c r="AE471" s="167"/>
      <c r="AF471" s="164">
        <f t="shared" si="108"/>
        <v>0</v>
      </c>
      <c r="AG471" s="164">
        <f>IF(AND(SUM(AF:AF)&gt;0,OR(AND(B471="",Y427="Yes"),AND(B471=1,Y427="No"))),1,0)</f>
        <v>0</v>
      </c>
      <c r="AI471" s="190">
        <v>1</v>
      </c>
    </row>
    <row r="472" spans="1:35" s="180" customFormat="1" ht="18" hidden="1" customHeight="1" x14ac:dyDescent="0.2">
      <c r="A472" s="163" t="str">
        <f t="shared" si="107"/>
        <v/>
      </c>
      <c r="B472" s="170"/>
      <c r="C472" s="152"/>
      <c r="D472" s="179" t="s">
        <v>252</v>
      </c>
      <c r="E472" s="378" t="s">
        <v>318</v>
      </c>
      <c r="F472" s="378"/>
      <c r="G472" s="378"/>
      <c r="H472" s="378"/>
      <c r="I472" s="378"/>
      <c r="J472" s="378"/>
      <c r="K472" s="378"/>
      <c r="L472" s="378"/>
      <c r="M472" s="378"/>
      <c r="N472" s="378"/>
      <c r="O472" s="378"/>
      <c r="P472" s="378"/>
      <c r="Q472" s="378"/>
      <c r="R472" s="378"/>
      <c r="S472" s="378"/>
      <c r="T472" s="378"/>
      <c r="U472" s="378"/>
      <c r="V472" s="378"/>
      <c r="W472" s="378"/>
      <c r="X472" s="378"/>
      <c r="Y472" s="378"/>
      <c r="Z472" s="378"/>
      <c r="AA472" s="169"/>
      <c r="AB472" s="159" t="s">
        <v>281</v>
      </c>
      <c r="AD472" s="172" t="s">
        <v>249</v>
      </c>
      <c r="AE472" s="167"/>
      <c r="AF472" s="164">
        <f t="shared" si="108"/>
        <v>0</v>
      </c>
      <c r="AG472" s="164">
        <f>IF(AND(SUM(AF:AF)&gt;0,OR(AND(B472="",Y427="Yes"),AND(B472=1,Y427="No"))),1,0)</f>
        <v>0</v>
      </c>
      <c r="AI472" s="190">
        <v>1</v>
      </c>
    </row>
    <row r="473" spans="1:35" s="180" customFormat="1" ht="18" hidden="1" customHeight="1" x14ac:dyDescent="0.2">
      <c r="A473" s="163" t="str">
        <f t="shared" si="107"/>
        <v/>
      </c>
      <c r="B473" s="170"/>
      <c r="C473" s="152"/>
      <c r="D473" s="179" t="s">
        <v>252</v>
      </c>
      <c r="E473" s="378" t="s">
        <v>405</v>
      </c>
      <c r="F473" s="378"/>
      <c r="G473" s="378"/>
      <c r="H473" s="378"/>
      <c r="I473" s="378"/>
      <c r="J473" s="378"/>
      <c r="K473" s="378"/>
      <c r="L473" s="378"/>
      <c r="M473" s="378"/>
      <c r="N473" s="378"/>
      <c r="O473" s="378"/>
      <c r="P473" s="378"/>
      <c r="Q473" s="378"/>
      <c r="R473" s="378"/>
      <c r="S473" s="378"/>
      <c r="T473" s="378"/>
      <c r="U473" s="378"/>
      <c r="V473" s="378"/>
      <c r="W473" s="378"/>
      <c r="X473" s="378"/>
      <c r="Y473" s="378"/>
      <c r="Z473" s="378"/>
      <c r="AA473" s="169"/>
      <c r="AB473" s="159" t="s">
        <v>281</v>
      </c>
      <c r="AD473" s="172" t="s">
        <v>249</v>
      </c>
      <c r="AE473" s="167"/>
      <c r="AF473" s="164">
        <f t="shared" si="108"/>
        <v>0</v>
      </c>
      <c r="AG473" s="164">
        <f>IF(AND(SUM(AF:AF)&gt;0,OR(AND(B473="",Y427="Yes"),AND(B473=1,Y427="No"))),1,0)</f>
        <v>0</v>
      </c>
      <c r="AI473" s="190">
        <v>1</v>
      </c>
    </row>
    <row r="474" spans="1:35" s="180" customFormat="1" ht="18.5" hidden="1" customHeight="1" x14ac:dyDescent="0.2">
      <c r="A474" s="163" t="str">
        <f t="shared" si="107"/>
        <v/>
      </c>
      <c r="B474" s="164">
        <v>0</v>
      </c>
      <c r="C474" s="152"/>
      <c r="D474" s="179" t="s">
        <v>252</v>
      </c>
      <c r="E474" s="378" t="s">
        <v>312</v>
      </c>
      <c r="F474" s="378"/>
      <c r="G474" s="378"/>
      <c r="H474" s="378"/>
      <c r="I474" s="378"/>
      <c r="J474" s="378"/>
      <c r="K474" s="378"/>
      <c r="L474" s="378"/>
      <c r="M474" s="378"/>
      <c r="N474" s="378"/>
      <c r="O474" s="378"/>
      <c r="P474" s="378"/>
      <c r="Q474" s="378"/>
      <c r="R474" s="378"/>
      <c r="S474" s="378"/>
      <c r="T474" s="378"/>
      <c r="U474" s="378"/>
      <c r="V474" s="378"/>
      <c r="W474" s="378"/>
      <c r="X474" s="378"/>
      <c r="Y474" s="378"/>
      <c r="Z474" s="378"/>
      <c r="AA474" s="168"/>
      <c r="AB474" s="166" t="s">
        <v>259</v>
      </c>
      <c r="AD474" s="165" t="s">
        <v>260</v>
      </c>
      <c r="AE474" s="134"/>
      <c r="AF474" s="22"/>
      <c r="AG474" s="22"/>
      <c r="AI474" s="190">
        <v>1</v>
      </c>
    </row>
    <row r="475" spans="1:35" s="180" customFormat="1" ht="18" hidden="1" customHeight="1" x14ac:dyDescent="0.2">
      <c r="A475" s="163" t="str">
        <f t="shared" si="107"/>
        <v/>
      </c>
      <c r="B475" s="170"/>
      <c r="C475" s="152"/>
      <c r="D475" s="179" t="s">
        <v>252</v>
      </c>
      <c r="E475" s="373"/>
      <c r="F475" s="373"/>
      <c r="G475" s="373"/>
      <c r="H475" s="373"/>
      <c r="I475" s="373"/>
      <c r="J475" s="373"/>
      <c r="K475" s="373"/>
      <c r="L475" s="373"/>
      <c r="M475" s="373"/>
      <c r="N475" s="373"/>
      <c r="O475" s="373"/>
      <c r="P475" s="373"/>
      <c r="Q475" s="373"/>
      <c r="R475" s="373"/>
      <c r="S475" s="373"/>
      <c r="T475" s="373"/>
      <c r="U475" s="373"/>
      <c r="V475" s="373"/>
      <c r="W475" s="373"/>
      <c r="X475" s="373"/>
      <c r="Y475" s="373"/>
      <c r="Z475" s="373"/>
      <c r="AA475" s="169"/>
      <c r="AB475" s="159" t="s">
        <v>281</v>
      </c>
      <c r="AD475" s="172" t="s">
        <v>249</v>
      </c>
      <c r="AE475" s="167"/>
      <c r="AF475" s="164">
        <f t="shared" ref="AF475:AF478" si="109">IF(B475&lt;&gt;"",1,0)</f>
        <v>0</v>
      </c>
      <c r="AG475" s="164">
        <f>IF(AND(SUM(AF:AF)&gt;0,OR(AND(B475=1,Y427="No"),AND(B475=1,E475="",Y427="Yes"),AND(B475="",E475="",Y427="Yes"),AND(B475="",E475&lt;&gt;"",Y427="Yes"),AND(B475=0,E475&lt;&gt;"",Y427="Yes"))),1,0)</f>
        <v>0</v>
      </c>
      <c r="AI475" s="190">
        <v>1</v>
      </c>
    </row>
    <row r="476" spans="1:35" s="180" customFormat="1" ht="18" hidden="1" customHeight="1" x14ac:dyDescent="0.2">
      <c r="A476" s="163" t="str">
        <f t="shared" si="107"/>
        <v/>
      </c>
      <c r="B476" s="170"/>
      <c r="C476" s="152"/>
      <c r="D476" s="179" t="s">
        <v>252</v>
      </c>
      <c r="E476" s="373"/>
      <c r="F476" s="373"/>
      <c r="G476" s="373"/>
      <c r="H476" s="373"/>
      <c r="I476" s="373"/>
      <c r="J476" s="373"/>
      <c r="K476" s="373"/>
      <c r="L476" s="373"/>
      <c r="M476" s="373"/>
      <c r="N476" s="373"/>
      <c r="O476" s="373"/>
      <c r="P476" s="373"/>
      <c r="Q476" s="373"/>
      <c r="R476" s="373"/>
      <c r="S476" s="373"/>
      <c r="T476" s="373"/>
      <c r="U476" s="373"/>
      <c r="V476" s="373"/>
      <c r="W476" s="373"/>
      <c r="X476" s="373"/>
      <c r="Y476" s="373"/>
      <c r="Z476" s="373"/>
      <c r="AA476" s="169"/>
      <c r="AB476" s="159" t="s">
        <v>281</v>
      </c>
      <c r="AD476" s="172" t="s">
        <v>249</v>
      </c>
      <c r="AE476" s="167"/>
      <c r="AF476" s="164">
        <f t="shared" si="109"/>
        <v>0</v>
      </c>
      <c r="AG476" s="164">
        <f>IF(AND(SUM(AF:AF)&gt;0,OR(AND(B476=1,Y427="No"),AND(B476=1,E476="",Y427="Yes"),AND(B476="",E476="",Y427="Yes"),AND(B476="",E476&lt;&gt;"",Y427="Yes"),AND(B476=0,E476&lt;&gt;"",Y427="Yes"))),1,0)</f>
        <v>0</v>
      </c>
      <c r="AI476" s="190">
        <v>1</v>
      </c>
    </row>
    <row r="477" spans="1:35" s="180" customFormat="1" ht="18" hidden="1" customHeight="1" x14ac:dyDescent="0.2">
      <c r="A477" s="163" t="str">
        <f t="shared" si="107"/>
        <v/>
      </c>
      <c r="B477" s="170"/>
      <c r="C477" s="152"/>
      <c r="D477" s="179" t="s">
        <v>252</v>
      </c>
      <c r="E477" s="373"/>
      <c r="F477" s="373"/>
      <c r="G477" s="373"/>
      <c r="H477" s="373"/>
      <c r="I477" s="373"/>
      <c r="J477" s="373"/>
      <c r="K477" s="373"/>
      <c r="L477" s="373"/>
      <c r="M477" s="373"/>
      <c r="N477" s="373"/>
      <c r="O477" s="373"/>
      <c r="P477" s="373"/>
      <c r="Q477" s="373"/>
      <c r="R477" s="373"/>
      <c r="S477" s="373"/>
      <c r="T477" s="373"/>
      <c r="U477" s="373"/>
      <c r="V477" s="373"/>
      <c r="W477" s="373"/>
      <c r="X477" s="373"/>
      <c r="Y477" s="373"/>
      <c r="Z477" s="373"/>
      <c r="AA477" s="169"/>
      <c r="AB477" s="159" t="s">
        <v>281</v>
      </c>
      <c r="AD477" s="172" t="s">
        <v>249</v>
      </c>
      <c r="AE477" s="167"/>
      <c r="AF477" s="164">
        <f t="shared" si="109"/>
        <v>0</v>
      </c>
      <c r="AG477" s="164">
        <f>IF(AND(SUM(AF:AF)&gt;0,OR(AND(B477=1,Y427="No"),AND(B477=1,E477="",Y427="Yes"),AND(B477="",E477="",Y427="Yes"),AND(B477="",E477&lt;&gt;"",Y427="Yes"),AND(B477=0,E477&lt;&gt;"",Y427="Yes"))),1,0)</f>
        <v>0</v>
      </c>
      <c r="AI477" s="190">
        <v>1</v>
      </c>
    </row>
    <row r="478" spans="1:35" s="180" customFormat="1" ht="18" hidden="1" customHeight="1" x14ac:dyDescent="0.2">
      <c r="A478" s="163" t="str">
        <f t="shared" si="107"/>
        <v/>
      </c>
      <c r="B478" s="170"/>
      <c r="C478" s="152"/>
      <c r="D478" s="375" t="s">
        <v>320</v>
      </c>
      <c r="E478" s="375"/>
      <c r="F478" s="375"/>
      <c r="G478" s="375"/>
      <c r="H478" s="375"/>
      <c r="I478" s="375"/>
      <c r="J478" s="375"/>
      <c r="K478" s="375"/>
      <c r="L478" s="375"/>
      <c r="M478" s="375"/>
      <c r="N478" s="375"/>
      <c r="O478" s="375"/>
      <c r="P478" s="375"/>
      <c r="Q478" s="375"/>
      <c r="R478" s="187"/>
      <c r="S478" s="378" t="s">
        <v>321</v>
      </c>
      <c r="T478" s="378"/>
      <c r="U478" s="378"/>
      <c r="V478" s="378"/>
      <c r="W478" s="378"/>
      <c r="X478" s="378"/>
      <c r="Y478" s="378"/>
      <c r="Z478" s="378"/>
      <c r="AA478" s="169"/>
      <c r="AB478" s="159" t="s">
        <v>281</v>
      </c>
      <c r="AD478" s="172" t="s">
        <v>249</v>
      </c>
      <c r="AE478" s="167"/>
      <c r="AF478" s="164">
        <f t="shared" si="109"/>
        <v>0</v>
      </c>
      <c r="AG478" s="164">
        <f>IF(AND(SUM(AF:AF)&gt;0,OR(AND(B478=1,Y427="No"),AND(B478=1,R478="",Y427="Yes"),AND(B478="",R478="",Y427="Yes"),AND(B478="",R478&lt;&gt;"",Y427="Yes"),AND(B478=0,R478&lt;&gt;"",Y427="Yes"))),1,0)</f>
        <v>0</v>
      </c>
      <c r="AI478" s="190">
        <v>1</v>
      </c>
    </row>
    <row r="479" spans="1:35" ht="21" hidden="1" customHeight="1" x14ac:dyDescent="0.2">
      <c r="A479" s="163" t="str">
        <f t="shared" si="107"/>
        <v/>
      </c>
      <c r="B479" s="164">
        <v>0</v>
      </c>
      <c r="D479" s="379" t="s">
        <v>258</v>
      </c>
      <c r="E479" s="379"/>
      <c r="F479" s="379"/>
      <c r="G479" s="379"/>
      <c r="H479" s="379"/>
      <c r="I479" s="379"/>
      <c r="J479" s="379"/>
      <c r="K479" s="379"/>
      <c r="L479" s="379"/>
      <c r="M479" s="379"/>
      <c r="N479" s="379"/>
      <c r="O479" s="379"/>
      <c r="P479" s="379"/>
      <c r="Q479" s="379"/>
      <c r="R479" s="379"/>
      <c r="S479" s="379"/>
      <c r="T479" s="379"/>
      <c r="U479" s="379"/>
      <c r="V479" s="379"/>
      <c r="W479" s="379"/>
      <c r="X479" s="379"/>
      <c r="Y479" s="379"/>
      <c r="Z479" s="379"/>
      <c r="AB479" s="166" t="s">
        <v>259</v>
      </c>
      <c r="AD479" s="165" t="s">
        <v>260</v>
      </c>
      <c r="AE479" s="134"/>
      <c r="AF479" s="22"/>
      <c r="AG479" s="22"/>
      <c r="AI479" s="190">
        <v>1</v>
      </c>
    </row>
    <row r="480" spans="1:35" ht="15.75" hidden="1" customHeight="1" x14ac:dyDescent="0.2">
      <c r="A480" s="163"/>
      <c r="B480" s="164">
        <v>0</v>
      </c>
      <c r="D480" s="369" t="s">
        <v>261</v>
      </c>
      <c r="E480" s="369"/>
      <c r="F480" s="369"/>
      <c r="G480" s="369"/>
      <c r="H480" s="369"/>
      <c r="I480" s="369"/>
      <c r="J480" s="369"/>
      <c r="K480" s="369"/>
      <c r="L480" s="369"/>
      <c r="M480" s="369"/>
      <c r="N480" s="369"/>
      <c r="O480" s="369"/>
      <c r="P480" s="369"/>
      <c r="Q480" s="369"/>
      <c r="R480" s="369"/>
      <c r="S480" s="369"/>
      <c r="T480" s="369"/>
      <c r="U480" s="369"/>
      <c r="V480" s="369"/>
      <c r="W480" s="369"/>
      <c r="X480" s="369"/>
      <c r="Y480" s="369"/>
      <c r="Z480" s="369"/>
      <c r="AB480" s="166" t="s">
        <v>259</v>
      </c>
      <c r="AD480" s="165" t="s">
        <v>260</v>
      </c>
      <c r="AE480" s="134"/>
      <c r="AF480" s="22"/>
      <c r="AG480" s="22"/>
      <c r="AI480" s="190">
        <v>1</v>
      </c>
    </row>
    <row r="481" spans="1:35" ht="8.5" hidden="1" customHeight="1" x14ac:dyDescent="0.15">
      <c r="A481" s="163" t="str">
        <f>IF(AG481=1,"X","")</f>
        <v/>
      </c>
      <c r="B481" s="164">
        <f>IF(OR(D482="Show",Q482="Show"),1,0)</f>
        <v>0</v>
      </c>
      <c r="D481" s="368"/>
      <c r="E481" s="368"/>
      <c r="F481" s="368"/>
      <c r="G481" s="368"/>
      <c r="H481" s="368"/>
      <c r="I481" s="368"/>
      <c r="J481" s="368"/>
      <c r="K481" s="368"/>
      <c r="L481" s="368"/>
      <c r="M481" s="368"/>
      <c r="N481" s="368"/>
      <c r="O481" s="368"/>
      <c r="P481" s="368"/>
      <c r="Q481" s="368"/>
      <c r="R481" s="368"/>
      <c r="S481" s="368"/>
      <c r="T481" s="368"/>
      <c r="U481" s="368"/>
      <c r="V481" s="368"/>
      <c r="W481" s="368"/>
      <c r="X481" s="368"/>
      <c r="Y481" s="368"/>
      <c r="Z481" s="368"/>
      <c r="AD481" s="165" t="s">
        <v>227</v>
      </c>
      <c r="AE481" s="156"/>
      <c r="AF481" s="22"/>
      <c r="AG481" s="22"/>
      <c r="AI481" s="190">
        <v>1</v>
      </c>
    </row>
    <row r="482" spans="1:35" ht="18" hidden="1" customHeight="1" x14ac:dyDescent="0.2">
      <c r="A482" s="163" t="str">
        <f t="shared" ref="A482:A485" si="110">IF(AG482=1,"X","")</f>
        <v/>
      </c>
      <c r="B482" s="164">
        <v>0</v>
      </c>
      <c r="D482" s="370" t="s">
        <v>267</v>
      </c>
      <c r="E482" s="370"/>
      <c r="F482" s="370"/>
      <c r="G482" s="370"/>
      <c r="H482" s="370"/>
      <c r="I482" s="370"/>
      <c r="J482" s="370"/>
      <c r="K482" s="370"/>
      <c r="L482" s="370"/>
      <c r="M482" s="370"/>
      <c r="N482" s="370"/>
      <c r="O482" s="175"/>
      <c r="P482" s="175"/>
      <c r="Q482" s="370" t="s">
        <v>267</v>
      </c>
      <c r="R482" s="370"/>
      <c r="S482" s="370"/>
      <c r="T482" s="370"/>
      <c r="U482" s="370"/>
      <c r="V482" s="370"/>
      <c r="W482" s="370"/>
      <c r="X482" s="370"/>
      <c r="Y482" s="370"/>
      <c r="Z482" s="370"/>
      <c r="AA482" s="176"/>
      <c r="AB482" s="159" t="s">
        <v>262</v>
      </c>
      <c r="AD482" s="172" t="s">
        <v>249</v>
      </c>
      <c r="AE482" s="134"/>
      <c r="AF482" s="164">
        <f>IF(OR(D482="Show",D482="",Q482="Show",Q482=""),1,0)</f>
        <v>0</v>
      </c>
      <c r="AG482" s="164">
        <f>IF(AND(SUM(AF:AF)&gt;0,OR(D482="",Q482="")),1,0)</f>
        <v>0</v>
      </c>
      <c r="AI482" s="190">
        <v>1</v>
      </c>
    </row>
    <row r="483" spans="1:35" ht="197.25" hidden="1" customHeight="1" x14ac:dyDescent="0.2">
      <c r="A483" s="163" t="str">
        <f t="shared" si="110"/>
        <v/>
      </c>
      <c r="B483" s="164">
        <f>B481</f>
        <v>0</v>
      </c>
      <c r="D483" s="370"/>
      <c r="E483" s="370"/>
      <c r="F483" s="370"/>
      <c r="G483" s="370"/>
      <c r="H483" s="370"/>
      <c r="I483" s="370"/>
      <c r="J483" s="370"/>
      <c r="K483" s="370"/>
      <c r="L483" s="370"/>
      <c r="M483" s="370"/>
      <c r="N483" s="370"/>
      <c r="O483" s="175"/>
      <c r="P483" s="175"/>
      <c r="Q483" s="370"/>
      <c r="R483" s="370"/>
      <c r="S483" s="370"/>
      <c r="T483" s="370"/>
      <c r="U483" s="370"/>
      <c r="V483" s="370"/>
      <c r="W483" s="370"/>
      <c r="X483" s="370"/>
      <c r="Y483" s="370"/>
      <c r="Z483" s="370"/>
      <c r="AA483" s="176"/>
      <c r="AB483" s="159" t="s">
        <v>263</v>
      </c>
      <c r="AD483" s="172" t="s">
        <v>249</v>
      </c>
      <c r="AE483" s="167"/>
      <c r="AF483" s="22"/>
      <c r="AG483" s="22"/>
      <c r="AI483" s="190">
        <v>1</v>
      </c>
    </row>
    <row r="484" spans="1:35" ht="18" hidden="1" customHeight="1" x14ac:dyDescent="0.2">
      <c r="A484" s="163" t="str">
        <f t="shared" si="110"/>
        <v/>
      </c>
      <c r="B484" s="164">
        <f>B483</f>
        <v>0</v>
      </c>
      <c r="D484" s="371"/>
      <c r="E484" s="371"/>
      <c r="F484" s="371"/>
      <c r="G484" s="371"/>
      <c r="H484" s="371"/>
      <c r="I484" s="371"/>
      <c r="J484" s="371"/>
      <c r="K484" s="371"/>
      <c r="L484" s="371"/>
      <c r="M484" s="371"/>
      <c r="N484" s="371"/>
      <c r="O484" s="175"/>
      <c r="P484" s="175"/>
      <c r="Q484" s="371"/>
      <c r="R484" s="371"/>
      <c r="S484" s="371"/>
      <c r="T484" s="371"/>
      <c r="U484" s="371"/>
      <c r="V484" s="371"/>
      <c r="W484" s="371"/>
      <c r="X484" s="371"/>
      <c r="Y484" s="371"/>
      <c r="Z484" s="371"/>
      <c r="AA484" s="176"/>
      <c r="AB484" s="159" t="s">
        <v>264</v>
      </c>
      <c r="AD484" s="172" t="s">
        <v>249</v>
      </c>
      <c r="AE484" s="167"/>
      <c r="AF484" s="164">
        <f>IF(OR(D482="Show",D482="",Q482="Show",Q482=""),1,0)</f>
        <v>0</v>
      </c>
      <c r="AG484" s="164">
        <f>IF(AND(SUM(AF:AF)&gt;0,OR(AND(D482="Show",D484=""),AND(Q482="Show",Q484=""))),1,0)</f>
        <v>0</v>
      </c>
      <c r="AI484" s="190">
        <v>1</v>
      </c>
    </row>
    <row r="485" spans="1:35" ht="8.5" hidden="1" customHeight="1" x14ac:dyDescent="0.15">
      <c r="A485" s="163" t="str">
        <f t="shared" si="110"/>
        <v/>
      </c>
      <c r="B485" s="164">
        <f>B484</f>
        <v>0</v>
      </c>
      <c r="D485" s="368"/>
      <c r="E485" s="368"/>
      <c r="F485" s="368"/>
      <c r="G485" s="368"/>
      <c r="H485" s="368"/>
      <c r="I485" s="368"/>
      <c r="J485" s="368"/>
      <c r="K485" s="368"/>
      <c r="L485" s="368"/>
      <c r="M485" s="368"/>
      <c r="N485" s="368"/>
      <c r="O485" s="368"/>
      <c r="P485" s="368"/>
      <c r="Q485" s="368"/>
      <c r="R485" s="368"/>
      <c r="S485" s="368"/>
      <c r="T485" s="368"/>
      <c r="U485" s="368"/>
      <c r="V485" s="368"/>
      <c r="W485" s="368"/>
      <c r="X485" s="368"/>
      <c r="Y485" s="368"/>
      <c r="Z485" s="368"/>
      <c r="AA485" s="176"/>
      <c r="AD485" s="165" t="s">
        <v>227</v>
      </c>
      <c r="AE485" s="156"/>
      <c r="AF485" s="22"/>
      <c r="AG485" s="22"/>
      <c r="AI485" s="190">
        <v>1</v>
      </c>
    </row>
    <row r="486" spans="1:35" ht="15.75" hidden="1" customHeight="1" x14ac:dyDescent="0.2">
      <c r="A486" s="163"/>
      <c r="B486" s="164">
        <v>0</v>
      </c>
      <c r="D486" s="369" t="s">
        <v>265</v>
      </c>
      <c r="E486" s="369"/>
      <c r="F486" s="369"/>
      <c r="G486" s="369"/>
      <c r="H486" s="369"/>
      <c r="I486" s="369"/>
      <c r="J486" s="369"/>
      <c r="K486" s="369"/>
      <c r="L486" s="369"/>
      <c r="M486" s="369"/>
      <c r="N486" s="369"/>
      <c r="O486" s="369"/>
      <c r="P486" s="369"/>
      <c r="Q486" s="369"/>
      <c r="R486" s="369"/>
      <c r="S486" s="369"/>
      <c r="T486" s="369"/>
      <c r="U486" s="369"/>
      <c r="V486" s="369"/>
      <c r="W486" s="369"/>
      <c r="X486" s="369"/>
      <c r="Y486" s="369"/>
      <c r="Z486" s="369"/>
      <c r="AB486" s="166" t="s">
        <v>259</v>
      </c>
      <c r="AD486" s="165" t="s">
        <v>260</v>
      </c>
      <c r="AE486" s="134"/>
      <c r="AF486" s="22"/>
      <c r="AG486" s="22"/>
      <c r="AI486" s="190">
        <v>1</v>
      </c>
    </row>
    <row r="487" spans="1:35" ht="25" hidden="1" customHeight="1" x14ac:dyDescent="0.2">
      <c r="A487" s="163"/>
      <c r="B487" s="164">
        <v>0</v>
      </c>
      <c r="D487" s="374" t="str">
        <f>CONCATENATE("↑ Room Section ", N429," ↑")</f>
        <v>↑ Room Section 5 ↑</v>
      </c>
      <c r="E487" s="374"/>
      <c r="F487" s="374"/>
      <c r="G487" s="374"/>
      <c r="H487" s="374"/>
      <c r="I487" s="374"/>
      <c r="J487" s="374"/>
      <c r="K487" s="374"/>
      <c r="L487" s="374"/>
      <c r="M487" s="374"/>
      <c r="N487" s="374"/>
      <c r="O487" s="374"/>
      <c r="P487" s="374"/>
      <c r="Q487" s="374"/>
      <c r="R487" s="374"/>
      <c r="S487" s="374"/>
      <c r="T487" s="374"/>
      <c r="U487" s="374"/>
      <c r="V487" s="374"/>
      <c r="W487" s="374"/>
      <c r="X487" s="374"/>
      <c r="Y487" s="374"/>
      <c r="Z487" s="374"/>
      <c r="AB487" s="166" t="s">
        <v>259</v>
      </c>
      <c r="AD487" s="165" t="s">
        <v>260</v>
      </c>
      <c r="AE487" s="134"/>
      <c r="AF487" s="22"/>
      <c r="AG487" s="22"/>
      <c r="AI487" s="190">
        <v>1</v>
      </c>
    </row>
    <row r="488" spans="1:35" ht="21" hidden="1" customHeight="1" x14ac:dyDescent="0.2">
      <c r="A488" s="163" t="str">
        <f>IF(OR(SUM(AG489:AG548),Y488=""),"X","")</f>
        <v/>
      </c>
      <c r="B488" s="164">
        <v>0</v>
      </c>
      <c r="D488" s="381" t="str">
        <f>CONCATENATE("Show Room ",N490," Inspection Section?")</f>
        <v>Show Room 6 Inspection Section?</v>
      </c>
      <c r="E488" s="381"/>
      <c r="F488" s="381"/>
      <c r="G488" s="381"/>
      <c r="H488" s="381"/>
      <c r="I488" s="381"/>
      <c r="J488" s="381"/>
      <c r="K488" s="381"/>
      <c r="L488" s="381"/>
      <c r="M488" s="381"/>
      <c r="N488" s="381"/>
      <c r="O488" s="381"/>
      <c r="P488" s="381"/>
      <c r="Q488" s="381"/>
      <c r="R488" s="381"/>
      <c r="S488" s="381"/>
      <c r="T488" s="381"/>
      <c r="U488" s="381"/>
      <c r="V488" s="381"/>
      <c r="W488" s="381"/>
      <c r="X488" s="381"/>
      <c r="Y488" s="382" t="s">
        <v>114</v>
      </c>
      <c r="Z488" s="383"/>
      <c r="AB488" s="166" t="s">
        <v>259</v>
      </c>
      <c r="AD488" s="165" t="s">
        <v>260</v>
      </c>
      <c r="AE488" s="134"/>
      <c r="AF488" s="22"/>
      <c r="AG488" s="22"/>
      <c r="AI488" s="190">
        <v>1</v>
      </c>
    </row>
    <row r="489" spans="1:35" ht="25" hidden="1" customHeight="1" x14ac:dyDescent="0.2">
      <c r="A489" s="163"/>
      <c r="B489" s="164">
        <v>0</v>
      </c>
      <c r="D489" s="374" t="str">
        <f>CONCATENATE("↓ Room Section ", N490," ↓")</f>
        <v>↓ Room Section 6 ↓</v>
      </c>
      <c r="E489" s="374"/>
      <c r="F489" s="374"/>
      <c r="G489" s="374"/>
      <c r="H489" s="374"/>
      <c r="I489" s="374"/>
      <c r="J489" s="374"/>
      <c r="K489" s="374"/>
      <c r="L489" s="374"/>
      <c r="M489" s="374"/>
      <c r="N489" s="374"/>
      <c r="O489" s="374"/>
      <c r="P489" s="374"/>
      <c r="Q489" s="374"/>
      <c r="R489" s="374"/>
      <c r="S489" s="374"/>
      <c r="T489" s="374"/>
      <c r="U489" s="374"/>
      <c r="V489" s="374"/>
      <c r="W489" s="374"/>
      <c r="X489" s="374"/>
      <c r="Y489" s="374"/>
      <c r="Z489" s="374"/>
      <c r="AB489" s="166" t="s">
        <v>259</v>
      </c>
      <c r="AD489" s="165" t="s">
        <v>260</v>
      </c>
      <c r="AE489" s="134"/>
      <c r="AF489" s="22"/>
      <c r="AG489" s="22"/>
      <c r="AI489" s="190">
        <v>1</v>
      </c>
    </row>
    <row r="490" spans="1:35" ht="21" hidden="1" customHeight="1" x14ac:dyDescent="0.15">
      <c r="A490" s="163" t="str">
        <f t="shared" ref="A490:A502" si="111">IF(AG490=1,"X","")</f>
        <v/>
      </c>
      <c r="B490" s="164">
        <f>IF(Y$488="Yes",1,0)</f>
        <v>0</v>
      </c>
      <c r="D490" s="384" t="s">
        <v>404</v>
      </c>
      <c r="E490" s="384"/>
      <c r="F490" s="384"/>
      <c r="G490" s="384"/>
      <c r="H490" s="384"/>
      <c r="I490" s="384"/>
      <c r="J490" s="384"/>
      <c r="K490" s="384"/>
      <c r="L490" s="385" t="s">
        <v>394</v>
      </c>
      <c r="M490" s="385"/>
      <c r="N490" s="380">
        <f>N429+1</f>
        <v>6</v>
      </c>
      <c r="O490" s="380"/>
      <c r="P490" s="380"/>
      <c r="Q490" s="380"/>
      <c r="R490" s="380"/>
      <c r="S490" s="380"/>
      <c r="T490" s="380"/>
      <c r="U490" s="380"/>
      <c r="V490" s="380"/>
      <c r="W490" s="380"/>
      <c r="X490" s="380"/>
      <c r="Y490" s="380"/>
      <c r="Z490" s="380"/>
      <c r="AB490" s="166" t="s">
        <v>462</v>
      </c>
      <c r="AD490" s="165" t="s">
        <v>463</v>
      </c>
      <c r="AE490" s="134"/>
      <c r="AF490" s="22"/>
      <c r="AG490" s="22"/>
      <c r="AI490" s="190">
        <v>1</v>
      </c>
    </row>
    <row r="491" spans="1:35" s="180" customFormat="1" ht="18" hidden="1" customHeight="1" x14ac:dyDescent="0.2">
      <c r="A491" s="163" t="str">
        <f t="shared" si="111"/>
        <v/>
      </c>
      <c r="B491" s="164">
        <f>IF(Y$488="Yes",1,0)</f>
        <v>0</v>
      </c>
      <c r="C491" s="152"/>
      <c r="D491" s="378" t="s">
        <v>392</v>
      </c>
      <c r="E491" s="378"/>
      <c r="F491" s="378"/>
      <c r="G491" s="378"/>
      <c r="H491" s="378"/>
      <c r="I491" s="373"/>
      <c r="J491" s="373"/>
      <c r="K491" s="373"/>
      <c r="L491" s="373"/>
      <c r="M491" s="373"/>
      <c r="N491" s="373"/>
      <c r="O491" s="373"/>
      <c r="P491" s="373"/>
      <c r="Q491" s="373"/>
      <c r="R491" s="373"/>
      <c r="S491" s="373"/>
      <c r="T491" s="373"/>
      <c r="U491" s="373"/>
      <c r="V491" s="373"/>
      <c r="W491" s="373"/>
      <c r="X491" s="373"/>
      <c r="Y491" s="373"/>
      <c r="Z491" s="373"/>
      <c r="AA491" s="169"/>
      <c r="AB491" s="159" t="s">
        <v>464</v>
      </c>
      <c r="AD491" s="165" t="s">
        <v>463</v>
      </c>
      <c r="AE491" s="167"/>
      <c r="AF491" s="164">
        <f t="shared" ref="AF491:AF492" si="112">IF(B491&lt;&gt;"",1,0)</f>
        <v>1</v>
      </c>
      <c r="AG491" s="164">
        <f>IF(AND(SUM(AF:AF)&gt;0,OR(AND(B491=1,Y488="No"),AND(B491=1,I491="",Y488="Yes"),AND(B491="",I491="",Y488="Yes"),AND(B491="",I491&lt;&gt;"",Y488="Yes"),AND(B491=0,I491&lt;&gt;"",Y488="Yes"))),1,0)</f>
        <v>0</v>
      </c>
      <c r="AI491" s="190">
        <v>1</v>
      </c>
    </row>
    <row r="492" spans="1:35" s="180" customFormat="1" ht="18" hidden="1" customHeight="1" x14ac:dyDescent="0.2">
      <c r="A492" s="163" t="str">
        <f t="shared" si="111"/>
        <v/>
      </c>
      <c r="B492" s="164">
        <f>IF(Y$488="Yes",1,0)</f>
        <v>0</v>
      </c>
      <c r="C492" s="152"/>
      <c r="D492" s="378" t="s">
        <v>393</v>
      </c>
      <c r="E492" s="378"/>
      <c r="F492" s="378"/>
      <c r="G492" s="378"/>
      <c r="H492" s="378"/>
      <c r="I492" s="373"/>
      <c r="J492" s="373"/>
      <c r="K492" s="373"/>
      <c r="L492" s="373"/>
      <c r="M492" s="373"/>
      <c r="N492" s="373"/>
      <c r="O492" s="373"/>
      <c r="P492" s="373"/>
      <c r="Q492" s="373"/>
      <c r="R492" s="373"/>
      <c r="S492" s="373"/>
      <c r="T492" s="373"/>
      <c r="U492" s="373"/>
      <c r="V492" s="373"/>
      <c r="W492" s="373"/>
      <c r="X492" s="373"/>
      <c r="Y492" s="373"/>
      <c r="Z492" s="373"/>
      <c r="AA492" s="169"/>
      <c r="AB492" s="159" t="s">
        <v>464</v>
      </c>
      <c r="AD492" s="165" t="s">
        <v>463</v>
      </c>
      <c r="AE492" s="167"/>
      <c r="AF492" s="164">
        <f t="shared" si="112"/>
        <v>1</v>
      </c>
      <c r="AG492" s="164">
        <f>IF(AND(SUM(AF:AF)&gt;0,OR(AND(B492=1,Y488="No"),AND(B492=1,I492="",Y488="Yes"),AND(B492="",I492="",Y488="Yes"),AND(B492="",I492&lt;&gt;"",Y488="Yes"),AND(B492=0,I492&lt;&gt;"",Y488="Yes"))),1,0)</f>
        <v>0</v>
      </c>
      <c r="AI492" s="190">
        <v>1</v>
      </c>
    </row>
    <row r="493" spans="1:35" ht="21" hidden="1" customHeight="1" x14ac:dyDescent="0.15">
      <c r="A493" s="163" t="str">
        <f t="shared" si="111"/>
        <v/>
      </c>
      <c r="B493" s="164">
        <f>IF(Y$488="Yes",1,0)</f>
        <v>0</v>
      </c>
      <c r="D493" s="380" t="s">
        <v>313</v>
      </c>
      <c r="E493" s="380"/>
      <c r="F493" s="380"/>
      <c r="G493" s="380"/>
      <c r="H493" s="380"/>
      <c r="I493" s="380"/>
      <c r="J493" s="380"/>
      <c r="K493" s="380"/>
      <c r="L493" s="380"/>
      <c r="M493" s="380"/>
      <c r="N493" s="380"/>
      <c r="O493" s="380"/>
      <c r="P493" s="380"/>
      <c r="Q493" s="380"/>
      <c r="R493" s="380"/>
      <c r="S493" s="380"/>
      <c r="T493" s="380"/>
      <c r="U493" s="380"/>
      <c r="V493" s="380"/>
      <c r="W493" s="380"/>
      <c r="X493" s="380"/>
      <c r="Y493" s="380"/>
      <c r="Z493" s="380"/>
      <c r="AB493" s="166" t="s">
        <v>462</v>
      </c>
      <c r="AD493" s="165" t="s">
        <v>463</v>
      </c>
      <c r="AE493" s="134"/>
      <c r="AF493" s="22"/>
      <c r="AG493" s="22"/>
      <c r="AI493" s="190">
        <v>1</v>
      </c>
    </row>
    <row r="494" spans="1:35" s="180" customFormat="1" ht="18" hidden="1" customHeight="1" x14ac:dyDescent="0.2">
      <c r="A494" s="163" t="str">
        <f t="shared" si="111"/>
        <v/>
      </c>
      <c r="B494" s="170"/>
      <c r="C494" s="152"/>
      <c r="D494" s="378" t="s">
        <v>397</v>
      </c>
      <c r="E494" s="378"/>
      <c r="F494" s="378"/>
      <c r="G494" s="378"/>
      <c r="H494" s="378"/>
      <c r="I494" s="378"/>
      <c r="J494" s="378"/>
      <c r="K494" s="378"/>
      <c r="L494" s="378"/>
      <c r="M494" s="378"/>
      <c r="N494" s="378"/>
      <c r="O494" s="378"/>
      <c r="P494" s="378"/>
      <c r="Q494" s="378"/>
      <c r="R494" s="378"/>
      <c r="S494" s="378"/>
      <c r="T494" s="378"/>
      <c r="U494" s="378"/>
      <c r="V494" s="378"/>
      <c r="W494" s="378"/>
      <c r="X494" s="378"/>
      <c r="Y494" s="378"/>
      <c r="Z494" s="378"/>
      <c r="AA494" s="169"/>
      <c r="AB494" s="159" t="s">
        <v>281</v>
      </c>
      <c r="AD494" s="172" t="s">
        <v>249</v>
      </c>
      <c r="AE494" s="167"/>
      <c r="AF494" s="164">
        <f t="shared" ref="AF494:AF495" si="113">IF(B494&lt;&gt;"",1,0)</f>
        <v>0</v>
      </c>
      <c r="AG494" s="164">
        <f>IF(AND(SUM(AF:AF)&gt;0,OR(AND(B494="",Y488="Yes"),AND(B494=1,Y488="No"))),1,0)</f>
        <v>0</v>
      </c>
      <c r="AI494" s="190">
        <v>1</v>
      </c>
    </row>
    <row r="495" spans="1:35" s="180" customFormat="1" ht="18" hidden="1" customHeight="1" x14ac:dyDescent="0.2">
      <c r="A495" s="163" t="str">
        <f t="shared" si="111"/>
        <v/>
      </c>
      <c r="B495" s="170"/>
      <c r="C495" s="152"/>
      <c r="D495" s="378" t="s">
        <v>398</v>
      </c>
      <c r="E495" s="378"/>
      <c r="F495" s="378"/>
      <c r="G495" s="378"/>
      <c r="H495" s="378"/>
      <c r="I495" s="378"/>
      <c r="J495" s="378"/>
      <c r="K495" s="378"/>
      <c r="L495" s="378"/>
      <c r="M495" s="378"/>
      <c r="N495" s="378"/>
      <c r="O495" s="378"/>
      <c r="P495" s="378"/>
      <c r="Q495" s="378"/>
      <c r="R495" s="378"/>
      <c r="S495" s="378"/>
      <c r="T495" s="378"/>
      <c r="U495" s="378"/>
      <c r="V495" s="378"/>
      <c r="W495" s="378"/>
      <c r="X495" s="378"/>
      <c r="Y495" s="378"/>
      <c r="Z495" s="378"/>
      <c r="AA495" s="169"/>
      <c r="AB495" s="159" t="s">
        <v>281</v>
      </c>
      <c r="AD495" s="172" t="s">
        <v>249</v>
      </c>
      <c r="AE495" s="167"/>
      <c r="AF495" s="164">
        <f t="shared" si="113"/>
        <v>0</v>
      </c>
      <c r="AG495" s="164">
        <f>IF(AND(SUM(AF:AF)&gt;0,OR(AND(B495="",Y488="Yes"),AND(B495=1,Y488="No"))),1,0)</f>
        <v>0</v>
      </c>
      <c r="AI495" s="190">
        <v>1</v>
      </c>
    </row>
    <row r="496" spans="1:35" s="180" customFormat="1" ht="18" hidden="1" customHeight="1" x14ac:dyDescent="0.2">
      <c r="A496" s="163" t="str">
        <f t="shared" si="111"/>
        <v/>
      </c>
      <c r="B496" s="170"/>
      <c r="C496" s="152"/>
      <c r="D496" s="179" t="s">
        <v>252</v>
      </c>
      <c r="E496" s="378" t="s">
        <v>315</v>
      </c>
      <c r="F496" s="378"/>
      <c r="G496" s="378"/>
      <c r="H496" s="378"/>
      <c r="I496" s="378"/>
      <c r="J496" s="378"/>
      <c r="K496" s="378"/>
      <c r="L496" s="378"/>
      <c r="M496" s="378"/>
      <c r="N496" s="378"/>
      <c r="O496" s="378"/>
      <c r="P496" s="378"/>
      <c r="Q496" s="378"/>
      <c r="R496" s="378"/>
      <c r="S496" s="378"/>
      <c r="T496" s="378"/>
      <c r="U496" s="378"/>
      <c r="V496" s="378"/>
      <c r="W496" s="378"/>
      <c r="X496" s="378"/>
      <c r="Y496" s="378"/>
      <c r="Z496" s="378"/>
      <c r="AA496" s="169"/>
      <c r="AB496" s="159" t="s">
        <v>281</v>
      </c>
      <c r="AD496" s="172" t="s">
        <v>249</v>
      </c>
      <c r="AE496" s="167"/>
      <c r="AF496" s="164">
        <f t="shared" ref="AF496:AF497" si="114">IF(B496&lt;&gt;"",1,0)</f>
        <v>0</v>
      </c>
      <c r="AG496" s="164">
        <f>IF(AND(SUM(AF:AF)&gt;0,OR(AND(B496="",Y488="Yes"),AND(B496=1,Y488="No"))),1,0)</f>
        <v>0</v>
      </c>
      <c r="AI496" s="190">
        <v>1</v>
      </c>
    </row>
    <row r="497" spans="1:35" s="180" customFormat="1" ht="18" hidden="1" customHeight="1" x14ac:dyDescent="0.2">
      <c r="A497" s="163" t="str">
        <f t="shared" si="111"/>
        <v/>
      </c>
      <c r="B497" s="170"/>
      <c r="C497" s="152"/>
      <c r="D497" s="179" t="s">
        <v>252</v>
      </c>
      <c r="E497" s="378" t="s">
        <v>316</v>
      </c>
      <c r="F497" s="378"/>
      <c r="G497" s="378"/>
      <c r="H497" s="378"/>
      <c r="I497" s="378"/>
      <c r="J497" s="378"/>
      <c r="K497" s="378"/>
      <c r="L497" s="378"/>
      <c r="M497" s="378"/>
      <c r="N497" s="378"/>
      <c r="O497" s="378"/>
      <c r="P497" s="378"/>
      <c r="Q497" s="378"/>
      <c r="R497" s="378"/>
      <c r="S497" s="378"/>
      <c r="T497" s="378"/>
      <c r="U497" s="378"/>
      <c r="V497" s="378"/>
      <c r="W497" s="378"/>
      <c r="X497" s="378"/>
      <c r="Y497" s="378"/>
      <c r="Z497" s="378"/>
      <c r="AA497" s="169"/>
      <c r="AB497" s="159" t="s">
        <v>281</v>
      </c>
      <c r="AD497" s="172" t="s">
        <v>249</v>
      </c>
      <c r="AE497" s="167"/>
      <c r="AF497" s="164">
        <f t="shared" si="114"/>
        <v>0</v>
      </c>
      <c r="AG497" s="164">
        <f>IF(AND(SUM(AF:AF)&gt;0,OR(AND(B497="",Y488="Yes"),AND(B497=1,Y488="No"))),1,0)</f>
        <v>0</v>
      </c>
      <c r="AI497" s="190">
        <v>1</v>
      </c>
    </row>
    <row r="498" spans="1:35" s="180" customFormat="1" ht="18.5" hidden="1" customHeight="1" x14ac:dyDescent="0.2">
      <c r="A498" s="163" t="str">
        <f t="shared" si="111"/>
        <v/>
      </c>
      <c r="B498" s="164">
        <v>0</v>
      </c>
      <c r="C498" s="152"/>
      <c r="D498" s="179" t="s">
        <v>252</v>
      </c>
      <c r="E498" s="378" t="s">
        <v>312</v>
      </c>
      <c r="F498" s="378"/>
      <c r="G498" s="378"/>
      <c r="H498" s="378"/>
      <c r="I498" s="378"/>
      <c r="J498" s="378"/>
      <c r="K498" s="378"/>
      <c r="L498" s="378"/>
      <c r="M498" s="378"/>
      <c r="N498" s="378"/>
      <c r="O498" s="378"/>
      <c r="P498" s="378"/>
      <c r="Q498" s="378"/>
      <c r="R498" s="378"/>
      <c r="S498" s="378"/>
      <c r="T498" s="378"/>
      <c r="U498" s="378"/>
      <c r="V498" s="378"/>
      <c r="W498" s="378"/>
      <c r="X498" s="378"/>
      <c r="Y498" s="378"/>
      <c r="Z498" s="378"/>
      <c r="AA498" s="168"/>
      <c r="AB498" s="166" t="s">
        <v>259</v>
      </c>
      <c r="AD498" s="165" t="s">
        <v>260</v>
      </c>
      <c r="AE498" s="134"/>
      <c r="AF498" s="22"/>
      <c r="AG498" s="22"/>
      <c r="AI498" s="190">
        <v>1</v>
      </c>
    </row>
    <row r="499" spans="1:35" s="180" customFormat="1" ht="18" hidden="1" customHeight="1" x14ac:dyDescent="0.2">
      <c r="A499" s="163" t="str">
        <f t="shared" si="111"/>
        <v/>
      </c>
      <c r="B499" s="170"/>
      <c r="C499" s="152"/>
      <c r="D499" s="179" t="s">
        <v>252</v>
      </c>
      <c r="E499" s="373"/>
      <c r="F499" s="373"/>
      <c r="G499" s="373"/>
      <c r="H499" s="373"/>
      <c r="I499" s="373"/>
      <c r="J499" s="373"/>
      <c r="K499" s="373"/>
      <c r="L499" s="373"/>
      <c r="M499" s="373"/>
      <c r="N499" s="373"/>
      <c r="O499" s="373"/>
      <c r="P499" s="373"/>
      <c r="Q499" s="373"/>
      <c r="R499" s="373"/>
      <c r="S499" s="373"/>
      <c r="T499" s="373"/>
      <c r="U499" s="373"/>
      <c r="V499" s="373"/>
      <c r="W499" s="373"/>
      <c r="X499" s="373"/>
      <c r="Y499" s="373"/>
      <c r="Z499" s="373"/>
      <c r="AA499" s="169"/>
      <c r="AB499" s="159" t="s">
        <v>281</v>
      </c>
      <c r="AD499" s="172" t="s">
        <v>249</v>
      </c>
      <c r="AE499" s="167"/>
      <c r="AF499" s="164">
        <f t="shared" ref="AF499:AF501" si="115">IF(B499&lt;&gt;"",1,0)</f>
        <v>0</v>
      </c>
      <c r="AG499" s="164">
        <f>IF(AND(SUM(AF:AF)&gt;0,OR(AND(B499=1,Y488="No"),AND(B499=1,E499="",Y488="Yes"),AND(B499="",E499="",Y488="Yes"),AND(B499="",E499&lt;&gt;"",Y488="Yes"),AND(B499=0,E499&lt;&gt;"",Y488="Yes"))),1,0)</f>
        <v>0</v>
      </c>
      <c r="AI499" s="190">
        <v>1</v>
      </c>
    </row>
    <row r="500" spans="1:35" s="180" customFormat="1" ht="18" hidden="1" customHeight="1" x14ac:dyDescent="0.2">
      <c r="A500" s="163" t="str">
        <f t="shared" si="111"/>
        <v/>
      </c>
      <c r="B500" s="170"/>
      <c r="C500" s="152"/>
      <c r="D500" s="179" t="s">
        <v>252</v>
      </c>
      <c r="E500" s="373"/>
      <c r="F500" s="373"/>
      <c r="G500" s="373"/>
      <c r="H500" s="373"/>
      <c r="I500" s="373"/>
      <c r="J500" s="373"/>
      <c r="K500" s="373"/>
      <c r="L500" s="373"/>
      <c r="M500" s="373"/>
      <c r="N500" s="373"/>
      <c r="O500" s="373"/>
      <c r="P500" s="373"/>
      <c r="Q500" s="373"/>
      <c r="R500" s="373"/>
      <c r="S500" s="373"/>
      <c r="T500" s="373"/>
      <c r="U500" s="373"/>
      <c r="V500" s="373"/>
      <c r="W500" s="373"/>
      <c r="X500" s="373"/>
      <c r="Y500" s="373"/>
      <c r="Z500" s="373"/>
      <c r="AA500" s="169"/>
      <c r="AB500" s="159" t="s">
        <v>281</v>
      </c>
      <c r="AD500" s="172" t="s">
        <v>249</v>
      </c>
      <c r="AE500" s="167"/>
      <c r="AF500" s="164">
        <f t="shared" si="115"/>
        <v>0</v>
      </c>
      <c r="AG500" s="164">
        <f>IF(AND(SUM(AF:AF)&gt;0,OR(AND(B500=1,Y488="No"),AND(B500=1,E500="",Y488="Yes"),AND(B500="",E500="",Y488="Yes"),AND(B500="",E500&lt;&gt;"",Y488="Yes"),AND(B500=0,E500&lt;&gt;"",Y488="Yes"))),1,0)</f>
        <v>0</v>
      </c>
      <c r="AI500" s="190">
        <v>1</v>
      </c>
    </row>
    <row r="501" spans="1:35" s="180" customFormat="1" ht="18" hidden="1" customHeight="1" x14ac:dyDescent="0.2">
      <c r="A501" s="163" t="str">
        <f t="shared" si="111"/>
        <v/>
      </c>
      <c r="B501" s="170"/>
      <c r="C501" s="152"/>
      <c r="D501" s="179" t="s">
        <v>252</v>
      </c>
      <c r="E501" s="373"/>
      <c r="F501" s="373"/>
      <c r="G501" s="373"/>
      <c r="H501" s="373"/>
      <c r="I501" s="373"/>
      <c r="J501" s="373"/>
      <c r="K501" s="373"/>
      <c r="L501" s="373"/>
      <c r="M501" s="373"/>
      <c r="N501" s="373"/>
      <c r="O501" s="373"/>
      <c r="P501" s="373"/>
      <c r="Q501" s="373"/>
      <c r="R501" s="373"/>
      <c r="S501" s="373"/>
      <c r="T501" s="373"/>
      <c r="U501" s="373"/>
      <c r="V501" s="373"/>
      <c r="W501" s="373"/>
      <c r="X501" s="373"/>
      <c r="Y501" s="373"/>
      <c r="Z501" s="373"/>
      <c r="AA501" s="169"/>
      <c r="AB501" s="159" t="s">
        <v>281</v>
      </c>
      <c r="AD501" s="172" t="s">
        <v>249</v>
      </c>
      <c r="AE501" s="167"/>
      <c r="AF501" s="164">
        <f t="shared" si="115"/>
        <v>0</v>
      </c>
      <c r="AG501" s="164">
        <f>IF(AND(SUM(AF:AF)&gt;0,OR(AND(B501=1,Y488="No"),AND(B501=1,E501="",Y488="Yes"),AND(B501="",E501="",Y488="Yes"),AND(B501="",E501&lt;&gt;"",Y488="Yes"),AND(B501=0,E501&lt;&gt;"",Y488="Yes"))),1,0)</f>
        <v>0</v>
      </c>
      <c r="AI501" s="190">
        <v>1</v>
      </c>
    </row>
    <row r="502" spans="1:35" ht="21" hidden="1" customHeight="1" x14ac:dyDescent="0.2">
      <c r="A502" s="163" t="str">
        <f t="shared" si="111"/>
        <v/>
      </c>
      <c r="B502" s="164">
        <v>0</v>
      </c>
      <c r="D502" s="379" t="s">
        <v>258</v>
      </c>
      <c r="E502" s="379"/>
      <c r="F502" s="379"/>
      <c r="G502" s="379"/>
      <c r="H502" s="379"/>
      <c r="I502" s="379"/>
      <c r="J502" s="379"/>
      <c r="K502" s="379"/>
      <c r="L502" s="379"/>
      <c r="M502" s="379"/>
      <c r="N502" s="379"/>
      <c r="O502" s="379"/>
      <c r="P502" s="379"/>
      <c r="Q502" s="379"/>
      <c r="R502" s="379"/>
      <c r="S502" s="379"/>
      <c r="T502" s="379"/>
      <c r="U502" s="379"/>
      <c r="V502" s="379"/>
      <c r="W502" s="379"/>
      <c r="X502" s="379"/>
      <c r="Y502" s="379"/>
      <c r="Z502" s="379"/>
      <c r="AB502" s="166" t="s">
        <v>259</v>
      </c>
      <c r="AD502" s="165" t="s">
        <v>260</v>
      </c>
      <c r="AE502" s="134"/>
      <c r="AF502" s="22"/>
      <c r="AG502" s="22"/>
      <c r="AI502" s="190">
        <v>1</v>
      </c>
    </row>
    <row r="503" spans="1:35" ht="15.75" hidden="1" customHeight="1" x14ac:dyDescent="0.2">
      <c r="A503" s="163"/>
      <c r="B503" s="164">
        <v>0</v>
      </c>
      <c r="D503" s="369" t="s">
        <v>261</v>
      </c>
      <c r="E503" s="369"/>
      <c r="F503" s="369"/>
      <c r="G503" s="369"/>
      <c r="H503" s="369"/>
      <c r="I503" s="369"/>
      <c r="J503" s="369"/>
      <c r="K503" s="369"/>
      <c r="L503" s="369"/>
      <c r="M503" s="369"/>
      <c r="N503" s="369"/>
      <c r="O503" s="369"/>
      <c r="P503" s="369"/>
      <c r="Q503" s="369"/>
      <c r="R503" s="369"/>
      <c r="S503" s="369"/>
      <c r="T503" s="369"/>
      <c r="U503" s="369"/>
      <c r="V503" s="369"/>
      <c r="W503" s="369"/>
      <c r="X503" s="369"/>
      <c r="Y503" s="369"/>
      <c r="Z503" s="369"/>
      <c r="AB503" s="166" t="s">
        <v>259</v>
      </c>
      <c r="AD503" s="165" t="s">
        <v>260</v>
      </c>
      <c r="AE503" s="134"/>
      <c r="AF503" s="22"/>
      <c r="AG503" s="22"/>
      <c r="AI503" s="190">
        <v>1</v>
      </c>
    </row>
    <row r="504" spans="1:35" ht="8.5" hidden="1" customHeight="1" x14ac:dyDescent="0.15">
      <c r="A504" s="163" t="str">
        <f>IF(AG504=1,"X","")</f>
        <v/>
      </c>
      <c r="B504" s="164">
        <f>IF(OR(D505="Show",Q505="Show"),1,0)</f>
        <v>0</v>
      </c>
      <c r="D504" s="368"/>
      <c r="E504" s="368"/>
      <c r="F504" s="368"/>
      <c r="G504" s="368"/>
      <c r="H504" s="368"/>
      <c r="I504" s="368"/>
      <c r="J504" s="368"/>
      <c r="K504" s="368"/>
      <c r="L504" s="368"/>
      <c r="M504" s="368"/>
      <c r="N504" s="368"/>
      <c r="O504" s="368"/>
      <c r="P504" s="368"/>
      <c r="Q504" s="368"/>
      <c r="R504" s="368"/>
      <c r="S504" s="368"/>
      <c r="T504" s="368"/>
      <c r="U504" s="368"/>
      <c r="V504" s="368"/>
      <c r="W504" s="368"/>
      <c r="X504" s="368"/>
      <c r="Y504" s="368"/>
      <c r="Z504" s="368"/>
      <c r="AD504" s="165" t="s">
        <v>227</v>
      </c>
      <c r="AE504" s="156"/>
      <c r="AF504" s="22"/>
      <c r="AG504" s="22"/>
      <c r="AI504" s="190">
        <v>1</v>
      </c>
    </row>
    <row r="505" spans="1:35" ht="18" hidden="1" customHeight="1" x14ac:dyDescent="0.2">
      <c r="A505" s="163" t="str">
        <f t="shared" ref="A505:A508" si="116">IF(AG505=1,"X","")</f>
        <v/>
      </c>
      <c r="B505" s="164">
        <v>0</v>
      </c>
      <c r="D505" s="370" t="s">
        <v>267</v>
      </c>
      <c r="E505" s="370"/>
      <c r="F505" s="370"/>
      <c r="G505" s="370"/>
      <c r="H505" s="370"/>
      <c r="I505" s="370"/>
      <c r="J505" s="370"/>
      <c r="K505" s="370"/>
      <c r="L505" s="370"/>
      <c r="M505" s="370"/>
      <c r="N505" s="370"/>
      <c r="O505" s="175"/>
      <c r="P505" s="175"/>
      <c r="Q505" s="370" t="s">
        <v>267</v>
      </c>
      <c r="R505" s="370"/>
      <c r="S505" s="370"/>
      <c r="T505" s="370"/>
      <c r="U505" s="370"/>
      <c r="V505" s="370"/>
      <c r="W505" s="370"/>
      <c r="X505" s="370"/>
      <c r="Y505" s="370"/>
      <c r="Z505" s="370"/>
      <c r="AA505" s="176"/>
      <c r="AB505" s="159" t="s">
        <v>262</v>
      </c>
      <c r="AD505" s="172" t="s">
        <v>249</v>
      </c>
      <c r="AE505" s="134"/>
      <c r="AF505" s="164">
        <f>IF(OR(D505="Show",D505="",Q505="Show",Q505=""),1,0)</f>
        <v>0</v>
      </c>
      <c r="AG505" s="164">
        <f>IF(AND(SUM(AF:AF)&gt;0,OR(D505="",Q505="")),1,0)</f>
        <v>0</v>
      </c>
      <c r="AI505" s="190">
        <v>1</v>
      </c>
    </row>
    <row r="506" spans="1:35" ht="197.25" hidden="1" customHeight="1" x14ac:dyDescent="0.2">
      <c r="A506" s="163" t="str">
        <f t="shared" si="116"/>
        <v/>
      </c>
      <c r="B506" s="164">
        <f>B504</f>
        <v>0</v>
      </c>
      <c r="D506" s="370"/>
      <c r="E506" s="370"/>
      <c r="F506" s="370"/>
      <c r="G506" s="370"/>
      <c r="H506" s="370"/>
      <c r="I506" s="370"/>
      <c r="J506" s="370"/>
      <c r="K506" s="370"/>
      <c r="L506" s="370"/>
      <c r="M506" s="370"/>
      <c r="N506" s="370"/>
      <c r="O506" s="175"/>
      <c r="P506" s="175"/>
      <c r="Q506" s="370"/>
      <c r="R506" s="370"/>
      <c r="S506" s="370"/>
      <c r="T506" s="370"/>
      <c r="U506" s="370"/>
      <c r="V506" s="370"/>
      <c r="W506" s="370"/>
      <c r="X506" s="370"/>
      <c r="Y506" s="370"/>
      <c r="Z506" s="370"/>
      <c r="AA506" s="176"/>
      <c r="AB506" s="159" t="s">
        <v>263</v>
      </c>
      <c r="AD506" s="172" t="s">
        <v>249</v>
      </c>
      <c r="AE506" s="167"/>
      <c r="AF506" s="22"/>
      <c r="AG506" s="22"/>
      <c r="AI506" s="190">
        <v>1</v>
      </c>
    </row>
    <row r="507" spans="1:35" ht="18" hidden="1" customHeight="1" x14ac:dyDescent="0.2">
      <c r="A507" s="163" t="str">
        <f t="shared" si="116"/>
        <v/>
      </c>
      <c r="B507" s="164">
        <f>B506</f>
        <v>0</v>
      </c>
      <c r="D507" s="371"/>
      <c r="E507" s="371"/>
      <c r="F507" s="371"/>
      <c r="G507" s="371"/>
      <c r="H507" s="371"/>
      <c r="I507" s="371"/>
      <c r="J507" s="371"/>
      <c r="K507" s="371"/>
      <c r="L507" s="371"/>
      <c r="M507" s="371"/>
      <c r="N507" s="371"/>
      <c r="O507" s="175"/>
      <c r="P507" s="175"/>
      <c r="Q507" s="371"/>
      <c r="R507" s="371"/>
      <c r="S507" s="371"/>
      <c r="T507" s="371"/>
      <c r="U507" s="371"/>
      <c r="V507" s="371"/>
      <c r="W507" s="371"/>
      <c r="X507" s="371"/>
      <c r="Y507" s="371"/>
      <c r="Z507" s="371"/>
      <c r="AA507" s="176"/>
      <c r="AB507" s="159" t="s">
        <v>264</v>
      </c>
      <c r="AD507" s="172" t="s">
        <v>249</v>
      </c>
      <c r="AE507" s="167"/>
      <c r="AF507" s="164">
        <f>IF(OR(D505="Show",D505="",Q505="Show",Q505=""),1,0)</f>
        <v>0</v>
      </c>
      <c r="AG507" s="164">
        <f>IF(AND(SUM(AF:AF)&gt;0,OR(AND(D505="Show",D507=""),AND(Q505="Show",Q507=""))),1,0)</f>
        <v>0</v>
      </c>
      <c r="AI507" s="190">
        <v>1</v>
      </c>
    </row>
    <row r="508" spans="1:35" ht="8.5" hidden="1" customHeight="1" x14ac:dyDescent="0.15">
      <c r="A508" s="163" t="str">
        <f t="shared" si="116"/>
        <v/>
      </c>
      <c r="B508" s="164">
        <f>B507</f>
        <v>0</v>
      </c>
      <c r="D508" s="368"/>
      <c r="E508" s="368"/>
      <c r="F508" s="368"/>
      <c r="G508" s="368"/>
      <c r="H508" s="368"/>
      <c r="I508" s="368"/>
      <c r="J508" s="368"/>
      <c r="K508" s="368"/>
      <c r="L508" s="368"/>
      <c r="M508" s="368"/>
      <c r="N508" s="368"/>
      <c r="O508" s="368"/>
      <c r="P508" s="368"/>
      <c r="Q508" s="368"/>
      <c r="R508" s="368"/>
      <c r="S508" s="368"/>
      <c r="T508" s="368"/>
      <c r="U508" s="368"/>
      <c r="V508" s="368"/>
      <c r="W508" s="368"/>
      <c r="X508" s="368"/>
      <c r="Y508" s="368"/>
      <c r="Z508" s="368"/>
      <c r="AA508" s="176"/>
      <c r="AD508" s="165" t="s">
        <v>227</v>
      </c>
      <c r="AE508" s="156"/>
      <c r="AF508" s="22"/>
      <c r="AG508" s="22"/>
      <c r="AI508" s="190">
        <v>1</v>
      </c>
    </row>
    <row r="509" spans="1:35" ht="15.75" hidden="1" customHeight="1" x14ac:dyDescent="0.2">
      <c r="A509" s="163"/>
      <c r="B509" s="164">
        <v>0</v>
      </c>
      <c r="D509" s="369" t="s">
        <v>265</v>
      </c>
      <c r="E509" s="369"/>
      <c r="F509" s="369"/>
      <c r="G509" s="369"/>
      <c r="H509" s="369"/>
      <c r="I509" s="369"/>
      <c r="J509" s="369"/>
      <c r="K509" s="369"/>
      <c r="L509" s="369"/>
      <c r="M509" s="369"/>
      <c r="N509" s="369"/>
      <c r="O509" s="369"/>
      <c r="P509" s="369"/>
      <c r="Q509" s="369"/>
      <c r="R509" s="369"/>
      <c r="S509" s="369"/>
      <c r="T509" s="369"/>
      <c r="U509" s="369"/>
      <c r="V509" s="369"/>
      <c r="W509" s="369"/>
      <c r="X509" s="369"/>
      <c r="Y509" s="369"/>
      <c r="Z509" s="369"/>
      <c r="AB509" s="166" t="s">
        <v>259</v>
      </c>
      <c r="AD509" s="165" t="s">
        <v>260</v>
      </c>
      <c r="AE509" s="134"/>
      <c r="AF509" s="22"/>
      <c r="AG509" s="22"/>
      <c r="AI509" s="190">
        <v>1</v>
      </c>
    </row>
    <row r="510" spans="1:35" ht="21" hidden="1" customHeight="1" x14ac:dyDescent="0.15">
      <c r="A510" s="163" t="str">
        <f t="shared" ref="A510:A522" si="117">IF(AG510=1,"X","")</f>
        <v/>
      </c>
      <c r="B510" s="164">
        <f>IF(Y$488="Yes",1,0)</f>
        <v>0</v>
      </c>
      <c r="D510" s="380" t="s">
        <v>0</v>
      </c>
      <c r="E510" s="380"/>
      <c r="F510" s="380"/>
      <c r="G510" s="380"/>
      <c r="H510" s="380"/>
      <c r="I510" s="380"/>
      <c r="J510" s="380"/>
      <c r="K510" s="380"/>
      <c r="L510" s="380"/>
      <c r="M510" s="380"/>
      <c r="N510" s="380"/>
      <c r="O510" s="380"/>
      <c r="P510" s="380"/>
      <c r="Q510" s="380"/>
      <c r="R510" s="380"/>
      <c r="S510" s="380"/>
      <c r="T510" s="380"/>
      <c r="U510" s="380"/>
      <c r="V510" s="380"/>
      <c r="W510" s="380"/>
      <c r="X510" s="380"/>
      <c r="Y510" s="380"/>
      <c r="Z510" s="380"/>
      <c r="AB510" s="166" t="s">
        <v>462</v>
      </c>
      <c r="AD510" s="165" t="s">
        <v>463</v>
      </c>
      <c r="AE510" s="134"/>
      <c r="AF510" s="22"/>
      <c r="AG510" s="22"/>
      <c r="AI510" s="190">
        <v>1</v>
      </c>
    </row>
    <row r="511" spans="1:35" s="180" customFormat="1" ht="18" hidden="1" customHeight="1" x14ac:dyDescent="0.2">
      <c r="A511" s="163" t="str">
        <f t="shared" si="117"/>
        <v/>
      </c>
      <c r="B511" s="170"/>
      <c r="C511" s="152"/>
      <c r="D511" s="378" t="s">
        <v>399</v>
      </c>
      <c r="E511" s="378"/>
      <c r="F511" s="378"/>
      <c r="G511" s="378"/>
      <c r="H511" s="378"/>
      <c r="I511" s="378"/>
      <c r="J511" s="378"/>
      <c r="K511" s="378"/>
      <c r="L511" s="378"/>
      <c r="M511" s="378"/>
      <c r="N511" s="378"/>
      <c r="O511" s="378"/>
      <c r="P511" s="378"/>
      <c r="Q511" s="378"/>
      <c r="R511" s="378"/>
      <c r="S511" s="378"/>
      <c r="T511" s="378"/>
      <c r="U511" s="378"/>
      <c r="V511" s="378"/>
      <c r="W511" s="378"/>
      <c r="X511" s="378"/>
      <c r="Y511" s="378"/>
      <c r="Z511" s="378"/>
      <c r="AA511" s="169"/>
      <c r="AB511" s="159" t="s">
        <v>281</v>
      </c>
      <c r="AD511" s="172" t="s">
        <v>249</v>
      </c>
      <c r="AE511" s="167"/>
      <c r="AF511" s="164">
        <f t="shared" ref="AF511:AF517" si="118">IF(B511&lt;&gt;"",1,0)</f>
        <v>0</v>
      </c>
      <c r="AG511" s="164">
        <f>IF(AND(SUM(AF:AF)&gt;0,OR(AND(B511="",Y488="Yes"),AND(B511=1,Y488="No"))),1,0)</f>
        <v>0</v>
      </c>
      <c r="AI511" s="190">
        <v>1</v>
      </c>
    </row>
    <row r="512" spans="1:35" s="180" customFormat="1" ht="18" hidden="1" customHeight="1" x14ac:dyDescent="0.2">
      <c r="A512" s="163" t="str">
        <f t="shared" si="117"/>
        <v/>
      </c>
      <c r="B512" s="170"/>
      <c r="C512" s="152"/>
      <c r="D512" s="378" t="s">
        <v>400</v>
      </c>
      <c r="E512" s="378"/>
      <c r="F512" s="378"/>
      <c r="G512" s="378"/>
      <c r="H512" s="378"/>
      <c r="I512" s="378"/>
      <c r="J512" s="378"/>
      <c r="K512" s="378"/>
      <c r="L512" s="378"/>
      <c r="M512" s="378"/>
      <c r="N512" s="378"/>
      <c r="O512" s="378"/>
      <c r="P512" s="378"/>
      <c r="Q512" s="378"/>
      <c r="R512" s="378"/>
      <c r="S512" s="378"/>
      <c r="T512" s="378"/>
      <c r="U512" s="378"/>
      <c r="V512" s="378"/>
      <c r="W512" s="378"/>
      <c r="X512" s="378"/>
      <c r="Y512" s="378"/>
      <c r="Z512" s="378"/>
      <c r="AA512" s="169"/>
      <c r="AB512" s="159" t="s">
        <v>281</v>
      </c>
      <c r="AD512" s="172" t="s">
        <v>249</v>
      </c>
      <c r="AE512" s="167"/>
      <c r="AF512" s="164">
        <f t="shared" si="118"/>
        <v>0</v>
      </c>
      <c r="AG512" s="164">
        <f>IF(AND(SUM(AF:AF)&gt;0,OR(AND(B512="",Y488="Yes"),AND(B512=1,Y488="No"))),1,0)</f>
        <v>0</v>
      </c>
      <c r="AI512" s="190">
        <v>1</v>
      </c>
    </row>
    <row r="513" spans="1:35" s="180" customFormat="1" ht="18" hidden="1" customHeight="1" x14ac:dyDescent="0.2">
      <c r="A513" s="163" t="str">
        <f t="shared" si="117"/>
        <v/>
      </c>
      <c r="B513" s="170"/>
      <c r="C513" s="152"/>
      <c r="D513" s="179" t="s">
        <v>252</v>
      </c>
      <c r="E513" s="378" t="s">
        <v>317</v>
      </c>
      <c r="F513" s="378"/>
      <c r="G513" s="378"/>
      <c r="H513" s="378"/>
      <c r="I513" s="378"/>
      <c r="J513" s="378"/>
      <c r="K513" s="378"/>
      <c r="L513" s="378"/>
      <c r="M513" s="378"/>
      <c r="N513" s="378"/>
      <c r="O513" s="378"/>
      <c r="P513" s="378"/>
      <c r="Q513" s="378"/>
      <c r="R513" s="378"/>
      <c r="S513" s="378"/>
      <c r="T513" s="378"/>
      <c r="U513" s="378"/>
      <c r="V513" s="378"/>
      <c r="W513" s="378"/>
      <c r="X513" s="378"/>
      <c r="Y513" s="378"/>
      <c r="Z513" s="378"/>
      <c r="AA513" s="169"/>
      <c r="AB513" s="159" t="s">
        <v>281</v>
      </c>
      <c r="AD513" s="172" t="s">
        <v>249</v>
      </c>
      <c r="AE513" s="167"/>
      <c r="AF513" s="164">
        <f t="shared" si="118"/>
        <v>0</v>
      </c>
      <c r="AG513" s="164">
        <f>IF(AND(SUM(AF:AF)&gt;0,OR(AND(B513="",Y488="Yes"),AND(B513=1,Y488="No"))),1,0)</f>
        <v>0</v>
      </c>
      <c r="AI513" s="190">
        <v>1</v>
      </c>
    </row>
    <row r="514" spans="1:35" s="180" customFormat="1" ht="18" hidden="1" customHeight="1" x14ac:dyDescent="0.2">
      <c r="A514" s="163" t="str">
        <f t="shared" si="117"/>
        <v/>
      </c>
      <c r="B514" s="170"/>
      <c r="C514" s="152"/>
      <c r="D514" s="179" t="s">
        <v>252</v>
      </c>
      <c r="E514" s="378" t="s">
        <v>318</v>
      </c>
      <c r="F514" s="378"/>
      <c r="G514" s="378"/>
      <c r="H514" s="378"/>
      <c r="I514" s="378"/>
      <c r="J514" s="378"/>
      <c r="K514" s="378"/>
      <c r="L514" s="378"/>
      <c r="M514" s="378"/>
      <c r="N514" s="378"/>
      <c r="O514" s="378"/>
      <c r="P514" s="378"/>
      <c r="Q514" s="378"/>
      <c r="R514" s="378"/>
      <c r="S514" s="378"/>
      <c r="T514" s="378"/>
      <c r="U514" s="378"/>
      <c r="V514" s="378"/>
      <c r="W514" s="378"/>
      <c r="X514" s="378"/>
      <c r="Y514" s="378"/>
      <c r="Z514" s="378"/>
      <c r="AA514" s="169"/>
      <c r="AB514" s="159" t="s">
        <v>281</v>
      </c>
      <c r="AD514" s="172" t="s">
        <v>249</v>
      </c>
      <c r="AE514" s="167"/>
      <c r="AF514" s="164">
        <f t="shared" si="118"/>
        <v>0</v>
      </c>
      <c r="AG514" s="164">
        <f>IF(AND(SUM(AF:AF)&gt;0,OR(AND(B514="",Y488="Yes"),AND(B514=1,Y488="No"))),1,0)</f>
        <v>0</v>
      </c>
      <c r="AI514" s="190">
        <v>1</v>
      </c>
    </row>
    <row r="515" spans="1:35" s="180" customFormat="1" ht="18" hidden="1" customHeight="1" x14ac:dyDescent="0.2">
      <c r="A515" s="163" t="str">
        <f t="shared" si="117"/>
        <v/>
      </c>
      <c r="B515" s="170"/>
      <c r="C515" s="152"/>
      <c r="D515" s="179" t="s">
        <v>252</v>
      </c>
      <c r="E515" s="378" t="s">
        <v>405</v>
      </c>
      <c r="F515" s="378"/>
      <c r="G515" s="378"/>
      <c r="H515" s="378"/>
      <c r="I515" s="378"/>
      <c r="J515" s="378"/>
      <c r="K515" s="378"/>
      <c r="L515" s="378"/>
      <c r="M515" s="378"/>
      <c r="N515" s="378"/>
      <c r="O515" s="378"/>
      <c r="P515" s="378"/>
      <c r="Q515" s="378"/>
      <c r="R515" s="378"/>
      <c r="S515" s="378"/>
      <c r="T515" s="378"/>
      <c r="U515" s="378"/>
      <c r="V515" s="378"/>
      <c r="W515" s="378"/>
      <c r="X515" s="378"/>
      <c r="Y515" s="378"/>
      <c r="Z515" s="378"/>
      <c r="AA515" s="169"/>
      <c r="AB515" s="159" t="s">
        <v>281</v>
      </c>
      <c r="AD515" s="172" t="s">
        <v>249</v>
      </c>
      <c r="AE515" s="167"/>
      <c r="AF515" s="164">
        <f t="shared" si="118"/>
        <v>0</v>
      </c>
      <c r="AG515" s="164">
        <f>IF(AND(SUM(AF:AF)&gt;0,OR(AND(B515="",Y488="Yes"),AND(B515=1,Y488="No"))),1,0)</f>
        <v>0</v>
      </c>
      <c r="AI515" s="190">
        <v>1</v>
      </c>
    </row>
    <row r="516" spans="1:35" s="180" customFormat="1" ht="18" hidden="1" customHeight="1" x14ac:dyDescent="0.2">
      <c r="A516" s="163" t="str">
        <f t="shared" si="117"/>
        <v/>
      </c>
      <c r="B516" s="170"/>
      <c r="C516" s="152"/>
      <c r="D516" s="179" t="s">
        <v>252</v>
      </c>
      <c r="E516" s="378" t="s">
        <v>396</v>
      </c>
      <c r="F516" s="378"/>
      <c r="G516" s="378"/>
      <c r="H516" s="378"/>
      <c r="I516" s="378"/>
      <c r="J516" s="378"/>
      <c r="K516" s="378"/>
      <c r="L516" s="378"/>
      <c r="M516" s="378"/>
      <c r="N516" s="378"/>
      <c r="O516" s="378"/>
      <c r="P516" s="378"/>
      <c r="Q516" s="378"/>
      <c r="R516" s="378"/>
      <c r="S516" s="378"/>
      <c r="T516" s="378"/>
      <c r="U516" s="378"/>
      <c r="V516" s="378"/>
      <c r="W516" s="378"/>
      <c r="X516" s="378"/>
      <c r="Y516" s="378"/>
      <c r="Z516" s="378"/>
      <c r="AA516" s="169"/>
      <c r="AB516" s="159" t="s">
        <v>281</v>
      </c>
      <c r="AD516" s="172" t="s">
        <v>249</v>
      </c>
      <c r="AE516" s="167"/>
      <c r="AF516" s="164">
        <f t="shared" si="118"/>
        <v>0</v>
      </c>
      <c r="AG516" s="164">
        <f>IF(AND(SUM(AF:AF)&gt;0,OR(AND(B516="",Y488="Yes"),AND(B516=1,Y488="No"))),1,0)</f>
        <v>0</v>
      </c>
      <c r="AI516" s="190">
        <v>1</v>
      </c>
    </row>
    <row r="517" spans="1:35" s="180" customFormat="1" ht="18" hidden="1" customHeight="1" x14ac:dyDescent="0.2">
      <c r="A517" s="163" t="str">
        <f t="shared" si="117"/>
        <v/>
      </c>
      <c r="B517" s="170"/>
      <c r="C517" s="152"/>
      <c r="D517" s="179" t="s">
        <v>252</v>
      </c>
      <c r="E517" s="378" t="s">
        <v>319</v>
      </c>
      <c r="F517" s="378"/>
      <c r="G517" s="378"/>
      <c r="H517" s="378"/>
      <c r="I517" s="378"/>
      <c r="J517" s="378"/>
      <c r="K517" s="378"/>
      <c r="L517" s="378"/>
      <c r="M517" s="378"/>
      <c r="N517" s="378"/>
      <c r="O517" s="378"/>
      <c r="P517" s="378"/>
      <c r="Q517" s="378"/>
      <c r="R517" s="378"/>
      <c r="S517" s="378"/>
      <c r="T517" s="378"/>
      <c r="U517" s="378"/>
      <c r="V517" s="378"/>
      <c r="W517" s="378"/>
      <c r="X517" s="378"/>
      <c r="Y517" s="378"/>
      <c r="Z517" s="378"/>
      <c r="AA517" s="169"/>
      <c r="AB517" s="159" t="s">
        <v>281</v>
      </c>
      <c r="AD517" s="172" t="s">
        <v>249</v>
      </c>
      <c r="AE517" s="167"/>
      <c r="AF517" s="164">
        <f t="shared" si="118"/>
        <v>0</v>
      </c>
      <c r="AG517" s="164">
        <f>IF(AND(SUM(AF:AF)&gt;0,OR(AND(B517="",Y488="Yes"),AND(B517=1,Y488="No"))),1,0)</f>
        <v>0</v>
      </c>
      <c r="AI517" s="190">
        <v>1</v>
      </c>
    </row>
    <row r="518" spans="1:35" s="180" customFormat="1" ht="18.5" hidden="1" customHeight="1" x14ac:dyDescent="0.2">
      <c r="A518" s="163" t="str">
        <f t="shared" si="117"/>
        <v/>
      </c>
      <c r="B518" s="164">
        <v>0</v>
      </c>
      <c r="C518" s="152"/>
      <c r="D518" s="179" t="s">
        <v>252</v>
      </c>
      <c r="E518" s="378" t="s">
        <v>312</v>
      </c>
      <c r="F518" s="378"/>
      <c r="G518" s="378"/>
      <c r="H518" s="378"/>
      <c r="I518" s="378"/>
      <c r="J518" s="378"/>
      <c r="K518" s="378"/>
      <c r="L518" s="378"/>
      <c r="M518" s="378"/>
      <c r="N518" s="378"/>
      <c r="O518" s="378"/>
      <c r="P518" s="378"/>
      <c r="Q518" s="378"/>
      <c r="R518" s="378"/>
      <c r="S518" s="378"/>
      <c r="T518" s="378"/>
      <c r="U518" s="378"/>
      <c r="V518" s="378"/>
      <c r="W518" s="378"/>
      <c r="X518" s="378"/>
      <c r="Y518" s="378"/>
      <c r="Z518" s="378"/>
      <c r="AA518" s="168"/>
      <c r="AB518" s="166" t="s">
        <v>259</v>
      </c>
      <c r="AD518" s="165" t="s">
        <v>260</v>
      </c>
      <c r="AE518" s="134"/>
      <c r="AF518" s="22"/>
      <c r="AG518" s="22"/>
      <c r="AI518" s="190">
        <v>1</v>
      </c>
    </row>
    <row r="519" spans="1:35" s="180" customFormat="1" ht="18" hidden="1" customHeight="1" x14ac:dyDescent="0.2">
      <c r="A519" s="163" t="str">
        <f t="shared" si="117"/>
        <v/>
      </c>
      <c r="B519" s="170"/>
      <c r="C519" s="152"/>
      <c r="D519" s="179" t="s">
        <v>252</v>
      </c>
      <c r="E519" s="373"/>
      <c r="F519" s="373"/>
      <c r="G519" s="373"/>
      <c r="H519" s="373"/>
      <c r="I519" s="373"/>
      <c r="J519" s="373"/>
      <c r="K519" s="373"/>
      <c r="L519" s="373"/>
      <c r="M519" s="373"/>
      <c r="N519" s="373"/>
      <c r="O519" s="373"/>
      <c r="P519" s="373"/>
      <c r="Q519" s="373"/>
      <c r="R519" s="373"/>
      <c r="S519" s="373"/>
      <c r="T519" s="373"/>
      <c r="U519" s="373"/>
      <c r="V519" s="373"/>
      <c r="W519" s="373"/>
      <c r="X519" s="373"/>
      <c r="Y519" s="373"/>
      <c r="Z519" s="373"/>
      <c r="AA519" s="169"/>
      <c r="AB519" s="159" t="s">
        <v>281</v>
      </c>
      <c r="AD519" s="172" t="s">
        <v>249</v>
      </c>
      <c r="AE519" s="167"/>
      <c r="AF519" s="164">
        <f t="shared" ref="AF519:AF521" si="119">IF(B519&lt;&gt;"",1,0)</f>
        <v>0</v>
      </c>
      <c r="AG519" s="164">
        <f>IF(AND(SUM(AF:AF)&gt;0,OR(AND(B519=1,Y488="No"),AND(B519=1,E519="",Y488="Yes"),AND(B519="",E519="",Y488="Yes"),AND(B519="",E519&lt;&gt;"",Y488="Yes"),AND(B519=0,E519&lt;&gt;"",Y488="Yes"))),1,0)</f>
        <v>0</v>
      </c>
      <c r="AI519" s="190">
        <v>1</v>
      </c>
    </row>
    <row r="520" spans="1:35" s="180" customFormat="1" ht="18" hidden="1" customHeight="1" x14ac:dyDescent="0.2">
      <c r="A520" s="163" t="str">
        <f t="shared" si="117"/>
        <v/>
      </c>
      <c r="B520" s="170"/>
      <c r="C520" s="152"/>
      <c r="D520" s="179" t="s">
        <v>252</v>
      </c>
      <c r="E520" s="373"/>
      <c r="F520" s="373"/>
      <c r="G520" s="373"/>
      <c r="H520" s="373"/>
      <c r="I520" s="373"/>
      <c r="J520" s="373"/>
      <c r="K520" s="373"/>
      <c r="L520" s="373"/>
      <c r="M520" s="373"/>
      <c r="N520" s="373"/>
      <c r="O520" s="373"/>
      <c r="P520" s="373"/>
      <c r="Q520" s="373"/>
      <c r="R520" s="373"/>
      <c r="S520" s="373"/>
      <c r="T520" s="373"/>
      <c r="U520" s="373"/>
      <c r="V520" s="373"/>
      <c r="W520" s="373"/>
      <c r="X520" s="373"/>
      <c r="Y520" s="373"/>
      <c r="Z520" s="373"/>
      <c r="AA520" s="169"/>
      <c r="AB520" s="159" t="s">
        <v>281</v>
      </c>
      <c r="AD520" s="172" t="s">
        <v>249</v>
      </c>
      <c r="AE520" s="167"/>
      <c r="AF520" s="164">
        <f t="shared" si="119"/>
        <v>0</v>
      </c>
      <c r="AG520" s="164">
        <f>IF(AND(SUM(AF:AF)&gt;0,OR(AND(B520=1,Y488="No"),AND(B520=1,E520="",Y488="Yes"),AND(B520="",E520="",Y488="Yes"),AND(B520="",E520&lt;&gt;"",Y488="Yes"),AND(B520=0,E520&lt;&gt;"",Y488="Yes"))),1,0)</f>
        <v>0</v>
      </c>
      <c r="AI520" s="190">
        <v>1</v>
      </c>
    </row>
    <row r="521" spans="1:35" s="180" customFormat="1" ht="18" hidden="1" customHeight="1" x14ac:dyDescent="0.2">
      <c r="A521" s="163" t="str">
        <f t="shared" si="117"/>
        <v/>
      </c>
      <c r="B521" s="170"/>
      <c r="C521" s="152"/>
      <c r="D521" s="179" t="s">
        <v>252</v>
      </c>
      <c r="E521" s="373"/>
      <c r="F521" s="373"/>
      <c r="G521" s="373"/>
      <c r="H521" s="373"/>
      <c r="I521" s="373"/>
      <c r="J521" s="373"/>
      <c r="K521" s="373"/>
      <c r="L521" s="373"/>
      <c r="M521" s="373"/>
      <c r="N521" s="373"/>
      <c r="O521" s="373"/>
      <c r="P521" s="373"/>
      <c r="Q521" s="373"/>
      <c r="R521" s="373"/>
      <c r="S521" s="373"/>
      <c r="T521" s="373"/>
      <c r="U521" s="373"/>
      <c r="V521" s="373"/>
      <c r="W521" s="373"/>
      <c r="X521" s="373"/>
      <c r="Y521" s="373"/>
      <c r="Z521" s="373"/>
      <c r="AA521" s="169"/>
      <c r="AB521" s="159" t="s">
        <v>281</v>
      </c>
      <c r="AD521" s="172" t="s">
        <v>249</v>
      </c>
      <c r="AE521" s="167"/>
      <c r="AF521" s="164">
        <f t="shared" si="119"/>
        <v>0</v>
      </c>
      <c r="AG521" s="164">
        <f>IF(AND(SUM(AF:AF)&gt;0,OR(AND(B521=1,Y488="No"),AND(B521=1,E521="",Y488="Yes"),AND(B521="",E521="",Y488="Yes"),AND(B521="",E521&lt;&gt;"",Y488="Yes"),AND(B521=0,E521&lt;&gt;"",Y488="Yes"))),1,0)</f>
        <v>0</v>
      </c>
      <c r="AI521" s="190">
        <v>1</v>
      </c>
    </row>
    <row r="522" spans="1:35" ht="21" hidden="1" customHeight="1" x14ac:dyDescent="0.2">
      <c r="A522" s="163" t="str">
        <f t="shared" si="117"/>
        <v/>
      </c>
      <c r="B522" s="164">
        <v>0</v>
      </c>
      <c r="D522" s="379" t="s">
        <v>258</v>
      </c>
      <c r="E522" s="379"/>
      <c r="F522" s="379"/>
      <c r="G522" s="379"/>
      <c r="H522" s="379"/>
      <c r="I522" s="379"/>
      <c r="J522" s="379"/>
      <c r="K522" s="379"/>
      <c r="L522" s="379"/>
      <c r="M522" s="379"/>
      <c r="N522" s="379"/>
      <c r="O522" s="379"/>
      <c r="P522" s="379"/>
      <c r="Q522" s="379"/>
      <c r="R522" s="379"/>
      <c r="S522" s="379"/>
      <c r="T522" s="379"/>
      <c r="U522" s="379"/>
      <c r="V522" s="379"/>
      <c r="W522" s="379"/>
      <c r="X522" s="379"/>
      <c r="Y522" s="379"/>
      <c r="Z522" s="379"/>
      <c r="AB522" s="166" t="s">
        <v>259</v>
      </c>
      <c r="AD522" s="165" t="s">
        <v>260</v>
      </c>
      <c r="AE522" s="134"/>
      <c r="AF522" s="22"/>
      <c r="AG522" s="22"/>
      <c r="AI522" s="190">
        <v>1</v>
      </c>
    </row>
    <row r="523" spans="1:35" ht="15.75" hidden="1" customHeight="1" x14ac:dyDescent="0.2">
      <c r="A523" s="163"/>
      <c r="B523" s="164">
        <v>0</v>
      </c>
      <c r="D523" s="369" t="s">
        <v>261</v>
      </c>
      <c r="E523" s="369"/>
      <c r="F523" s="369"/>
      <c r="G523" s="369"/>
      <c r="H523" s="369"/>
      <c r="I523" s="369"/>
      <c r="J523" s="369"/>
      <c r="K523" s="369"/>
      <c r="L523" s="369"/>
      <c r="M523" s="369"/>
      <c r="N523" s="369"/>
      <c r="O523" s="369"/>
      <c r="P523" s="369"/>
      <c r="Q523" s="369"/>
      <c r="R523" s="369"/>
      <c r="S523" s="369"/>
      <c r="T523" s="369"/>
      <c r="U523" s="369"/>
      <c r="V523" s="369"/>
      <c r="W523" s="369"/>
      <c r="X523" s="369"/>
      <c r="Y523" s="369"/>
      <c r="Z523" s="369"/>
      <c r="AB523" s="166" t="s">
        <v>259</v>
      </c>
      <c r="AD523" s="165" t="s">
        <v>260</v>
      </c>
      <c r="AE523" s="134"/>
      <c r="AF523" s="22"/>
      <c r="AG523" s="22"/>
      <c r="AI523" s="190">
        <v>1</v>
      </c>
    </row>
    <row r="524" spans="1:35" ht="8.5" hidden="1" customHeight="1" x14ac:dyDescent="0.15">
      <c r="A524" s="163" t="str">
        <f>IF(AG524=1,"X","")</f>
        <v/>
      </c>
      <c r="B524" s="164">
        <f>IF(OR(D525="Show",Q525="Show"),1,0)</f>
        <v>0</v>
      </c>
      <c r="D524" s="368"/>
      <c r="E524" s="368"/>
      <c r="F524" s="368"/>
      <c r="G524" s="368"/>
      <c r="H524" s="368"/>
      <c r="I524" s="368"/>
      <c r="J524" s="368"/>
      <c r="K524" s="368"/>
      <c r="L524" s="368"/>
      <c r="M524" s="368"/>
      <c r="N524" s="368"/>
      <c r="O524" s="368"/>
      <c r="P524" s="368"/>
      <c r="Q524" s="368"/>
      <c r="R524" s="368"/>
      <c r="S524" s="368"/>
      <c r="T524" s="368"/>
      <c r="U524" s="368"/>
      <c r="V524" s="368"/>
      <c r="W524" s="368"/>
      <c r="X524" s="368"/>
      <c r="Y524" s="368"/>
      <c r="Z524" s="368"/>
      <c r="AD524" s="165" t="s">
        <v>227</v>
      </c>
      <c r="AE524" s="156"/>
      <c r="AF524" s="22"/>
      <c r="AG524" s="22"/>
      <c r="AI524" s="190">
        <v>1</v>
      </c>
    </row>
    <row r="525" spans="1:35" ht="18" hidden="1" customHeight="1" x14ac:dyDescent="0.2">
      <c r="A525" s="163" t="str">
        <f t="shared" ref="A525:A528" si="120">IF(AG525=1,"X","")</f>
        <v/>
      </c>
      <c r="B525" s="164">
        <v>0</v>
      </c>
      <c r="D525" s="370" t="s">
        <v>267</v>
      </c>
      <c r="E525" s="370"/>
      <c r="F525" s="370"/>
      <c r="G525" s="370"/>
      <c r="H525" s="370"/>
      <c r="I525" s="370"/>
      <c r="J525" s="370"/>
      <c r="K525" s="370"/>
      <c r="L525" s="370"/>
      <c r="M525" s="370"/>
      <c r="N525" s="370"/>
      <c r="O525" s="175"/>
      <c r="P525" s="175"/>
      <c r="Q525" s="370" t="s">
        <v>267</v>
      </c>
      <c r="R525" s="370"/>
      <c r="S525" s="370"/>
      <c r="T525" s="370"/>
      <c r="U525" s="370"/>
      <c r="V525" s="370"/>
      <c r="W525" s="370"/>
      <c r="X525" s="370"/>
      <c r="Y525" s="370"/>
      <c r="Z525" s="370"/>
      <c r="AA525" s="176"/>
      <c r="AB525" s="159" t="s">
        <v>262</v>
      </c>
      <c r="AD525" s="172" t="s">
        <v>249</v>
      </c>
      <c r="AE525" s="134"/>
      <c r="AF525" s="164">
        <f>IF(OR(D525="Show",D525="",Q525="Show",Q525=""),1,0)</f>
        <v>0</v>
      </c>
      <c r="AG525" s="164">
        <f>IF(AND(SUM(AF:AF)&gt;0,OR(D525="",Q525="")),1,0)</f>
        <v>0</v>
      </c>
      <c r="AI525" s="190">
        <v>1</v>
      </c>
    </row>
    <row r="526" spans="1:35" ht="197.25" hidden="1" customHeight="1" x14ac:dyDescent="0.2">
      <c r="A526" s="163" t="str">
        <f t="shared" si="120"/>
        <v/>
      </c>
      <c r="B526" s="164">
        <f>B524</f>
        <v>0</v>
      </c>
      <c r="D526" s="370"/>
      <c r="E526" s="370"/>
      <c r="F526" s="370"/>
      <c r="G526" s="370"/>
      <c r="H526" s="370"/>
      <c r="I526" s="370"/>
      <c r="J526" s="370"/>
      <c r="K526" s="370"/>
      <c r="L526" s="370"/>
      <c r="M526" s="370"/>
      <c r="N526" s="370"/>
      <c r="O526" s="175"/>
      <c r="P526" s="175"/>
      <c r="Q526" s="370"/>
      <c r="R526" s="370"/>
      <c r="S526" s="370"/>
      <c r="T526" s="370"/>
      <c r="U526" s="370"/>
      <c r="V526" s="370"/>
      <c r="W526" s="370"/>
      <c r="X526" s="370"/>
      <c r="Y526" s="370"/>
      <c r="Z526" s="370"/>
      <c r="AA526" s="176"/>
      <c r="AB526" s="159" t="s">
        <v>263</v>
      </c>
      <c r="AD526" s="172" t="s">
        <v>249</v>
      </c>
      <c r="AE526" s="167"/>
      <c r="AF526" s="22"/>
      <c r="AG526" s="22"/>
      <c r="AI526" s="190">
        <v>1</v>
      </c>
    </row>
    <row r="527" spans="1:35" ht="18" hidden="1" customHeight="1" x14ac:dyDescent="0.2">
      <c r="A527" s="163" t="str">
        <f t="shared" si="120"/>
        <v/>
      </c>
      <c r="B527" s="164">
        <f>B526</f>
        <v>0</v>
      </c>
      <c r="D527" s="371"/>
      <c r="E527" s="371"/>
      <c r="F527" s="371"/>
      <c r="G527" s="371"/>
      <c r="H527" s="371"/>
      <c r="I527" s="371"/>
      <c r="J527" s="371"/>
      <c r="K527" s="371"/>
      <c r="L527" s="371"/>
      <c r="M527" s="371"/>
      <c r="N527" s="371"/>
      <c r="O527" s="175"/>
      <c r="P527" s="175"/>
      <c r="Q527" s="371"/>
      <c r="R527" s="371"/>
      <c r="S527" s="371"/>
      <c r="T527" s="371"/>
      <c r="U527" s="371"/>
      <c r="V527" s="371"/>
      <c r="W527" s="371"/>
      <c r="X527" s="371"/>
      <c r="Y527" s="371"/>
      <c r="Z527" s="371"/>
      <c r="AA527" s="176"/>
      <c r="AB527" s="159" t="s">
        <v>264</v>
      </c>
      <c r="AD527" s="172" t="s">
        <v>249</v>
      </c>
      <c r="AE527" s="167"/>
      <c r="AF527" s="164">
        <f>IF(OR(D525="Show",D525="",Q525="Show",Q525=""),1,0)</f>
        <v>0</v>
      </c>
      <c r="AG527" s="164">
        <f>IF(AND(SUM(AF:AF)&gt;0,OR(AND(D525="Show",D527=""),AND(Q525="Show",Q527=""))),1,0)</f>
        <v>0</v>
      </c>
      <c r="AI527" s="190">
        <v>1</v>
      </c>
    </row>
    <row r="528" spans="1:35" ht="8.5" hidden="1" customHeight="1" x14ac:dyDescent="0.15">
      <c r="A528" s="163" t="str">
        <f t="shared" si="120"/>
        <v/>
      </c>
      <c r="B528" s="164">
        <f>B527</f>
        <v>0</v>
      </c>
      <c r="D528" s="368"/>
      <c r="E528" s="368"/>
      <c r="F528" s="368"/>
      <c r="G528" s="368"/>
      <c r="H528" s="368"/>
      <c r="I528" s="368"/>
      <c r="J528" s="368"/>
      <c r="K528" s="368"/>
      <c r="L528" s="368"/>
      <c r="M528" s="368"/>
      <c r="N528" s="368"/>
      <c r="O528" s="368"/>
      <c r="P528" s="368"/>
      <c r="Q528" s="368"/>
      <c r="R528" s="368"/>
      <c r="S528" s="368"/>
      <c r="T528" s="368"/>
      <c r="U528" s="368"/>
      <c r="V528" s="368"/>
      <c r="W528" s="368"/>
      <c r="X528" s="368"/>
      <c r="Y528" s="368"/>
      <c r="Z528" s="368"/>
      <c r="AA528" s="176"/>
      <c r="AD528" s="165" t="s">
        <v>227</v>
      </c>
      <c r="AE528" s="156"/>
      <c r="AF528" s="22"/>
      <c r="AG528" s="22"/>
      <c r="AI528" s="190">
        <v>1</v>
      </c>
    </row>
    <row r="529" spans="1:35" ht="15.75" hidden="1" customHeight="1" x14ac:dyDescent="0.2">
      <c r="A529" s="163"/>
      <c r="B529" s="164">
        <v>0</v>
      </c>
      <c r="D529" s="369" t="s">
        <v>265</v>
      </c>
      <c r="E529" s="369"/>
      <c r="F529" s="369"/>
      <c r="G529" s="369"/>
      <c r="H529" s="369"/>
      <c r="I529" s="369"/>
      <c r="J529" s="369"/>
      <c r="K529" s="369"/>
      <c r="L529" s="369"/>
      <c r="M529" s="369"/>
      <c r="N529" s="369"/>
      <c r="O529" s="369"/>
      <c r="P529" s="369"/>
      <c r="Q529" s="369"/>
      <c r="R529" s="369"/>
      <c r="S529" s="369"/>
      <c r="T529" s="369"/>
      <c r="U529" s="369"/>
      <c r="V529" s="369"/>
      <c r="W529" s="369"/>
      <c r="X529" s="369"/>
      <c r="Y529" s="369"/>
      <c r="Z529" s="369"/>
      <c r="AB529" s="166" t="s">
        <v>259</v>
      </c>
      <c r="AD529" s="165" t="s">
        <v>260</v>
      </c>
      <c r="AE529" s="134"/>
      <c r="AF529" s="22"/>
      <c r="AG529" s="22"/>
      <c r="AI529" s="190">
        <v>1</v>
      </c>
    </row>
    <row r="530" spans="1:35" ht="21" hidden="1" customHeight="1" x14ac:dyDescent="0.15">
      <c r="A530" s="163" t="str">
        <f t="shared" ref="A530:A540" si="121">IF(AG530=1,"X","")</f>
        <v/>
      </c>
      <c r="B530" s="164">
        <f>IF(Y$488="Yes",1,0)</f>
        <v>0</v>
      </c>
      <c r="D530" s="380" t="s">
        <v>314</v>
      </c>
      <c r="E530" s="380"/>
      <c r="F530" s="380"/>
      <c r="G530" s="380"/>
      <c r="H530" s="380"/>
      <c r="I530" s="380"/>
      <c r="J530" s="380"/>
      <c r="K530" s="380"/>
      <c r="L530" s="380"/>
      <c r="M530" s="380"/>
      <c r="N530" s="380"/>
      <c r="O530" s="380"/>
      <c r="P530" s="380"/>
      <c r="Q530" s="380"/>
      <c r="R530" s="380"/>
      <c r="S530" s="380"/>
      <c r="T530" s="380"/>
      <c r="U530" s="380"/>
      <c r="V530" s="380"/>
      <c r="W530" s="380"/>
      <c r="X530" s="380"/>
      <c r="Y530" s="380"/>
      <c r="Z530" s="380"/>
      <c r="AB530" s="166" t="s">
        <v>462</v>
      </c>
      <c r="AD530" s="165" t="s">
        <v>463</v>
      </c>
      <c r="AE530" s="134"/>
      <c r="AF530" s="22"/>
      <c r="AG530" s="22"/>
      <c r="AI530" s="190">
        <v>1</v>
      </c>
    </row>
    <row r="531" spans="1:35" s="180" customFormat="1" ht="16" hidden="1" x14ac:dyDescent="0.2">
      <c r="A531" s="163" t="str">
        <f t="shared" si="121"/>
        <v/>
      </c>
      <c r="B531" s="170"/>
      <c r="C531" s="152"/>
      <c r="D531" s="378" t="s">
        <v>401</v>
      </c>
      <c r="E531" s="378"/>
      <c r="F531" s="378"/>
      <c r="G531" s="378"/>
      <c r="H531" s="378"/>
      <c r="I531" s="378"/>
      <c r="J531" s="378"/>
      <c r="K531" s="378"/>
      <c r="L531" s="378"/>
      <c r="M531" s="378"/>
      <c r="N531" s="378"/>
      <c r="O531" s="378"/>
      <c r="P531" s="378"/>
      <c r="Q531" s="378"/>
      <c r="R531" s="378"/>
      <c r="S531" s="378"/>
      <c r="T531" s="378"/>
      <c r="U531" s="378"/>
      <c r="V531" s="378"/>
      <c r="W531" s="378"/>
      <c r="X531" s="378"/>
      <c r="Y531" s="378"/>
      <c r="Z531" s="378"/>
      <c r="AA531" s="169"/>
      <c r="AB531" s="159" t="s">
        <v>281</v>
      </c>
      <c r="AD531" s="172" t="s">
        <v>249</v>
      </c>
      <c r="AE531" s="167"/>
      <c r="AF531" s="164">
        <f t="shared" ref="AF531:AF534" si="122">IF(B531&lt;&gt;"",1,0)</f>
        <v>0</v>
      </c>
      <c r="AG531" s="164">
        <f>IF(AND(SUM(AF:AF)&gt;0,OR(AND(B531="",Y488="Yes"),AND(B531=1,Y488="No"))),1,0)</f>
        <v>0</v>
      </c>
      <c r="AI531" s="190">
        <v>1</v>
      </c>
    </row>
    <row r="532" spans="1:35" s="180" customFormat="1" ht="16" hidden="1" x14ac:dyDescent="0.2">
      <c r="A532" s="163" t="str">
        <f t="shared" si="121"/>
        <v/>
      </c>
      <c r="B532" s="170"/>
      <c r="C532" s="152"/>
      <c r="D532" s="378" t="s">
        <v>402</v>
      </c>
      <c r="E532" s="378"/>
      <c r="F532" s="378"/>
      <c r="G532" s="378"/>
      <c r="H532" s="378"/>
      <c r="I532" s="378"/>
      <c r="J532" s="378"/>
      <c r="K532" s="378"/>
      <c r="L532" s="378"/>
      <c r="M532" s="378"/>
      <c r="N532" s="378"/>
      <c r="O532" s="378"/>
      <c r="P532" s="378"/>
      <c r="Q532" s="378"/>
      <c r="R532" s="378"/>
      <c r="S532" s="378"/>
      <c r="T532" s="378"/>
      <c r="U532" s="378"/>
      <c r="V532" s="378"/>
      <c r="W532" s="378"/>
      <c r="X532" s="378"/>
      <c r="Y532" s="378"/>
      <c r="Z532" s="378"/>
      <c r="AA532" s="169"/>
      <c r="AB532" s="159" t="s">
        <v>281</v>
      </c>
      <c r="AD532" s="172" t="s">
        <v>249</v>
      </c>
      <c r="AE532" s="167"/>
      <c r="AF532" s="164">
        <f t="shared" si="122"/>
        <v>0</v>
      </c>
      <c r="AG532" s="164">
        <f>IF(AND(SUM(AF:AF)&gt;0,OR(AND(B532="",Y488="Yes"),AND(B532=1,Y488="No"))),1,0)</f>
        <v>0</v>
      </c>
      <c r="AI532" s="190">
        <v>1</v>
      </c>
    </row>
    <row r="533" spans="1:35" s="180" customFormat="1" ht="18" hidden="1" customHeight="1" x14ac:dyDescent="0.2">
      <c r="A533" s="163" t="str">
        <f t="shared" si="121"/>
        <v/>
      </c>
      <c r="B533" s="170"/>
      <c r="C533" s="152"/>
      <c r="D533" s="179" t="s">
        <v>252</v>
      </c>
      <c r="E533" s="378" t="s">
        <v>318</v>
      </c>
      <c r="F533" s="378"/>
      <c r="G533" s="378"/>
      <c r="H533" s="378"/>
      <c r="I533" s="378"/>
      <c r="J533" s="378"/>
      <c r="K533" s="378"/>
      <c r="L533" s="378"/>
      <c r="M533" s="378"/>
      <c r="N533" s="378"/>
      <c r="O533" s="378"/>
      <c r="P533" s="378"/>
      <c r="Q533" s="378"/>
      <c r="R533" s="378"/>
      <c r="S533" s="378"/>
      <c r="T533" s="378"/>
      <c r="U533" s="378"/>
      <c r="V533" s="378"/>
      <c r="W533" s="378"/>
      <c r="X533" s="378"/>
      <c r="Y533" s="378"/>
      <c r="Z533" s="378"/>
      <c r="AA533" s="169"/>
      <c r="AB533" s="159" t="s">
        <v>281</v>
      </c>
      <c r="AD533" s="172" t="s">
        <v>249</v>
      </c>
      <c r="AE533" s="167"/>
      <c r="AF533" s="164">
        <f t="shared" si="122"/>
        <v>0</v>
      </c>
      <c r="AG533" s="164">
        <f>IF(AND(SUM(AF:AF)&gt;0,OR(AND(B533="",Y488="Yes"),AND(B533=1,Y488="No"))),1,0)</f>
        <v>0</v>
      </c>
      <c r="AI533" s="190">
        <v>1</v>
      </c>
    </row>
    <row r="534" spans="1:35" s="180" customFormat="1" ht="18" hidden="1" customHeight="1" x14ac:dyDescent="0.2">
      <c r="A534" s="163" t="str">
        <f t="shared" si="121"/>
        <v/>
      </c>
      <c r="B534" s="170"/>
      <c r="C534" s="152"/>
      <c r="D534" s="179" t="s">
        <v>252</v>
      </c>
      <c r="E534" s="378" t="s">
        <v>405</v>
      </c>
      <c r="F534" s="378"/>
      <c r="G534" s="378"/>
      <c r="H534" s="378"/>
      <c r="I534" s="378"/>
      <c r="J534" s="378"/>
      <c r="K534" s="378"/>
      <c r="L534" s="378"/>
      <c r="M534" s="378"/>
      <c r="N534" s="378"/>
      <c r="O534" s="378"/>
      <c r="P534" s="378"/>
      <c r="Q534" s="378"/>
      <c r="R534" s="378"/>
      <c r="S534" s="378"/>
      <c r="T534" s="378"/>
      <c r="U534" s="378"/>
      <c r="V534" s="378"/>
      <c r="W534" s="378"/>
      <c r="X534" s="378"/>
      <c r="Y534" s="378"/>
      <c r="Z534" s="378"/>
      <c r="AA534" s="169"/>
      <c r="AB534" s="159" t="s">
        <v>281</v>
      </c>
      <c r="AD534" s="172" t="s">
        <v>249</v>
      </c>
      <c r="AE534" s="167"/>
      <c r="AF534" s="164">
        <f t="shared" si="122"/>
        <v>0</v>
      </c>
      <c r="AG534" s="164">
        <f>IF(AND(SUM(AF:AF)&gt;0,OR(AND(B534="",Y488="Yes"),AND(B534=1,Y488="No"))),1,0)</f>
        <v>0</v>
      </c>
      <c r="AI534" s="190">
        <v>1</v>
      </c>
    </row>
    <row r="535" spans="1:35" s="180" customFormat="1" ht="18.5" hidden="1" customHeight="1" x14ac:dyDescent="0.2">
      <c r="A535" s="163" t="str">
        <f t="shared" si="121"/>
        <v/>
      </c>
      <c r="B535" s="164">
        <v>0</v>
      </c>
      <c r="C535" s="152"/>
      <c r="D535" s="179" t="s">
        <v>252</v>
      </c>
      <c r="E535" s="378" t="s">
        <v>312</v>
      </c>
      <c r="F535" s="378"/>
      <c r="G535" s="378"/>
      <c r="H535" s="378"/>
      <c r="I535" s="378"/>
      <c r="J535" s="378"/>
      <c r="K535" s="378"/>
      <c r="L535" s="378"/>
      <c r="M535" s="378"/>
      <c r="N535" s="378"/>
      <c r="O535" s="378"/>
      <c r="P535" s="378"/>
      <c r="Q535" s="378"/>
      <c r="R535" s="378"/>
      <c r="S535" s="378"/>
      <c r="T535" s="378"/>
      <c r="U535" s="378"/>
      <c r="V535" s="378"/>
      <c r="W535" s="378"/>
      <c r="X535" s="378"/>
      <c r="Y535" s="378"/>
      <c r="Z535" s="378"/>
      <c r="AA535" s="168"/>
      <c r="AB535" s="166" t="s">
        <v>259</v>
      </c>
      <c r="AD535" s="165" t="s">
        <v>260</v>
      </c>
      <c r="AE535" s="134"/>
      <c r="AF535" s="22"/>
      <c r="AG535" s="22"/>
      <c r="AI535" s="190">
        <v>1</v>
      </c>
    </row>
    <row r="536" spans="1:35" s="180" customFormat="1" ht="18" hidden="1" customHeight="1" x14ac:dyDescent="0.2">
      <c r="A536" s="163" t="str">
        <f t="shared" si="121"/>
        <v/>
      </c>
      <c r="B536" s="170"/>
      <c r="C536" s="152"/>
      <c r="D536" s="179" t="s">
        <v>252</v>
      </c>
      <c r="E536" s="373"/>
      <c r="F536" s="373"/>
      <c r="G536" s="373"/>
      <c r="H536" s="373"/>
      <c r="I536" s="373"/>
      <c r="J536" s="373"/>
      <c r="K536" s="373"/>
      <c r="L536" s="373"/>
      <c r="M536" s="373"/>
      <c r="N536" s="373"/>
      <c r="O536" s="373"/>
      <c r="P536" s="373"/>
      <c r="Q536" s="373"/>
      <c r="R536" s="373"/>
      <c r="S536" s="373"/>
      <c r="T536" s="373"/>
      <c r="U536" s="373"/>
      <c r="V536" s="373"/>
      <c r="W536" s="373"/>
      <c r="X536" s="373"/>
      <c r="Y536" s="373"/>
      <c r="Z536" s="373"/>
      <c r="AA536" s="169"/>
      <c r="AB536" s="159" t="s">
        <v>281</v>
      </c>
      <c r="AD536" s="172" t="s">
        <v>249</v>
      </c>
      <c r="AE536" s="167"/>
      <c r="AF536" s="164">
        <f t="shared" ref="AF536:AF539" si="123">IF(B536&lt;&gt;"",1,0)</f>
        <v>0</v>
      </c>
      <c r="AG536" s="164">
        <f>IF(AND(SUM(AF:AF)&gt;0,OR(AND(B536=1,Y488="No"),AND(B536=1,E536="",Y488="Yes"),AND(B536="",E536="",Y488="Yes"),AND(B536="",E536&lt;&gt;"",Y488="Yes"),AND(B536=0,E536&lt;&gt;"",Y488="Yes"))),1,0)</f>
        <v>0</v>
      </c>
      <c r="AI536" s="190">
        <v>1</v>
      </c>
    </row>
    <row r="537" spans="1:35" s="180" customFormat="1" ht="18" hidden="1" customHeight="1" x14ac:dyDescent="0.2">
      <c r="A537" s="163" t="str">
        <f t="shared" si="121"/>
        <v/>
      </c>
      <c r="B537" s="170"/>
      <c r="C537" s="152"/>
      <c r="D537" s="179" t="s">
        <v>252</v>
      </c>
      <c r="E537" s="373"/>
      <c r="F537" s="373"/>
      <c r="G537" s="373"/>
      <c r="H537" s="373"/>
      <c r="I537" s="373"/>
      <c r="J537" s="373"/>
      <c r="K537" s="373"/>
      <c r="L537" s="373"/>
      <c r="M537" s="373"/>
      <c r="N537" s="373"/>
      <c r="O537" s="373"/>
      <c r="P537" s="373"/>
      <c r="Q537" s="373"/>
      <c r="R537" s="373"/>
      <c r="S537" s="373"/>
      <c r="T537" s="373"/>
      <c r="U537" s="373"/>
      <c r="V537" s="373"/>
      <c r="W537" s="373"/>
      <c r="X537" s="373"/>
      <c r="Y537" s="373"/>
      <c r="Z537" s="373"/>
      <c r="AA537" s="169"/>
      <c r="AB537" s="159" t="s">
        <v>281</v>
      </c>
      <c r="AD537" s="172" t="s">
        <v>249</v>
      </c>
      <c r="AE537" s="167"/>
      <c r="AF537" s="164">
        <f t="shared" si="123"/>
        <v>0</v>
      </c>
      <c r="AG537" s="164">
        <f>IF(AND(SUM(AF:AF)&gt;0,OR(AND(B537=1,Y488="No"),AND(B537=1,E537="",Y488="Yes"),AND(B537="",E537="",Y488="Yes"),AND(B537="",E537&lt;&gt;"",Y488="Yes"),AND(B537=0,E537&lt;&gt;"",Y488="Yes"))),1,0)</f>
        <v>0</v>
      </c>
      <c r="AI537" s="190">
        <v>1</v>
      </c>
    </row>
    <row r="538" spans="1:35" s="180" customFormat="1" ht="18" hidden="1" customHeight="1" x14ac:dyDescent="0.2">
      <c r="A538" s="163" t="str">
        <f t="shared" si="121"/>
        <v/>
      </c>
      <c r="B538" s="170"/>
      <c r="C538" s="152"/>
      <c r="D538" s="179" t="s">
        <v>252</v>
      </c>
      <c r="E538" s="373"/>
      <c r="F538" s="373"/>
      <c r="G538" s="373"/>
      <c r="H538" s="373"/>
      <c r="I538" s="373"/>
      <c r="J538" s="373"/>
      <c r="K538" s="373"/>
      <c r="L538" s="373"/>
      <c r="M538" s="373"/>
      <c r="N538" s="373"/>
      <c r="O538" s="373"/>
      <c r="P538" s="373"/>
      <c r="Q538" s="373"/>
      <c r="R538" s="373"/>
      <c r="S538" s="373"/>
      <c r="T538" s="373"/>
      <c r="U538" s="373"/>
      <c r="V538" s="373"/>
      <c r="W538" s="373"/>
      <c r="X538" s="373"/>
      <c r="Y538" s="373"/>
      <c r="Z538" s="373"/>
      <c r="AA538" s="169"/>
      <c r="AB538" s="159" t="s">
        <v>281</v>
      </c>
      <c r="AD538" s="172" t="s">
        <v>249</v>
      </c>
      <c r="AE538" s="167"/>
      <c r="AF538" s="164">
        <f t="shared" si="123"/>
        <v>0</v>
      </c>
      <c r="AG538" s="164">
        <f>IF(AND(SUM(AF:AF)&gt;0,OR(AND(B538=1,Y488="No"),AND(B538=1,E538="",Y488="Yes"),AND(B538="",E538="",Y488="Yes"),AND(B538="",E538&lt;&gt;"",Y488="Yes"),AND(B538=0,E538&lt;&gt;"",Y488="Yes"))),1,0)</f>
        <v>0</v>
      </c>
      <c r="AI538" s="190">
        <v>1</v>
      </c>
    </row>
    <row r="539" spans="1:35" s="180" customFormat="1" ht="18" hidden="1" customHeight="1" x14ac:dyDescent="0.2">
      <c r="A539" s="163" t="str">
        <f t="shared" si="121"/>
        <v/>
      </c>
      <c r="B539" s="170"/>
      <c r="C539" s="152"/>
      <c r="D539" s="375" t="s">
        <v>320</v>
      </c>
      <c r="E539" s="375"/>
      <c r="F539" s="375"/>
      <c r="G539" s="375"/>
      <c r="H539" s="375"/>
      <c r="I539" s="375"/>
      <c r="J539" s="375"/>
      <c r="K539" s="375"/>
      <c r="L539" s="375"/>
      <c r="M539" s="375"/>
      <c r="N539" s="375"/>
      <c r="O539" s="375"/>
      <c r="P539" s="375"/>
      <c r="Q539" s="375"/>
      <c r="R539" s="187"/>
      <c r="S539" s="378" t="s">
        <v>321</v>
      </c>
      <c r="T539" s="378"/>
      <c r="U539" s="378"/>
      <c r="V539" s="378"/>
      <c r="W539" s="378"/>
      <c r="X539" s="378"/>
      <c r="Y539" s="378"/>
      <c r="Z539" s="378"/>
      <c r="AA539" s="169"/>
      <c r="AB539" s="159" t="s">
        <v>281</v>
      </c>
      <c r="AD539" s="172" t="s">
        <v>249</v>
      </c>
      <c r="AE539" s="167"/>
      <c r="AF539" s="164">
        <f t="shared" si="123"/>
        <v>0</v>
      </c>
      <c r="AG539" s="164">
        <f>IF(AND(SUM(AF:AF)&gt;0,OR(AND(B539=1,Y488="No"),AND(B539=1,R539="",Y488="Yes"),AND(B539="",R539="",Y488="Yes"),AND(B539="",R539&lt;&gt;"",Y488="Yes"),AND(B539=0,R539&lt;&gt;"",Y488="Yes"))),1,0)</f>
        <v>0</v>
      </c>
      <c r="AI539" s="190">
        <v>1</v>
      </c>
    </row>
    <row r="540" spans="1:35" ht="21" hidden="1" customHeight="1" x14ac:dyDescent="0.2">
      <c r="A540" s="163" t="str">
        <f t="shared" si="121"/>
        <v/>
      </c>
      <c r="B540" s="164">
        <v>0</v>
      </c>
      <c r="D540" s="379" t="s">
        <v>258</v>
      </c>
      <c r="E540" s="379"/>
      <c r="F540" s="379"/>
      <c r="G540" s="379"/>
      <c r="H540" s="379"/>
      <c r="I540" s="379"/>
      <c r="J540" s="379"/>
      <c r="K540" s="379"/>
      <c r="L540" s="379"/>
      <c r="M540" s="379"/>
      <c r="N540" s="379"/>
      <c r="O540" s="379"/>
      <c r="P540" s="379"/>
      <c r="Q540" s="379"/>
      <c r="R540" s="379"/>
      <c r="S540" s="379"/>
      <c r="T540" s="379"/>
      <c r="U540" s="379"/>
      <c r="V540" s="379"/>
      <c r="W540" s="379"/>
      <c r="X540" s="379"/>
      <c r="Y540" s="379"/>
      <c r="Z540" s="379"/>
      <c r="AB540" s="166" t="s">
        <v>259</v>
      </c>
      <c r="AD540" s="165" t="s">
        <v>260</v>
      </c>
      <c r="AE540" s="134"/>
      <c r="AF540" s="22"/>
      <c r="AG540" s="22"/>
      <c r="AI540" s="190">
        <v>1</v>
      </c>
    </row>
    <row r="541" spans="1:35" ht="15.75" hidden="1" customHeight="1" x14ac:dyDescent="0.2">
      <c r="A541" s="163"/>
      <c r="B541" s="164">
        <v>0</v>
      </c>
      <c r="D541" s="369" t="s">
        <v>261</v>
      </c>
      <c r="E541" s="369"/>
      <c r="F541" s="369"/>
      <c r="G541" s="369"/>
      <c r="H541" s="369"/>
      <c r="I541" s="369"/>
      <c r="J541" s="369"/>
      <c r="K541" s="369"/>
      <c r="L541" s="369"/>
      <c r="M541" s="369"/>
      <c r="N541" s="369"/>
      <c r="O541" s="369"/>
      <c r="P541" s="369"/>
      <c r="Q541" s="369"/>
      <c r="R541" s="369"/>
      <c r="S541" s="369"/>
      <c r="T541" s="369"/>
      <c r="U541" s="369"/>
      <c r="V541" s="369"/>
      <c r="W541" s="369"/>
      <c r="X541" s="369"/>
      <c r="Y541" s="369"/>
      <c r="Z541" s="369"/>
      <c r="AB541" s="166" t="s">
        <v>259</v>
      </c>
      <c r="AD541" s="165" t="s">
        <v>260</v>
      </c>
      <c r="AE541" s="134"/>
      <c r="AF541" s="22"/>
      <c r="AG541" s="22"/>
      <c r="AI541" s="190">
        <v>1</v>
      </c>
    </row>
    <row r="542" spans="1:35" ht="8.5" hidden="1" customHeight="1" x14ac:dyDescent="0.15">
      <c r="A542" s="163" t="str">
        <f>IF(AG542=1,"X","")</f>
        <v/>
      </c>
      <c r="B542" s="164">
        <f>IF(OR(D543="Show",Q543="Show"),1,0)</f>
        <v>0</v>
      </c>
      <c r="D542" s="368"/>
      <c r="E542" s="368"/>
      <c r="F542" s="368"/>
      <c r="G542" s="368"/>
      <c r="H542" s="368"/>
      <c r="I542" s="368"/>
      <c r="J542" s="368"/>
      <c r="K542" s="368"/>
      <c r="L542" s="368"/>
      <c r="M542" s="368"/>
      <c r="N542" s="368"/>
      <c r="O542" s="368"/>
      <c r="P542" s="368"/>
      <c r="Q542" s="368"/>
      <c r="R542" s="368"/>
      <c r="S542" s="368"/>
      <c r="T542" s="368"/>
      <c r="U542" s="368"/>
      <c r="V542" s="368"/>
      <c r="W542" s="368"/>
      <c r="X542" s="368"/>
      <c r="Y542" s="368"/>
      <c r="Z542" s="368"/>
      <c r="AD542" s="165" t="s">
        <v>227</v>
      </c>
      <c r="AE542" s="156"/>
      <c r="AF542" s="22"/>
      <c r="AG542" s="22"/>
      <c r="AI542" s="190">
        <v>1</v>
      </c>
    </row>
    <row r="543" spans="1:35" ht="18" hidden="1" customHeight="1" x14ac:dyDescent="0.2">
      <c r="A543" s="163" t="str">
        <f t="shared" ref="A543:A546" si="124">IF(AG543=1,"X","")</f>
        <v/>
      </c>
      <c r="B543" s="164">
        <v>0</v>
      </c>
      <c r="D543" s="370" t="s">
        <v>267</v>
      </c>
      <c r="E543" s="370"/>
      <c r="F543" s="370"/>
      <c r="G543" s="370"/>
      <c r="H543" s="370"/>
      <c r="I543" s="370"/>
      <c r="J543" s="370"/>
      <c r="K543" s="370"/>
      <c r="L543" s="370"/>
      <c r="M543" s="370"/>
      <c r="N543" s="370"/>
      <c r="O543" s="175"/>
      <c r="P543" s="175"/>
      <c r="Q543" s="370" t="s">
        <v>267</v>
      </c>
      <c r="R543" s="370"/>
      <c r="S543" s="370"/>
      <c r="T543" s="370"/>
      <c r="U543" s="370"/>
      <c r="V543" s="370"/>
      <c r="W543" s="370"/>
      <c r="X543" s="370"/>
      <c r="Y543" s="370"/>
      <c r="Z543" s="370"/>
      <c r="AA543" s="176"/>
      <c r="AB543" s="159" t="s">
        <v>262</v>
      </c>
      <c r="AD543" s="172" t="s">
        <v>249</v>
      </c>
      <c r="AE543" s="134"/>
      <c r="AF543" s="164">
        <f>IF(OR(D543="Show",D543="",Q543="Show",Q543=""),1,0)</f>
        <v>0</v>
      </c>
      <c r="AG543" s="164">
        <f>IF(AND(SUM(AF:AF)&gt;0,OR(D543="",Q543="")),1,0)</f>
        <v>0</v>
      </c>
      <c r="AI543" s="190">
        <v>1</v>
      </c>
    </row>
    <row r="544" spans="1:35" ht="197.25" hidden="1" customHeight="1" x14ac:dyDescent="0.2">
      <c r="A544" s="163" t="str">
        <f t="shared" si="124"/>
        <v/>
      </c>
      <c r="B544" s="164">
        <f>B542</f>
        <v>0</v>
      </c>
      <c r="D544" s="370"/>
      <c r="E544" s="370"/>
      <c r="F544" s="370"/>
      <c r="G544" s="370"/>
      <c r="H544" s="370"/>
      <c r="I544" s="370"/>
      <c r="J544" s="370"/>
      <c r="K544" s="370"/>
      <c r="L544" s="370"/>
      <c r="M544" s="370"/>
      <c r="N544" s="370"/>
      <c r="O544" s="175"/>
      <c r="P544" s="175"/>
      <c r="Q544" s="370"/>
      <c r="R544" s="370"/>
      <c r="S544" s="370"/>
      <c r="T544" s="370"/>
      <c r="U544" s="370"/>
      <c r="V544" s="370"/>
      <c r="W544" s="370"/>
      <c r="X544" s="370"/>
      <c r="Y544" s="370"/>
      <c r="Z544" s="370"/>
      <c r="AA544" s="176"/>
      <c r="AB544" s="159" t="s">
        <v>263</v>
      </c>
      <c r="AD544" s="172" t="s">
        <v>249</v>
      </c>
      <c r="AE544" s="167"/>
      <c r="AF544" s="22"/>
      <c r="AG544" s="22"/>
      <c r="AI544" s="190">
        <v>1</v>
      </c>
    </row>
    <row r="545" spans="1:35" ht="18" hidden="1" customHeight="1" x14ac:dyDescent="0.2">
      <c r="A545" s="163" t="str">
        <f t="shared" si="124"/>
        <v/>
      </c>
      <c r="B545" s="164">
        <f>B544</f>
        <v>0</v>
      </c>
      <c r="D545" s="371"/>
      <c r="E545" s="371"/>
      <c r="F545" s="371"/>
      <c r="G545" s="371"/>
      <c r="H545" s="371"/>
      <c r="I545" s="371"/>
      <c r="J545" s="371"/>
      <c r="K545" s="371"/>
      <c r="L545" s="371"/>
      <c r="M545" s="371"/>
      <c r="N545" s="371"/>
      <c r="O545" s="175"/>
      <c r="P545" s="175"/>
      <c r="Q545" s="371"/>
      <c r="R545" s="371"/>
      <c r="S545" s="371"/>
      <c r="T545" s="371"/>
      <c r="U545" s="371"/>
      <c r="V545" s="371"/>
      <c r="W545" s="371"/>
      <c r="X545" s="371"/>
      <c r="Y545" s="371"/>
      <c r="Z545" s="371"/>
      <c r="AA545" s="176"/>
      <c r="AB545" s="159" t="s">
        <v>264</v>
      </c>
      <c r="AD545" s="172" t="s">
        <v>249</v>
      </c>
      <c r="AE545" s="167"/>
      <c r="AF545" s="164">
        <f>IF(OR(D543="Show",D543="",Q543="Show",Q543=""),1,0)</f>
        <v>0</v>
      </c>
      <c r="AG545" s="164">
        <f>IF(AND(SUM(AF:AF)&gt;0,OR(AND(D543="Show",D545=""),AND(Q543="Show",Q545=""))),1,0)</f>
        <v>0</v>
      </c>
      <c r="AI545" s="190">
        <v>1</v>
      </c>
    </row>
    <row r="546" spans="1:35" ht="8.5" hidden="1" customHeight="1" x14ac:dyDescent="0.15">
      <c r="A546" s="163" t="str">
        <f t="shared" si="124"/>
        <v/>
      </c>
      <c r="B546" s="164">
        <f>B545</f>
        <v>0</v>
      </c>
      <c r="D546" s="368"/>
      <c r="E546" s="368"/>
      <c r="F546" s="368"/>
      <c r="G546" s="368"/>
      <c r="H546" s="368"/>
      <c r="I546" s="368"/>
      <c r="J546" s="368"/>
      <c r="K546" s="368"/>
      <c r="L546" s="368"/>
      <c r="M546" s="368"/>
      <c r="N546" s="368"/>
      <c r="O546" s="368"/>
      <c r="P546" s="368"/>
      <c r="Q546" s="368"/>
      <c r="R546" s="368"/>
      <c r="S546" s="368"/>
      <c r="T546" s="368"/>
      <c r="U546" s="368"/>
      <c r="V546" s="368"/>
      <c r="W546" s="368"/>
      <c r="X546" s="368"/>
      <c r="Y546" s="368"/>
      <c r="Z546" s="368"/>
      <c r="AA546" s="176"/>
      <c r="AD546" s="165" t="s">
        <v>227</v>
      </c>
      <c r="AE546" s="156"/>
      <c r="AF546" s="22"/>
      <c r="AG546" s="22"/>
      <c r="AI546" s="190">
        <v>1</v>
      </c>
    </row>
    <row r="547" spans="1:35" ht="15.75" hidden="1" customHeight="1" x14ac:dyDescent="0.2">
      <c r="A547" s="163"/>
      <c r="B547" s="164">
        <v>0</v>
      </c>
      <c r="D547" s="369" t="s">
        <v>265</v>
      </c>
      <c r="E547" s="369"/>
      <c r="F547" s="369"/>
      <c r="G547" s="369"/>
      <c r="H547" s="369"/>
      <c r="I547" s="369"/>
      <c r="J547" s="369"/>
      <c r="K547" s="369"/>
      <c r="L547" s="369"/>
      <c r="M547" s="369"/>
      <c r="N547" s="369"/>
      <c r="O547" s="369"/>
      <c r="P547" s="369"/>
      <c r="Q547" s="369"/>
      <c r="R547" s="369"/>
      <c r="S547" s="369"/>
      <c r="T547" s="369"/>
      <c r="U547" s="369"/>
      <c r="V547" s="369"/>
      <c r="W547" s="369"/>
      <c r="X547" s="369"/>
      <c r="Y547" s="369"/>
      <c r="Z547" s="369"/>
      <c r="AB547" s="166" t="s">
        <v>259</v>
      </c>
      <c r="AD547" s="165" t="s">
        <v>260</v>
      </c>
      <c r="AE547" s="134"/>
      <c r="AF547" s="22"/>
      <c r="AG547" s="22"/>
      <c r="AI547" s="190">
        <v>1</v>
      </c>
    </row>
    <row r="548" spans="1:35" ht="25" hidden="1" customHeight="1" x14ac:dyDescent="0.2">
      <c r="A548" s="163"/>
      <c r="B548" s="164">
        <v>0</v>
      </c>
      <c r="D548" s="374" t="str">
        <f>CONCATENATE("↑ Room Section ", N490," ↑")</f>
        <v>↑ Room Section 6 ↑</v>
      </c>
      <c r="E548" s="374"/>
      <c r="F548" s="374"/>
      <c r="G548" s="374"/>
      <c r="H548" s="374"/>
      <c r="I548" s="374"/>
      <c r="J548" s="374"/>
      <c r="K548" s="374"/>
      <c r="L548" s="374"/>
      <c r="M548" s="374"/>
      <c r="N548" s="374"/>
      <c r="O548" s="374"/>
      <c r="P548" s="374"/>
      <c r="Q548" s="374"/>
      <c r="R548" s="374"/>
      <c r="S548" s="374"/>
      <c r="T548" s="374"/>
      <c r="U548" s="374"/>
      <c r="V548" s="374"/>
      <c r="W548" s="374"/>
      <c r="X548" s="374"/>
      <c r="Y548" s="374"/>
      <c r="Z548" s="374"/>
      <c r="AB548" s="166" t="s">
        <v>259</v>
      </c>
      <c r="AD548" s="165" t="s">
        <v>260</v>
      </c>
      <c r="AE548" s="134"/>
      <c r="AF548" s="22"/>
      <c r="AG548" s="22"/>
      <c r="AI548" s="190">
        <v>1</v>
      </c>
    </row>
    <row r="549" spans="1:35" ht="21" hidden="1" customHeight="1" x14ac:dyDescent="0.2">
      <c r="A549" s="163" t="str">
        <f>IF(OR(SUM(AG550:AG609),Y549=""),"X","")</f>
        <v/>
      </c>
      <c r="B549" s="164">
        <v>0</v>
      </c>
      <c r="D549" s="381" t="str">
        <f>CONCATENATE("Show Room ",N551," Inspection Section?")</f>
        <v>Show Room 7 Inspection Section?</v>
      </c>
      <c r="E549" s="381"/>
      <c r="F549" s="381"/>
      <c r="G549" s="381"/>
      <c r="H549" s="381"/>
      <c r="I549" s="381"/>
      <c r="J549" s="381"/>
      <c r="K549" s="381"/>
      <c r="L549" s="381"/>
      <c r="M549" s="381"/>
      <c r="N549" s="381"/>
      <c r="O549" s="381"/>
      <c r="P549" s="381"/>
      <c r="Q549" s="381"/>
      <c r="R549" s="381"/>
      <c r="S549" s="381"/>
      <c r="T549" s="381"/>
      <c r="U549" s="381"/>
      <c r="V549" s="381"/>
      <c r="W549" s="381"/>
      <c r="X549" s="381"/>
      <c r="Y549" s="382" t="s">
        <v>114</v>
      </c>
      <c r="Z549" s="383"/>
      <c r="AB549" s="166" t="s">
        <v>259</v>
      </c>
      <c r="AD549" s="165" t="s">
        <v>260</v>
      </c>
      <c r="AE549" s="134"/>
      <c r="AF549" s="22"/>
      <c r="AG549" s="22"/>
      <c r="AI549" s="190">
        <v>1</v>
      </c>
    </row>
    <row r="550" spans="1:35" ht="25" hidden="1" customHeight="1" x14ac:dyDescent="0.2">
      <c r="A550" s="163"/>
      <c r="B550" s="164">
        <v>0</v>
      </c>
      <c r="D550" s="374" t="str">
        <f>CONCATENATE("↓ Room Section ", N551," ↓")</f>
        <v>↓ Room Section 7 ↓</v>
      </c>
      <c r="E550" s="374"/>
      <c r="F550" s="374"/>
      <c r="G550" s="374"/>
      <c r="H550" s="374"/>
      <c r="I550" s="374"/>
      <c r="J550" s="374"/>
      <c r="K550" s="374"/>
      <c r="L550" s="374"/>
      <c r="M550" s="374"/>
      <c r="N550" s="374"/>
      <c r="O550" s="374"/>
      <c r="P550" s="374"/>
      <c r="Q550" s="374"/>
      <c r="R550" s="374"/>
      <c r="S550" s="374"/>
      <c r="T550" s="374"/>
      <c r="U550" s="374"/>
      <c r="V550" s="374"/>
      <c r="W550" s="374"/>
      <c r="X550" s="374"/>
      <c r="Y550" s="374"/>
      <c r="Z550" s="374"/>
      <c r="AB550" s="166" t="s">
        <v>259</v>
      </c>
      <c r="AD550" s="165" t="s">
        <v>260</v>
      </c>
      <c r="AE550" s="134"/>
      <c r="AF550" s="22"/>
      <c r="AG550" s="22"/>
      <c r="AI550" s="190">
        <v>1</v>
      </c>
    </row>
    <row r="551" spans="1:35" ht="21" hidden="1" customHeight="1" x14ac:dyDescent="0.15">
      <c r="A551" s="163" t="str">
        <f t="shared" ref="A551:A563" si="125">IF(AG551=1,"X","")</f>
        <v/>
      </c>
      <c r="B551" s="164">
        <f>IF(Y$549="Yes",1,0)</f>
        <v>0</v>
      </c>
      <c r="D551" s="384" t="s">
        <v>404</v>
      </c>
      <c r="E551" s="384"/>
      <c r="F551" s="384"/>
      <c r="G551" s="384"/>
      <c r="H551" s="384"/>
      <c r="I551" s="384"/>
      <c r="J551" s="384"/>
      <c r="K551" s="384"/>
      <c r="L551" s="385" t="s">
        <v>394</v>
      </c>
      <c r="M551" s="385"/>
      <c r="N551" s="380">
        <f>N490+1</f>
        <v>7</v>
      </c>
      <c r="O551" s="380"/>
      <c r="P551" s="380"/>
      <c r="Q551" s="380"/>
      <c r="R551" s="380"/>
      <c r="S551" s="380"/>
      <c r="T551" s="380"/>
      <c r="U551" s="380"/>
      <c r="V551" s="380"/>
      <c r="W551" s="380"/>
      <c r="X551" s="380"/>
      <c r="Y551" s="380"/>
      <c r="Z551" s="380"/>
      <c r="AB551" s="166" t="s">
        <v>462</v>
      </c>
      <c r="AD551" s="165" t="s">
        <v>463</v>
      </c>
      <c r="AE551" s="134"/>
      <c r="AF551" s="22"/>
      <c r="AG551" s="22"/>
      <c r="AI551" s="190">
        <v>1</v>
      </c>
    </row>
    <row r="552" spans="1:35" s="180" customFormat="1" ht="18" hidden="1" customHeight="1" x14ac:dyDescent="0.2">
      <c r="A552" s="163" t="str">
        <f t="shared" si="125"/>
        <v/>
      </c>
      <c r="B552" s="164">
        <f>IF(Y$549="Yes",1,0)</f>
        <v>0</v>
      </c>
      <c r="C552" s="152"/>
      <c r="D552" s="378" t="s">
        <v>392</v>
      </c>
      <c r="E552" s="378"/>
      <c r="F552" s="378"/>
      <c r="G552" s="378"/>
      <c r="H552" s="378"/>
      <c r="I552" s="373"/>
      <c r="J552" s="373"/>
      <c r="K552" s="373"/>
      <c r="L552" s="373"/>
      <c r="M552" s="373"/>
      <c r="N552" s="373"/>
      <c r="O552" s="373"/>
      <c r="P552" s="373"/>
      <c r="Q552" s="373"/>
      <c r="R552" s="373"/>
      <c r="S552" s="373"/>
      <c r="T552" s="373"/>
      <c r="U552" s="373"/>
      <c r="V552" s="373"/>
      <c r="W552" s="373"/>
      <c r="X552" s="373"/>
      <c r="Y552" s="373"/>
      <c r="Z552" s="373"/>
      <c r="AA552" s="169"/>
      <c r="AB552" s="159" t="s">
        <v>464</v>
      </c>
      <c r="AD552" s="165" t="s">
        <v>463</v>
      </c>
      <c r="AE552" s="167"/>
      <c r="AF552" s="164">
        <f t="shared" ref="AF552:AF553" si="126">IF(B552&lt;&gt;"",1,0)</f>
        <v>1</v>
      </c>
      <c r="AG552" s="164">
        <f>IF(AND(SUM(AF:AF)&gt;0,OR(AND(B552=1,Y549="No"),AND(B552=1,I552="",Y549="Yes"),AND(B552="",I552="",Y549="Yes"),AND(B552="",I552&lt;&gt;"",Y549="Yes"),AND(B552=0,I552&lt;&gt;"",Y549="Yes"))),1,0)</f>
        <v>0</v>
      </c>
      <c r="AI552" s="190">
        <v>1</v>
      </c>
    </row>
    <row r="553" spans="1:35" s="180" customFormat="1" ht="18" hidden="1" customHeight="1" x14ac:dyDescent="0.2">
      <c r="A553" s="163" t="str">
        <f t="shared" si="125"/>
        <v/>
      </c>
      <c r="B553" s="164">
        <f>IF(Y$549="Yes",1,0)</f>
        <v>0</v>
      </c>
      <c r="C553" s="152"/>
      <c r="D553" s="378" t="s">
        <v>393</v>
      </c>
      <c r="E553" s="378"/>
      <c r="F553" s="378"/>
      <c r="G553" s="378"/>
      <c r="H553" s="378"/>
      <c r="I553" s="373"/>
      <c r="J553" s="373"/>
      <c r="K553" s="373"/>
      <c r="L553" s="373"/>
      <c r="M553" s="373"/>
      <c r="N553" s="373"/>
      <c r="O553" s="373"/>
      <c r="P553" s="373"/>
      <c r="Q553" s="373"/>
      <c r="R553" s="373"/>
      <c r="S553" s="373"/>
      <c r="T553" s="373"/>
      <c r="U553" s="373"/>
      <c r="V553" s="373"/>
      <c r="W553" s="373"/>
      <c r="X553" s="373"/>
      <c r="Y553" s="373"/>
      <c r="Z553" s="373"/>
      <c r="AA553" s="169"/>
      <c r="AB553" s="159" t="s">
        <v>464</v>
      </c>
      <c r="AD553" s="165" t="s">
        <v>463</v>
      </c>
      <c r="AE553" s="167"/>
      <c r="AF553" s="164">
        <f t="shared" si="126"/>
        <v>1</v>
      </c>
      <c r="AG553" s="164">
        <f>IF(AND(SUM(AF:AF)&gt;0,OR(AND(B553=1,Y549="No"),AND(B553=1,I553="",Y549="Yes"),AND(B553="",I553="",Y549="Yes"),AND(B553="",I553&lt;&gt;"",Y549="Yes"),AND(B553=0,I553&lt;&gt;"",Y549="Yes"))),1,0)</f>
        <v>0</v>
      </c>
      <c r="AI553" s="190">
        <v>1</v>
      </c>
    </row>
    <row r="554" spans="1:35" ht="21" hidden="1" customHeight="1" x14ac:dyDescent="0.15">
      <c r="A554" s="163" t="str">
        <f t="shared" si="125"/>
        <v/>
      </c>
      <c r="B554" s="164">
        <f>IF(Y$549="Yes",1,0)</f>
        <v>0</v>
      </c>
      <c r="D554" s="380" t="s">
        <v>313</v>
      </c>
      <c r="E554" s="380"/>
      <c r="F554" s="380"/>
      <c r="G554" s="380"/>
      <c r="H554" s="380"/>
      <c r="I554" s="380"/>
      <c r="J554" s="380"/>
      <c r="K554" s="380"/>
      <c r="L554" s="380"/>
      <c r="M554" s="380"/>
      <c r="N554" s="380"/>
      <c r="O554" s="380"/>
      <c r="P554" s="380"/>
      <c r="Q554" s="380"/>
      <c r="R554" s="380"/>
      <c r="S554" s="380"/>
      <c r="T554" s="380"/>
      <c r="U554" s="380"/>
      <c r="V554" s="380"/>
      <c r="W554" s="380"/>
      <c r="X554" s="380"/>
      <c r="Y554" s="380"/>
      <c r="Z554" s="380"/>
      <c r="AB554" s="166" t="s">
        <v>462</v>
      </c>
      <c r="AD554" s="165" t="s">
        <v>463</v>
      </c>
      <c r="AE554" s="134"/>
      <c r="AF554" s="22"/>
      <c r="AG554" s="22"/>
      <c r="AI554" s="190">
        <v>1</v>
      </c>
    </row>
    <row r="555" spans="1:35" s="180" customFormat="1" ht="18" hidden="1" customHeight="1" x14ac:dyDescent="0.2">
      <c r="A555" s="163" t="str">
        <f t="shared" si="125"/>
        <v/>
      </c>
      <c r="B555" s="170"/>
      <c r="C555" s="152"/>
      <c r="D555" s="378" t="s">
        <v>397</v>
      </c>
      <c r="E555" s="378"/>
      <c r="F555" s="378"/>
      <c r="G555" s="378"/>
      <c r="H555" s="378"/>
      <c r="I555" s="378"/>
      <c r="J555" s="378"/>
      <c r="K555" s="378"/>
      <c r="L555" s="378"/>
      <c r="M555" s="378"/>
      <c r="N555" s="378"/>
      <c r="O555" s="378"/>
      <c r="P555" s="378"/>
      <c r="Q555" s="378"/>
      <c r="R555" s="378"/>
      <c r="S555" s="378"/>
      <c r="T555" s="378"/>
      <c r="U555" s="378"/>
      <c r="V555" s="378"/>
      <c r="W555" s="378"/>
      <c r="X555" s="378"/>
      <c r="Y555" s="378"/>
      <c r="Z555" s="378"/>
      <c r="AA555" s="169"/>
      <c r="AB555" s="159" t="s">
        <v>281</v>
      </c>
      <c r="AD555" s="172" t="s">
        <v>249</v>
      </c>
      <c r="AE555" s="167"/>
      <c r="AF555" s="164">
        <f t="shared" ref="AF555:AF556" si="127">IF(B555&lt;&gt;"",1,0)</f>
        <v>0</v>
      </c>
      <c r="AG555" s="164">
        <f>IF(AND(SUM(AF:AF)&gt;0,OR(AND(B555="",Y549="Yes"),AND(B555=1,Y549="No"))),1,0)</f>
        <v>0</v>
      </c>
      <c r="AI555" s="190">
        <v>1</v>
      </c>
    </row>
    <row r="556" spans="1:35" s="180" customFormat="1" ht="18" hidden="1" customHeight="1" x14ac:dyDescent="0.2">
      <c r="A556" s="163" t="str">
        <f t="shared" si="125"/>
        <v/>
      </c>
      <c r="B556" s="170"/>
      <c r="C556" s="152"/>
      <c r="D556" s="378" t="s">
        <v>398</v>
      </c>
      <c r="E556" s="378"/>
      <c r="F556" s="378"/>
      <c r="G556" s="378"/>
      <c r="H556" s="378"/>
      <c r="I556" s="378"/>
      <c r="J556" s="378"/>
      <c r="K556" s="378"/>
      <c r="L556" s="378"/>
      <c r="M556" s="378"/>
      <c r="N556" s="378"/>
      <c r="O556" s="378"/>
      <c r="P556" s="378"/>
      <c r="Q556" s="378"/>
      <c r="R556" s="378"/>
      <c r="S556" s="378"/>
      <c r="T556" s="378"/>
      <c r="U556" s="378"/>
      <c r="V556" s="378"/>
      <c r="W556" s="378"/>
      <c r="X556" s="378"/>
      <c r="Y556" s="378"/>
      <c r="Z556" s="378"/>
      <c r="AA556" s="169"/>
      <c r="AB556" s="159" t="s">
        <v>281</v>
      </c>
      <c r="AD556" s="172" t="s">
        <v>249</v>
      </c>
      <c r="AE556" s="167"/>
      <c r="AF556" s="164">
        <f t="shared" si="127"/>
        <v>0</v>
      </c>
      <c r="AG556" s="164">
        <f>IF(AND(SUM(AF:AF)&gt;0,OR(AND(B556="",Y549="Yes"),AND(B556=1,Y549="No"))),1,0)</f>
        <v>0</v>
      </c>
      <c r="AI556" s="190">
        <v>1</v>
      </c>
    </row>
    <row r="557" spans="1:35" s="180" customFormat="1" ht="18" hidden="1" customHeight="1" x14ac:dyDescent="0.2">
      <c r="A557" s="163" t="str">
        <f t="shared" si="125"/>
        <v/>
      </c>
      <c r="B557" s="170"/>
      <c r="C557" s="152"/>
      <c r="D557" s="179" t="s">
        <v>252</v>
      </c>
      <c r="E557" s="378" t="s">
        <v>315</v>
      </c>
      <c r="F557" s="378"/>
      <c r="G557" s="378"/>
      <c r="H557" s="378"/>
      <c r="I557" s="378"/>
      <c r="J557" s="378"/>
      <c r="K557" s="378"/>
      <c r="L557" s="378"/>
      <c r="M557" s="378"/>
      <c r="N557" s="378"/>
      <c r="O557" s="378"/>
      <c r="P557" s="378"/>
      <c r="Q557" s="378"/>
      <c r="R557" s="378"/>
      <c r="S557" s="378"/>
      <c r="T557" s="378"/>
      <c r="U557" s="378"/>
      <c r="V557" s="378"/>
      <c r="W557" s="378"/>
      <c r="X557" s="378"/>
      <c r="Y557" s="378"/>
      <c r="Z557" s="378"/>
      <c r="AA557" s="169"/>
      <c r="AB557" s="159" t="s">
        <v>281</v>
      </c>
      <c r="AD557" s="172" t="s">
        <v>249</v>
      </c>
      <c r="AE557" s="167"/>
      <c r="AF557" s="164">
        <f t="shared" ref="AF557:AF558" si="128">IF(B557&lt;&gt;"",1,0)</f>
        <v>0</v>
      </c>
      <c r="AG557" s="164">
        <f>IF(AND(SUM(AF:AF)&gt;0,OR(AND(B557="",Y549="Yes"),AND(B557=1,Y549="No"))),1,0)</f>
        <v>0</v>
      </c>
      <c r="AI557" s="190">
        <v>1</v>
      </c>
    </row>
    <row r="558" spans="1:35" s="180" customFormat="1" ht="18" hidden="1" customHeight="1" x14ac:dyDescent="0.2">
      <c r="A558" s="163" t="str">
        <f t="shared" si="125"/>
        <v/>
      </c>
      <c r="B558" s="170"/>
      <c r="C558" s="152"/>
      <c r="D558" s="179" t="s">
        <v>252</v>
      </c>
      <c r="E558" s="378" t="s">
        <v>316</v>
      </c>
      <c r="F558" s="378"/>
      <c r="G558" s="378"/>
      <c r="H558" s="378"/>
      <c r="I558" s="378"/>
      <c r="J558" s="378"/>
      <c r="K558" s="378"/>
      <c r="L558" s="378"/>
      <c r="M558" s="378"/>
      <c r="N558" s="378"/>
      <c r="O558" s="378"/>
      <c r="P558" s="378"/>
      <c r="Q558" s="378"/>
      <c r="R558" s="378"/>
      <c r="S558" s="378"/>
      <c r="T558" s="378"/>
      <c r="U558" s="378"/>
      <c r="V558" s="378"/>
      <c r="W558" s="378"/>
      <c r="X558" s="378"/>
      <c r="Y558" s="378"/>
      <c r="Z558" s="378"/>
      <c r="AA558" s="169"/>
      <c r="AB558" s="159" t="s">
        <v>281</v>
      </c>
      <c r="AD558" s="172" t="s">
        <v>249</v>
      </c>
      <c r="AE558" s="167"/>
      <c r="AF558" s="164">
        <f t="shared" si="128"/>
        <v>0</v>
      </c>
      <c r="AG558" s="164">
        <f>IF(AND(SUM(AF:AF)&gt;0,OR(AND(B558="",Y549="Yes"),AND(B558=1,Y549="No"))),1,0)</f>
        <v>0</v>
      </c>
      <c r="AI558" s="190">
        <v>1</v>
      </c>
    </row>
    <row r="559" spans="1:35" s="180" customFormat="1" ht="18.5" hidden="1" customHeight="1" x14ac:dyDescent="0.2">
      <c r="A559" s="163" t="str">
        <f t="shared" si="125"/>
        <v/>
      </c>
      <c r="B559" s="164">
        <v>0</v>
      </c>
      <c r="C559" s="152"/>
      <c r="D559" s="179" t="s">
        <v>252</v>
      </c>
      <c r="E559" s="378" t="s">
        <v>312</v>
      </c>
      <c r="F559" s="378"/>
      <c r="G559" s="378"/>
      <c r="H559" s="378"/>
      <c r="I559" s="378"/>
      <c r="J559" s="378"/>
      <c r="K559" s="378"/>
      <c r="L559" s="378"/>
      <c r="M559" s="378"/>
      <c r="N559" s="378"/>
      <c r="O559" s="378"/>
      <c r="P559" s="378"/>
      <c r="Q559" s="378"/>
      <c r="R559" s="378"/>
      <c r="S559" s="378"/>
      <c r="T559" s="378"/>
      <c r="U559" s="378"/>
      <c r="V559" s="378"/>
      <c r="W559" s="378"/>
      <c r="X559" s="378"/>
      <c r="Y559" s="378"/>
      <c r="Z559" s="378"/>
      <c r="AA559" s="168"/>
      <c r="AB559" s="166" t="s">
        <v>259</v>
      </c>
      <c r="AD559" s="165" t="s">
        <v>260</v>
      </c>
      <c r="AE559" s="134"/>
      <c r="AF559" s="22"/>
      <c r="AG559" s="22"/>
      <c r="AI559" s="190">
        <v>1</v>
      </c>
    </row>
    <row r="560" spans="1:35" s="180" customFormat="1" ht="18" hidden="1" customHeight="1" x14ac:dyDescent="0.2">
      <c r="A560" s="163" t="str">
        <f t="shared" si="125"/>
        <v/>
      </c>
      <c r="B560" s="170"/>
      <c r="C560" s="152"/>
      <c r="D560" s="179" t="s">
        <v>252</v>
      </c>
      <c r="E560" s="373"/>
      <c r="F560" s="373"/>
      <c r="G560" s="373"/>
      <c r="H560" s="373"/>
      <c r="I560" s="373"/>
      <c r="J560" s="373"/>
      <c r="K560" s="373"/>
      <c r="L560" s="373"/>
      <c r="M560" s="373"/>
      <c r="N560" s="373"/>
      <c r="O560" s="373"/>
      <c r="P560" s="373"/>
      <c r="Q560" s="373"/>
      <c r="R560" s="373"/>
      <c r="S560" s="373"/>
      <c r="T560" s="373"/>
      <c r="U560" s="373"/>
      <c r="V560" s="373"/>
      <c r="W560" s="373"/>
      <c r="X560" s="373"/>
      <c r="Y560" s="373"/>
      <c r="Z560" s="373"/>
      <c r="AA560" s="169"/>
      <c r="AB560" s="159" t="s">
        <v>281</v>
      </c>
      <c r="AD560" s="172" t="s">
        <v>249</v>
      </c>
      <c r="AE560" s="167"/>
      <c r="AF560" s="164">
        <f t="shared" ref="AF560:AF562" si="129">IF(B560&lt;&gt;"",1,0)</f>
        <v>0</v>
      </c>
      <c r="AG560" s="164">
        <f>IF(AND(SUM(AF:AF)&gt;0,OR(AND(B560=1,Y549="No"),AND(B560=1,E560="",Y549="Yes"),AND(B560="",E560="",Y549="Yes"),AND(B560="",E560&lt;&gt;"",Y549="Yes"),AND(B560=0,E560&lt;&gt;"",Y549="Yes"))),1,0)</f>
        <v>0</v>
      </c>
      <c r="AI560" s="190">
        <v>1</v>
      </c>
    </row>
    <row r="561" spans="1:35" s="180" customFormat="1" ht="18" hidden="1" customHeight="1" x14ac:dyDescent="0.2">
      <c r="A561" s="163" t="str">
        <f t="shared" si="125"/>
        <v/>
      </c>
      <c r="B561" s="170"/>
      <c r="C561" s="152"/>
      <c r="D561" s="179" t="s">
        <v>252</v>
      </c>
      <c r="E561" s="373"/>
      <c r="F561" s="373"/>
      <c r="G561" s="373"/>
      <c r="H561" s="373"/>
      <c r="I561" s="373"/>
      <c r="J561" s="373"/>
      <c r="K561" s="373"/>
      <c r="L561" s="373"/>
      <c r="M561" s="373"/>
      <c r="N561" s="373"/>
      <c r="O561" s="373"/>
      <c r="P561" s="373"/>
      <c r="Q561" s="373"/>
      <c r="R561" s="373"/>
      <c r="S561" s="373"/>
      <c r="T561" s="373"/>
      <c r="U561" s="373"/>
      <c r="V561" s="373"/>
      <c r="W561" s="373"/>
      <c r="X561" s="373"/>
      <c r="Y561" s="373"/>
      <c r="Z561" s="373"/>
      <c r="AA561" s="169"/>
      <c r="AB561" s="159" t="s">
        <v>281</v>
      </c>
      <c r="AD561" s="172" t="s">
        <v>249</v>
      </c>
      <c r="AE561" s="167"/>
      <c r="AF561" s="164">
        <f t="shared" si="129"/>
        <v>0</v>
      </c>
      <c r="AG561" s="164">
        <f>IF(AND(SUM(AF:AF)&gt;0,OR(AND(B561=1,Y549="No"),AND(B561=1,E561="",Y549="Yes"),AND(B561="",E561="",Y549="Yes"),AND(B561="",E561&lt;&gt;"",Y549="Yes"),AND(B561=0,E561&lt;&gt;"",Y549="Yes"))),1,0)</f>
        <v>0</v>
      </c>
      <c r="AI561" s="190">
        <v>1</v>
      </c>
    </row>
    <row r="562" spans="1:35" s="180" customFormat="1" ht="18" hidden="1" customHeight="1" x14ac:dyDescent="0.2">
      <c r="A562" s="163" t="str">
        <f t="shared" si="125"/>
        <v/>
      </c>
      <c r="B562" s="170"/>
      <c r="C562" s="152"/>
      <c r="D562" s="179" t="s">
        <v>252</v>
      </c>
      <c r="E562" s="373"/>
      <c r="F562" s="373"/>
      <c r="G562" s="373"/>
      <c r="H562" s="373"/>
      <c r="I562" s="373"/>
      <c r="J562" s="373"/>
      <c r="K562" s="373"/>
      <c r="L562" s="373"/>
      <c r="M562" s="373"/>
      <c r="N562" s="373"/>
      <c r="O562" s="373"/>
      <c r="P562" s="373"/>
      <c r="Q562" s="373"/>
      <c r="R562" s="373"/>
      <c r="S562" s="373"/>
      <c r="T562" s="373"/>
      <c r="U562" s="373"/>
      <c r="V562" s="373"/>
      <c r="W562" s="373"/>
      <c r="X562" s="373"/>
      <c r="Y562" s="373"/>
      <c r="Z562" s="373"/>
      <c r="AA562" s="169"/>
      <c r="AB562" s="159" t="s">
        <v>281</v>
      </c>
      <c r="AD562" s="172" t="s">
        <v>249</v>
      </c>
      <c r="AE562" s="167"/>
      <c r="AF562" s="164">
        <f t="shared" si="129"/>
        <v>0</v>
      </c>
      <c r="AG562" s="164">
        <f>IF(AND(SUM(AF:AF)&gt;0,OR(AND(B562=1,Y549="No"),AND(B562=1,E562="",Y549="Yes"),AND(B562="",E562="",Y549="Yes"),AND(B562="",E562&lt;&gt;"",Y549="Yes"),AND(B562=0,E562&lt;&gt;"",Y549="Yes"))),1,0)</f>
        <v>0</v>
      </c>
      <c r="AI562" s="190">
        <v>1</v>
      </c>
    </row>
    <row r="563" spans="1:35" ht="21" hidden="1" customHeight="1" x14ac:dyDescent="0.2">
      <c r="A563" s="163" t="str">
        <f t="shared" si="125"/>
        <v/>
      </c>
      <c r="B563" s="164">
        <v>0</v>
      </c>
      <c r="D563" s="379" t="s">
        <v>258</v>
      </c>
      <c r="E563" s="379"/>
      <c r="F563" s="379"/>
      <c r="G563" s="379"/>
      <c r="H563" s="379"/>
      <c r="I563" s="379"/>
      <c r="J563" s="379"/>
      <c r="K563" s="379"/>
      <c r="L563" s="379"/>
      <c r="M563" s="379"/>
      <c r="N563" s="379"/>
      <c r="O563" s="379"/>
      <c r="P563" s="379"/>
      <c r="Q563" s="379"/>
      <c r="R563" s="379"/>
      <c r="S563" s="379"/>
      <c r="T563" s="379"/>
      <c r="U563" s="379"/>
      <c r="V563" s="379"/>
      <c r="W563" s="379"/>
      <c r="X563" s="379"/>
      <c r="Y563" s="379"/>
      <c r="Z563" s="379"/>
      <c r="AB563" s="166" t="s">
        <v>259</v>
      </c>
      <c r="AD563" s="165" t="s">
        <v>260</v>
      </c>
      <c r="AE563" s="134"/>
      <c r="AF563" s="22"/>
      <c r="AG563" s="22"/>
      <c r="AI563" s="190">
        <v>1</v>
      </c>
    </row>
    <row r="564" spans="1:35" ht="15.75" hidden="1" customHeight="1" x14ac:dyDescent="0.2">
      <c r="A564" s="163"/>
      <c r="B564" s="164">
        <v>0</v>
      </c>
      <c r="D564" s="369" t="s">
        <v>261</v>
      </c>
      <c r="E564" s="369"/>
      <c r="F564" s="369"/>
      <c r="G564" s="369"/>
      <c r="H564" s="369"/>
      <c r="I564" s="369"/>
      <c r="J564" s="369"/>
      <c r="K564" s="369"/>
      <c r="L564" s="369"/>
      <c r="M564" s="369"/>
      <c r="N564" s="369"/>
      <c r="O564" s="369"/>
      <c r="P564" s="369"/>
      <c r="Q564" s="369"/>
      <c r="R564" s="369"/>
      <c r="S564" s="369"/>
      <c r="T564" s="369"/>
      <c r="U564" s="369"/>
      <c r="V564" s="369"/>
      <c r="W564" s="369"/>
      <c r="X564" s="369"/>
      <c r="Y564" s="369"/>
      <c r="Z564" s="369"/>
      <c r="AB564" s="166" t="s">
        <v>259</v>
      </c>
      <c r="AD564" s="165" t="s">
        <v>260</v>
      </c>
      <c r="AE564" s="134"/>
      <c r="AF564" s="22"/>
      <c r="AG564" s="22"/>
      <c r="AI564" s="190">
        <v>1</v>
      </c>
    </row>
    <row r="565" spans="1:35" ht="8.5" hidden="1" customHeight="1" x14ac:dyDescent="0.15">
      <c r="A565" s="163" t="str">
        <f>IF(AG565=1,"X","")</f>
        <v/>
      </c>
      <c r="B565" s="164">
        <f>IF(OR(D566="Show",Q566="Show"),1,0)</f>
        <v>0</v>
      </c>
      <c r="D565" s="368"/>
      <c r="E565" s="368"/>
      <c r="F565" s="368"/>
      <c r="G565" s="368"/>
      <c r="H565" s="368"/>
      <c r="I565" s="368"/>
      <c r="J565" s="368"/>
      <c r="K565" s="368"/>
      <c r="L565" s="368"/>
      <c r="M565" s="368"/>
      <c r="N565" s="368"/>
      <c r="O565" s="368"/>
      <c r="P565" s="368"/>
      <c r="Q565" s="368"/>
      <c r="R565" s="368"/>
      <c r="S565" s="368"/>
      <c r="T565" s="368"/>
      <c r="U565" s="368"/>
      <c r="V565" s="368"/>
      <c r="W565" s="368"/>
      <c r="X565" s="368"/>
      <c r="Y565" s="368"/>
      <c r="Z565" s="368"/>
      <c r="AD565" s="165" t="s">
        <v>227</v>
      </c>
      <c r="AE565" s="156"/>
      <c r="AF565" s="22"/>
      <c r="AG565" s="22"/>
      <c r="AI565" s="190">
        <v>1</v>
      </c>
    </row>
    <row r="566" spans="1:35" ht="18" hidden="1" customHeight="1" x14ac:dyDescent="0.2">
      <c r="A566" s="163" t="str">
        <f t="shared" ref="A566:A569" si="130">IF(AG566=1,"X","")</f>
        <v/>
      </c>
      <c r="B566" s="164">
        <v>0</v>
      </c>
      <c r="D566" s="370" t="s">
        <v>267</v>
      </c>
      <c r="E566" s="370"/>
      <c r="F566" s="370"/>
      <c r="G566" s="370"/>
      <c r="H566" s="370"/>
      <c r="I566" s="370"/>
      <c r="J566" s="370"/>
      <c r="K566" s="370"/>
      <c r="L566" s="370"/>
      <c r="M566" s="370"/>
      <c r="N566" s="370"/>
      <c r="O566" s="175"/>
      <c r="P566" s="175"/>
      <c r="Q566" s="370" t="s">
        <v>267</v>
      </c>
      <c r="R566" s="370"/>
      <c r="S566" s="370"/>
      <c r="T566" s="370"/>
      <c r="U566" s="370"/>
      <c r="V566" s="370"/>
      <c r="W566" s="370"/>
      <c r="X566" s="370"/>
      <c r="Y566" s="370"/>
      <c r="Z566" s="370"/>
      <c r="AA566" s="176"/>
      <c r="AB566" s="159" t="s">
        <v>262</v>
      </c>
      <c r="AD566" s="172" t="s">
        <v>249</v>
      </c>
      <c r="AE566" s="134"/>
      <c r="AF566" s="164">
        <f>IF(OR(D566="Show",D566="",Q566="Show",Q566=""),1,0)</f>
        <v>0</v>
      </c>
      <c r="AG566" s="164">
        <f>IF(AND(SUM(AF:AF)&gt;0,OR(D566="",Q566="")),1,0)</f>
        <v>0</v>
      </c>
      <c r="AI566" s="190">
        <v>1</v>
      </c>
    </row>
    <row r="567" spans="1:35" ht="197.25" hidden="1" customHeight="1" x14ac:dyDescent="0.2">
      <c r="A567" s="163" t="str">
        <f t="shared" si="130"/>
        <v/>
      </c>
      <c r="B567" s="164">
        <f>B565</f>
        <v>0</v>
      </c>
      <c r="D567" s="370"/>
      <c r="E567" s="370"/>
      <c r="F567" s="370"/>
      <c r="G567" s="370"/>
      <c r="H567" s="370"/>
      <c r="I567" s="370"/>
      <c r="J567" s="370"/>
      <c r="K567" s="370"/>
      <c r="L567" s="370"/>
      <c r="M567" s="370"/>
      <c r="N567" s="370"/>
      <c r="O567" s="175"/>
      <c r="P567" s="175"/>
      <c r="Q567" s="370"/>
      <c r="R567" s="370"/>
      <c r="S567" s="370"/>
      <c r="T567" s="370"/>
      <c r="U567" s="370"/>
      <c r="V567" s="370"/>
      <c r="W567" s="370"/>
      <c r="X567" s="370"/>
      <c r="Y567" s="370"/>
      <c r="Z567" s="370"/>
      <c r="AA567" s="176"/>
      <c r="AB567" s="159" t="s">
        <v>263</v>
      </c>
      <c r="AD567" s="172" t="s">
        <v>249</v>
      </c>
      <c r="AE567" s="167"/>
      <c r="AF567" s="22"/>
      <c r="AG567" s="22"/>
      <c r="AI567" s="190">
        <v>1</v>
      </c>
    </row>
    <row r="568" spans="1:35" ht="18" hidden="1" customHeight="1" x14ac:dyDescent="0.2">
      <c r="A568" s="163" t="str">
        <f t="shared" si="130"/>
        <v/>
      </c>
      <c r="B568" s="164">
        <f>B567</f>
        <v>0</v>
      </c>
      <c r="D568" s="371"/>
      <c r="E568" s="371"/>
      <c r="F568" s="371"/>
      <c r="G568" s="371"/>
      <c r="H568" s="371"/>
      <c r="I568" s="371"/>
      <c r="J568" s="371"/>
      <c r="K568" s="371"/>
      <c r="L568" s="371"/>
      <c r="M568" s="371"/>
      <c r="N568" s="371"/>
      <c r="O568" s="175"/>
      <c r="P568" s="175"/>
      <c r="Q568" s="371"/>
      <c r="R568" s="371"/>
      <c r="S568" s="371"/>
      <c r="T568" s="371"/>
      <c r="U568" s="371"/>
      <c r="V568" s="371"/>
      <c r="W568" s="371"/>
      <c r="X568" s="371"/>
      <c r="Y568" s="371"/>
      <c r="Z568" s="371"/>
      <c r="AA568" s="176"/>
      <c r="AB568" s="159" t="s">
        <v>264</v>
      </c>
      <c r="AD568" s="172" t="s">
        <v>249</v>
      </c>
      <c r="AE568" s="167"/>
      <c r="AF568" s="164">
        <f>IF(OR(D566="Show",D566="",Q566="Show",Q566=""),1,0)</f>
        <v>0</v>
      </c>
      <c r="AG568" s="164">
        <f>IF(AND(SUM(AF:AF)&gt;0,OR(AND(D566="Show",D568=""),AND(Q566="Show",Q568=""))),1,0)</f>
        <v>0</v>
      </c>
      <c r="AI568" s="190">
        <v>1</v>
      </c>
    </row>
    <row r="569" spans="1:35" ht="8.5" hidden="1" customHeight="1" x14ac:dyDescent="0.15">
      <c r="A569" s="163" t="str">
        <f t="shared" si="130"/>
        <v/>
      </c>
      <c r="B569" s="164">
        <f>B568</f>
        <v>0</v>
      </c>
      <c r="D569" s="368"/>
      <c r="E569" s="368"/>
      <c r="F569" s="368"/>
      <c r="G569" s="368"/>
      <c r="H569" s="368"/>
      <c r="I569" s="368"/>
      <c r="J569" s="368"/>
      <c r="K569" s="368"/>
      <c r="L569" s="368"/>
      <c r="M569" s="368"/>
      <c r="N569" s="368"/>
      <c r="O569" s="368"/>
      <c r="P569" s="368"/>
      <c r="Q569" s="368"/>
      <c r="R569" s="368"/>
      <c r="S569" s="368"/>
      <c r="T569" s="368"/>
      <c r="U569" s="368"/>
      <c r="V569" s="368"/>
      <c r="W569" s="368"/>
      <c r="X569" s="368"/>
      <c r="Y569" s="368"/>
      <c r="Z569" s="368"/>
      <c r="AA569" s="176"/>
      <c r="AD569" s="165" t="s">
        <v>227</v>
      </c>
      <c r="AE569" s="156"/>
      <c r="AF569" s="22"/>
      <c r="AG569" s="22"/>
      <c r="AI569" s="190">
        <v>1</v>
      </c>
    </row>
    <row r="570" spans="1:35" ht="15.75" hidden="1" customHeight="1" x14ac:dyDescent="0.2">
      <c r="A570" s="163"/>
      <c r="B570" s="164">
        <v>0</v>
      </c>
      <c r="D570" s="369" t="s">
        <v>265</v>
      </c>
      <c r="E570" s="369"/>
      <c r="F570" s="369"/>
      <c r="G570" s="369"/>
      <c r="H570" s="369"/>
      <c r="I570" s="369"/>
      <c r="J570" s="369"/>
      <c r="K570" s="369"/>
      <c r="L570" s="369"/>
      <c r="M570" s="369"/>
      <c r="N570" s="369"/>
      <c r="O570" s="369"/>
      <c r="P570" s="369"/>
      <c r="Q570" s="369"/>
      <c r="R570" s="369"/>
      <c r="S570" s="369"/>
      <c r="T570" s="369"/>
      <c r="U570" s="369"/>
      <c r="V570" s="369"/>
      <c r="W570" s="369"/>
      <c r="X570" s="369"/>
      <c r="Y570" s="369"/>
      <c r="Z570" s="369"/>
      <c r="AB570" s="166" t="s">
        <v>259</v>
      </c>
      <c r="AD570" s="165" t="s">
        <v>260</v>
      </c>
      <c r="AE570" s="134"/>
      <c r="AF570" s="22"/>
      <c r="AG570" s="22"/>
      <c r="AI570" s="190">
        <v>1</v>
      </c>
    </row>
    <row r="571" spans="1:35" ht="21" hidden="1" customHeight="1" x14ac:dyDescent="0.15">
      <c r="A571" s="163" t="str">
        <f t="shared" ref="A571:A583" si="131">IF(AG571=1,"X","")</f>
        <v/>
      </c>
      <c r="B571" s="164">
        <f>IF(Y$549="Yes",1,0)</f>
        <v>0</v>
      </c>
      <c r="D571" s="380" t="s">
        <v>0</v>
      </c>
      <c r="E571" s="380"/>
      <c r="F571" s="380"/>
      <c r="G571" s="380"/>
      <c r="H571" s="380"/>
      <c r="I571" s="380"/>
      <c r="J571" s="380"/>
      <c r="K571" s="380"/>
      <c r="L571" s="380"/>
      <c r="M571" s="380"/>
      <c r="N571" s="380"/>
      <c r="O571" s="380"/>
      <c r="P571" s="380"/>
      <c r="Q571" s="380"/>
      <c r="R571" s="380"/>
      <c r="S571" s="380"/>
      <c r="T571" s="380"/>
      <c r="U571" s="380"/>
      <c r="V571" s="380"/>
      <c r="W571" s="380"/>
      <c r="X571" s="380"/>
      <c r="Y571" s="380"/>
      <c r="Z571" s="380"/>
      <c r="AB571" s="166" t="s">
        <v>462</v>
      </c>
      <c r="AD571" s="165" t="s">
        <v>463</v>
      </c>
      <c r="AE571" s="134"/>
      <c r="AF571" s="22"/>
      <c r="AG571" s="22"/>
      <c r="AI571" s="190">
        <v>1</v>
      </c>
    </row>
    <row r="572" spans="1:35" s="180" customFormat="1" ht="18" hidden="1" customHeight="1" x14ac:dyDescent="0.2">
      <c r="A572" s="163" t="str">
        <f t="shared" si="131"/>
        <v/>
      </c>
      <c r="B572" s="170"/>
      <c r="C572" s="152"/>
      <c r="D572" s="378" t="s">
        <v>399</v>
      </c>
      <c r="E572" s="378"/>
      <c r="F572" s="378"/>
      <c r="G572" s="378"/>
      <c r="H572" s="378"/>
      <c r="I572" s="378"/>
      <c r="J572" s="378"/>
      <c r="K572" s="378"/>
      <c r="L572" s="378"/>
      <c r="M572" s="378"/>
      <c r="N572" s="378"/>
      <c r="O572" s="378"/>
      <c r="P572" s="378"/>
      <c r="Q572" s="378"/>
      <c r="R572" s="378"/>
      <c r="S572" s="378"/>
      <c r="T572" s="378"/>
      <c r="U572" s="378"/>
      <c r="V572" s="378"/>
      <c r="W572" s="378"/>
      <c r="X572" s="378"/>
      <c r="Y572" s="378"/>
      <c r="Z572" s="378"/>
      <c r="AA572" s="169"/>
      <c r="AB572" s="159" t="s">
        <v>281</v>
      </c>
      <c r="AD572" s="172" t="s">
        <v>249</v>
      </c>
      <c r="AE572" s="167"/>
      <c r="AF572" s="164">
        <f t="shared" ref="AF572:AF578" si="132">IF(B572&lt;&gt;"",1,0)</f>
        <v>0</v>
      </c>
      <c r="AG572" s="164">
        <f>IF(AND(SUM(AF:AF)&gt;0,OR(AND(B572="",Y549="Yes"),AND(B572=1,Y549="No"))),1,0)</f>
        <v>0</v>
      </c>
      <c r="AI572" s="190">
        <v>1</v>
      </c>
    </row>
    <row r="573" spans="1:35" s="180" customFormat="1" ht="18" hidden="1" customHeight="1" x14ac:dyDescent="0.2">
      <c r="A573" s="163" t="str">
        <f t="shared" si="131"/>
        <v/>
      </c>
      <c r="B573" s="170"/>
      <c r="C573" s="152"/>
      <c r="D573" s="378" t="s">
        <v>400</v>
      </c>
      <c r="E573" s="378"/>
      <c r="F573" s="378"/>
      <c r="G573" s="378"/>
      <c r="H573" s="378"/>
      <c r="I573" s="378"/>
      <c r="J573" s="378"/>
      <c r="K573" s="378"/>
      <c r="L573" s="378"/>
      <c r="M573" s="378"/>
      <c r="N573" s="378"/>
      <c r="O573" s="378"/>
      <c r="P573" s="378"/>
      <c r="Q573" s="378"/>
      <c r="R573" s="378"/>
      <c r="S573" s="378"/>
      <c r="T573" s="378"/>
      <c r="U573" s="378"/>
      <c r="V573" s="378"/>
      <c r="W573" s="378"/>
      <c r="X573" s="378"/>
      <c r="Y573" s="378"/>
      <c r="Z573" s="378"/>
      <c r="AA573" s="169"/>
      <c r="AB573" s="159" t="s">
        <v>281</v>
      </c>
      <c r="AD573" s="172" t="s">
        <v>249</v>
      </c>
      <c r="AE573" s="167"/>
      <c r="AF573" s="164">
        <f t="shared" si="132"/>
        <v>0</v>
      </c>
      <c r="AG573" s="164">
        <f>IF(AND(SUM(AF:AF)&gt;0,OR(AND(B573="",Y549="Yes"),AND(B573=1,Y549="No"))),1,0)</f>
        <v>0</v>
      </c>
      <c r="AI573" s="190">
        <v>1</v>
      </c>
    </row>
    <row r="574" spans="1:35" s="180" customFormat="1" ht="18" hidden="1" customHeight="1" x14ac:dyDescent="0.2">
      <c r="A574" s="163" t="str">
        <f t="shared" si="131"/>
        <v/>
      </c>
      <c r="B574" s="170"/>
      <c r="C574" s="152"/>
      <c r="D574" s="179" t="s">
        <v>252</v>
      </c>
      <c r="E574" s="378" t="s">
        <v>317</v>
      </c>
      <c r="F574" s="378"/>
      <c r="G574" s="378"/>
      <c r="H574" s="378"/>
      <c r="I574" s="378"/>
      <c r="J574" s="378"/>
      <c r="K574" s="378"/>
      <c r="L574" s="378"/>
      <c r="M574" s="378"/>
      <c r="N574" s="378"/>
      <c r="O574" s="378"/>
      <c r="P574" s="378"/>
      <c r="Q574" s="378"/>
      <c r="R574" s="378"/>
      <c r="S574" s="378"/>
      <c r="T574" s="378"/>
      <c r="U574" s="378"/>
      <c r="V574" s="378"/>
      <c r="W574" s="378"/>
      <c r="X574" s="378"/>
      <c r="Y574" s="378"/>
      <c r="Z574" s="378"/>
      <c r="AA574" s="169"/>
      <c r="AB574" s="159" t="s">
        <v>281</v>
      </c>
      <c r="AD574" s="172" t="s">
        <v>249</v>
      </c>
      <c r="AE574" s="167"/>
      <c r="AF574" s="164">
        <f t="shared" si="132"/>
        <v>0</v>
      </c>
      <c r="AG574" s="164">
        <f>IF(AND(SUM(AF:AF)&gt;0,OR(AND(B574="",Y549="Yes"),AND(B574=1,Y549="No"))),1,0)</f>
        <v>0</v>
      </c>
      <c r="AI574" s="190">
        <v>1</v>
      </c>
    </row>
    <row r="575" spans="1:35" s="180" customFormat="1" ht="18" hidden="1" customHeight="1" x14ac:dyDescent="0.2">
      <c r="A575" s="163" t="str">
        <f t="shared" si="131"/>
        <v/>
      </c>
      <c r="B575" s="170"/>
      <c r="C575" s="152"/>
      <c r="D575" s="179" t="s">
        <v>252</v>
      </c>
      <c r="E575" s="378" t="s">
        <v>318</v>
      </c>
      <c r="F575" s="378"/>
      <c r="G575" s="378"/>
      <c r="H575" s="378"/>
      <c r="I575" s="378"/>
      <c r="J575" s="378"/>
      <c r="K575" s="378"/>
      <c r="L575" s="378"/>
      <c r="M575" s="378"/>
      <c r="N575" s="378"/>
      <c r="O575" s="378"/>
      <c r="P575" s="378"/>
      <c r="Q575" s="378"/>
      <c r="R575" s="378"/>
      <c r="S575" s="378"/>
      <c r="T575" s="378"/>
      <c r="U575" s="378"/>
      <c r="V575" s="378"/>
      <c r="W575" s="378"/>
      <c r="X575" s="378"/>
      <c r="Y575" s="378"/>
      <c r="Z575" s="378"/>
      <c r="AA575" s="169"/>
      <c r="AB575" s="159" t="s">
        <v>281</v>
      </c>
      <c r="AD575" s="172" t="s">
        <v>249</v>
      </c>
      <c r="AE575" s="167"/>
      <c r="AF575" s="164">
        <f t="shared" si="132"/>
        <v>0</v>
      </c>
      <c r="AG575" s="164">
        <f>IF(AND(SUM(AF:AF)&gt;0,OR(AND(B575="",Y549="Yes"),AND(B575=1,Y549="No"))),1,0)</f>
        <v>0</v>
      </c>
      <c r="AI575" s="190">
        <v>1</v>
      </c>
    </row>
    <row r="576" spans="1:35" s="180" customFormat="1" ht="18" hidden="1" customHeight="1" x14ac:dyDescent="0.2">
      <c r="A576" s="163" t="str">
        <f t="shared" si="131"/>
        <v/>
      </c>
      <c r="B576" s="170"/>
      <c r="C576" s="152"/>
      <c r="D576" s="179" t="s">
        <v>252</v>
      </c>
      <c r="E576" s="378" t="s">
        <v>405</v>
      </c>
      <c r="F576" s="378"/>
      <c r="G576" s="378"/>
      <c r="H576" s="378"/>
      <c r="I576" s="378"/>
      <c r="J576" s="378"/>
      <c r="K576" s="378"/>
      <c r="L576" s="378"/>
      <c r="M576" s="378"/>
      <c r="N576" s="378"/>
      <c r="O576" s="378"/>
      <c r="P576" s="378"/>
      <c r="Q576" s="378"/>
      <c r="R576" s="378"/>
      <c r="S576" s="378"/>
      <c r="T576" s="378"/>
      <c r="U576" s="378"/>
      <c r="V576" s="378"/>
      <c r="W576" s="378"/>
      <c r="X576" s="378"/>
      <c r="Y576" s="378"/>
      <c r="Z576" s="378"/>
      <c r="AA576" s="169"/>
      <c r="AB576" s="159" t="s">
        <v>281</v>
      </c>
      <c r="AD576" s="172" t="s">
        <v>249</v>
      </c>
      <c r="AE576" s="167"/>
      <c r="AF576" s="164">
        <f t="shared" si="132"/>
        <v>0</v>
      </c>
      <c r="AG576" s="164">
        <f>IF(AND(SUM(AF:AF)&gt;0,OR(AND(B576="",Y549="Yes"),AND(B576=1,Y549="No"))),1,0)</f>
        <v>0</v>
      </c>
      <c r="AI576" s="190">
        <v>1</v>
      </c>
    </row>
    <row r="577" spans="1:35" s="180" customFormat="1" ht="18" hidden="1" customHeight="1" x14ac:dyDescent="0.2">
      <c r="A577" s="163" t="str">
        <f t="shared" si="131"/>
        <v/>
      </c>
      <c r="B577" s="170"/>
      <c r="C577" s="152"/>
      <c r="D577" s="179" t="s">
        <v>252</v>
      </c>
      <c r="E577" s="378" t="s">
        <v>396</v>
      </c>
      <c r="F577" s="378"/>
      <c r="G577" s="378"/>
      <c r="H577" s="378"/>
      <c r="I577" s="378"/>
      <c r="J577" s="378"/>
      <c r="K577" s="378"/>
      <c r="L577" s="378"/>
      <c r="M577" s="378"/>
      <c r="N577" s="378"/>
      <c r="O577" s="378"/>
      <c r="P577" s="378"/>
      <c r="Q577" s="378"/>
      <c r="R577" s="378"/>
      <c r="S577" s="378"/>
      <c r="T577" s="378"/>
      <c r="U577" s="378"/>
      <c r="V577" s="378"/>
      <c r="W577" s="378"/>
      <c r="X577" s="378"/>
      <c r="Y577" s="378"/>
      <c r="Z577" s="378"/>
      <c r="AA577" s="169"/>
      <c r="AB577" s="159" t="s">
        <v>281</v>
      </c>
      <c r="AD577" s="172" t="s">
        <v>249</v>
      </c>
      <c r="AE577" s="167"/>
      <c r="AF577" s="164">
        <f t="shared" si="132"/>
        <v>0</v>
      </c>
      <c r="AG577" s="164">
        <f>IF(AND(SUM(AF:AF)&gt;0,OR(AND(B577="",Y549="Yes"),AND(B577=1,Y549="No"))),1,0)</f>
        <v>0</v>
      </c>
      <c r="AI577" s="190">
        <v>1</v>
      </c>
    </row>
    <row r="578" spans="1:35" s="180" customFormat="1" ht="18" hidden="1" customHeight="1" x14ac:dyDescent="0.2">
      <c r="A578" s="163" t="str">
        <f t="shared" si="131"/>
        <v/>
      </c>
      <c r="B578" s="170"/>
      <c r="C578" s="152"/>
      <c r="D578" s="179" t="s">
        <v>252</v>
      </c>
      <c r="E578" s="378" t="s">
        <v>319</v>
      </c>
      <c r="F578" s="378"/>
      <c r="G578" s="378"/>
      <c r="H578" s="378"/>
      <c r="I578" s="378"/>
      <c r="J578" s="378"/>
      <c r="K578" s="378"/>
      <c r="L578" s="378"/>
      <c r="M578" s="378"/>
      <c r="N578" s="378"/>
      <c r="O578" s="378"/>
      <c r="P578" s="378"/>
      <c r="Q578" s="378"/>
      <c r="R578" s="378"/>
      <c r="S578" s="378"/>
      <c r="T578" s="378"/>
      <c r="U578" s="378"/>
      <c r="V578" s="378"/>
      <c r="W578" s="378"/>
      <c r="X578" s="378"/>
      <c r="Y578" s="378"/>
      <c r="Z578" s="378"/>
      <c r="AA578" s="169"/>
      <c r="AB578" s="159" t="s">
        <v>281</v>
      </c>
      <c r="AD578" s="172" t="s">
        <v>249</v>
      </c>
      <c r="AE578" s="167"/>
      <c r="AF578" s="164">
        <f t="shared" si="132"/>
        <v>0</v>
      </c>
      <c r="AG578" s="164">
        <f>IF(AND(SUM(AF:AF)&gt;0,OR(AND(B578="",Y549="Yes"),AND(B578=1,Y549="No"))),1,0)</f>
        <v>0</v>
      </c>
      <c r="AI578" s="190">
        <v>1</v>
      </c>
    </row>
    <row r="579" spans="1:35" s="180" customFormat="1" ht="18.5" hidden="1" customHeight="1" x14ac:dyDescent="0.2">
      <c r="A579" s="163" t="str">
        <f t="shared" si="131"/>
        <v/>
      </c>
      <c r="B579" s="164">
        <v>0</v>
      </c>
      <c r="C579" s="152"/>
      <c r="D579" s="179" t="s">
        <v>252</v>
      </c>
      <c r="E579" s="378" t="s">
        <v>312</v>
      </c>
      <c r="F579" s="378"/>
      <c r="G579" s="378"/>
      <c r="H579" s="378"/>
      <c r="I579" s="378"/>
      <c r="J579" s="378"/>
      <c r="K579" s="378"/>
      <c r="L579" s="378"/>
      <c r="M579" s="378"/>
      <c r="N579" s="378"/>
      <c r="O579" s="378"/>
      <c r="P579" s="378"/>
      <c r="Q579" s="378"/>
      <c r="R579" s="378"/>
      <c r="S579" s="378"/>
      <c r="T579" s="378"/>
      <c r="U579" s="378"/>
      <c r="V579" s="378"/>
      <c r="W579" s="378"/>
      <c r="X579" s="378"/>
      <c r="Y579" s="378"/>
      <c r="Z579" s="378"/>
      <c r="AA579" s="168"/>
      <c r="AB579" s="166" t="s">
        <v>259</v>
      </c>
      <c r="AD579" s="165" t="s">
        <v>260</v>
      </c>
      <c r="AE579" s="134"/>
      <c r="AF579" s="22"/>
      <c r="AG579" s="22"/>
      <c r="AI579" s="190">
        <v>1</v>
      </c>
    </row>
    <row r="580" spans="1:35" s="180" customFormat="1" ht="18" hidden="1" customHeight="1" x14ac:dyDescent="0.2">
      <c r="A580" s="163" t="str">
        <f t="shared" si="131"/>
        <v/>
      </c>
      <c r="B580" s="170"/>
      <c r="C580" s="152"/>
      <c r="D580" s="179" t="s">
        <v>252</v>
      </c>
      <c r="E580" s="373"/>
      <c r="F580" s="373"/>
      <c r="G580" s="373"/>
      <c r="H580" s="373"/>
      <c r="I580" s="373"/>
      <c r="J580" s="373"/>
      <c r="K580" s="373"/>
      <c r="L580" s="373"/>
      <c r="M580" s="373"/>
      <c r="N580" s="373"/>
      <c r="O580" s="373"/>
      <c r="P580" s="373"/>
      <c r="Q580" s="373"/>
      <c r="R580" s="373"/>
      <c r="S580" s="373"/>
      <c r="T580" s="373"/>
      <c r="U580" s="373"/>
      <c r="V580" s="373"/>
      <c r="W580" s="373"/>
      <c r="X580" s="373"/>
      <c r="Y580" s="373"/>
      <c r="Z580" s="373"/>
      <c r="AA580" s="169"/>
      <c r="AB580" s="159" t="s">
        <v>281</v>
      </c>
      <c r="AD580" s="172" t="s">
        <v>249</v>
      </c>
      <c r="AE580" s="167"/>
      <c r="AF580" s="164">
        <f t="shared" ref="AF580:AF582" si="133">IF(B580&lt;&gt;"",1,0)</f>
        <v>0</v>
      </c>
      <c r="AG580" s="164">
        <f>IF(AND(SUM(AF:AF)&gt;0,OR(AND(B580=1,Y549="No"),AND(B580=1,E580="",Y549="Yes"),AND(B580="",E580="",Y549="Yes"),AND(B580="",E580&lt;&gt;"",Y549="Yes"),AND(B580=0,E580&lt;&gt;"",Y549="Yes"))),1,0)</f>
        <v>0</v>
      </c>
      <c r="AI580" s="190">
        <v>1</v>
      </c>
    </row>
    <row r="581" spans="1:35" s="180" customFormat="1" ht="18" hidden="1" customHeight="1" x14ac:dyDescent="0.2">
      <c r="A581" s="163" t="str">
        <f t="shared" si="131"/>
        <v/>
      </c>
      <c r="B581" s="170"/>
      <c r="C581" s="152"/>
      <c r="D581" s="179" t="s">
        <v>252</v>
      </c>
      <c r="E581" s="373"/>
      <c r="F581" s="373"/>
      <c r="G581" s="373"/>
      <c r="H581" s="373"/>
      <c r="I581" s="373"/>
      <c r="J581" s="373"/>
      <c r="K581" s="373"/>
      <c r="L581" s="373"/>
      <c r="M581" s="373"/>
      <c r="N581" s="373"/>
      <c r="O581" s="373"/>
      <c r="P581" s="373"/>
      <c r="Q581" s="373"/>
      <c r="R581" s="373"/>
      <c r="S581" s="373"/>
      <c r="T581" s="373"/>
      <c r="U581" s="373"/>
      <c r="V581" s="373"/>
      <c r="W581" s="373"/>
      <c r="X581" s="373"/>
      <c r="Y581" s="373"/>
      <c r="Z581" s="373"/>
      <c r="AA581" s="169"/>
      <c r="AB581" s="159" t="s">
        <v>281</v>
      </c>
      <c r="AD581" s="172" t="s">
        <v>249</v>
      </c>
      <c r="AE581" s="167"/>
      <c r="AF581" s="164">
        <f t="shared" si="133"/>
        <v>0</v>
      </c>
      <c r="AG581" s="164">
        <f>IF(AND(SUM(AF:AF)&gt;0,OR(AND(B581=1,Y549="No"),AND(B581=1,E581="",Y549="Yes"),AND(B581="",E581="",Y549="Yes"),AND(B581="",E581&lt;&gt;"",Y549="Yes"),AND(B581=0,E581&lt;&gt;"",Y549="Yes"))),1,0)</f>
        <v>0</v>
      </c>
      <c r="AI581" s="190">
        <v>1</v>
      </c>
    </row>
    <row r="582" spans="1:35" s="180" customFormat="1" ht="18" hidden="1" customHeight="1" x14ac:dyDescent="0.2">
      <c r="A582" s="163" t="str">
        <f t="shared" si="131"/>
        <v/>
      </c>
      <c r="B582" s="170"/>
      <c r="C582" s="152"/>
      <c r="D582" s="179" t="s">
        <v>252</v>
      </c>
      <c r="E582" s="373"/>
      <c r="F582" s="373"/>
      <c r="G582" s="373"/>
      <c r="H582" s="373"/>
      <c r="I582" s="373"/>
      <c r="J582" s="373"/>
      <c r="K582" s="373"/>
      <c r="L582" s="373"/>
      <c r="M582" s="373"/>
      <c r="N582" s="373"/>
      <c r="O582" s="373"/>
      <c r="P582" s="373"/>
      <c r="Q582" s="373"/>
      <c r="R582" s="373"/>
      <c r="S582" s="373"/>
      <c r="T582" s="373"/>
      <c r="U582" s="373"/>
      <c r="V582" s="373"/>
      <c r="W582" s="373"/>
      <c r="X582" s="373"/>
      <c r="Y582" s="373"/>
      <c r="Z582" s="373"/>
      <c r="AA582" s="169"/>
      <c r="AB582" s="159" t="s">
        <v>281</v>
      </c>
      <c r="AD582" s="172" t="s">
        <v>249</v>
      </c>
      <c r="AE582" s="167"/>
      <c r="AF582" s="164">
        <f t="shared" si="133"/>
        <v>0</v>
      </c>
      <c r="AG582" s="164">
        <f>IF(AND(SUM(AF:AF)&gt;0,OR(AND(B582=1,Y549="No"),AND(B582=1,E582="",Y549="Yes"),AND(B582="",E582="",Y549="Yes"),AND(B582="",E582&lt;&gt;"",Y549="Yes"),AND(B582=0,E582&lt;&gt;"",Y549="Yes"))),1,0)</f>
        <v>0</v>
      </c>
      <c r="AI582" s="190">
        <v>1</v>
      </c>
    </row>
    <row r="583" spans="1:35" ht="21" hidden="1" customHeight="1" x14ac:dyDescent="0.2">
      <c r="A583" s="163" t="str">
        <f t="shared" si="131"/>
        <v/>
      </c>
      <c r="B583" s="164">
        <v>0</v>
      </c>
      <c r="D583" s="379" t="s">
        <v>258</v>
      </c>
      <c r="E583" s="379"/>
      <c r="F583" s="379"/>
      <c r="G583" s="379"/>
      <c r="H583" s="379"/>
      <c r="I583" s="379"/>
      <c r="J583" s="379"/>
      <c r="K583" s="379"/>
      <c r="L583" s="379"/>
      <c r="M583" s="379"/>
      <c r="N583" s="379"/>
      <c r="O583" s="379"/>
      <c r="P583" s="379"/>
      <c r="Q583" s="379"/>
      <c r="R583" s="379"/>
      <c r="S583" s="379"/>
      <c r="T583" s="379"/>
      <c r="U583" s="379"/>
      <c r="V583" s="379"/>
      <c r="W583" s="379"/>
      <c r="X583" s="379"/>
      <c r="Y583" s="379"/>
      <c r="Z583" s="379"/>
      <c r="AB583" s="166" t="s">
        <v>259</v>
      </c>
      <c r="AD583" s="165" t="s">
        <v>260</v>
      </c>
      <c r="AE583" s="134"/>
      <c r="AF583" s="22"/>
      <c r="AG583" s="22"/>
      <c r="AI583" s="190">
        <v>1</v>
      </c>
    </row>
    <row r="584" spans="1:35" ht="15.75" hidden="1" customHeight="1" x14ac:dyDescent="0.2">
      <c r="A584" s="163"/>
      <c r="B584" s="164">
        <v>0</v>
      </c>
      <c r="D584" s="369" t="s">
        <v>261</v>
      </c>
      <c r="E584" s="369"/>
      <c r="F584" s="369"/>
      <c r="G584" s="369"/>
      <c r="H584" s="369"/>
      <c r="I584" s="369"/>
      <c r="J584" s="369"/>
      <c r="K584" s="369"/>
      <c r="L584" s="369"/>
      <c r="M584" s="369"/>
      <c r="N584" s="369"/>
      <c r="O584" s="369"/>
      <c r="P584" s="369"/>
      <c r="Q584" s="369"/>
      <c r="R584" s="369"/>
      <c r="S584" s="369"/>
      <c r="T584" s="369"/>
      <c r="U584" s="369"/>
      <c r="V584" s="369"/>
      <c r="W584" s="369"/>
      <c r="X584" s="369"/>
      <c r="Y584" s="369"/>
      <c r="Z584" s="369"/>
      <c r="AB584" s="166" t="s">
        <v>259</v>
      </c>
      <c r="AD584" s="165" t="s">
        <v>260</v>
      </c>
      <c r="AE584" s="134"/>
      <c r="AF584" s="22"/>
      <c r="AG584" s="22"/>
      <c r="AI584" s="190">
        <v>1</v>
      </c>
    </row>
    <row r="585" spans="1:35" ht="8.5" hidden="1" customHeight="1" x14ac:dyDescent="0.15">
      <c r="A585" s="163" t="str">
        <f>IF(AG585=1,"X","")</f>
        <v/>
      </c>
      <c r="B585" s="164">
        <f>IF(OR(D586="Show",Q586="Show"),1,0)</f>
        <v>0</v>
      </c>
      <c r="D585" s="368"/>
      <c r="E585" s="368"/>
      <c r="F585" s="368"/>
      <c r="G585" s="368"/>
      <c r="H585" s="368"/>
      <c r="I585" s="368"/>
      <c r="J585" s="368"/>
      <c r="K585" s="368"/>
      <c r="L585" s="368"/>
      <c r="M585" s="368"/>
      <c r="N585" s="368"/>
      <c r="O585" s="368"/>
      <c r="P585" s="368"/>
      <c r="Q585" s="368"/>
      <c r="R585" s="368"/>
      <c r="S585" s="368"/>
      <c r="T585" s="368"/>
      <c r="U585" s="368"/>
      <c r="V585" s="368"/>
      <c r="W585" s="368"/>
      <c r="X585" s="368"/>
      <c r="Y585" s="368"/>
      <c r="Z585" s="368"/>
      <c r="AD585" s="165" t="s">
        <v>227</v>
      </c>
      <c r="AE585" s="156"/>
      <c r="AF585" s="22"/>
      <c r="AG585" s="22"/>
      <c r="AI585" s="190">
        <v>1</v>
      </c>
    </row>
    <row r="586" spans="1:35" ht="18" hidden="1" customHeight="1" x14ac:dyDescent="0.2">
      <c r="A586" s="163" t="str">
        <f t="shared" ref="A586:A589" si="134">IF(AG586=1,"X","")</f>
        <v/>
      </c>
      <c r="B586" s="164">
        <v>0</v>
      </c>
      <c r="D586" s="370" t="s">
        <v>267</v>
      </c>
      <c r="E586" s="370"/>
      <c r="F586" s="370"/>
      <c r="G586" s="370"/>
      <c r="H586" s="370"/>
      <c r="I586" s="370"/>
      <c r="J586" s="370"/>
      <c r="K586" s="370"/>
      <c r="L586" s="370"/>
      <c r="M586" s="370"/>
      <c r="N586" s="370"/>
      <c r="O586" s="175"/>
      <c r="P586" s="175"/>
      <c r="Q586" s="370" t="s">
        <v>267</v>
      </c>
      <c r="R586" s="370"/>
      <c r="S586" s="370"/>
      <c r="T586" s="370"/>
      <c r="U586" s="370"/>
      <c r="V586" s="370"/>
      <c r="W586" s="370"/>
      <c r="X586" s="370"/>
      <c r="Y586" s="370"/>
      <c r="Z586" s="370"/>
      <c r="AA586" s="176"/>
      <c r="AB586" s="159" t="s">
        <v>262</v>
      </c>
      <c r="AD586" s="172" t="s">
        <v>249</v>
      </c>
      <c r="AE586" s="134"/>
      <c r="AF586" s="164">
        <f>IF(OR(D586="Show",D586="",Q586="Show",Q586=""),1,0)</f>
        <v>0</v>
      </c>
      <c r="AG586" s="164">
        <f>IF(AND(SUM(AF:AF)&gt;0,OR(D586="",Q586="")),1,0)</f>
        <v>0</v>
      </c>
      <c r="AI586" s="190">
        <v>1</v>
      </c>
    </row>
    <row r="587" spans="1:35" ht="197.25" hidden="1" customHeight="1" x14ac:dyDescent="0.2">
      <c r="A587" s="163" t="str">
        <f t="shared" si="134"/>
        <v/>
      </c>
      <c r="B587" s="164">
        <f>B585</f>
        <v>0</v>
      </c>
      <c r="D587" s="370"/>
      <c r="E587" s="370"/>
      <c r="F587" s="370"/>
      <c r="G587" s="370"/>
      <c r="H587" s="370"/>
      <c r="I587" s="370"/>
      <c r="J587" s="370"/>
      <c r="K587" s="370"/>
      <c r="L587" s="370"/>
      <c r="M587" s="370"/>
      <c r="N587" s="370"/>
      <c r="O587" s="175"/>
      <c r="P587" s="175"/>
      <c r="Q587" s="370"/>
      <c r="R587" s="370"/>
      <c r="S587" s="370"/>
      <c r="T587" s="370"/>
      <c r="U587" s="370"/>
      <c r="V587" s="370"/>
      <c r="W587" s="370"/>
      <c r="X587" s="370"/>
      <c r="Y587" s="370"/>
      <c r="Z587" s="370"/>
      <c r="AA587" s="176"/>
      <c r="AB587" s="159" t="s">
        <v>263</v>
      </c>
      <c r="AD587" s="172" t="s">
        <v>249</v>
      </c>
      <c r="AE587" s="167"/>
      <c r="AF587" s="22"/>
      <c r="AG587" s="22"/>
      <c r="AI587" s="190">
        <v>1</v>
      </c>
    </row>
    <row r="588" spans="1:35" ht="18" hidden="1" customHeight="1" x14ac:dyDescent="0.2">
      <c r="A588" s="163" t="str">
        <f t="shared" si="134"/>
        <v/>
      </c>
      <c r="B588" s="164">
        <f>B587</f>
        <v>0</v>
      </c>
      <c r="D588" s="371"/>
      <c r="E588" s="371"/>
      <c r="F588" s="371"/>
      <c r="G588" s="371"/>
      <c r="H588" s="371"/>
      <c r="I588" s="371"/>
      <c r="J588" s="371"/>
      <c r="K588" s="371"/>
      <c r="L588" s="371"/>
      <c r="M588" s="371"/>
      <c r="N588" s="371"/>
      <c r="O588" s="175"/>
      <c r="P588" s="175"/>
      <c r="Q588" s="371"/>
      <c r="R588" s="371"/>
      <c r="S588" s="371"/>
      <c r="T588" s="371"/>
      <c r="U588" s="371"/>
      <c r="V588" s="371"/>
      <c r="W588" s="371"/>
      <c r="X588" s="371"/>
      <c r="Y588" s="371"/>
      <c r="Z588" s="371"/>
      <c r="AA588" s="176"/>
      <c r="AB588" s="159" t="s">
        <v>264</v>
      </c>
      <c r="AD588" s="172" t="s">
        <v>249</v>
      </c>
      <c r="AE588" s="167"/>
      <c r="AF588" s="164">
        <f>IF(OR(D586="Show",D586="",Q586="Show",Q586=""),1,0)</f>
        <v>0</v>
      </c>
      <c r="AG588" s="164">
        <f>IF(AND(SUM(AF:AF)&gt;0,OR(AND(D586="Show",D588=""),AND(Q586="Show",Q588=""))),1,0)</f>
        <v>0</v>
      </c>
      <c r="AI588" s="190">
        <v>1</v>
      </c>
    </row>
    <row r="589" spans="1:35" ht="8.5" hidden="1" customHeight="1" x14ac:dyDescent="0.15">
      <c r="A589" s="163" t="str">
        <f t="shared" si="134"/>
        <v/>
      </c>
      <c r="B589" s="164">
        <f>B588</f>
        <v>0</v>
      </c>
      <c r="D589" s="368"/>
      <c r="E589" s="368"/>
      <c r="F589" s="368"/>
      <c r="G589" s="368"/>
      <c r="H589" s="368"/>
      <c r="I589" s="368"/>
      <c r="J589" s="368"/>
      <c r="K589" s="368"/>
      <c r="L589" s="368"/>
      <c r="M589" s="368"/>
      <c r="N589" s="368"/>
      <c r="O589" s="368"/>
      <c r="P589" s="368"/>
      <c r="Q589" s="368"/>
      <c r="R589" s="368"/>
      <c r="S589" s="368"/>
      <c r="T589" s="368"/>
      <c r="U589" s="368"/>
      <c r="V589" s="368"/>
      <c r="W589" s="368"/>
      <c r="X589" s="368"/>
      <c r="Y589" s="368"/>
      <c r="Z589" s="368"/>
      <c r="AA589" s="176"/>
      <c r="AD589" s="165" t="s">
        <v>227</v>
      </c>
      <c r="AE589" s="156"/>
      <c r="AF589" s="22"/>
      <c r="AG589" s="22"/>
      <c r="AI589" s="190">
        <v>1</v>
      </c>
    </row>
    <row r="590" spans="1:35" ht="15.75" hidden="1" customHeight="1" x14ac:dyDescent="0.2">
      <c r="A590" s="163"/>
      <c r="B590" s="164">
        <v>0</v>
      </c>
      <c r="D590" s="369" t="s">
        <v>265</v>
      </c>
      <c r="E590" s="369"/>
      <c r="F590" s="369"/>
      <c r="G590" s="369"/>
      <c r="H590" s="369"/>
      <c r="I590" s="369"/>
      <c r="J590" s="369"/>
      <c r="K590" s="369"/>
      <c r="L590" s="369"/>
      <c r="M590" s="369"/>
      <c r="N590" s="369"/>
      <c r="O590" s="369"/>
      <c r="P590" s="369"/>
      <c r="Q590" s="369"/>
      <c r="R590" s="369"/>
      <c r="S590" s="369"/>
      <c r="T590" s="369"/>
      <c r="U590" s="369"/>
      <c r="V590" s="369"/>
      <c r="W590" s="369"/>
      <c r="X590" s="369"/>
      <c r="Y590" s="369"/>
      <c r="Z590" s="369"/>
      <c r="AB590" s="166" t="s">
        <v>259</v>
      </c>
      <c r="AD590" s="165" t="s">
        <v>260</v>
      </c>
      <c r="AE590" s="134"/>
      <c r="AF590" s="22"/>
      <c r="AG590" s="22"/>
      <c r="AI590" s="190">
        <v>1</v>
      </c>
    </row>
    <row r="591" spans="1:35" ht="21" hidden="1" customHeight="1" x14ac:dyDescent="0.15">
      <c r="A591" s="163" t="str">
        <f t="shared" ref="A591:A601" si="135">IF(AG591=1,"X","")</f>
        <v/>
      </c>
      <c r="B591" s="164">
        <f>IF(Y$549="Yes",1,0)</f>
        <v>0</v>
      </c>
      <c r="D591" s="380" t="s">
        <v>314</v>
      </c>
      <c r="E591" s="380"/>
      <c r="F591" s="380"/>
      <c r="G591" s="380"/>
      <c r="H591" s="380"/>
      <c r="I591" s="380"/>
      <c r="J591" s="380"/>
      <c r="K591" s="380"/>
      <c r="L591" s="380"/>
      <c r="M591" s="380"/>
      <c r="N591" s="380"/>
      <c r="O591" s="380"/>
      <c r="P591" s="380"/>
      <c r="Q591" s="380"/>
      <c r="R591" s="380"/>
      <c r="S591" s="380"/>
      <c r="T591" s="380"/>
      <c r="U591" s="380"/>
      <c r="V591" s="380"/>
      <c r="W591" s="380"/>
      <c r="X591" s="380"/>
      <c r="Y591" s="380"/>
      <c r="Z591" s="380"/>
      <c r="AB591" s="166" t="s">
        <v>462</v>
      </c>
      <c r="AD591" s="165" t="s">
        <v>463</v>
      </c>
      <c r="AE591" s="134"/>
      <c r="AF591" s="22"/>
      <c r="AG591" s="22"/>
      <c r="AI591" s="190">
        <v>1</v>
      </c>
    </row>
    <row r="592" spans="1:35" s="180" customFormat="1" ht="18" hidden="1" customHeight="1" x14ac:dyDescent="0.2">
      <c r="A592" s="163" t="str">
        <f t="shared" si="135"/>
        <v/>
      </c>
      <c r="B592" s="170"/>
      <c r="C592" s="152"/>
      <c r="D592" s="378" t="s">
        <v>401</v>
      </c>
      <c r="E592" s="378"/>
      <c r="F592" s="378"/>
      <c r="G592" s="378"/>
      <c r="H592" s="378"/>
      <c r="I592" s="378"/>
      <c r="J592" s="378"/>
      <c r="K592" s="378"/>
      <c r="L592" s="378"/>
      <c r="M592" s="378"/>
      <c r="N592" s="378"/>
      <c r="O592" s="378"/>
      <c r="P592" s="378"/>
      <c r="Q592" s="378"/>
      <c r="R592" s="378"/>
      <c r="S592" s="378"/>
      <c r="T592" s="378"/>
      <c r="U592" s="378"/>
      <c r="V592" s="378"/>
      <c r="W592" s="378"/>
      <c r="X592" s="378"/>
      <c r="Y592" s="378"/>
      <c r="Z592" s="378"/>
      <c r="AA592" s="169"/>
      <c r="AB592" s="159" t="s">
        <v>281</v>
      </c>
      <c r="AD592" s="172" t="s">
        <v>249</v>
      </c>
      <c r="AE592" s="167"/>
      <c r="AF592" s="164">
        <f t="shared" ref="AF592:AF595" si="136">IF(B592&lt;&gt;"",1,0)</f>
        <v>0</v>
      </c>
      <c r="AG592" s="164">
        <f>IF(AND(SUM(AF:AF)&gt;0,OR(AND(B592="",Y549="Yes"),AND(B592=1,Y549="No"))),1,0)</f>
        <v>0</v>
      </c>
      <c r="AI592" s="190">
        <v>1</v>
      </c>
    </row>
    <row r="593" spans="1:35" s="180" customFormat="1" ht="18" hidden="1" customHeight="1" x14ac:dyDescent="0.2">
      <c r="A593" s="163" t="str">
        <f t="shared" si="135"/>
        <v/>
      </c>
      <c r="B593" s="170"/>
      <c r="C593" s="152"/>
      <c r="D593" s="378" t="s">
        <v>402</v>
      </c>
      <c r="E593" s="378"/>
      <c r="F593" s="378"/>
      <c r="G593" s="378"/>
      <c r="H593" s="378"/>
      <c r="I593" s="378"/>
      <c r="J593" s="378"/>
      <c r="K593" s="378"/>
      <c r="L593" s="378"/>
      <c r="M593" s="378"/>
      <c r="N593" s="378"/>
      <c r="O593" s="378"/>
      <c r="P593" s="378"/>
      <c r="Q593" s="378"/>
      <c r="R593" s="378"/>
      <c r="S593" s="378"/>
      <c r="T593" s="378"/>
      <c r="U593" s="378"/>
      <c r="V593" s="378"/>
      <c r="W593" s="378"/>
      <c r="X593" s="378"/>
      <c r="Y593" s="378"/>
      <c r="Z593" s="378"/>
      <c r="AA593" s="169"/>
      <c r="AB593" s="159" t="s">
        <v>281</v>
      </c>
      <c r="AD593" s="172" t="s">
        <v>249</v>
      </c>
      <c r="AE593" s="167"/>
      <c r="AF593" s="164">
        <f t="shared" si="136"/>
        <v>0</v>
      </c>
      <c r="AG593" s="164">
        <f>IF(AND(SUM(AF:AF)&gt;0,OR(AND(B593="",Y549="Yes"),AND(B593=1,Y549="No"))),1,0)</f>
        <v>0</v>
      </c>
      <c r="AI593" s="190">
        <v>1</v>
      </c>
    </row>
    <row r="594" spans="1:35" s="180" customFormat="1" ht="18" hidden="1" customHeight="1" x14ac:dyDescent="0.2">
      <c r="A594" s="163" t="str">
        <f t="shared" si="135"/>
        <v/>
      </c>
      <c r="B594" s="170"/>
      <c r="C594" s="152"/>
      <c r="D594" s="179" t="s">
        <v>252</v>
      </c>
      <c r="E594" s="378" t="s">
        <v>318</v>
      </c>
      <c r="F594" s="378"/>
      <c r="G594" s="378"/>
      <c r="H594" s="378"/>
      <c r="I594" s="378"/>
      <c r="J594" s="378"/>
      <c r="K594" s="378"/>
      <c r="L594" s="378"/>
      <c r="M594" s="378"/>
      <c r="N594" s="378"/>
      <c r="O594" s="378"/>
      <c r="P594" s="378"/>
      <c r="Q594" s="378"/>
      <c r="R594" s="378"/>
      <c r="S594" s="378"/>
      <c r="T594" s="378"/>
      <c r="U594" s="378"/>
      <c r="V594" s="378"/>
      <c r="W594" s="378"/>
      <c r="X594" s="378"/>
      <c r="Y594" s="378"/>
      <c r="Z594" s="378"/>
      <c r="AA594" s="169"/>
      <c r="AB594" s="159" t="s">
        <v>281</v>
      </c>
      <c r="AD594" s="172" t="s">
        <v>249</v>
      </c>
      <c r="AE594" s="167"/>
      <c r="AF594" s="164">
        <f t="shared" si="136"/>
        <v>0</v>
      </c>
      <c r="AG594" s="164">
        <f>IF(AND(SUM(AF:AF)&gt;0,OR(AND(B594="",Y549="Yes"),AND(B594=1,Y549="No"))),1,0)</f>
        <v>0</v>
      </c>
      <c r="AI594" s="190">
        <v>1</v>
      </c>
    </row>
    <row r="595" spans="1:35" s="180" customFormat="1" ht="18" hidden="1" customHeight="1" x14ac:dyDescent="0.2">
      <c r="A595" s="163" t="str">
        <f t="shared" si="135"/>
        <v/>
      </c>
      <c r="B595" s="170"/>
      <c r="C595" s="152"/>
      <c r="D595" s="179" t="s">
        <v>252</v>
      </c>
      <c r="E595" s="378" t="s">
        <v>405</v>
      </c>
      <c r="F595" s="378"/>
      <c r="G595" s="378"/>
      <c r="H595" s="378"/>
      <c r="I595" s="378"/>
      <c r="J595" s="378"/>
      <c r="K595" s="378"/>
      <c r="L595" s="378"/>
      <c r="M595" s="378"/>
      <c r="N595" s="378"/>
      <c r="O595" s="378"/>
      <c r="P595" s="378"/>
      <c r="Q595" s="378"/>
      <c r="R595" s="378"/>
      <c r="S595" s="378"/>
      <c r="T595" s="378"/>
      <c r="U595" s="378"/>
      <c r="V595" s="378"/>
      <c r="W595" s="378"/>
      <c r="X595" s="378"/>
      <c r="Y595" s="378"/>
      <c r="Z595" s="378"/>
      <c r="AA595" s="169"/>
      <c r="AB595" s="159" t="s">
        <v>281</v>
      </c>
      <c r="AD595" s="172" t="s">
        <v>249</v>
      </c>
      <c r="AE595" s="167"/>
      <c r="AF595" s="164">
        <f t="shared" si="136"/>
        <v>0</v>
      </c>
      <c r="AG595" s="164">
        <f>IF(AND(SUM(AF:AF)&gt;0,OR(AND(B595="",Y549="Yes"),AND(B595=1,Y549="No"))),1,0)</f>
        <v>0</v>
      </c>
      <c r="AI595" s="190">
        <v>1</v>
      </c>
    </row>
    <row r="596" spans="1:35" s="180" customFormat="1" ht="18.5" hidden="1" customHeight="1" x14ac:dyDescent="0.2">
      <c r="A596" s="163" t="str">
        <f t="shared" si="135"/>
        <v/>
      </c>
      <c r="B596" s="164">
        <v>0</v>
      </c>
      <c r="C596" s="152"/>
      <c r="D596" s="179" t="s">
        <v>252</v>
      </c>
      <c r="E596" s="378" t="s">
        <v>312</v>
      </c>
      <c r="F596" s="378"/>
      <c r="G596" s="378"/>
      <c r="H596" s="378"/>
      <c r="I596" s="378"/>
      <c r="J596" s="378"/>
      <c r="K596" s="378"/>
      <c r="L596" s="378"/>
      <c r="M596" s="378"/>
      <c r="N596" s="378"/>
      <c r="O596" s="378"/>
      <c r="P596" s="378"/>
      <c r="Q596" s="378"/>
      <c r="R596" s="378"/>
      <c r="S596" s="378"/>
      <c r="T596" s="378"/>
      <c r="U596" s="378"/>
      <c r="V596" s="378"/>
      <c r="W596" s="378"/>
      <c r="X596" s="378"/>
      <c r="Y596" s="378"/>
      <c r="Z596" s="378"/>
      <c r="AA596" s="168"/>
      <c r="AB596" s="166" t="s">
        <v>259</v>
      </c>
      <c r="AD596" s="165" t="s">
        <v>260</v>
      </c>
      <c r="AE596" s="134"/>
      <c r="AF596" s="22"/>
      <c r="AG596" s="22"/>
      <c r="AI596" s="190">
        <v>1</v>
      </c>
    </row>
    <row r="597" spans="1:35" s="180" customFormat="1" ht="18" hidden="1" customHeight="1" x14ac:dyDescent="0.2">
      <c r="A597" s="163" t="str">
        <f t="shared" si="135"/>
        <v/>
      </c>
      <c r="B597" s="170"/>
      <c r="C597" s="152"/>
      <c r="D597" s="179" t="s">
        <v>252</v>
      </c>
      <c r="E597" s="373"/>
      <c r="F597" s="373"/>
      <c r="G597" s="373"/>
      <c r="H597" s="373"/>
      <c r="I597" s="373"/>
      <c r="J597" s="373"/>
      <c r="K597" s="373"/>
      <c r="L597" s="373"/>
      <c r="M597" s="373"/>
      <c r="N597" s="373"/>
      <c r="O597" s="373"/>
      <c r="P597" s="373"/>
      <c r="Q597" s="373"/>
      <c r="R597" s="373"/>
      <c r="S597" s="373"/>
      <c r="T597" s="373"/>
      <c r="U597" s="373"/>
      <c r="V597" s="373"/>
      <c r="W597" s="373"/>
      <c r="X597" s="373"/>
      <c r="Y597" s="373"/>
      <c r="Z597" s="373"/>
      <c r="AA597" s="169"/>
      <c r="AB597" s="159" t="s">
        <v>281</v>
      </c>
      <c r="AD597" s="172" t="s">
        <v>249</v>
      </c>
      <c r="AE597" s="167"/>
      <c r="AF597" s="164">
        <f t="shared" ref="AF597:AF600" si="137">IF(B597&lt;&gt;"",1,0)</f>
        <v>0</v>
      </c>
      <c r="AG597" s="164">
        <f>IF(AND(SUM(AF:AF)&gt;0,OR(AND(B597=1,Y549="No"),AND(B597=1,E597="",Y549="Yes"),AND(B597="",E597="",Y549="Yes"),AND(B597="",E597&lt;&gt;"",Y549="Yes"),AND(B597=0,E597&lt;&gt;"",Y549="Yes"))),1,0)</f>
        <v>0</v>
      </c>
      <c r="AI597" s="190">
        <v>1</v>
      </c>
    </row>
    <row r="598" spans="1:35" s="180" customFormat="1" ht="18" hidden="1" customHeight="1" x14ac:dyDescent="0.2">
      <c r="A598" s="163" t="str">
        <f t="shared" si="135"/>
        <v/>
      </c>
      <c r="B598" s="170"/>
      <c r="C598" s="152"/>
      <c r="D598" s="179" t="s">
        <v>252</v>
      </c>
      <c r="E598" s="373"/>
      <c r="F598" s="373"/>
      <c r="G598" s="373"/>
      <c r="H598" s="373"/>
      <c r="I598" s="373"/>
      <c r="J598" s="373"/>
      <c r="K598" s="373"/>
      <c r="L598" s="373"/>
      <c r="M598" s="373"/>
      <c r="N598" s="373"/>
      <c r="O598" s="373"/>
      <c r="P598" s="373"/>
      <c r="Q598" s="373"/>
      <c r="R598" s="373"/>
      <c r="S598" s="373"/>
      <c r="T598" s="373"/>
      <c r="U598" s="373"/>
      <c r="V598" s="373"/>
      <c r="W598" s="373"/>
      <c r="X598" s="373"/>
      <c r="Y598" s="373"/>
      <c r="Z598" s="373"/>
      <c r="AA598" s="169"/>
      <c r="AB598" s="159" t="s">
        <v>281</v>
      </c>
      <c r="AD598" s="172" t="s">
        <v>249</v>
      </c>
      <c r="AE598" s="167"/>
      <c r="AF598" s="164">
        <f t="shared" si="137"/>
        <v>0</v>
      </c>
      <c r="AG598" s="164">
        <f>IF(AND(SUM(AF:AF)&gt;0,OR(AND(B598=1,Y549="No"),AND(B598=1,E598="",Y549="Yes"),AND(B598="",E598="",Y549="Yes"),AND(B598="",E598&lt;&gt;"",Y549="Yes"),AND(B598=0,E598&lt;&gt;"",Y549="Yes"))),1,0)</f>
        <v>0</v>
      </c>
      <c r="AI598" s="190">
        <v>1</v>
      </c>
    </row>
    <row r="599" spans="1:35" s="180" customFormat="1" ht="18" hidden="1" customHeight="1" x14ac:dyDescent="0.2">
      <c r="A599" s="163" t="str">
        <f t="shared" si="135"/>
        <v/>
      </c>
      <c r="B599" s="170"/>
      <c r="C599" s="152"/>
      <c r="D599" s="179" t="s">
        <v>252</v>
      </c>
      <c r="E599" s="373"/>
      <c r="F599" s="373"/>
      <c r="G599" s="373"/>
      <c r="H599" s="373"/>
      <c r="I599" s="373"/>
      <c r="J599" s="373"/>
      <c r="K599" s="373"/>
      <c r="L599" s="373"/>
      <c r="M599" s="373"/>
      <c r="N599" s="373"/>
      <c r="O599" s="373"/>
      <c r="P599" s="373"/>
      <c r="Q599" s="373"/>
      <c r="R599" s="373"/>
      <c r="S599" s="373"/>
      <c r="T599" s="373"/>
      <c r="U599" s="373"/>
      <c r="V599" s="373"/>
      <c r="W599" s="373"/>
      <c r="X599" s="373"/>
      <c r="Y599" s="373"/>
      <c r="Z599" s="373"/>
      <c r="AA599" s="169"/>
      <c r="AB599" s="159" t="s">
        <v>281</v>
      </c>
      <c r="AD599" s="172" t="s">
        <v>249</v>
      </c>
      <c r="AE599" s="167"/>
      <c r="AF599" s="164">
        <f t="shared" si="137"/>
        <v>0</v>
      </c>
      <c r="AG599" s="164">
        <f>IF(AND(SUM(AF:AF)&gt;0,OR(AND(B599=1,Y549="No"),AND(B599=1,E599="",Y549="Yes"),AND(B599="",E599="",Y549="Yes"),AND(B599="",E599&lt;&gt;"",Y549="Yes"),AND(B599=0,E599&lt;&gt;"",Y549="Yes"))),1,0)</f>
        <v>0</v>
      </c>
      <c r="AI599" s="190">
        <v>1</v>
      </c>
    </row>
    <row r="600" spans="1:35" s="180" customFormat="1" ht="18" hidden="1" customHeight="1" x14ac:dyDescent="0.2">
      <c r="A600" s="163" t="str">
        <f t="shared" si="135"/>
        <v/>
      </c>
      <c r="B600" s="170"/>
      <c r="C600" s="152"/>
      <c r="D600" s="375" t="s">
        <v>320</v>
      </c>
      <c r="E600" s="375"/>
      <c r="F600" s="375"/>
      <c r="G600" s="375"/>
      <c r="H600" s="375"/>
      <c r="I600" s="375"/>
      <c r="J600" s="375"/>
      <c r="K600" s="375"/>
      <c r="L600" s="375"/>
      <c r="M600" s="375"/>
      <c r="N600" s="375"/>
      <c r="O600" s="375"/>
      <c r="P600" s="375"/>
      <c r="Q600" s="375"/>
      <c r="R600" s="187"/>
      <c r="S600" s="378" t="s">
        <v>321</v>
      </c>
      <c r="T600" s="378"/>
      <c r="U600" s="378"/>
      <c r="V600" s="378"/>
      <c r="W600" s="378"/>
      <c r="X600" s="378"/>
      <c r="Y600" s="378"/>
      <c r="Z600" s="378"/>
      <c r="AA600" s="169"/>
      <c r="AB600" s="159" t="s">
        <v>281</v>
      </c>
      <c r="AD600" s="172" t="s">
        <v>249</v>
      </c>
      <c r="AE600" s="167"/>
      <c r="AF600" s="164">
        <f t="shared" si="137"/>
        <v>0</v>
      </c>
      <c r="AG600" s="164">
        <f>IF(AND(SUM(AF:AF)&gt;0,OR(AND(B600=1,Y549="No"),AND(B600=1,R600="",Y549="Yes"),AND(B600="",R600="",Y549="Yes"),AND(B600="",R600&lt;&gt;"",Y549="Yes"),AND(B600=0,R600&lt;&gt;"",Y549="Yes"))),1,0)</f>
        <v>0</v>
      </c>
      <c r="AI600" s="190">
        <v>1</v>
      </c>
    </row>
    <row r="601" spans="1:35" ht="21" hidden="1" customHeight="1" x14ac:dyDescent="0.2">
      <c r="A601" s="163" t="str">
        <f t="shared" si="135"/>
        <v/>
      </c>
      <c r="B601" s="164">
        <v>0</v>
      </c>
      <c r="D601" s="379" t="s">
        <v>258</v>
      </c>
      <c r="E601" s="379"/>
      <c r="F601" s="379"/>
      <c r="G601" s="379"/>
      <c r="H601" s="379"/>
      <c r="I601" s="379"/>
      <c r="J601" s="379"/>
      <c r="K601" s="379"/>
      <c r="L601" s="379"/>
      <c r="M601" s="379"/>
      <c r="N601" s="379"/>
      <c r="O601" s="379"/>
      <c r="P601" s="379"/>
      <c r="Q601" s="379"/>
      <c r="R601" s="379"/>
      <c r="S601" s="379"/>
      <c r="T601" s="379"/>
      <c r="U601" s="379"/>
      <c r="V601" s="379"/>
      <c r="W601" s="379"/>
      <c r="X601" s="379"/>
      <c r="Y601" s="379"/>
      <c r="Z601" s="379"/>
      <c r="AB601" s="166" t="s">
        <v>259</v>
      </c>
      <c r="AD601" s="165" t="s">
        <v>260</v>
      </c>
      <c r="AE601" s="134"/>
      <c r="AF601" s="22"/>
      <c r="AG601" s="22"/>
      <c r="AI601" s="190">
        <v>1</v>
      </c>
    </row>
    <row r="602" spans="1:35" ht="15.75" hidden="1" customHeight="1" x14ac:dyDescent="0.2">
      <c r="A602" s="163"/>
      <c r="B602" s="164">
        <v>0</v>
      </c>
      <c r="D602" s="369" t="s">
        <v>261</v>
      </c>
      <c r="E602" s="369"/>
      <c r="F602" s="369"/>
      <c r="G602" s="369"/>
      <c r="H602" s="369"/>
      <c r="I602" s="369"/>
      <c r="J602" s="369"/>
      <c r="K602" s="369"/>
      <c r="L602" s="369"/>
      <c r="M602" s="369"/>
      <c r="N602" s="369"/>
      <c r="O602" s="369"/>
      <c r="P602" s="369"/>
      <c r="Q602" s="369"/>
      <c r="R602" s="369"/>
      <c r="S602" s="369"/>
      <c r="T602" s="369"/>
      <c r="U602" s="369"/>
      <c r="V602" s="369"/>
      <c r="W602" s="369"/>
      <c r="X602" s="369"/>
      <c r="Y602" s="369"/>
      <c r="Z602" s="369"/>
      <c r="AB602" s="166" t="s">
        <v>259</v>
      </c>
      <c r="AD602" s="165" t="s">
        <v>260</v>
      </c>
      <c r="AE602" s="134"/>
      <c r="AF602" s="22"/>
      <c r="AG602" s="22"/>
      <c r="AI602" s="190">
        <v>1</v>
      </c>
    </row>
    <row r="603" spans="1:35" ht="8.5" hidden="1" customHeight="1" x14ac:dyDescent="0.15">
      <c r="A603" s="163" t="str">
        <f>IF(AG603=1,"X","")</f>
        <v/>
      </c>
      <c r="B603" s="164">
        <f>IF(OR(D604="Show",Q604="Show"),1,0)</f>
        <v>0</v>
      </c>
      <c r="D603" s="368"/>
      <c r="E603" s="368"/>
      <c r="F603" s="368"/>
      <c r="G603" s="368"/>
      <c r="H603" s="368"/>
      <c r="I603" s="368"/>
      <c r="J603" s="368"/>
      <c r="K603" s="368"/>
      <c r="L603" s="368"/>
      <c r="M603" s="368"/>
      <c r="N603" s="368"/>
      <c r="O603" s="368"/>
      <c r="P603" s="368"/>
      <c r="Q603" s="368"/>
      <c r="R603" s="368"/>
      <c r="S603" s="368"/>
      <c r="T603" s="368"/>
      <c r="U603" s="368"/>
      <c r="V603" s="368"/>
      <c r="W603" s="368"/>
      <c r="X603" s="368"/>
      <c r="Y603" s="368"/>
      <c r="Z603" s="368"/>
      <c r="AD603" s="165" t="s">
        <v>227</v>
      </c>
      <c r="AE603" s="156"/>
      <c r="AF603" s="22"/>
      <c r="AG603" s="22"/>
      <c r="AI603" s="190">
        <v>1</v>
      </c>
    </row>
    <row r="604" spans="1:35" ht="18" hidden="1" customHeight="1" x14ac:dyDescent="0.2">
      <c r="A604" s="163" t="str">
        <f t="shared" ref="A604:A607" si="138">IF(AG604=1,"X","")</f>
        <v/>
      </c>
      <c r="B604" s="164">
        <v>0</v>
      </c>
      <c r="D604" s="370" t="s">
        <v>267</v>
      </c>
      <c r="E604" s="370"/>
      <c r="F604" s="370"/>
      <c r="G604" s="370"/>
      <c r="H604" s="370"/>
      <c r="I604" s="370"/>
      <c r="J604" s="370"/>
      <c r="K604" s="370"/>
      <c r="L604" s="370"/>
      <c r="M604" s="370"/>
      <c r="N604" s="370"/>
      <c r="O604" s="175"/>
      <c r="P604" s="175"/>
      <c r="Q604" s="370" t="s">
        <v>267</v>
      </c>
      <c r="R604" s="370"/>
      <c r="S604" s="370"/>
      <c r="T604" s="370"/>
      <c r="U604" s="370"/>
      <c r="V604" s="370"/>
      <c r="W604" s="370"/>
      <c r="X604" s="370"/>
      <c r="Y604" s="370"/>
      <c r="Z604" s="370"/>
      <c r="AA604" s="176"/>
      <c r="AB604" s="159" t="s">
        <v>262</v>
      </c>
      <c r="AD604" s="172" t="s">
        <v>249</v>
      </c>
      <c r="AE604" s="134"/>
      <c r="AF604" s="164">
        <f>IF(OR(D604="Show",D604="",Q604="Show",Q604=""),1,0)</f>
        <v>0</v>
      </c>
      <c r="AG604" s="164">
        <f>IF(AND(SUM(AF:AF)&gt;0,OR(D604="",Q604="")),1,0)</f>
        <v>0</v>
      </c>
      <c r="AI604" s="190">
        <v>1</v>
      </c>
    </row>
    <row r="605" spans="1:35" ht="197.25" hidden="1" customHeight="1" x14ac:dyDescent="0.2">
      <c r="A605" s="163" t="str">
        <f t="shared" si="138"/>
        <v/>
      </c>
      <c r="B605" s="164">
        <f>B603</f>
        <v>0</v>
      </c>
      <c r="D605" s="370"/>
      <c r="E605" s="370"/>
      <c r="F605" s="370"/>
      <c r="G605" s="370"/>
      <c r="H605" s="370"/>
      <c r="I605" s="370"/>
      <c r="J605" s="370"/>
      <c r="K605" s="370"/>
      <c r="L605" s="370"/>
      <c r="M605" s="370"/>
      <c r="N605" s="370"/>
      <c r="O605" s="175"/>
      <c r="P605" s="175"/>
      <c r="Q605" s="370"/>
      <c r="R605" s="370"/>
      <c r="S605" s="370"/>
      <c r="T605" s="370"/>
      <c r="U605" s="370"/>
      <c r="V605" s="370"/>
      <c r="W605" s="370"/>
      <c r="X605" s="370"/>
      <c r="Y605" s="370"/>
      <c r="Z605" s="370"/>
      <c r="AA605" s="176"/>
      <c r="AB605" s="159" t="s">
        <v>263</v>
      </c>
      <c r="AD605" s="172" t="s">
        <v>249</v>
      </c>
      <c r="AE605" s="167"/>
      <c r="AF605" s="22"/>
      <c r="AG605" s="22"/>
      <c r="AI605" s="190">
        <v>1</v>
      </c>
    </row>
    <row r="606" spans="1:35" ht="18" hidden="1" customHeight="1" x14ac:dyDescent="0.2">
      <c r="A606" s="163" t="str">
        <f t="shared" si="138"/>
        <v/>
      </c>
      <c r="B606" s="164">
        <f>B605</f>
        <v>0</v>
      </c>
      <c r="D606" s="371"/>
      <c r="E606" s="371"/>
      <c r="F606" s="371"/>
      <c r="G606" s="371"/>
      <c r="H606" s="371"/>
      <c r="I606" s="371"/>
      <c r="J606" s="371"/>
      <c r="K606" s="371"/>
      <c r="L606" s="371"/>
      <c r="M606" s="371"/>
      <c r="N606" s="371"/>
      <c r="O606" s="175"/>
      <c r="P606" s="175"/>
      <c r="Q606" s="371"/>
      <c r="R606" s="371"/>
      <c r="S606" s="371"/>
      <c r="T606" s="371"/>
      <c r="U606" s="371"/>
      <c r="V606" s="371"/>
      <c r="W606" s="371"/>
      <c r="X606" s="371"/>
      <c r="Y606" s="371"/>
      <c r="Z606" s="371"/>
      <c r="AA606" s="176"/>
      <c r="AB606" s="159" t="s">
        <v>264</v>
      </c>
      <c r="AD606" s="172" t="s">
        <v>249</v>
      </c>
      <c r="AE606" s="167"/>
      <c r="AF606" s="164">
        <f>IF(OR(D604="Show",D604="",Q604="Show",Q604=""),1,0)</f>
        <v>0</v>
      </c>
      <c r="AG606" s="164">
        <f>IF(AND(SUM(AF:AF)&gt;0,OR(AND(D604="Show",D606=""),AND(Q604="Show",Q606=""))),1,0)</f>
        <v>0</v>
      </c>
      <c r="AI606" s="190">
        <v>1</v>
      </c>
    </row>
    <row r="607" spans="1:35" ht="8.5" hidden="1" customHeight="1" x14ac:dyDescent="0.15">
      <c r="A607" s="163" t="str">
        <f t="shared" si="138"/>
        <v/>
      </c>
      <c r="B607" s="164">
        <f>B606</f>
        <v>0</v>
      </c>
      <c r="D607" s="368"/>
      <c r="E607" s="368"/>
      <c r="F607" s="368"/>
      <c r="G607" s="368"/>
      <c r="H607" s="368"/>
      <c r="I607" s="368"/>
      <c r="J607" s="368"/>
      <c r="K607" s="368"/>
      <c r="L607" s="368"/>
      <c r="M607" s="368"/>
      <c r="N607" s="368"/>
      <c r="O607" s="368"/>
      <c r="P607" s="368"/>
      <c r="Q607" s="368"/>
      <c r="R607" s="368"/>
      <c r="S607" s="368"/>
      <c r="T607" s="368"/>
      <c r="U607" s="368"/>
      <c r="V607" s="368"/>
      <c r="W607" s="368"/>
      <c r="X607" s="368"/>
      <c r="Y607" s="368"/>
      <c r="Z607" s="368"/>
      <c r="AA607" s="176"/>
      <c r="AD607" s="165" t="s">
        <v>227</v>
      </c>
      <c r="AE607" s="156"/>
      <c r="AF607" s="22"/>
      <c r="AG607" s="22"/>
      <c r="AI607" s="190">
        <v>1</v>
      </c>
    </row>
    <row r="608" spans="1:35" ht="15.75" hidden="1" customHeight="1" x14ac:dyDescent="0.2">
      <c r="A608" s="163"/>
      <c r="B608" s="164">
        <v>0</v>
      </c>
      <c r="D608" s="369" t="s">
        <v>265</v>
      </c>
      <c r="E608" s="369"/>
      <c r="F608" s="369"/>
      <c r="G608" s="369"/>
      <c r="H608" s="369"/>
      <c r="I608" s="369"/>
      <c r="J608" s="369"/>
      <c r="K608" s="369"/>
      <c r="L608" s="369"/>
      <c r="M608" s="369"/>
      <c r="N608" s="369"/>
      <c r="O608" s="369"/>
      <c r="P608" s="369"/>
      <c r="Q608" s="369"/>
      <c r="R608" s="369"/>
      <c r="S608" s="369"/>
      <c r="T608" s="369"/>
      <c r="U608" s="369"/>
      <c r="V608" s="369"/>
      <c r="W608" s="369"/>
      <c r="X608" s="369"/>
      <c r="Y608" s="369"/>
      <c r="Z608" s="369"/>
      <c r="AB608" s="166" t="s">
        <v>259</v>
      </c>
      <c r="AD608" s="165" t="s">
        <v>260</v>
      </c>
      <c r="AE608" s="134"/>
      <c r="AF608" s="22"/>
      <c r="AG608" s="22"/>
      <c r="AI608" s="190">
        <v>1</v>
      </c>
    </row>
    <row r="609" spans="1:35" ht="25" hidden="1" customHeight="1" x14ac:dyDescent="0.2">
      <c r="A609" s="163"/>
      <c r="B609" s="164">
        <v>0</v>
      </c>
      <c r="D609" s="374" t="str">
        <f>CONCATENATE("↑ Room Section ", N551," ↑")</f>
        <v>↑ Room Section 7 ↑</v>
      </c>
      <c r="E609" s="374"/>
      <c r="F609" s="374"/>
      <c r="G609" s="374"/>
      <c r="H609" s="374"/>
      <c r="I609" s="374"/>
      <c r="J609" s="374"/>
      <c r="K609" s="374"/>
      <c r="L609" s="374"/>
      <c r="M609" s="374"/>
      <c r="N609" s="374"/>
      <c r="O609" s="374"/>
      <c r="P609" s="374"/>
      <c r="Q609" s="374"/>
      <c r="R609" s="374"/>
      <c r="S609" s="374"/>
      <c r="T609" s="374"/>
      <c r="U609" s="374"/>
      <c r="V609" s="374"/>
      <c r="W609" s="374"/>
      <c r="X609" s="374"/>
      <c r="Y609" s="374"/>
      <c r="Z609" s="374"/>
      <c r="AB609" s="166" t="s">
        <v>259</v>
      </c>
      <c r="AD609" s="165" t="s">
        <v>260</v>
      </c>
      <c r="AE609" s="134"/>
      <c r="AF609" s="22"/>
      <c r="AG609" s="22"/>
      <c r="AI609" s="190">
        <v>1</v>
      </c>
    </row>
    <row r="610" spans="1:35" ht="21" hidden="1" customHeight="1" x14ac:dyDescent="0.2">
      <c r="A610" s="163" t="str">
        <f>IF(OR(SUM(AG611:AG670),Y610=""),"X","")</f>
        <v/>
      </c>
      <c r="B610" s="164">
        <v>0</v>
      </c>
      <c r="D610" s="381" t="str">
        <f>CONCATENATE("Show Room ",N612," Inspection Section?")</f>
        <v>Show Room 8 Inspection Section?</v>
      </c>
      <c r="E610" s="381"/>
      <c r="F610" s="381"/>
      <c r="G610" s="381"/>
      <c r="H610" s="381"/>
      <c r="I610" s="381"/>
      <c r="J610" s="381"/>
      <c r="K610" s="381"/>
      <c r="L610" s="381"/>
      <c r="M610" s="381"/>
      <c r="N610" s="381"/>
      <c r="O610" s="381"/>
      <c r="P610" s="381"/>
      <c r="Q610" s="381"/>
      <c r="R610" s="381"/>
      <c r="S610" s="381"/>
      <c r="T610" s="381"/>
      <c r="U610" s="381"/>
      <c r="V610" s="381"/>
      <c r="W610" s="381"/>
      <c r="X610" s="381"/>
      <c r="Y610" s="382" t="s">
        <v>114</v>
      </c>
      <c r="Z610" s="383"/>
      <c r="AB610" s="166" t="s">
        <v>259</v>
      </c>
      <c r="AD610" s="165" t="s">
        <v>260</v>
      </c>
      <c r="AE610" s="134"/>
      <c r="AF610" s="22"/>
      <c r="AG610" s="22"/>
      <c r="AI610" s="190">
        <v>1</v>
      </c>
    </row>
    <row r="611" spans="1:35" ht="25" hidden="1" customHeight="1" x14ac:dyDescent="0.2">
      <c r="A611" s="163"/>
      <c r="B611" s="164">
        <v>0</v>
      </c>
      <c r="D611" s="374" t="str">
        <f>CONCATENATE("↓ Room Section ", N612," ↓")</f>
        <v>↓ Room Section 8 ↓</v>
      </c>
      <c r="E611" s="374"/>
      <c r="F611" s="374"/>
      <c r="G611" s="374"/>
      <c r="H611" s="374"/>
      <c r="I611" s="374"/>
      <c r="J611" s="374"/>
      <c r="K611" s="374"/>
      <c r="L611" s="374"/>
      <c r="M611" s="374"/>
      <c r="N611" s="374"/>
      <c r="O611" s="374"/>
      <c r="P611" s="374"/>
      <c r="Q611" s="374"/>
      <c r="R611" s="374"/>
      <c r="S611" s="374"/>
      <c r="T611" s="374"/>
      <c r="U611" s="374"/>
      <c r="V611" s="374"/>
      <c r="W611" s="374"/>
      <c r="X611" s="374"/>
      <c r="Y611" s="374"/>
      <c r="Z611" s="374"/>
      <c r="AB611" s="166" t="s">
        <v>259</v>
      </c>
      <c r="AD611" s="165" t="s">
        <v>260</v>
      </c>
      <c r="AE611" s="134"/>
      <c r="AF611" s="22"/>
      <c r="AG611" s="22"/>
      <c r="AI611" s="190">
        <v>1</v>
      </c>
    </row>
    <row r="612" spans="1:35" ht="21" hidden="1" customHeight="1" x14ac:dyDescent="0.15">
      <c r="A612" s="163" t="str">
        <f t="shared" ref="A612:A624" si="139">IF(AG612=1,"X","")</f>
        <v/>
      </c>
      <c r="B612" s="164">
        <f>IF(Y$610="Yes",1,0)</f>
        <v>0</v>
      </c>
      <c r="D612" s="384" t="s">
        <v>404</v>
      </c>
      <c r="E612" s="384"/>
      <c r="F612" s="384"/>
      <c r="G612" s="384"/>
      <c r="H612" s="384"/>
      <c r="I612" s="384"/>
      <c r="J612" s="384"/>
      <c r="K612" s="384"/>
      <c r="L612" s="385" t="s">
        <v>394</v>
      </c>
      <c r="M612" s="385"/>
      <c r="N612" s="380">
        <f>N551+1</f>
        <v>8</v>
      </c>
      <c r="O612" s="380"/>
      <c r="P612" s="380"/>
      <c r="Q612" s="380"/>
      <c r="R612" s="380"/>
      <c r="S612" s="380"/>
      <c r="T612" s="380"/>
      <c r="U612" s="380"/>
      <c r="V612" s="380"/>
      <c r="W612" s="380"/>
      <c r="X612" s="380"/>
      <c r="Y612" s="380"/>
      <c r="Z612" s="380"/>
      <c r="AB612" s="166" t="s">
        <v>462</v>
      </c>
      <c r="AD612" s="165" t="s">
        <v>463</v>
      </c>
      <c r="AE612" s="134"/>
      <c r="AF612" s="22"/>
      <c r="AG612" s="22"/>
      <c r="AI612" s="190">
        <v>1</v>
      </c>
    </row>
    <row r="613" spans="1:35" s="180" customFormat="1" ht="18" hidden="1" customHeight="1" x14ac:dyDescent="0.2">
      <c r="A613" s="163" t="str">
        <f t="shared" si="139"/>
        <v/>
      </c>
      <c r="B613" s="164">
        <f>IF(Y$610="Yes",1,0)</f>
        <v>0</v>
      </c>
      <c r="C613" s="152"/>
      <c r="D613" s="378" t="s">
        <v>392</v>
      </c>
      <c r="E613" s="378"/>
      <c r="F613" s="378"/>
      <c r="G613" s="378"/>
      <c r="H613" s="378"/>
      <c r="I613" s="373"/>
      <c r="J613" s="373"/>
      <c r="K613" s="373"/>
      <c r="L613" s="373"/>
      <c r="M613" s="373"/>
      <c r="N613" s="373"/>
      <c r="O613" s="373"/>
      <c r="P613" s="373"/>
      <c r="Q613" s="373"/>
      <c r="R613" s="373"/>
      <c r="S613" s="373"/>
      <c r="T613" s="373"/>
      <c r="U613" s="373"/>
      <c r="V613" s="373"/>
      <c r="W613" s="373"/>
      <c r="X613" s="373"/>
      <c r="Y613" s="373"/>
      <c r="Z613" s="373"/>
      <c r="AA613" s="169"/>
      <c r="AB613" s="159" t="s">
        <v>464</v>
      </c>
      <c r="AD613" s="165" t="s">
        <v>463</v>
      </c>
      <c r="AE613" s="167"/>
      <c r="AF613" s="164">
        <f t="shared" ref="AF613:AF614" si="140">IF(B613&lt;&gt;"",1,0)</f>
        <v>1</v>
      </c>
      <c r="AG613" s="164">
        <f>IF(AND(SUM(AF:AF)&gt;0,OR(AND(B613=1,Y610="No"),AND(B613=1,I613="",Y610="Yes"),AND(B613="",I613="",Y610="Yes"),AND(B613="",I613&lt;&gt;"",Y610="Yes"),AND(B613=0,I613&lt;&gt;"",Y610="Yes"))),1,0)</f>
        <v>0</v>
      </c>
      <c r="AI613" s="190">
        <v>1</v>
      </c>
    </row>
    <row r="614" spans="1:35" s="180" customFormat="1" ht="18" hidden="1" customHeight="1" x14ac:dyDescent="0.2">
      <c r="A614" s="163" t="str">
        <f t="shared" si="139"/>
        <v/>
      </c>
      <c r="B614" s="164">
        <f>IF(Y$610="Yes",1,0)</f>
        <v>0</v>
      </c>
      <c r="C614" s="152"/>
      <c r="D614" s="378" t="s">
        <v>393</v>
      </c>
      <c r="E614" s="378"/>
      <c r="F614" s="378"/>
      <c r="G614" s="378"/>
      <c r="H614" s="378"/>
      <c r="I614" s="373"/>
      <c r="J614" s="373"/>
      <c r="K614" s="373"/>
      <c r="L614" s="373"/>
      <c r="M614" s="373"/>
      <c r="N614" s="373"/>
      <c r="O614" s="373"/>
      <c r="P614" s="373"/>
      <c r="Q614" s="373"/>
      <c r="R614" s="373"/>
      <c r="S614" s="373"/>
      <c r="T614" s="373"/>
      <c r="U614" s="373"/>
      <c r="V614" s="373"/>
      <c r="W614" s="373"/>
      <c r="X614" s="373"/>
      <c r="Y614" s="373"/>
      <c r="Z614" s="373"/>
      <c r="AA614" s="169"/>
      <c r="AB614" s="159" t="s">
        <v>464</v>
      </c>
      <c r="AD614" s="165" t="s">
        <v>463</v>
      </c>
      <c r="AE614" s="167"/>
      <c r="AF614" s="164">
        <f t="shared" si="140"/>
        <v>1</v>
      </c>
      <c r="AG614" s="164">
        <f>IF(AND(SUM(AF:AF)&gt;0,OR(AND(B614=1,Y610="No"),AND(B614=1,I614="",Y610="Yes"),AND(B614="",I614="",Y610="Yes"),AND(B614="",I614&lt;&gt;"",Y610="Yes"),AND(B614=0,I614&lt;&gt;"",Y610="Yes"))),1,0)</f>
        <v>0</v>
      </c>
      <c r="AI614" s="190">
        <v>1</v>
      </c>
    </row>
    <row r="615" spans="1:35" ht="21" hidden="1" customHeight="1" x14ac:dyDescent="0.15">
      <c r="A615" s="163" t="str">
        <f t="shared" si="139"/>
        <v/>
      </c>
      <c r="B615" s="164">
        <f>IF(Y$610="Yes",1,0)</f>
        <v>0</v>
      </c>
      <c r="D615" s="380" t="s">
        <v>313</v>
      </c>
      <c r="E615" s="380"/>
      <c r="F615" s="380"/>
      <c r="G615" s="380"/>
      <c r="H615" s="380"/>
      <c r="I615" s="380"/>
      <c r="J615" s="380"/>
      <c r="K615" s="380"/>
      <c r="L615" s="380"/>
      <c r="M615" s="380"/>
      <c r="N615" s="380"/>
      <c r="O615" s="380"/>
      <c r="P615" s="380"/>
      <c r="Q615" s="380"/>
      <c r="R615" s="380"/>
      <c r="S615" s="380"/>
      <c r="T615" s="380"/>
      <c r="U615" s="380"/>
      <c r="V615" s="380"/>
      <c r="W615" s="380"/>
      <c r="X615" s="380"/>
      <c r="Y615" s="380"/>
      <c r="Z615" s="380"/>
      <c r="AB615" s="166" t="s">
        <v>462</v>
      </c>
      <c r="AD615" s="165" t="s">
        <v>463</v>
      </c>
      <c r="AE615" s="134"/>
      <c r="AF615" s="22"/>
      <c r="AG615" s="22"/>
      <c r="AI615" s="190">
        <v>1</v>
      </c>
    </row>
    <row r="616" spans="1:35" s="180" customFormat="1" ht="18" hidden="1" customHeight="1" x14ac:dyDescent="0.2">
      <c r="A616" s="163" t="str">
        <f t="shared" si="139"/>
        <v/>
      </c>
      <c r="B616" s="170"/>
      <c r="C616" s="152"/>
      <c r="D616" s="378" t="s">
        <v>397</v>
      </c>
      <c r="E616" s="378"/>
      <c r="F616" s="378"/>
      <c r="G616" s="378"/>
      <c r="H616" s="378"/>
      <c r="I616" s="378"/>
      <c r="J616" s="378"/>
      <c r="K616" s="378"/>
      <c r="L616" s="378"/>
      <c r="M616" s="378"/>
      <c r="N616" s="378"/>
      <c r="O616" s="378"/>
      <c r="P616" s="378"/>
      <c r="Q616" s="378"/>
      <c r="R616" s="378"/>
      <c r="S616" s="378"/>
      <c r="T616" s="378"/>
      <c r="U616" s="378"/>
      <c r="V616" s="378"/>
      <c r="W616" s="378"/>
      <c r="X616" s="378"/>
      <c r="Y616" s="378"/>
      <c r="Z616" s="378"/>
      <c r="AA616" s="169"/>
      <c r="AB616" s="159" t="s">
        <v>281</v>
      </c>
      <c r="AD616" s="172" t="s">
        <v>249</v>
      </c>
      <c r="AE616" s="167"/>
      <c r="AF616" s="164">
        <f t="shared" ref="AF616:AF617" si="141">IF(B616&lt;&gt;"",1,0)</f>
        <v>0</v>
      </c>
      <c r="AG616" s="164">
        <f>IF(AND(SUM(AF:AF)&gt;0,OR(AND(B616="",Y610="Yes"),AND(B616=1,Y610="No"))),1,0)</f>
        <v>0</v>
      </c>
      <c r="AI616" s="190">
        <v>1</v>
      </c>
    </row>
    <row r="617" spans="1:35" s="180" customFormat="1" ht="18" hidden="1" customHeight="1" x14ac:dyDescent="0.2">
      <c r="A617" s="163" t="str">
        <f t="shared" si="139"/>
        <v/>
      </c>
      <c r="B617" s="170"/>
      <c r="C617" s="152"/>
      <c r="D617" s="378" t="s">
        <v>398</v>
      </c>
      <c r="E617" s="378"/>
      <c r="F617" s="378"/>
      <c r="G617" s="378"/>
      <c r="H617" s="378"/>
      <c r="I617" s="378"/>
      <c r="J617" s="378"/>
      <c r="K617" s="378"/>
      <c r="L617" s="378"/>
      <c r="M617" s="378"/>
      <c r="N617" s="378"/>
      <c r="O617" s="378"/>
      <c r="P617" s="378"/>
      <c r="Q617" s="378"/>
      <c r="R617" s="378"/>
      <c r="S617" s="378"/>
      <c r="T617" s="378"/>
      <c r="U617" s="378"/>
      <c r="V617" s="378"/>
      <c r="W617" s="378"/>
      <c r="X617" s="378"/>
      <c r="Y617" s="378"/>
      <c r="Z617" s="378"/>
      <c r="AA617" s="169"/>
      <c r="AB617" s="159" t="s">
        <v>281</v>
      </c>
      <c r="AD617" s="172" t="s">
        <v>249</v>
      </c>
      <c r="AE617" s="167"/>
      <c r="AF617" s="164">
        <f t="shared" si="141"/>
        <v>0</v>
      </c>
      <c r="AG617" s="164">
        <f>IF(AND(SUM(AF:AF)&gt;0,OR(AND(B617="",Y610="Yes"),AND(B617=1,Y610="No"))),1,0)</f>
        <v>0</v>
      </c>
      <c r="AI617" s="190">
        <v>1</v>
      </c>
    </row>
    <row r="618" spans="1:35" s="180" customFormat="1" ht="18" hidden="1" customHeight="1" x14ac:dyDescent="0.2">
      <c r="A618" s="163" t="str">
        <f t="shared" si="139"/>
        <v/>
      </c>
      <c r="B618" s="170"/>
      <c r="C618" s="152"/>
      <c r="D618" s="179" t="s">
        <v>252</v>
      </c>
      <c r="E618" s="378" t="s">
        <v>315</v>
      </c>
      <c r="F618" s="378"/>
      <c r="G618" s="378"/>
      <c r="H618" s="378"/>
      <c r="I618" s="378"/>
      <c r="J618" s="378"/>
      <c r="K618" s="378"/>
      <c r="L618" s="378"/>
      <c r="M618" s="378"/>
      <c r="N618" s="378"/>
      <c r="O618" s="378"/>
      <c r="P618" s="378"/>
      <c r="Q618" s="378"/>
      <c r="R618" s="378"/>
      <c r="S618" s="378"/>
      <c r="T618" s="378"/>
      <c r="U618" s="378"/>
      <c r="V618" s="378"/>
      <c r="W618" s="378"/>
      <c r="X618" s="378"/>
      <c r="Y618" s="378"/>
      <c r="Z618" s="378"/>
      <c r="AA618" s="169"/>
      <c r="AB618" s="159" t="s">
        <v>281</v>
      </c>
      <c r="AD618" s="172" t="s">
        <v>249</v>
      </c>
      <c r="AE618" s="167"/>
      <c r="AF618" s="164">
        <f t="shared" ref="AF618:AF619" si="142">IF(B618&lt;&gt;"",1,0)</f>
        <v>0</v>
      </c>
      <c r="AG618" s="164">
        <f>IF(AND(SUM(AF:AF)&gt;0,OR(AND(B618="",Y610="Yes"),AND(B618=1,Y610="No"))),1,0)</f>
        <v>0</v>
      </c>
      <c r="AI618" s="190">
        <v>1</v>
      </c>
    </row>
    <row r="619" spans="1:35" s="180" customFormat="1" ht="18" hidden="1" customHeight="1" x14ac:dyDescent="0.2">
      <c r="A619" s="163" t="str">
        <f t="shared" si="139"/>
        <v/>
      </c>
      <c r="B619" s="170"/>
      <c r="C619" s="152"/>
      <c r="D619" s="179" t="s">
        <v>252</v>
      </c>
      <c r="E619" s="378" t="s">
        <v>316</v>
      </c>
      <c r="F619" s="378"/>
      <c r="G619" s="378"/>
      <c r="H619" s="378"/>
      <c r="I619" s="378"/>
      <c r="J619" s="378"/>
      <c r="K619" s="378"/>
      <c r="L619" s="378"/>
      <c r="M619" s="378"/>
      <c r="N619" s="378"/>
      <c r="O619" s="378"/>
      <c r="P619" s="378"/>
      <c r="Q619" s="378"/>
      <c r="R619" s="378"/>
      <c r="S619" s="378"/>
      <c r="T619" s="378"/>
      <c r="U619" s="378"/>
      <c r="V619" s="378"/>
      <c r="W619" s="378"/>
      <c r="X619" s="378"/>
      <c r="Y619" s="378"/>
      <c r="Z619" s="378"/>
      <c r="AA619" s="169"/>
      <c r="AB619" s="159" t="s">
        <v>281</v>
      </c>
      <c r="AD619" s="172" t="s">
        <v>249</v>
      </c>
      <c r="AE619" s="167"/>
      <c r="AF619" s="164">
        <f t="shared" si="142"/>
        <v>0</v>
      </c>
      <c r="AG619" s="164">
        <f>IF(AND(SUM(AF:AF)&gt;0,OR(AND(B619="",Y610="Yes"),AND(B619=1,Y610="No"))),1,0)</f>
        <v>0</v>
      </c>
      <c r="AI619" s="190">
        <v>1</v>
      </c>
    </row>
    <row r="620" spans="1:35" s="180" customFormat="1" ht="18.5" hidden="1" customHeight="1" x14ac:dyDescent="0.2">
      <c r="A620" s="163" t="str">
        <f t="shared" si="139"/>
        <v/>
      </c>
      <c r="B620" s="164">
        <v>0</v>
      </c>
      <c r="C620" s="152"/>
      <c r="D620" s="179" t="s">
        <v>252</v>
      </c>
      <c r="E620" s="378" t="s">
        <v>312</v>
      </c>
      <c r="F620" s="378"/>
      <c r="G620" s="378"/>
      <c r="H620" s="378"/>
      <c r="I620" s="378"/>
      <c r="J620" s="378"/>
      <c r="K620" s="378"/>
      <c r="L620" s="378"/>
      <c r="M620" s="378"/>
      <c r="N620" s="378"/>
      <c r="O620" s="378"/>
      <c r="P620" s="378"/>
      <c r="Q620" s="378"/>
      <c r="R620" s="378"/>
      <c r="S620" s="378"/>
      <c r="T620" s="378"/>
      <c r="U620" s="378"/>
      <c r="V620" s="378"/>
      <c r="W620" s="378"/>
      <c r="X620" s="378"/>
      <c r="Y620" s="378"/>
      <c r="Z620" s="378"/>
      <c r="AA620" s="168"/>
      <c r="AB620" s="166" t="s">
        <v>259</v>
      </c>
      <c r="AD620" s="165" t="s">
        <v>260</v>
      </c>
      <c r="AE620" s="134"/>
      <c r="AF620" s="22"/>
      <c r="AG620" s="22"/>
      <c r="AI620" s="190">
        <v>1</v>
      </c>
    </row>
    <row r="621" spans="1:35" s="180" customFormat="1" ht="18" hidden="1" customHeight="1" x14ac:dyDescent="0.2">
      <c r="A621" s="163" t="str">
        <f t="shared" si="139"/>
        <v/>
      </c>
      <c r="B621" s="170"/>
      <c r="C621" s="152"/>
      <c r="D621" s="179" t="s">
        <v>252</v>
      </c>
      <c r="E621" s="373"/>
      <c r="F621" s="373"/>
      <c r="G621" s="373"/>
      <c r="H621" s="373"/>
      <c r="I621" s="373"/>
      <c r="J621" s="373"/>
      <c r="K621" s="373"/>
      <c r="L621" s="373"/>
      <c r="M621" s="373"/>
      <c r="N621" s="373"/>
      <c r="O621" s="373"/>
      <c r="P621" s="373"/>
      <c r="Q621" s="373"/>
      <c r="R621" s="373"/>
      <c r="S621" s="373"/>
      <c r="T621" s="373"/>
      <c r="U621" s="373"/>
      <c r="V621" s="373"/>
      <c r="W621" s="373"/>
      <c r="X621" s="373"/>
      <c r="Y621" s="373"/>
      <c r="Z621" s="373"/>
      <c r="AA621" s="169"/>
      <c r="AB621" s="159" t="s">
        <v>281</v>
      </c>
      <c r="AD621" s="172" t="s">
        <v>249</v>
      </c>
      <c r="AE621" s="167"/>
      <c r="AF621" s="164">
        <f t="shared" ref="AF621:AF623" si="143">IF(B621&lt;&gt;"",1,0)</f>
        <v>0</v>
      </c>
      <c r="AG621" s="164">
        <f>IF(AND(SUM(AF:AF)&gt;0,OR(AND(B621=1,Y610="No"),AND(B621=1,E621="",Y610="Yes"),AND(B621="",E621="",Y610="Yes"),AND(B621="",E621&lt;&gt;"",Y610="Yes"),AND(B621=0,E621&lt;&gt;"",Y610="Yes"))),1,0)</f>
        <v>0</v>
      </c>
      <c r="AI621" s="190">
        <v>1</v>
      </c>
    </row>
    <row r="622" spans="1:35" s="180" customFormat="1" ht="18" hidden="1" customHeight="1" x14ac:dyDescent="0.2">
      <c r="A622" s="163" t="str">
        <f t="shared" si="139"/>
        <v/>
      </c>
      <c r="B622" s="170"/>
      <c r="C622" s="152"/>
      <c r="D622" s="179" t="s">
        <v>252</v>
      </c>
      <c r="E622" s="373"/>
      <c r="F622" s="373"/>
      <c r="G622" s="373"/>
      <c r="H622" s="373"/>
      <c r="I622" s="373"/>
      <c r="J622" s="373"/>
      <c r="K622" s="373"/>
      <c r="L622" s="373"/>
      <c r="M622" s="373"/>
      <c r="N622" s="373"/>
      <c r="O622" s="373"/>
      <c r="P622" s="373"/>
      <c r="Q622" s="373"/>
      <c r="R622" s="373"/>
      <c r="S622" s="373"/>
      <c r="T622" s="373"/>
      <c r="U622" s="373"/>
      <c r="V622" s="373"/>
      <c r="W622" s="373"/>
      <c r="X622" s="373"/>
      <c r="Y622" s="373"/>
      <c r="Z622" s="373"/>
      <c r="AA622" s="169"/>
      <c r="AB622" s="159" t="s">
        <v>281</v>
      </c>
      <c r="AD622" s="172" t="s">
        <v>249</v>
      </c>
      <c r="AE622" s="167"/>
      <c r="AF622" s="164">
        <f t="shared" si="143"/>
        <v>0</v>
      </c>
      <c r="AG622" s="164">
        <f>IF(AND(SUM(AF:AF)&gt;0,OR(AND(B622=1,Y610="No"),AND(B622=1,E622="",Y610="Yes"),AND(B622="",E622="",Y610="Yes"),AND(B622="",E622&lt;&gt;"",Y610="Yes"),AND(B622=0,E622&lt;&gt;"",Y610="Yes"))),1,0)</f>
        <v>0</v>
      </c>
      <c r="AI622" s="190">
        <v>1</v>
      </c>
    </row>
    <row r="623" spans="1:35" s="180" customFormat="1" ht="18" hidden="1" customHeight="1" x14ac:dyDescent="0.2">
      <c r="A623" s="163" t="str">
        <f t="shared" si="139"/>
        <v/>
      </c>
      <c r="B623" s="170"/>
      <c r="C623" s="152"/>
      <c r="D623" s="179" t="s">
        <v>252</v>
      </c>
      <c r="E623" s="373"/>
      <c r="F623" s="373"/>
      <c r="G623" s="373"/>
      <c r="H623" s="373"/>
      <c r="I623" s="373"/>
      <c r="J623" s="373"/>
      <c r="K623" s="373"/>
      <c r="L623" s="373"/>
      <c r="M623" s="373"/>
      <c r="N623" s="373"/>
      <c r="O623" s="373"/>
      <c r="P623" s="373"/>
      <c r="Q623" s="373"/>
      <c r="R623" s="373"/>
      <c r="S623" s="373"/>
      <c r="T623" s="373"/>
      <c r="U623" s="373"/>
      <c r="V623" s="373"/>
      <c r="W623" s="373"/>
      <c r="X623" s="373"/>
      <c r="Y623" s="373"/>
      <c r="Z623" s="373"/>
      <c r="AA623" s="169"/>
      <c r="AB623" s="159" t="s">
        <v>281</v>
      </c>
      <c r="AD623" s="172" t="s">
        <v>249</v>
      </c>
      <c r="AE623" s="167"/>
      <c r="AF623" s="164">
        <f t="shared" si="143"/>
        <v>0</v>
      </c>
      <c r="AG623" s="164">
        <f>IF(AND(SUM(AF:AF)&gt;0,OR(AND(B623=1,Y610="No"),AND(B623=1,E623="",Y610="Yes"),AND(B623="",E623="",Y610="Yes"),AND(B623="",E623&lt;&gt;"",Y610="Yes"),AND(B623=0,E623&lt;&gt;"",Y610="Yes"))),1,0)</f>
        <v>0</v>
      </c>
      <c r="AI623" s="190">
        <v>1</v>
      </c>
    </row>
    <row r="624" spans="1:35" ht="21" hidden="1" customHeight="1" x14ac:dyDescent="0.2">
      <c r="A624" s="163" t="str">
        <f t="shared" si="139"/>
        <v/>
      </c>
      <c r="B624" s="164">
        <v>0</v>
      </c>
      <c r="D624" s="379" t="s">
        <v>258</v>
      </c>
      <c r="E624" s="379"/>
      <c r="F624" s="379"/>
      <c r="G624" s="379"/>
      <c r="H624" s="379"/>
      <c r="I624" s="379"/>
      <c r="J624" s="379"/>
      <c r="K624" s="379"/>
      <c r="L624" s="379"/>
      <c r="M624" s="379"/>
      <c r="N624" s="379"/>
      <c r="O624" s="379"/>
      <c r="P624" s="379"/>
      <c r="Q624" s="379"/>
      <c r="R624" s="379"/>
      <c r="S624" s="379"/>
      <c r="T624" s="379"/>
      <c r="U624" s="379"/>
      <c r="V624" s="379"/>
      <c r="W624" s="379"/>
      <c r="X624" s="379"/>
      <c r="Y624" s="379"/>
      <c r="Z624" s="379"/>
      <c r="AB624" s="166" t="s">
        <v>259</v>
      </c>
      <c r="AD624" s="165" t="s">
        <v>260</v>
      </c>
      <c r="AE624" s="134"/>
      <c r="AF624" s="22"/>
      <c r="AG624" s="22"/>
      <c r="AI624" s="190">
        <v>1</v>
      </c>
    </row>
    <row r="625" spans="1:35" ht="15.75" hidden="1" customHeight="1" x14ac:dyDescent="0.2">
      <c r="A625" s="163"/>
      <c r="B625" s="164">
        <v>0</v>
      </c>
      <c r="D625" s="369" t="s">
        <v>261</v>
      </c>
      <c r="E625" s="369"/>
      <c r="F625" s="369"/>
      <c r="G625" s="369"/>
      <c r="H625" s="369"/>
      <c r="I625" s="369"/>
      <c r="J625" s="369"/>
      <c r="K625" s="369"/>
      <c r="L625" s="369"/>
      <c r="M625" s="369"/>
      <c r="N625" s="369"/>
      <c r="O625" s="369"/>
      <c r="P625" s="369"/>
      <c r="Q625" s="369"/>
      <c r="R625" s="369"/>
      <c r="S625" s="369"/>
      <c r="T625" s="369"/>
      <c r="U625" s="369"/>
      <c r="V625" s="369"/>
      <c r="W625" s="369"/>
      <c r="X625" s="369"/>
      <c r="Y625" s="369"/>
      <c r="Z625" s="369"/>
      <c r="AB625" s="166" t="s">
        <v>259</v>
      </c>
      <c r="AD625" s="165" t="s">
        <v>260</v>
      </c>
      <c r="AE625" s="134"/>
      <c r="AF625" s="22"/>
      <c r="AG625" s="22"/>
      <c r="AI625" s="190">
        <v>1</v>
      </c>
    </row>
    <row r="626" spans="1:35" ht="8.5" hidden="1" customHeight="1" x14ac:dyDescent="0.15">
      <c r="A626" s="163" t="str">
        <f>IF(AG626=1,"X","")</f>
        <v/>
      </c>
      <c r="B626" s="164">
        <f>IF(OR(D627="Show",Q627="Show"),1,0)</f>
        <v>0</v>
      </c>
      <c r="D626" s="368"/>
      <c r="E626" s="368"/>
      <c r="F626" s="368"/>
      <c r="G626" s="368"/>
      <c r="H626" s="368"/>
      <c r="I626" s="368"/>
      <c r="J626" s="368"/>
      <c r="K626" s="368"/>
      <c r="L626" s="368"/>
      <c r="M626" s="368"/>
      <c r="N626" s="368"/>
      <c r="O626" s="368"/>
      <c r="P626" s="368"/>
      <c r="Q626" s="368"/>
      <c r="R626" s="368"/>
      <c r="S626" s="368"/>
      <c r="T626" s="368"/>
      <c r="U626" s="368"/>
      <c r="V626" s="368"/>
      <c r="W626" s="368"/>
      <c r="X626" s="368"/>
      <c r="Y626" s="368"/>
      <c r="Z626" s="368"/>
      <c r="AD626" s="165" t="s">
        <v>227</v>
      </c>
      <c r="AE626" s="156"/>
      <c r="AF626" s="22"/>
      <c r="AG626" s="22"/>
      <c r="AI626" s="190">
        <v>1</v>
      </c>
    </row>
    <row r="627" spans="1:35" ht="18" hidden="1" customHeight="1" x14ac:dyDescent="0.2">
      <c r="A627" s="163" t="str">
        <f t="shared" ref="A627:A630" si="144">IF(AG627=1,"X","")</f>
        <v/>
      </c>
      <c r="B627" s="164">
        <v>0</v>
      </c>
      <c r="D627" s="370" t="s">
        <v>267</v>
      </c>
      <c r="E627" s="370"/>
      <c r="F627" s="370"/>
      <c r="G627" s="370"/>
      <c r="H627" s="370"/>
      <c r="I627" s="370"/>
      <c r="J627" s="370"/>
      <c r="K627" s="370"/>
      <c r="L627" s="370"/>
      <c r="M627" s="370"/>
      <c r="N627" s="370"/>
      <c r="O627" s="175"/>
      <c r="P627" s="175"/>
      <c r="Q627" s="370" t="s">
        <v>267</v>
      </c>
      <c r="R627" s="370"/>
      <c r="S627" s="370"/>
      <c r="T627" s="370"/>
      <c r="U627" s="370"/>
      <c r="V627" s="370"/>
      <c r="W627" s="370"/>
      <c r="X627" s="370"/>
      <c r="Y627" s="370"/>
      <c r="Z627" s="370"/>
      <c r="AA627" s="176"/>
      <c r="AB627" s="159" t="s">
        <v>262</v>
      </c>
      <c r="AD627" s="172" t="s">
        <v>249</v>
      </c>
      <c r="AE627" s="134"/>
      <c r="AF627" s="164">
        <f>IF(OR(D627="Show",D627="",Q627="Show",Q627=""),1,0)</f>
        <v>0</v>
      </c>
      <c r="AG627" s="164">
        <f>IF(AND(SUM(AF:AF)&gt;0,OR(D627="",Q627="")),1,0)</f>
        <v>0</v>
      </c>
      <c r="AI627" s="190">
        <v>1</v>
      </c>
    </row>
    <row r="628" spans="1:35" ht="197.25" hidden="1" customHeight="1" x14ac:dyDescent="0.2">
      <c r="A628" s="163" t="str">
        <f t="shared" si="144"/>
        <v/>
      </c>
      <c r="B628" s="164">
        <f>B626</f>
        <v>0</v>
      </c>
      <c r="D628" s="370"/>
      <c r="E628" s="370"/>
      <c r="F628" s="370"/>
      <c r="G628" s="370"/>
      <c r="H628" s="370"/>
      <c r="I628" s="370"/>
      <c r="J628" s="370"/>
      <c r="K628" s="370"/>
      <c r="L628" s="370"/>
      <c r="M628" s="370"/>
      <c r="N628" s="370"/>
      <c r="O628" s="175"/>
      <c r="P628" s="175"/>
      <c r="Q628" s="370"/>
      <c r="R628" s="370"/>
      <c r="S628" s="370"/>
      <c r="T628" s="370"/>
      <c r="U628" s="370"/>
      <c r="V628" s="370"/>
      <c r="W628" s="370"/>
      <c r="X628" s="370"/>
      <c r="Y628" s="370"/>
      <c r="Z628" s="370"/>
      <c r="AA628" s="176"/>
      <c r="AB628" s="159" t="s">
        <v>263</v>
      </c>
      <c r="AD628" s="172" t="s">
        <v>249</v>
      </c>
      <c r="AE628" s="167"/>
      <c r="AF628" s="22"/>
      <c r="AG628" s="22"/>
      <c r="AI628" s="190">
        <v>1</v>
      </c>
    </row>
    <row r="629" spans="1:35" ht="18" hidden="1" customHeight="1" x14ac:dyDescent="0.2">
      <c r="A629" s="163" t="str">
        <f t="shared" si="144"/>
        <v/>
      </c>
      <c r="B629" s="164">
        <f>B628</f>
        <v>0</v>
      </c>
      <c r="D629" s="371"/>
      <c r="E629" s="371"/>
      <c r="F629" s="371"/>
      <c r="G629" s="371"/>
      <c r="H629" s="371"/>
      <c r="I629" s="371"/>
      <c r="J629" s="371"/>
      <c r="K629" s="371"/>
      <c r="L629" s="371"/>
      <c r="M629" s="371"/>
      <c r="N629" s="371"/>
      <c r="O629" s="175"/>
      <c r="P629" s="175"/>
      <c r="Q629" s="371"/>
      <c r="R629" s="371"/>
      <c r="S629" s="371"/>
      <c r="T629" s="371"/>
      <c r="U629" s="371"/>
      <c r="V629" s="371"/>
      <c r="W629" s="371"/>
      <c r="X629" s="371"/>
      <c r="Y629" s="371"/>
      <c r="Z629" s="371"/>
      <c r="AA629" s="176"/>
      <c r="AB629" s="159" t="s">
        <v>264</v>
      </c>
      <c r="AD629" s="172" t="s">
        <v>249</v>
      </c>
      <c r="AE629" s="167"/>
      <c r="AF629" s="164">
        <f>IF(OR(D627="Show",D627="",Q627="Show",Q627=""),1,0)</f>
        <v>0</v>
      </c>
      <c r="AG629" s="164">
        <f>IF(AND(SUM(AF:AF)&gt;0,OR(AND(D627="Show",D629=""),AND(Q627="Show",Q629=""))),1,0)</f>
        <v>0</v>
      </c>
      <c r="AI629" s="190">
        <v>1</v>
      </c>
    </row>
    <row r="630" spans="1:35" ht="8.5" hidden="1" customHeight="1" x14ac:dyDescent="0.15">
      <c r="A630" s="163" t="str">
        <f t="shared" si="144"/>
        <v/>
      </c>
      <c r="B630" s="164">
        <f>B629</f>
        <v>0</v>
      </c>
      <c r="D630" s="368"/>
      <c r="E630" s="368"/>
      <c r="F630" s="368"/>
      <c r="G630" s="368"/>
      <c r="H630" s="368"/>
      <c r="I630" s="368"/>
      <c r="J630" s="368"/>
      <c r="K630" s="368"/>
      <c r="L630" s="368"/>
      <c r="M630" s="368"/>
      <c r="N630" s="368"/>
      <c r="O630" s="368"/>
      <c r="P630" s="368"/>
      <c r="Q630" s="368"/>
      <c r="R630" s="368"/>
      <c r="S630" s="368"/>
      <c r="T630" s="368"/>
      <c r="U630" s="368"/>
      <c r="V630" s="368"/>
      <c r="W630" s="368"/>
      <c r="X630" s="368"/>
      <c r="Y630" s="368"/>
      <c r="Z630" s="368"/>
      <c r="AA630" s="176"/>
      <c r="AD630" s="165" t="s">
        <v>227</v>
      </c>
      <c r="AE630" s="156"/>
      <c r="AF630" s="22"/>
      <c r="AG630" s="22"/>
      <c r="AI630" s="190">
        <v>1</v>
      </c>
    </row>
    <row r="631" spans="1:35" ht="15.75" hidden="1" customHeight="1" x14ac:dyDescent="0.2">
      <c r="A631" s="163"/>
      <c r="B631" s="164">
        <v>0</v>
      </c>
      <c r="D631" s="369" t="s">
        <v>265</v>
      </c>
      <c r="E631" s="369"/>
      <c r="F631" s="369"/>
      <c r="G631" s="369"/>
      <c r="H631" s="369"/>
      <c r="I631" s="369"/>
      <c r="J631" s="369"/>
      <c r="K631" s="369"/>
      <c r="L631" s="369"/>
      <c r="M631" s="369"/>
      <c r="N631" s="369"/>
      <c r="O631" s="369"/>
      <c r="P631" s="369"/>
      <c r="Q631" s="369"/>
      <c r="R631" s="369"/>
      <c r="S631" s="369"/>
      <c r="T631" s="369"/>
      <c r="U631" s="369"/>
      <c r="V631" s="369"/>
      <c r="W631" s="369"/>
      <c r="X631" s="369"/>
      <c r="Y631" s="369"/>
      <c r="Z631" s="369"/>
      <c r="AB631" s="166" t="s">
        <v>259</v>
      </c>
      <c r="AD631" s="165" t="s">
        <v>260</v>
      </c>
      <c r="AE631" s="134"/>
      <c r="AF631" s="22"/>
      <c r="AG631" s="22"/>
      <c r="AI631" s="190">
        <v>1</v>
      </c>
    </row>
    <row r="632" spans="1:35" ht="21" hidden="1" customHeight="1" x14ac:dyDescent="0.15">
      <c r="A632" s="163" t="str">
        <f t="shared" ref="A632:A644" si="145">IF(AG632=1,"X","")</f>
        <v/>
      </c>
      <c r="B632" s="164">
        <f>IF(Y$610="Yes",1,0)</f>
        <v>0</v>
      </c>
      <c r="D632" s="380" t="s">
        <v>0</v>
      </c>
      <c r="E632" s="380"/>
      <c r="F632" s="380"/>
      <c r="G632" s="380"/>
      <c r="H632" s="380"/>
      <c r="I632" s="380"/>
      <c r="J632" s="380"/>
      <c r="K632" s="380"/>
      <c r="L632" s="380"/>
      <c r="M632" s="380"/>
      <c r="N632" s="380"/>
      <c r="O632" s="380"/>
      <c r="P632" s="380"/>
      <c r="Q632" s="380"/>
      <c r="R632" s="380"/>
      <c r="S632" s="380"/>
      <c r="T632" s="380"/>
      <c r="U632" s="380"/>
      <c r="V632" s="380"/>
      <c r="W632" s="380"/>
      <c r="X632" s="380"/>
      <c r="Y632" s="380"/>
      <c r="Z632" s="380"/>
      <c r="AB632" s="166" t="s">
        <v>462</v>
      </c>
      <c r="AD632" s="165" t="s">
        <v>463</v>
      </c>
      <c r="AE632" s="134"/>
      <c r="AF632" s="22"/>
      <c r="AG632" s="22"/>
      <c r="AI632" s="190">
        <v>1</v>
      </c>
    </row>
    <row r="633" spans="1:35" s="180" customFormat="1" ht="18" hidden="1" customHeight="1" x14ac:dyDescent="0.2">
      <c r="A633" s="163" t="str">
        <f t="shared" si="145"/>
        <v/>
      </c>
      <c r="B633" s="170"/>
      <c r="C633" s="152"/>
      <c r="D633" s="378" t="s">
        <v>399</v>
      </c>
      <c r="E633" s="378"/>
      <c r="F633" s="378"/>
      <c r="G633" s="378"/>
      <c r="H633" s="378"/>
      <c r="I633" s="378"/>
      <c r="J633" s="378"/>
      <c r="K633" s="378"/>
      <c r="L633" s="378"/>
      <c r="M633" s="378"/>
      <c r="N633" s="378"/>
      <c r="O633" s="378"/>
      <c r="P633" s="378"/>
      <c r="Q633" s="378"/>
      <c r="R633" s="378"/>
      <c r="S633" s="378"/>
      <c r="T633" s="378"/>
      <c r="U633" s="378"/>
      <c r="V633" s="378"/>
      <c r="W633" s="378"/>
      <c r="X633" s="378"/>
      <c r="Y633" s="378"/>
      <c r="Z633" s="378"/>
      <c r="AA633" s="169"/>
      <c r="AB633" s="159" t="s">
        <v>281</v>
      </c>
      <c r="AD633" s="172" t="s">
        <v>249</v>
      </c>
      <c r="AE633" s="167"/>
      <c r="AF633" s="164">
        <f t="shared" ref="AF633:AF639" si="146">IF(B633&lt;&gt;"",1,0)</f>
        <v>0</v>
      </c>
      <c r="AG633" s="164">
        <f>IF(AND(SUM(AF:AF)&gt;0,OR(AND(B633="",Y610="Yes"),AND(B633=1,Y610="No"))),1,0)</f>
        <v>0</v>
      </c>
      <c r="AI633" s="190">
        <v>1</v>
      </c>
    </row>
    <row r="634" spans="1:35" s="180" customFormat="1" ht="18" hidden="1" customHeight="1" x14ac:dyDescent="0.2">
      <c r="A634" s="163" t="str">
        <f t="shared" si="145"/>
        <v/>
      </c>
      <c r="B634" s="170"/>
      <c r="C634" s="152"/>
      <c r="D634" s="378" t="s">
        <v>400</v>
      </c>
      <c r="E634" s="378"/>
      <c r="F634" s="378"/>
      <c r="G634" s="378"/>
      <c r="H634" s="378"/>
      <c r="I634" s="378"/>
      <c r="J634" s="378"/>
      <c r="K634" s="378"/>
      <c r="L634" s="378"/>
      <c r="M634" s="378"/>
      <c r="N634" s="378"/>
      <c r="O634" s="378"/>
      <c r="P634" s="378"/>
      <c r="Q634" s="378"/>
      <c r="R634" s="378"/>
      <c r="S634" s="378"/>
      <c r="T634" s="378"/>
      <c r="U634" s="378"/>
      <c r="V634" s="378"/>
      <c r="W634" s="378"/>
      <c r="X634" s="378"/>
      <c r="Y634" s="378"/>
      <c r="Z634" s="378"/>
      <c r="AA634" s="169"/>
      <c r="AB634" s="159" t="s">
        <v>281</v>
      </c>
      <c r="AD634" s="172" t="s">
        <v>249</v>
      </c>
      <c r="AE634" s="167"/>
      <c r="AF634" s="164">
        <f t="shared" si="146"/>
        <v>0</v>
      </c>
      <c r="AG634" s="164">
        <f>IF(AND(SUM(AF:AF)&gt;0,OR(AND(B634="",Y610="Yes"),AND(B634=1,Y610="No"))),1,0)</f>
        <v>0</v>
      </c>
      <c r="AI634" s="190">
        <v>1</v>
      </c>
    </row>
    <row r="635" spans="1:35" s="180" customFormat="1" ht="18" hidden="1" customHeight="1" x14ac:dyDescent="0.2">
      <c r="A635" s="163" t="str">
        <f t="shared" si="145"/>
        <v/>
      </c>
      <c r="B635" s="170"/>
      <c r="C635" s="152"/>
      <c r="D635" s="179" t="s">
        <v>252</v>
      </c>
      <c r="E635" s="378" t="s">
        <v>317</v>
      </c>
      <c r="F635" s="378"/>
      <c r="G635" s="378"/>
      <c r="H635" s="378"/>
      <c r="I635" s="378"/>
      <c r="J635" s="378"/>
      <c r="K635" s="378"/>
      <c r="L635" s="378"/>
      <c r="M635" s="378"/>
      <c r="N635" s="378"/>
      <c r="O635" s="378"/>
      <c r="P635" s="378"/>
      <c r="Q635" s="378"/>
      <c r="R635" s="378"/>
      <c r="S635" s="378"/>
      <c r="T635" s="378"/>
      <c r="U635" s="378"/>
      <c r="V635" s="378"/>
      <c r="W635" s="378"/>
      <c r="X635" s="378"/>
      <c r="Y635" s="378"/>
      <c r="Z635" s="378"/>
      <c r="AA635" s="169"/>
      <c r="AB635" s="159" t="s">
        <v>281</v>
      </c>
      <c r="AD635" s="172" t="s">
        <v>249</v>
      </c>
      <c r="AE635" s="167"/>
      <c r="AF635" s="164">
        <f t="shared" si="146"/>
        <v>0</v>
      </c>
      <c r="AG635" s="164">
        <f>IF(AND(SUM(AF:AF)&gt;0,OR(AND(B635="",Y610="Yes"),AND(B635=1,Y610="No"))),1,0)</f>
        <v>0</v>
      </c>
      <c r="AI635" s="190">
        <v>1</v>
      </c>
    </row>
    <row r="636" spans="1:35" s="180" customFormat="1" ht="18" hidden="1" customHeight="1" x14ac:dyDescent="0.2">
      <c r="A636" s="163" t="str">
        <f t="shared" si="145"/>
        <v/>
      </c>
      <c r="B636" s="170"/>
      <c r="C636" s="152"/>
      <c r="D636" s="179" t="s">
        <v>252</v>
      </c>
      <c r="E636" s="378" t="s">
        <v>318</v>
      </c>
      <c r="F636" s="378"/>
      <c r="G636" s="378"/>
      <c r="H636" s="378"/>
      <c r="I636" s="378"/>
      <c r="J636" s="378"/>
      <c r="K636" s="378"/>
      <c r="L636" s="378"/>
      <c r="M636" s="378"/>
      <c r="N636" s="378"/>
      <c r="O636" s="378"/>
      <c r="P636" s="378"/>
      <c r="Q636" s="378"/>
      <c r="R636" s="378"/>
      <c r="S636" s="378"/>
      <c r="T636" s="378"/>
      <c r="U636" s="378"/>
      <c r="V636" s="378"/>
      <c r="W636" s="378"/>
      <c r="X636" s="378"/>
      <c r="Y636" s="378"/>
      <c r="Z636" s="378"/>
      <c r="AA636" s="169"/>
      <c r="AB636" s="159" t="s">
        <v>281</v>
      </c>
      <c r="AD636" s="172" t="s">
        <v>249</v>
      </c>
      <c r="AE636" s="167"/>
      <c r="AF636" s="164">
        <f t="shared" si="146"/>
        <v>0</v>
      </c>
      <c r="AG636" s="164">
        <f>IF(AND(SUM(AF:AF)&gt;0,OR(AND(B636="",Y610="Yes"),AND(B636=1,Y610="No"))),1,0)</f>
        <v>0</v>
      </c>
      <c r="AI636" s="190">
        <v>1</v>
      </c>
    </row>
    <row r="637" spans="1:35" s="180" customFormat="1" ht="18" hidden="1" customHeight="1" x14ac:dyDescent="0.2">
      <c r="A637" s="163" t="str">
        <f t="shared" si="145"/>
        <v/>
      </c>
      <c r="B637" s="170"/>
      <c r="C637" s="152"/>
      <c r="D637" s="179" t="s">
        <v>252</v>
      </c>
      <c r="E637" s="378" t="s">
        <v>405</v>
      </c>
      <c r="F637" s="378"/>
      <c r="G637" s="378"/>
      <c r="H637" s="378"/>
      <c r="I637" s="378"/>
      <c r="J637" s="378"/>
      <c r="K637" s="378"/>
      <c r="L637" s="378"/>
      <c r="M637" s="378"/>
      <c r="N637" s="378"/>
      <c r="O637" s="378"/>
      <c r="P637" s="378"/>
      <c r="Q637" s="378"/>
      <c r="R637" s="378"/>
      <c r="S637" s="378"/>
      <c r="T637" s="378"/>
      <c r="U637" s="378"/>
      <c r="V637" s="378"/>
      <c r="W637" s="378"/>
      <c r="X637" s="378"/>
      <c r="Y637" s="378"/>
      <c r="Z637" s="378"/>
      <c r="AA637" s="169"/>
      <c r="AB637" s="159" t="s">
        <v>281</v>
      </c>
      <c r="AD637" s="172" t="s">
        <v>249</v>
      </c>
      <c r="AE637" s="167"/>
      <c r="AF637" s="164">
        <f t="shared" si="146"/>
        <v>0</v>
      </c>
      <c r="AG637" s="164">
        <f>IF(AND(SUM(AF:AF)&gt;0,OR(AND(B637="",Y610="Yes"),AND(B637=1,Y610="No"))),1,0)</f>
        <v>0</v>
      </c>
      <c r="AI637" s="190">
        <v>1</v>
      </c>
    </row>
    <row r="638" spans="1:35" s="180" customFormat="1" ht="18" hidden="1" customHeight="1" x14ac:dyDescent="0.2">
      <c r="A638" s="163" t="str">
        <f t="shared" si="145"/>
        <v/>
      </c>
      <c r="B638" s="170"/>
      <c r="C638" s="152"/>
      <c r="D638" s="179" t="s">
        <v>252</v>
      </c>
      <c r="E638" s="378" t="s">
        <v>396</v>
      </c>
      <c r="F638" s="378"/>
      <c r="G638" s="378"/>
      <c r="H638" s="378"/>
      <c r="I638" s="378"/>
      <c r="J638" s="378"/>
      <c r="K638" s="378"/>
      <c r="L638" s="378"/>
      <c r="M638" s="378"/>
      <c r="N638" s="378"/>
      <c r="O638" s="378"/>
      <c r="P638" s="378"/>
      <c r="Q638" s="378"/>
      <c r="R638" s="378"/>
      <c r="S638" s="378"/>
      <c r="T638" s="378"/>
      <c r="U638" s="378"/>
      <c r="V638" s="378"/>
      <c r="W638" s="378"/>
      <c r="X638" s="378"/>
      <c r="Y638" s="378"/>
      <c r="Z638" s="378"/>
      <c r="AA638" s="169"/>
      <c r="AB638" s="159" t="s">
        <v>281</v>
      </c>
      <c r="AD638" s="172" t="s">
        <v>249</v>
      </c>
      <c r="AE638" s="167"/>
      <c r="AF638" s="164">
        <f t="shared" si="146"/>
        <v>0</v>
      </c>
      <c r="AG638" s="164">
        <f>IF(AND(SUM(AF:AF)&gt;0,OR(AND(B638="",Y610="Yes"),AND(B638=1,Y610="No"))),1,0)</f>
        <v>0</v>
      </c>
      <c r="AI638" s="190">
        <v>1</v>
      </c>
    </row>
    <row r="639" spans="1:35" s="180" customFormat="1" ht="18" hidden="1" customHeight="1" x14ac:dyDescent="0.2">
      <c r="A639" s="163" t="str">
        <f t="shared" si="145"/>
        <v/>
      </c>
      <c r="B639" s="170"/>
      <c r="C639" s="152"/>
      <c r="D639" s="179" t="s">
        <v>252</v>
      </c>
      <c r="E639" s="378" t="s">
        <v>319</v>
      </c>
      <c r="F639" s="378"/>
      <c r="G639" s="378"/>
      <c r="H639" s="378"/>
      <c r="I639" s="378"/>
      <c r="J639" s="378"/>
      <c r="K639" s="378"/>
      <c r="L639" s="378"/>
      <c r="M639" s="378"/>
      <c r="N639" s="378"/>
      <c r="O639" s="378"/>
      <c r="P639" s="378"/>
      <c r="Q639" s="378"/>
      <c r="R639" s="378"/>
      <c r="S639" s="378"/>
      <c r="T639" s="378"/>
      <c r="U639" s="378"/>
      <c r="V639" s="378"/>
      <c r="W639" s="378"/>
      <c r="X639" s="378"/>
      <c r="Y639" s="378"/>
      <c r="Z639" s="378"/>
      <c r="AA639" s="169"/>
      <c r="AB639" s="159" t="s">
        <v>281</v>
      </c>
      <c r="AD639" s="172" t="s">
        <v>249</v>
      </c>
      <c r="AE639" s="167"/>
      <c r="AF639" s="164">
        <f t="shared" si="146"/>
        <v>0</v>
      </c>
      <c r="AG639" s="164">
        <f>IF(AND(SUM(AF:AF)&gt;0,OR(AND(B639="",Y610="Yes"),AND(B639=1,Y610="No"))),1,0)</f>
        <v>0</v>
      </c>
      <c r="AI639" s="190">
        <v>1</v>
      </c>
    </row>
    <row r="640" spans="1:35" s="180" customFormat="1" ht="18.5" hidden="1" customHeight="1" x14ac:dyDescent="0.2">
      <c r="A640" s="163" t="str">
        <f t="shared" si="145"/>
        <v/>
      </c>
      <c r="B640" s="164">
        <v>0</v>
      </c>
      <c r="C640" s="152"/>
      <c r="D640" s="179" t="s">
        <v>252</v>
      </c>
      <c r="E640" s="378" t="s">
        <v>312</v>
      </c>
      <c r="F640" s="378"/>
      <c r="G640" s="378"/>
      <c r="H640" s="378"/>
      <c r="I640" s="378"/>
      <c r="J640" s="378"/>
      <c r="K640" s="378"/>
      <c r="L640" s="378"/>
      <c r="M640" s="378"/>
      <c r="N640" s="378"/>
      <c r="O640" s="378"/>
      <c r="P640" s="378"/>
      <c r="Q640" s="378"/>
      <c r="R640" s="378"/>
      <c r="S640" s="378"/>
      <c r="T640" s="378"/>
      <c r="U640" s="378"/>
      <c r="V640" s="378"/>
      <c r="W640" s="378"/>
      <c r="X640" s="378"/>
      <c r="Y640" s="378"/>
      <c r="Z640" s="378"/>
      <c r="AA640" s="168"/>
      <c r="AB640" s="166" t="s">
        <v>259</v>
      </c>
      <c r="AD640" s="165" t="s">
        <v>260</v>
      </c>
      <c r="AE640" s="134"/>
      <c r="AF640" s="22"/>
      <c r="AG640" s="22"/>
      <c r="AI640" s="190">
        <v>1</v>
      </c>
    </row>
    <row r="641" spans="1:35" s="180" customFormat="1" ht="18" hidden="1" customHeight="1" x14ac:dyDescent="0.2">
      <c r="A641" s="163" t="str">
        <f t="shared" si="145"/>
        <v/>
      </c>
      <c r="B641" s="170"/>
      <c r="C641" s="152"/>
      <c r="D641" s="179" t="s">
        <v>252</v>
      </c>
      <c r="E641" s="373"/>
      <c r="F641" s="373"/>
      <c r="G641" s="373"/>
      <c r="H641" s="373"/>
      <c r="I641" s="373"/>
      <c r="J641" s="373"/>
      <c r="K641" s="373"/>
      <c r="L641" s="373"/>
      <c r="M641" s="373"/>
      <c r="N641" s="373"/>
      <c r="O641" s="373"/>
      <c r="P641" s="373"/>
      <c r="Q641" s="373"/>
      <c r="R641" s="373"/>
      <c r="S641" s="373"/>
      <c r="T641" s="373"/>
      <c r="U641" s="373"/>
      <c r="V641" s="373"/>
      <c r="W641" s="373"/>
      <c r="X641" s="373"/>
      <c r="Y641" s="373"/>
      <c r="Z641" s="373"/>
      <c r="AA641" s="169"/>
      <c r="AB641" s="159" t="s">
        <v>281</v>
      </c>
      <c r="AD641" s="172" t="s">
        <v>249</v>
      </c>
      <c r="AE641" s="167"/>
      <c r="AF641" s="164">
        <f t="shared" ref="AF641:AF643" si="147">IF(B641&lt;&gt;"",1,0)</f>
        <v>0</v>
      </c>
      <c r="AG641" s="164">
        <f>IF(AND(SUM(AF:AF)&gt;0,OR(AND(B641=1,Y610="No"),AND(B641=1,E641="",Y610="Yes"),AND(B641="",E641="",Y610="Yes"),AND(B641="",E641&lt;&gt;"",Y610="Yes"),AND(B641=0,E641&lt;&gt;"",Y610="Yes"))),1,0)</f>
        <v>0</v>
      </c>
      <c r="AI641" s="190">
        <v>1</v>
      </c>
    </row>
    <row r="642" spans="1:35" s="180" customFormat="1" ht="18" hidden="1" customHeight="1" x14ac:dyDescent="0.2">
      <c r="A642" s="163" t="str">
        <f t="shared" si="145"/>
        <v/>
      </c>
      <c r="B642" s="170"/>
      <c r="C642" s="152"/>
      <c r="D642" s="179" t="s">
        <v>252</v>
      </c>
      <c r="E642" s="373"/>
      <c r="F642" s="373"/>
      <c r="G642" s="373"/>
      <c r="H642" s="373"/>
      <c r="I642" s="373"/>
      <c r="J642" s="373"/>
      <c r="K642" s="373"/>
      <c r="L642" s="373"/>
      <c r="M642" s="373"/>
      <c r="N642" s="373"/>
      <c r="O642" s="373"/>
      <c r="P642" s="373"/>
      <c r="Q642" s="373"/>
      <c r="R642" s="373"/>
      <c r="S642" s="373"/>
      <c r="T642" s="373"/>
      <c r="U642" s="373"/>
      <c r="V642" s="373"/>
      <c r="W642" s="373"/>
      <c r="X642" s="373"/>
      <c r="Y642" s="373"/>
      <c r="Z642" s="373"/>
      <c r="AA642" s="169"/>
      <c r="AB642" s="159" t="s">
        <v>281</v>
      </c>
      <c r="AD642" s="172" t="s">
        <v>249</v>
      </c>
      <c r="AE642" s="167"/>
      <c r="AF642" s="164">
        <f t="shared" si="147"/>
        <v>0</v>
      </c>
      <c r="AG642" s="164">
        <f>IF(AND(SUM(AF:AF)&gt;0,OR(AND(B642=1,Y610="No"),AND(B642=1,E642="",Y610="Yes"),AND(B642="",E642="",Y610="Yes"),AND(B642="",E642&lt;&gt;"",Y610="Yes"),AND(B642=0,E642&lt;&gt;"",Y610="Yes"))),1,0)</f>
        <v>0</v>
      </c>
      <c r="AI642" s="190">
        <v>1</v>
      </c>
    </row>
    <row r="643" spans="1:35" s="180" customFormat="1" ht="18" hidden="1" customHeight="1" x14ac:dyDescent="0.2">
      <c r="A643" s="163" t="str">
        <f t="shared" si="145"/>
        <v/>
      </c>
      <c r="B643" s="170"/>
      <c r="C643" s="152"/>
      <c r="D643" s="179" t="s">
        <v>252</v>
      </c>
      <c r="E643" s="373"/>
      <c r="F643" s="373"/>
      <c r="G643" s="373"/>
      <c r="H643" s="373"/>
      <c r="I643" s="373"/>
      <c r="J643" s="373"/>
      <c r="K643" s="373"/>
      <c r="L643" s="373"/>
      <c r="M643" s="373"/>
      <c r="N643" s="373"/>
      <c r="O643" s="373"/>
      <c r="P643" s="373"/>
      <c r="Q643" s="373"/>
      <c r="R643" s="373"/>
      <c r="S643" s="373"/>
      <c r="T643" s="373"/>
      <c r="U643" s="373"/>
      <c r="V643" s="373"/>
      <c r="W643" s="373"/>
      <c r="X643" s="373"/>
      <c r="Y643" s="373"/>
      <c r="Z643" s="373"/>
      <c r="AA643" s="169"/>
      <c r="AB643" s="159" t="s">
        <v>281</v>
      </c>
      <c r="AD643" s="172" t="s">
        <v>249</v>
      </c>
      <c r="AE643" s="167"/>
      <c r="AF643" s="164">
        <f t="shared" si="147"/>
        <v>0</v>
      </c>
      <c r="AG643" s="164">
        <f>IF(AND(SUM(AF:AF)&gt;0,OR(AND(B643=1,Y610="No"),AND(B643=1,E643="",Y610="Yes"),AND(B643="",E643="",Y610="Yes"),AND(B643="",E643&lt;&gt;"",Y610="Yes"),AND(B643=0,E643&lt;&gt;"",Y610="Yes"))),1,0)</f>
        <v>0</v>
      </c>
      <c r="AI643" s="190">
        <v>1</v>
      </c>
    </row>
    <row r="644" spans="1:35" ht="21" hidden="1" customHeight="1" x14ac:dyDescent="0.2">
      <c r="A644" s="163" t="str">
        <f t="shared" si="145"/>
        <v/>
      </c>
      <c r="B644" s="164">
        <v>0</v>
      </c>
      <c r="D644" s="379" t="s">
        <v>258</v>
      </c>
      <c r="E644" s="379"/>
      <c r="F644" s="379"/>
      <c r="G644" s="379"/>
      <c r="H644" s="379"/>
      <c r="I644" s="379"/>
      <c r="J644" s="379"/>
      <c r="K644" s="379"/>
      <c r="L644" s="379"/>
      <c r="M644" s="379"/>
      <c r="N644" s="379"/>
      <c r="O644" s="379"/>
      <c r="P644" s="379"/>
      <c r="Q644" s="379"/>
      <c r="R644" s="379"/>
      <c r="S644" s="379"/>
      <c r="T644" s="379"/>
      <c r="U644" s="379"/>
      <c r="V644" s="379"/>
      <c r="W644" s="379"/>
      <c r="X644" s="379"/>
      <c r="Y644" s="379"/>
      <c r="Z644" s="379"/>
      <c r="AB644" s="166" t="s">
        <v>259</v>
      </c>
      <c r="AD644" s="165" t="s">
        <v>260</v>
      </c>
      <c r="AE644" s="134"/>
      <c r="AF644" s="22"/>
      <c r="AG644" s="22"/>
      <c r="AI644" s="190">
        <v>1</v>
      </c>
    </row>
    <row r="645" spans="1:35" ht="15.75" hidden="1" customHeight="1" x14ac:dyDescent="0.2">
      <c r="A645" s="163"/>
      <c r="B645" s="164">
        <v>0</v>
      </c>
      <c r="D645" s="369" t="s">
        <v>261</v>
      </c>
      <c r="E645" s="369"/>
      <c r="F645" s="369"/>
      <c r="G645" s="369"/>
      <c r="H645" s="369"/>
      <c r="I645" s="369"/>
      <c r="J645" s="369"/>
      <c r="K645" s="369"/>
      <c r="L645" s="369"/>
      <c r="M645" s="369"/>
      <c r="N645" s="369"/>
      <c r="O645" s="369"/>
      <c r="P645" s="369"/>
      <c r="Q645" s="369"/>
      <c r="R645" s="369"/>
      <c r="S645" s="369"/>
      <c r="T645" s="369"/>
      <c r="U645" s="369"/>
      <c r="V645" s="369"/>
      <c r="W645" s="369"/>
      <c r="X645" s="369"/>
      <c r="Y645" s="369"/>
      <c r="Z645" s="369"/>
      <c r="AB645" s="166" t="s">
        <v>259</v>
      </c>
      <c r="AD645" s="165" t="s">
        <v>260</v>
      </c>
      <c r="AE645" s="134"/>
      <c r="AF645" s="22"/>
      <c r="AG645" s="22"/>
      <c r="AI645" s="190">
        <v>1</v>
      </c>
    </row>
    <row r="646" spans="1:35" ht="8.5" hidden="1" customHeight="1" x14ac:dyDescent="0.15">
      <c r="A646" s="163" t="str">
        <f>IF(AG646=1,"X","")</f>
        <v/>
      </c>
      <c r="B646" s="164">
        <f>IF(OR(D647="Show",Q647="Show"),1,0)</f>
        <v>0</v>
      </c>
      <c r="D646" s="368"/>
      <c r="E646" s="368"/>
      <c r="F646" s="368"/>
      <c r="G646" s="368"/>
      <c r="H646" s="368"/>
      <c r="I646" s="368"/>
      <c r="J646" s="368"/>
      <c r="K646" s="368"/>
      <c r="L646" s="368"/>
      <c r="M646" s="368"/>
      <c r="N646" s="368"/>
      <c r="O646" s="368"/>
      <c r="P646" s="368"/>
      <c r="Q646" s="368"/>
      <c r="R646" s="368"/>
      <c r="S646" s="368"/>
      <c r="T646" s="368"/>
      <c r="U646" s="368"/>
      <c r="V646" s="368"/>
      <c r="W646" s="368"/>
      <c r="X646" s="368"/>
      <c r="Y646" s="368"/>
      <c r="Z646" s="368"/>
      <c r="AD646" s="165" t="s">
        <v>227</v>
      </c>
      <c r="AE646" s="156"/>
      <c r="AF646" s="22"/>
      <c r="AG646" s="22"/>
      <c r="AI646" s="190">
        <v>1</v>
      </c>
    </row>
    <row r="647" spans="1:35" ht="18" hidden="1" customHeight="1" x14ac:dyDescent="0.2">
      <c r="A647" s="163" t="str">
        <f t="shared" ref="A647:A650" si="148">IF(AG647=1,"X","")</f>
        <v/>
      </c>
      <c r="B647" s="164">
        <v>0</v>
      </c>
      <c r="D647" s="370" t="s">
        <v>267</v>
      </c>
      <c r="E647" s="370"/>
      <c r="F647" s="370"/>
      <c r="G647" s="370"/>
      <c r="H647" s="370"/>
      <c r="I647" s="370"/>
      <c r="J647" s="370"/>
      <c r="K647" s="370"/>
      <c r="L647" s="370"/>
      <c r="M647" s="370"/>
      <c r="N647" s="370"/>
      <c r="O647" s="175"/>
      <c r="P647" s="175"/>
      <c r="Q647" s="370" t="s">
        <v>267</v>
      </c>
      <c r="R647" s="370"/>
      <c r="S647" s="370"/>
      <c r="T647" s="370"/>
      <c r="U647" s="370"/>
      <c r="V647" s="370"/>
      <c r="W647" s="370"/>
      <c r="X647" s="370"/>
      <c r="Y647" s="370"/>
      <c r="Z647" s="370"/>
      <c r="AA647" s="176"/>
      <c r="AB647" s="159" t="s">
        <v>262</v>
      </c>
      <c r="AD647" s="172" t="s">
        <v>249</v>
      </c>
      <c r="AE647" s="134"/>
      <c r="AF647" s="164">
        <f>IF(OR(D647="Show",D647="",Q647="Show",Q647=""),1,0)</f>
        <v>0</v>
      </c>
      <c r="AG647" s="164">
        <f>IF(AND(SUM(AF:AF)&gt;0,OR(D647="",Q647="")),1,0)</f>
        <v>0</v>
      </c>
      <c r="AI647" s="190">
        <v>1</v>
      </c>
    </row>
    <row r="648" spans="1:35" ht="197.25" hidden="1" customHeight="1" x14ac:dyDescent="0.2">
      <c r="A648" s="163" t="str">
        <f t="shared" si="148"/>
        <v/>
      </c>
      <c r="B648" s="164">
        <f>B646</f>
        <v>0</v>
      </c>
      <c r="D648" s="370"/>
      <c r="E648" s="370"/>
      <c r="F648" s="370"/>
      <c r="G648" s="370"/>
      <c r="H648" s="370"/>
      <c r="I648" s="370"/>
      <c r="J648" s="370"/>
      <c r="K648" s="370"/>
      <c r="L648" s="370"/>
      <c r="M648" s="370"/>
      <c r="N648" s="370"/>
      <c r="O648" s="175"/>
      <c r="P648" s="175"/>
      <c r="Q648" s="370"/>
      <c r="R648" s="370"/>
      <c r="S648" s="370"/>
      <c r="T648" s="370"/>
      <c r="U648" s="370"/>
      <c r="V648" s="370"/>
      <c r="W648" s="370"/>
      <c r="X648" s="370"/>
      <c r="Y648" s="370"/>
      <c r="Z648" s="370"/>
      <c r="AA648" s="176"/>
      <c r="AB648" s="159" t="s">
        <v>263</v>
      </c>
      <c r="AD648" s="172" t="s">
        <v>249</v>
      </c>
      <c r="AE648" s="167"/>
      <c r="AF648" s="22"/>
      <c r="AG648" s="22"/>
      <c r="AI648" s="190">
        <v>1</v>
      </c>
    </row>
    <row r="649" spans="1:35" ht="18" hidden="1" customHeight="1" x14ac:dyDescent="0.2">
      <c r="A649" s="163" t="str">
        <f t="shared" si="148"/>
        <v/>
      </c>
      <c r="B649" s="164">
        <f>B648</f>
        <v>0</v>
      </c>
      <c r="D649" s="371"/>
      <c r="E649" s="371"/>
      <c r="F649" s="371"/>
      <c r="G649" s="371"/>
      <c r="H649" s="371"/>
      <c r="I649" s="371"/>
      <c r="J649" s="371"/>
      <c r="K649" s="371"/>
      <c r="L649" s="371"/>
      <c r="M649" s="371"/>
      <c r="N649" s="371"/>
      <c r="O649" s="175"/>
      <c r="P649" s="175"/>
      <c r="Q649" s="371"/>
      <c r="R649" s="371"/>
      <c r="S649" s="371"/>
      <c r="T649" s="371"/>
      <c r="U649" s="371"/>
      <c r="V649" s="371"/>
      <c r="W649" s="371"/>
      <c r="X649" s="371"/>
      <c r="Y649" s="371"/>
      <c r="Z649" s="371"/>
      <c r="AA649" s="176"/>
      <c r="AB649" s="159" t="s">
        <v>264</v>
      </c>
      <c r="AD649" s="172" t="s">
        <v>249</v>
      </c>
      <c r="AE649" s="167"/>
      <c r="AF649" s="164">
        <f>IF(OR(D647="Show",D647="",Q647="Show",Q647=""),1,0)</f>
        <v>0</v>
      </c>
      <c r="AG649" s="164">
        <f>IF(AND(SUM(AF:AF)&gt;0,OR(AND(D647="Show",D649=""),AND(Q647="Show",Q649=""))),1,0)</f>
        <v>0</v>
      </c>
      <c r="AI649" s="190">
        <v>1</v>
      </c>
    </row>
    <row r="650" spans="1:35" ht="8.5" hidden="1" customHeight="1" x14ac:dyDescent="0.15">
      <c r="A650" s="163" t="str">
        <f t="shared" si="148"/>
        <v/>
      </c>
      <c r="B650" s="164">
        <f>B649</f>
        <v>0</v>
      </c>
      <c r="D650" s="368"/>
      <c r="E650" s="368"/>
      <c r="F650" s="368"/>
      <c r="G650" s="368"/>
      <c r="H650" s="368"/>
      <c r="I650" s="368"/>
      <c r="J650" s="368"/>
      <c r="K650" s="368"/>
      <c r="L650" s="368"/>
      <c r="M650" s="368"/>
      <c r="N650" s="368"/>
      <c r="O650" s="368"/>
      <c r="P650" s="368"/>
      <c r="Q650" s="368"/>
      <c r="R650" s="368"/>
      <c r="S650" s="368"/>
      <c r="T650" s="368"/>
      <c r="U650" s="368"/>
      <c r="V650" s="368"/>
      <c r="W650" s="368"/>
      <c r="X650" s="368"/>
      <c r="Y650" s="368"/>
      <c r="Z650" s="368"/>
      <c r="AA650" s="176"/>
      <c r="AD650" s="165" t="s">
        <v>227</v>
      </c>
      <c r="AE650" s="156"/>
      <c r="AF650" s="22"/>
      <c r="AG650" s="22"/>
      <c r="AI650" s="190">
        <v>1</v>
      </c>
    </row>
    <row r="651" spans="1:35" ht="15.75" hidden="1" customHeight="1" x14ac:dyDescent="0.2">
      <c r="A651" s="163"/>
      <c r="B651" s="164">
        <v>0</v>
      </c>
      <c r="D651" s="369" t="s">
        <v>265</v>
      </c>
      <c r="E651" s="369"/>
      <c r="F651" s="369"/>
      <c r="G651" s="369"/>
      <c r="H651" s="369"/>
      <c r="I651" s="369"/>
      <c r="J651" s="369"/>
      <c r="K651" s="369"/>
      <c r="L651" s="369"/>
      <c r="M651" s="369"/>
      <c r="N651" s="369"/>
      <c r="O651" s="369"/>
      <c r="P651" s="369"/>
      <c r="Q651" s="369"/>
      <c r="R651" s="369"/>
      <c r="S651" s="369"/>
      <c r="T651" s="369"/>
      <c r="U651" s="369"/>
      <c r="V651" s="369"/>
      <c r="W651" s="369"/>
      <c r="X651" s="369"/>
      <c r="Y651" s="369"/>
      <c r="Z651" s="369"/>
      <c r="AB651" s="166" t="s">
        <v>259</v>
      </c>
      <c r="AD651" s="165" t="s">
        <v>260</v>
      </c>
      <c r="AE651" s="134"/>
      <c r="AF651" s="22"/>
      <c r="AG651" s="22"/>
      <c r="AI651" s="190">
        <v>1</v>
      </c>
    </row>
    <row r="652" spans="1:35" ht="21" hidden="1" customHeight="1" x14ac:dyDescent="0.15">
      <c r="A652" s="163" t="str">
        <f t="shared" ref="A652:A662" si="149">IF(AG652=1,"X","")</f>
        <v/>
      </c>
      <c r="B652" s="164">
        <f>IF(Y$610="Yes",1,0)</f>
        <v>0</v>
      </c>
      <c r="D652" s="380" t="s">
        <v>314</v>
      </c>
      <c r="E652" s="380"/>
      <c r="F652" s="380"/>
      <c r="G652" s="380"/>
      <c r="H652" s="380"/>
      <c r="I652" s="380"/>
      <c r="J652" s="380"/>
      <c r="K652" s="380"/>
      <c r="L652" s="380"/>
      <c r="M652" s="380"/>
      <c r="N652" s="380"/>
      <c r="O652" s="380"/>
      <c r="P652" s="380"/>
      <c r="Q652" s="380"/>
      <c r="R652" s="380"/>
      <c r="S652" s="380"/>
      <c r="T652" s="380"/>
      <c r="U652" s="380"/>
      <c r="V652" s="380"/>
      <c r="W652" s="380"/>
      <c r="X652" s="380"/>
      <c r="Y652" s="380"/>
      <c r="Z652" s="380"/>
      <c r="AB652" s="166" t="s">
        <v>462</v>
      </c>
      <c r="AD652" s="165" t="s">
        <v>463</v>
      </c>
      <c r="AE652" s="134"/>
      <c r="AF652" s="22"/>
      <c r="AG652" s="22"/>
      <c r="AI652" s="190">
        <v>1</v>
      </c>
    </row>
    <row r="653" spans="1:35" s="180" customFormat="1" ht="18" hidden="1" customHeight="1" x14ac:dyDescent="0.2">
      <c r="A653" s="163" t="str">
        <f t="shared" si="149"/>
        <v/>
      </c>
      <c r="B653" s="170"/>
      <c r="C653" s="152"/>
      <c r="D653" s="378" t="s">
        <v>401</v>
      </c>
      <c r="E653" s="378"/>
      <c r="F653" s="378"/>
      <c r="G653" s="378"/>
      <c r="H653" s="378"/>
      <c r="I653" s="378"/>
      <c r="J653" s="378"/>
      <c r="K653" s="378"/>
      <c r="L653" s="378"/>
      <c r="M653" s="378"/>
      <c r="N653" s="378"/>
      <c r="O653" s="378"/>
      <c r="P653" s="378"/>
      <c r="Q653" s="378"/>
      <c r="R653" s="378"/>
      <c r="S653" s="378"/>
      <c r="T653" s="378"/>
      <c r="U653" s="378"/>
      <c r="V653" s="378"/>
      <c r="W653" s="378"/>
      <c r="X653" s="378"/>
      <c r="Y653" s="378"/>
      <c r="Z653" s="378"/>
      <c r="AA653" s="169"/>
      <c r="AB653" s="159" t="s">
        <v>281</v>
      </c>
      <c r="AD653" s="172" t="s">
        <v>249</v>
      </c>
      <c r="AE653" s="167"/>
      <c r="AF653" s="164">
        <f t="shared" ref="AF653:AF656" si="150">IF(B653&lt;&gt;"",1,0)</f>
        <v>0</v>
      </c>
      <c r="AG653" s="164">
        <f>IF(AND(SUM(AF:AF)&gt;0,OR(AND(B653="",Y610="Yes"),AND(B653=1,Y610="No"))),1,0)</f>
        <v>0</v>
      </c>
      <c r="AI653" s="190">
        <v>1</v>
      </c>
    </row>
    <row r="654" spans="1:35" s="180" customFormat="1" ht="18" hidden="1" customHeight="1" x14ac:dyDescent="0.2">
      <c r="A654" s="163" t="str">
        <f t="shared" si="149"/>
        <v/>
      </c>
      <c r="B654" s="170"/>
      <c r="C654" s="152"/>
      <c r="D654" s="378" t="s">
        <v>402</v>
      </c>
      <c r="E654" s="378"/>
      <c r="F654" s="378"/>
      <c r="G654" s="378"/>
      <c r="H654" s="378"/>
      <c r="I654" s="378"/>
      <c r="J654" s="378"/>
      <c r="K654" s="378"/>
      <c r="L654" s="378"/>
      <c r="M654" s="378"/>
      <c r="N654" s="378"/>
      <c r="O654" s="378"/>
      <c r="P654" s="378"/>
      <c r="Q654" s="378"/>
      <c r="R654" s="378"/>
      <c r="S654" s="378"/>
      <c r="T654" s="378"/>
      <c r="U654" s="378"/>
      <c r="V654" s="378"/>
      <c r="W654" s="378"/>
      <c r="X654" s="378"/>
      <c r="Y654" s="378"/>
      <c r="Z654" s="378"/>
      <c r="AA654" s="169"/>
      <c r="AB654" s="159" t="s">
        <v>281</v>
      </c>
      <c r="AD654" s="172" t="s">
        <v>249</v>
      </c>
      <c r="AE654" s="167"/>
      <c r="AF654" s="164">
        <f t="shared" si="150"/>
        <v>0</v>
      </c>
      <c r="AG654" s="164">
        <f>IF(AND(SUM(AF:AF)&gt;0,OR(AND(B654="",Y610="Yes"),AND(B654=1,Y610="No"))),1,0)</f>
        <v>0</v>
      </c>
      <c r="AI654" s="190">
        <v>1</v>
      </c>
    </row>
    <row r="655" spans="1:35" s="180" customFormat="1" ht="18" hidden="1" customHeight="1" x14ac:dyDescent="0.2">
      <c r="A655" s="163" t="str">
        <f t="shared" si="149"/>
        <v/>
      </c>
      <c r="B655" s="170"/>
      <c r="C655" s="152"/>
      <c r="D655" s="179" t="s">
        <v>252</v>
      </c>
      <c r="E655" s="378" t="s">
        <v>318</v>
      </c>
      <c r="F655" s="378"/>
      <c r="G655" s="378"/>
      <c r="H655" s="378"/>
      <c r="I655" s="378"/>
      <c r="J655" s="378"/>
      <c r="K655" s="378"/>
      <c r="L655" s="378"/>
      <c r="M655" s="378"/>
      <c r="N655" s="378"/>
      <c r="O655" s="378"/>
      <c r="P655" s="378"/>
      <c r="Q655" s="378"/>
      <c r="R655" s="378"/>
      <c r="S655" s="378"/>
      <c r="T655" s="378"/>
      <c r="U655" s="378"/>
      <c r="V655" s="378"/>
      <c r="W655" s="378"/>
      <c r="X655" s="378"/>
      <c r="Y655" s="378"/>
      <c r="Z655" s="378"/>
      <c r="AA655" s="169"/>
      <c r="AB655" s="159" t="s">
        <v>281</v>
      </c>
      <c r="AD655" s="172" t="s">
        <v>249</v>
      </c>
      <c r="AE655" s="167"/>
      <c r="AF655" s="164">
        <f t="shared" si="150"/>
        <v>0</v>
      </c>
      <c r="AG655" s="164">
        <f>IF(AND(SUM(AF:AF)&gt;0,OR(AND(B655="",Y610="Yes"),AND(B655=1,Y610="No"))),1,0)</f>
        <v>0</v>
      </c>
      <c r="AI655" s="190">
        <v>1</v>
      </c>
    </row>
    <row r="656" spans="1:35" s="180" customFormat="1" ht="18" hidden="1" customHeight="1" x14ac:dyDescent="0.2">
      <c r="A656" s="163" t="str">
        <f t="shared" si="149"/>
        <v/>
      </c>
      <c r="B656" s="170"/>
      <c r="C656" s="152"/>
      <c r="D656" s="179" t="s">
        <v>252</v>
      </c>
      <c r="E656" s="378" t="s">
        <v>405</v>
      </c>
      <c r="F656" s="378"/>
      <c r="G656" s="378"/>
      <c r="H656" s="378"/>
      <c r="I656" s="378"/>
      <c r="J656" s="378"/>
      <c r="K656" s="378"/>
      <c r="L656" s="378"/>
      <c r="M656" s="378"/>
      <c r="N656" s="378"/>
      <c r="O656" s="378"/>
      <c r="P656" s="378"/>
      <c r="Q656" s="378"/>
      <c r="R656" s="378"/>
      <c r="S656" s="378"/>
      <c r="T656" s="378"/>
      <c r="U656" s="378"/>
      <c r="V656" s="378"/>
      <c r="W656" s="378"/>
      <c r="X656" s="378"/>
      <c r="Y656" s="378"/>
      <c r="Z656" s="378"/>
      <c r="AA656" s="169"/>
      <c r="AB656" s="159" t="s">
        <v>281</v>
      </c>
      <c r="AD656" s="172" t="s">
        <v>249</v>
      </c>
      <c r="AE656" s="167"/>
      <c r="AF656" s="164">
        <f t="shared" si="150"/>
        <v>0</v>
      </c>
      <c r="AG656" s="164">
        <f>IF(AND(SUM(AF:AF)&gt;0,OR(AND(B656="",Y610="Yes"),AND(B656=1,Y610="No"))),1,0)</f>
        <v>0</v>
      </c>
      <c r="AI656" s="190">
        <v>1</v>
      </c>
    </row>
    <row r="657" spans="1:35" s="180" customFormat="1" ht="18.5" hidden="1" customHeight="1" x14ac:dyDescent="0.2">
      <c r="A657" s="163" t="str">
        <f t="shared" si="149"/>
        <v/>
      </c>
      <c r="B657" s="164">
        <v>0</v>
      </c>
      <c r="C657" s="152"/>
      <c r="D657" s="179" t="s">
        <v>252</v>
      </c>
      <c r="E657" s="378" t="s">
        <v>312</v>
      </c>
      <c r="F657" s="378"/>
      <c r="G657" s="378"/>
      <c r="H657" s="378"/>
      <c r="I657" s="378"/>
      <c r="J657" s="378"/>
      <c r="K657" s="378"/>
      <c r="L657" s="378"/>
      <c r="M657" s="378"/>
      <c r="N657" s="378"/>
      <c r="O657" s="378"/>
      <c r="P657" s="378"/>
      <c r="Q657" s="378"/>
      <c r="R657" s="378"/>
      <c r="S657" s="378"/>
      <c r="T657" s="378"/>
      <c r="U657" s="378"/>
      <c r="V657" s="378"/>
      <c r="W657" s="378"/>
      <c r="X657" s="378"/>
      <c r="Y657" s="378"/>
      <c r="Z657" s="378"/>
      <c r="AA657" s="168"/>
      <c r="AB657" s="166" t="s">
        <v>259</v>
      </c>
      <c r="AD657" s="165" t="s">
        <v>260</v>
      </c>
      <c r="AE657" s="134"/>
      <c r="AF657" s="22"/>
      <c r="AG657" s="22"/>
      <c r="AI657" s="190">
        <v>1</v>
      </c>
    </row>
    <row r="658" spans="1:35" s="180" customFormat="1" ht="18" hidden="1" customHeight="1" x14ac:dyDescent="0.2">
      <c r="A658" s="163" t="str">
        <f t="shared" si="149"/>
        <v/>
      </c>
      <c r="B658" s="170"/>
      <c r="C658" s="152"/>
      <c r="D658" s="179" t="s">
        <v>252</v>
      </c>
      <c r="E658" s="373"/>
      <c r="F658" s="373"/>
      <c r="G658" s="373"/>
      <c r="H658" s="373"/>
      <c r="I658" s="373"/>
      <c r="J658" s="373"/>
      <c r="K658" s="373"/>
      <c r="L658" s="373"/>
      <c r="M658" s="373"/>
      <c r="N658" s="373"/>
      <c r="O658" s="373"/>
      <c r="P658" s="373"/>
      <c r="Q658" s="373"/>
      <c r="R658" s="373"/>
      <c r="S658" s="373"/>
      <c r="T658" s="373"/>
      <c r="U658" s="373"/>
      <c r="V658" s="373"/>
      <c r="W658" s="373"/>
      <c r="X658" s="373"/>
      <c r="Y658" s="373"/>
      <c r="Z658" s="373"/>
      <c r="AA658" s="169"/>
      <c r="AB658" s="159" t="s">
        <v>281</v>
      </c>
      <c r="AD658" s="172" t="s">
        <v>249</v>
      </c>
      <c r="AE658" s="167"/>
      <c r="AF658" s="164">
        <f t="shared" ref="AF658:AF661" si="151">IF(B658&lt;&gt;"",1,0)</f>
        <v>0</v>
      </c>
      <c r="AG658" s="164">
        <f>IF(AND(SUM(AF:AF)&gt;0,OR(AND(B658=1,Y610="No"),AND(B658=1,E658="",Y610="Yes"),AND(B658="",E658="",Y610="Yes"),AND(B658="",E658&lt;&gt;"",Y610="Yes"),AND(B658=0,E658&lt;&gt;"",Y610="Yes"))),1,0)</f>
        <v>0</v>
      </c>
      <c r="AI658" s="190">
        <v>1</v>
      </c>
    </row>
    <row r="659" spans="1:35" s="180" customFormat="1" ht="18" hidden="1" customHeight="1" x14ac:dyDescent="0.2">
      <c r="A659" s="163" t="str">
        <f t="shared" si="149"/>
        <v/>
      </c>
      <c r="B659" s="170"/>
      <c r="C659" s="152"/>
      <c r="D659" s="179" t="s">
        <v>252</v>
      </c>
      <c r="E659" s="373"/>
      <c r="F659" s="373"/>
      <c r="G659" s="373"/>
      <c r="H659" s="373"/>
      <c r="I659" s="373"/>
      <c r="J659" s="373"/>
      <c r="K659" s="373"/>
      <c r="L659" s="373"/>
      <c r="M659" s="373"/>
      <c r="N659" s="373"/>
      <c r="O659" s="373"/>
      <c r="P659" s="373"/>
      <c r="Q659" s="373"/>
      <c r="R659" s="373"/>
      <c r="S659" s="373"/>
      <c r="T659" s="373"/>
      <c r="U659" s="373"/>
      <c r="V659" s="373"/>
      <c r="W659" s="373"/>
      <c r="X659" s="373"/>
      <c r="Y659" s="373"/>
      <c r="Z659" s="373"/>
      <c r="AA659" s="169"/>
      <c r="AB659" s="159" t="s">
        <v>281</v>
      </c>
      <c r="AD659" s="172" t="s">
        <v>249</v>
      </c>
      <c r="AE659" s="167"/>
      <c r="AF659" s="164">
        <f t="shared" si="151"/>
        <v>0</v>
      </c>
      <c r="AG659" s="164">
        <f>IF(AND(SUM(AF:AF)&gt;0,OR(AND(B659=1,Y610="No"),AND(B659=1,E659="",Y610="Yes"),AND(B659="",E659="",Y610="Yes"),AND(B659="",E659&lt;&gt;"",Y610="Yes"),AND(B659=0,E659&lt;&gt;"",Y610="Yes"))),1,0)</f>
        <v>0</v>
      </c>
      <c r="AI659" s="190">
        <v>1</v>
      </c>
    </row>
    <row r="660" spans="1:35" s="180" customFormat="1" ht="18" hidden="1" customHeight="1" x14ac:dyDescent="0.2">
      <c r="A660" s="163" t="str">
        <f t="shared" si="149"/>
        <v/>
      </c>
      <c r="B660" s="170"/>
      <c r="C660" s="152"/>
      <c r="D660" s="179" t="s">
        <v>252</v>
      </c>
      <c r="E660" s="373"/>
      <c r="F660" s="373"/>
      <c r="G660" s="373"/>
      <c r="H660" s="373"/>
      <c r="I660" s="373"/>
      <c r="J660" s="373"/>
      <c r="K660" s="373"/>
      <c r="L660" s="373"/>
      <c r="M660" s="373"/>
      <c r="N660" s="373"/>
      <c r="O660" s="373"/>
      <c r="P660" s="373"/>
      <c r="Q660" s="373"/>
      <c r="R660" s="373"/>
      <c r="S660" s="373"/>
      <c r="T660" s="373"/>
      <c r="U660" s="373"/>
      <c r="V660" s="373"/>
      <c r="W660" s="373"/>
      <c r="X660" s="373"/>
      <c r="Y660" s="373"/>
      <c r="Z660" s="373"/>
      <c r="AA660" s="169"/>
      <c r="AB660" s="159" t="s">
        <v>281</v>
      </c>
      <c r="AD660" s="172" t="s">
        <v>249</v>
      </c>
      <c r="AE660" s="167"/>
      <c r="AF660" s="164">
        <f t="shared" si="151"/>
        <v>0</v>
      </c>
      <c r="AG660" s="164">
        <f>IF(AND(SUM(AF:AF)&gt;0,OR(AND(B660=1,Y610="No"),AND(B660=1,E660="",Y610="Yes"),AND(B660="",E660="",Y610="Yes"),AND(B660="",E660&lt;&gt;"",Y610="Yes"),AND(B660=0,E660&lt;&gt;"",Y610="Yes"))),1,0)</f>
        <v>0</v>
      </c>
      <c r="AI660" s="190">
        <v>1</v>
      </c>
    </row>
    <row r="661" spans="1:35" s="180" customFormat="1" ht="18" hidden="1" customHeight="1" x14ac:dyDescent="0.2">
      <c r="A661" s="163" t="str">
        <f t="shared" si="149"/>
        <v/>
      </c>
      <c r="B661" s="170"/>
      <c r="C661" s="152"/>
      <c r="D661" s="375" t="s">
        <v>320</v>
      </c>
      <c r="E661" s="375"/>
      <c r="F661" s="375"/>
      <c r="G661" s="375"/>
      <c r="H661" s="375"/>
      <c r="I661" s="375"/>
      <c r="J661" s="375"/>
      <c r="K661" s="375"/>
      <c r="L661" s="375"/>
      <c r="M661" s="375"/>
      <c r="N661" s="375"/>
      <c r="O661" s="375"/>
      <c r="P661" s="375"/>
      <c r="Q661" s="375"/>
      <c r="R661" s="187"/>
      <c r="S661" s="378" t="s">
        <v>321</v>
      </c>
      <c r="T661" s="378"/>
      <c r="U661" s="378"/>
      <c r="V661" s="378"/>
      <c r="W661" s="378"/>
      <c r="X661" s="378"/>
      <c r="Y661" s="378"/>
      <c r="Z661" s="378"/>
      <c r="AA661" s="169"/>
      <c r="AB661" s="159" t="s">
        <v>281</v>
      </c>
      <c r="AD661" s="172" t="s">
        <v>249</v>
      </c>
      <c r="AE661" s="167"/>
      <c r="AF661" s="164">
        <f t="shared" si="151"/>
        <v>0</v>
      </c>
      <c r="AG661" s="164">
        <f>IF(AND(SUM(AF:AF)&gt;0,OR(AND(B661=1,Y610="No"),AND(B661=1,R661="",Y610="Yes"),AND(B661="",R661="",Y610="Yes"),AND(B661="",R661&lt;&gt;"",Y610="Yes"),AND(B661=0,R661&lt;&gt;"",Y610="Yes"))),1,0)</f>
        <v>0</v>
      </c>
      <c r="AI661" s="190">
        <v>1</v>
      </c>
    </row>
    <row r="662" spans="1:35" ht="21" hidden="1" customHeight="1" x14ac:dyDescent="0.2">
      <c r="A662" s="163" t="str">
        <f t="shared" si="149"/>
        <v/>
      </c>
      <c r="B662" s="164">
        <v>0</v>
      </c>
      <c r="D662" s="379" t="s">
        <v>258</v>
      </c>
      <c r="E662" s="379"/>
      <c r="F662" s="379"/>
      <c r="G662" s="379"/>
      <c r="H662" s="379"/>
      <c r="I662" s="379"/>
      <c r="J662" s="379"/>
      <c r="K662" s="379"/>
      <c r="L662" s="379"/>
      <c r="M662" s="379"/>
      <c r="N662" s="379"/>
      <c r="O662" s="379"/>
      <c r="P662" s="379"/>
      <c r="Q662" s="379"/>
      <c r="R662" s="379"/>
      <c r="S662" s="379"/>
      <c r="T662" s="379"/>
      <c r="U662" s="379"/>
      <c r="V662" s="379"/>
      <c r="W662" s="379"/>
      <c r="X662" s="379"/>
      <c r="Y662" s="379"/>
      <c r="Z662" s="379"/>
      <c r="AB662" s="166" t="s">
        <v>259</v>
      </c>
      <c r="AD662" s="165" t="s">
        <v>260</v>
      </c>
      <c r="AE662" s="134"/>
      <c r="AF662" s="22"/>
      <c r="AG662" s="22"/>
      <c r="AI662" s="190">
        <v>1</v>
      </c>
    </row>
    <row r="663" spans="1:35" ht="15.75" hidden="1" customHeight="1" x14ac:dyDescent="0.2">
      <c r="A663" s="163"/>
      <c r="B663" s="164">
        <v>0</v>
      </c>
      <c r="D663" s="369" t="s">
        <v>261</v>
      </c>
      <c r="E663" s="369"/>
      <c r="F663" s="369"/>
      <c r="G663" s="369"/>
      <c r="H663" s="369"/>
      <c r="I663" s="369"/>
      <c r="J663" s="369"/>
      <c r="K663" s="369"/>
      <c r="L663" s="369"/>
      <c r="M663" s="369"/>
      <c r="N663" s="369"/>
      <c r="O663" s="369"/>
      <c r="P663" s="369"/>
      <c r="Q663" s="369"/>
      <c r="R663" s="369"/>
      <c r="S663" s="369"/>
      <c r="T663" s="369"/>
      <c r="U663" s="369"/>
      <c r="V663" s="369"/>
      <c r="W663" s="369"/>
      <c r="X663" s="369"/>
      <c r="Y663" s="369"/>
      <c r="Z663" s="369"/>
      <c r="AB663" s="166" t="s">
        <v>259</v>
      </c>
      <c r="AD663" s="165" t="s">
        <v>260</v>
      </c>
      <c r="AE663" s="134"/>
      <c r="AF663" s="22"/>
      <c r="AG663" s="22"/>
      <c r="AI663" s="190">
        <v>1</v>
      </c>
    </row>
    <row r="664" spans="1:35" ht="8.5" hidden="1" customHeight="1" x14ac:dyDescent="0.15">
      <c r="A664" s="163" t="str">
        <f>IF(AG664=1,"X","")</f>
        <v/>
      </c>
      <c r="B664" s="164">
        <f>IF(OR(D665="Show",Q665="Show"),1,0)</f>
        <v>0</v>
      </c>
      <c r="D664" s="368"/>
      <c r="E664" s="368"/>
      <c r="F664" s="368"/>
      <c r="G664" s="368"/>
      <c r="H664" s="368"/>
      <c r="I664" s="368"/>
      <c r="J664" s="368"/>
      <c r="K664" s="368"/>
      <c r="L664" s="368"/>
      <c r="M664" s="368"/>
      <c r="N664" s="368"/>
      <c r="O664" s="368"/>
      <c r="P664" s="368"/>
      <c r="Q664" s="368"/>
      <c r="R664" s="368"/>
      <c r="S664" s="368"/>
      <c r="T664" s="368"/>
      <c r="U664" s="368"/>
      <c r="V664" s="368"/>
      <c r="W664" s="368"/>
      <c r="X664" s="368"/>
      <c r="Y664" s="368"/>
      <c r="Z664" s="368"/>
      <c r="AD664" s="165" t="s">
        <v>227</v>
      </c>
      <c r="AE664" s="156"/>
      <c r="AF664" s="22"/>
      <c r="AG664" s="22"/>
      <c r="AI664" s="190">
        <v>1</v>
      </c>
    </row>
    <row r="665" spans="1:35" ht="18" hidden="1" customHeight="1" x14ac:dyDescent="0.2">
      <c r="A665" s="163" t="str">
        <f t="shared" ref="A665:A668" si="152">IF(AG665=1,"X","")</f>
        <v/>
      </c>
      <c r="B665" s="164">
        <v>0</v>
      </c>
      <c r="D665" s="370" t="s">
        <v>267</v>
      </c>
      <c r="E665" s="370"/>
      <c r="F665" s="370"/>
      <c r="G665" s="370"/>
      <c r="H665" s="370"/>
      <c r="I665" s="370"/>
      <c r="J665" s="370"/>
      <c r="K665" s="370"/>
      <c r="L665" s="370"/>
      <c r="M665" s="370"/>
      <c r="N665" s="370"/>
      <c r="O665" s="175"/>
      <c r="P665" s="175"/>
      <c r="Q665" s="370" t="s">
        <v>267</v>
      </c>
      <c r="R665" s="370"/>
      <c r="S665" s="370"/>
      <c r="T665" s="370"/>
      <c r="U665" s="370"/>
      <c r="V665" s="370"/>
      <c r="W665" s="370"/>
      <c r="X665" s="370"/>
      <c r="Y665" s="370"/>
      <c r="Z665" s="370"/>
      <c r="AA665" s="176"/>
      <c r="AB665" s="159" t="s">
        <v>262</v>
      </c>
      <c r="AD665" s="172" t="s">
        <v>249</v>
      </c>
      <c r="AE665" s="134"/>
      <c r="AF665" s="164">
        <f>IF(OR(D665="Show",D665="",Q665="Show",Q665=""),1,0)</f>
        <v>0</v>
      </c>
      <c r="AG665" s="164">
        <f>IF(AND(SUM(AF:AF)&gt;0,OR(D665="",Q665="")),1,0)</f>
        <v>0</v>
      </c>
      <c r="AI665" s="190">
        <v>1</v>
      </c>
    </row>
    <row r="666" spans="1:35" ht="197.25" hidden="1" customHeight="1" x14ac:dyDescent="0.2">
      <c r="A666" s="163" t="str">
        <f t="shared" si="152"/>
        <v/>
      </c>
      <c r="B666" s="164">
        <f>B664</f>
        <v>0</v>
      </c>
      <c r="D666" s="370"/>
      <c r="E666" s="370"/>
      <c r="F666" s="370"/>
      <c r="G666" s="370"/>
      <c r="H666" s="370"/>
      <c r="I666" s="370"/>
      <c r="J666" s="370"/>
      <c r="K666" s="370"/>
      <c r="L666" s="370"/>
      <c r="M666" s="370"/>
      <c r="N666" s="370"/>
      <c r="O666" s="175"/>
      <c r="P666" s="175"/>
      <c r="Q666" s="370"/>
      <c r="R666" s="370"/>
      <c r="S666" s="370"/>
      <c r="T666" s="370"/>
      <c r="U666" s="370"/>
      <c r="V666" s="370"/>
      <c r="W666" s="370"/>
      <c r="X666" s="370"/>
      <c r="Y666" s="370"/>
      <c r="Z666" s="370"/>
      <c r="AA666" s="176"/>
      <c r="AB666" s="159" t="s">
        <v>263</v>
      </c>
      <c r="AD666" s="172" t="s">
        <v>249</v>
      </c>
      <c r="AE666" s="167"/>
      <c r="AF666" s="22"/>
      <c r="AG666" s="22"/>
      <c r="AI666" s="190">
        <v>1</v>
      </c>
    </row>
    <row r="667" spans="1:35" ht="18" hidden="1" customHeight="1" x14ac:dyDescent="0.2">
      <c r="A667" s="163" t="str">
        <f t="shared" si="152"/>
        <v/>
      </c>
      <c r="B667" s="164">
        <f>B666</f>
        <v>0</v>
      </c>
      <c r="D667" s="371"/>
      <c r="E667" s="371"/>
      <c r="F667" s="371"/>
      <c r="G667" s="371"/>
      <c r="H667" s="371"/>
      <c r="I667" s="371"/>
      <c r="J667" s="371"/>
      <c r="K667" s="371"/>
      <c r="L667" s="371"/>
      <c r="M667" s="371"/>
      <c r="N667" s="371"/>
      <c r="O667" s="175"/>
      <c r="P667" s="175"/>
      <c r="Q667" s="371"/>
      <c r="R667" s="371"/>
      <c r="S667" s="371"/>
      <c r="T667" s="371"/>
      <c r="U667" s="371"/>
      <c r="V667" s="371"/>
      <c r="W667" s="371"/>
      <c r="X667" s="371"/>
      <c r="Y667" s="371"/>
      <c r="Z667" s="371"/>
      <c r="AA667" s="176"/>
      <c r="AB667" s="159" t="s">
        <v>264</v>
      </c>
      <c r="AD667" s="172" t="s">
        <v>249</v>
      </c>
      <c r="AE667" s="167"/>
      <c r="AF667" s="164">
        <f>IF(OR(D665="Show",D665="",Q665="Show",Q665=""),1,0)</f>
        <v>0</v>
      </c>
      <c r="AG667" s="164">
        <f>IF(AND(SUM(AF:AF)&gt;0,OR(AND(D665="Show",D667=""),AND(Q665="Show",Q667=""))),1,0)</f>
        <v>0</v>
      </c>
      <c r="AI667" s="190">
        <v>1</v>
      </c>
    </row>
    <row r="668" spans="1:35" ht="8.5" hidden="1" customHeight="1" x14ac:dyDescent="0.15">
      <c r="A668" s="163" t="str">
        <f t="shared" si="152"/>
        <v/>
      </c>
      <c r="B668" s="164">
        <f>B667</f>
        <v>0</v>
      </c>
      <c r="D668" s="368"/>
      <c r="E668" s="368"/>
      <c r="F668" s="368"/>
      <c r="G668" s="368"/>
      <c r="H668" s="368"/>
      <c r="I668" s="368"/>
      <c r="J668" s="368"/>
      <c r="K668" s="368"/>
      <c r="L668" s="368"/>
      <c r="M668" s="368"/>
      <c r="N668" s="368"/>
      <c r="O668" s="368"/>
      <c r="P668" s="368"/>
      <c r="Q668" s="368"/>
      <c r="R668" s="368"/>
      <c r="S668" s="368"/>
      <c r="T668" s="368"/>
      <c r="U668" s="368"/>
      <c r="V668" s="368"/>
      <c r="W668" s="368"/>
      <c r="X668" s="368"/>
      <c r="Y668" s="368"/>
      <c r="Z668" s="368"/>
      <c r="AA668" s="176"/>
      <c r="AD668" s="165" t="s">
        <v>227</v>
      </c>
      <c r="AE668" s="156"/>
      <c r="AF668" s="22"/>
      <c r="AG668" s="22"/>
      <c r="AI668" s="190">
        <v>1</v>
      </c>
    </row>
    <row r="669" spans="1:35" ht="15.75" hidden="1" customHeight="1" x14ac:dyDescent="0.2">
      <c r="A669" s="163"/>
      <c r="B669" s="164">
        <v>0</v>
      </c>
      <c r="D669" s="369" t="s">
        <v>265</v>
      </c>
      <c r="E669" s="369"/>
      <c r="F669" s="369"/>
      <c r="G669" s="369"/>
      <c r="H669" s="369"/>
      <c r="I669" s="369"/>
      <c r="J669" s="369"/>
      <c r="K669" s="369"/>
      <c r="L669" s="369"/>
      <c r="M669" s="369"/>
      <c r="N669" s="369"/>
      <c r="O669" s="369"/>
      <c r="P669" s="369"/>
      <c r="Q669" s="369"/>
      <c r="R669" s="369"/>
      <c r="S669" s="369"/>
      <c r="T669" s="369"/>
      <c r="U669" s="369"/>
      <c r="V669" s="369"/>
      <c r="W669" s="369"/>
      <c r="X669" s="369"/>
      <c r="Y669" s="369"/>
      <c r="Z669" s="369"/>
      <c r="AB669" s="166" t="s">
        <v>259</v>
      </c>
      <c r="AD669" s="165" t="s">
        <v>260</v>
      </c>
      <c r="AE669" s="134"/>
      <c r="AF669" s="22"/>
      <c r="AG669" s="22"/>
      <c r="AI669" s="190">
        <v>1</v>
      </c>
    </row>
    <row r="670" spans="1:35" ht="25" hidden="1" customHeight="1" x14ac:dyDescent="0.2">
      <c r="A670" s="163"/>
      <c r="B670" s="164">
        <v>0</v>
      </c>
      <c r="D670" s="374" t="str">
        <f>CONCATENATE("↑ Room Section ", N612," ↑")</f>
        <v>↑ Room Section 8 ↑</v>
      </c>
      <c r="E670" s="374"/>
      <c r="F670" s="374"/>
      <c r="G670" s="374"/>
      <c r="H670" s="374"/>
      <c r="I670" s="374"/>
      <c r="J670" s="374"/>
      <c r="K670" s="374"/>
      <c r="L670" s="374"/>
      <c r="M670" s="374"/>
      <c r="N670" s="374"/>
      <c r="O670" s="374"/>
      <c r="P670" s="374"/>
      <c r="Q670" s="374"/>
      <c r="R670" s="374"/>
      <c r="S670" s="374"/>
      <c r="T670" s="374"/>
      <c r="U670" s="374"/>
      <c r="V670" s="374"/>
      <c r="W670" s="374"/>
      <c r="X670" s="374"/>
      <c r="Y670" s="374"/>
      <c r="Z670" s="374"/>
      <c r="AB670" s="166" t="s">
        <v>259</v>
      </c>
      <c r="AD670" s="165" t="s">
        <v>260</v>
      </c>
      <c r="AE670" s="134"/>
      <c r="AF670" s="22"/>
      <c r="AG670" s="22"/>
      <c r="AI670" s="190">
        <v>1</v>
      </c>
    </row>
    <row r="671" spans="1:35" ht="21" hidden="1" customHeight="1" x14ac:dyDescent="0.2">
      <c r="A671" s="163" t="str">
        <f>IF(OR(SUM(AG672:AG731),Y671=""),"X","")</f>
        <v/>
      </c>
      <c r="B671" s="164">
        <v>0</v>
      </c>
      <c r="D671" s="381" t="str">
        <f>CONCATENATE("Show Room ",N673," Inspection Section?")</f>
        <v>Show Room 9 Inspection Section?</v>
      </c>
      <c r="E671" s="381"/>
      <c r="F671" s="381"/>
      <c r="G671" s="381"/>
      <c r="H671" s="381"/>
      <c r="I671" s="381"/>
      <c r="J671" s="381"/>
      <c r="K671" s="381"/>
      <c r="L671" s="381"/>
      <c r="M671" s="381"/>
      <c r="N671" s="381"/>
      <c r="O671" s="381"/>
      <c r="P671" s="381"/>
      <c r="Q671" s="381"/>
      <c r="R671" s="381"/>
      <c r="S671" s="381"/>
      <c r="T671" s="381"/>
      <c r="U671" s="381"/>
      <c r="V671" s="381"/>
      <c r="W671" s="381"/>
      <c r="X671" s="381"/>
      <c r="Y671" s="382" t="s">
        <v>114</v>
      </c>
      <c r="Z671" s="383"/>
      <c r="AB671" s="166" t="s">
        <v>259</v>
      </c>
      <c r="AD671" s="165" t="s">
        <v>260</v>
      </c>
      <c r="AE671" s="134"/>
      <c r="AF671" s="22"/>
      <c r="AG671" s="22"/>
      <c r="AI671" s="190">
        <v>1</v>
      </c>
    </row>
    <row r="672" spans="1:35" ht="25" hidden="1" customHeight="1" x14ac:dyDescent="0.2">
      <c r="A672" s="163"/>
      <c r="B672" s="164">
        <v>0</v>
      </c>
      <c r="D672" s="374" t="str">
        <f>CONCATENATE("↓ Room Section ", N673," ↓")</f>
        <v>↓ Room Section 9 ↓</v>
      </c>
      <c r="E672" s="374"/>
      <c r="F672" s="374"/>
      <c r="G672" s="374"/>
      <c r="H672" s="374"/>
      <c r="I672" s="374"/>
      <c r="J672" s="374"/>
      <c r="K672" s="374"/>
      <c r="L672" s="374"/>
      <c r="M672" s="374"/>
      <c r="N672" s="374"/>
      <c r="O672" s="374"/>
      <c r="P672" s="374"/>
      <c r="Q672" s="374"/>
      <c r="R672" s="374"/>
      <c r="S672" s="374"/>
      <c r="T672" s="374"/>
      <c r="U672" s="374"/>
      <c r="V672" s="374"/>
      <c r="W672" s="374"/>
      <c r="X672" s="374"/>
      <c r="Y672" s="374"/>
      <c r="Z672" s="374"/>
      <c r="AB672" s="166" t="s">
        <v>259</v>
      </c>
      <c r="AD672" s="165" t="s">
        <v>260</v>
      </c>
      <c r="AE672" s="134"/>
      <c r="AF672" s="22"/>
      <c r="AG672" s="22"/>
      <c r="AI672" s="190">
        <v>1</v>
      </c>
    </row>
    <row r="673" spans="1:35" ht="21" hidden="1" customHeight="1" x14ac:dyDescent="0.15">
      <c r="A673" s="163" t="str">
        <f t="shared" ref="A673:A685" si="153">IF(AG673=1,"X","")</f>
        <v/>
      </c>
      <c r="B673" s="164">
        <f>IF(Y$671="Yes",1,0)</f>
        <v>0</v>
      </c>
      <c r="D673" s="384" t="s">
        <v>404</v>
      </c>
      <c r="E673" s="384"/>
      <c r="F673" s="384"/>
      <c r="G673" s="384"/>
      <c r="H673" s="384"/>
      <c r="I673" s="384"/>
      <c r="J673" s="384"/>
      <c r="K673" s="384"/>
      <c r="L673" s="385" t="s">
        <v>394</v>
      </c>
      <c r="M673" s="385"/>
      <c r="N673" s="380">
        <f>N612+1</f>
        <v>9</v>
      </c>
      <c r="O673" s="380"/>
      <c r="P673" s="380"/>
      <c r="Q673" s="380"/>
      <c r="R673" s="380"/>
      <c r="S673" s="380"/>
      <c r="T673" s="380"/>
      <c r="U673" s="380"/>
      <c r="V673" s="380"/>
      <c r="W673" s="380"/>
      <c r="X673" s="380"/>
      <c r="Y673" s="380"/>
      <c r="Z673" s="380"/>
      <c r="AB673" s="166" t="s">
        <v>462</v>
      </c>
      <c r="AD673" s="165" t="s">
        <v>463</v>
      </c>
      <c r="AE673" s="134"/>
      <c r="AF673" s="22"/>
      <c r="AG673" s="22"/>
      <c r="AI673" s="190">
        <v>1</v>
      </c>
    </row>
    <row r="674" spans="1:35" s="180" customFormat="1" ht="18" hidden="1" customHeight="1" x14ac:dyDescent="0.2">
      <c r="A674" s="163" t="str">
        <f t="shared" si="153"/>
        <v/>
      </c>
      <c r="B674" s="164">
        <f>IF(Y$671="Yes",1,0)</f>
        <v>0</v>
      </c>
      <c r="C674" s="152"/>
      <c r="D674" s="378" t="s">
        <v>392</v>
      </c>
      <c r="E674" s="378"/>
      <c r="F674" s="378"/>
      <c r="G674" s="378"/>
      <c r="H674" s="378"/>
      <c r="I674" s="373"/>
      <c r="J674" s="373"/>
      <c r="K674" s="373"/>
      <c r="L674" s="373"/>
      <c r="M674" s="373"/>
      <c r="N674" s="373"/>
      <c r="O674" s="373"/>
      <c r="P674" s="373"/>
      <c r="Q674" s="373"/>
      <c r="R674" s="373"/>
      <c r="S674" s="373"/>
      <c r="T674" s="373"/>
      <c r="U674" s="373"/>
      <c r="V674" s="373"/>
      <c r="W674" s="373"/>
      <c r="X674" s="373"/>
      <c r="Y674" s="373"/>
      <c r="Z674" s="373"/>
      <c r="AA674" s="169"/>
      <c r="AB674" s="159" t="s">
        <v>464</v>
      </c>
      <c r="AD674" s="165" t="s">
        <v>463</v>
      </c>
      <c r="AE674" s="167"/>
      <c r="AF674" s="164">
        <f t="shared" ref="AF674:AF675" si="154">IF(B674&lt;&gt;"",1,0)</f>
        <v>1</v>
      </c>
      <c r="AG674" s="164">
        <f>IF(AND(SUM(AF:AF)&gt;0,OR(AND(B674=1,Y671="No"),AND(B674=1,I674="",Y671="Yes"),AND(B674="",I674="",Y671="Yes"),AND(B674="",I674&lt;&gt;"",Y671="Yes"),AND(B674=0,I674&lt;&gt;"",Y671="Yes"))),1,0)</f>
        <v>0</v>
      </c>
      <c r="AI674" s="190">
        <v>1</v>
      </c>
    </row>
    <row r="675" spans="1:35" s="180" customFormat="1" ht="18" hidden="1" customHeight="1" x14ac:dyDescent="0.2">
      <c r="A675" s="163" t="str">
        <f t="shared" si="153"/>
        <v/>
      </c>
      <c r="B675" s="164">
        <f>IF(Y$671="Yes",1,0)</f>
        <v>0</v>
      </c>
      <c r="C675" s="152"/>
      <c r="D675" s="378" t="s">
        <v>393</v>
      </c>
      <c r="E675" s="378"/>
      <c r="F675" s="378"/>
      <c r="G675" s="378"/>
      <c r="H675" s="378"/>
      <c r="I675" s="373"/>
      <c r="J675" s="373"/>
      <c r="K675" s="373"/>
      <c r="L675" s="373"/>
      <c r="M675" s="373"/>
      <c r="N675" s="373"/>
      <c r="O675" s="373"/>
      <c r="P675" s="373"/>
      <c r="Q675" s="373"/>
      <c r="R675" s="373"/>
      <c r="S675" s="373"/>
      <c r="T675" s="373"/>
      <c r="U675" s="373"/>
      <c r="V675" s="373"/>
      <c r="W675" s="373"/>
      <c r="X675" s="373"/>
      <c r="Y675" s="373"/>
      <c r="Z675" s="373"/>
      <c r="AA675" s="169"/>
      <c r="AB675" s="159" t="s">
        <v>464</v>
      </c>
      <c r="AD675" s="165" t="s">
        <v>463</v>
      </c>
      <c r="AE675" s="167"/>
      <c r="AF675" s="164">
        <f t="shared" si="154"/>
        <v>1</v>
      </c>
      <c r="AG675" s="164">
        <f>IF(AND(SUM(AF:AF)&gt;0,OR(AND(B675=1,Y671="No"),AND(B675=1,I675="",Y671="Yes"),AND(B675="",I675="",Y671="Yes"),AND(B675="",I675&lt;&gt;"",Y671="Yes"),AND(B675=0,I675&lt;&gt;"",Y671="Yes"))),1,0)</f>
        <v>0</v>
      </c>
      <c r="AI675" s="190">
        <v>1</v>
      </c>
    </row>
    <row r="676" spans="1:35" ht="21" hidden="1" customHeight="1" x14ac:dyDescent="0.15">
      <c r="A676" s="163" t="str">
        <f t="shared" si="153"/>
        <v/>
      </c>
      <c r="B676" s="164">
        <f>IF(Y$671="Yes",1,0)</f>
        <v>0</v>
      </c>
      <c r="D676" s="380" t="s">
        <v>313</v>
      </c>
      <c r="E676" s="380"/>
      <c r="F676" s="380"/>
      <c r="G676" s="380"/>
      <c r="H676" s="380"/>
      <c r="I676" s="380"/>
      <c r="J676" s="380"/>
      <c r="K676" s="380"/>
      <c r="L676" s="380"/>
      <c r="M676" s="380"/>
      <c r="N676" s="380"/>
      <c r="O676" s="380"/>
      <c r="P676" s="380"/>
      <c r="Q676" s="380"/>
      <c r="R676" s="380"/>
      <c r="S676" s="380"/>
      <c r="T676" s="380"/>
      <c r="U676" s="380"/>
      <c r="V676" s="380"/>
      <c r="W676" s="380"/>
      <c r="X676" s="380"/>
      <c r="Y676" s="380"/>
      <c r="Z676" s="380"/>
      <c r="AB676" s="166" t="s">
        <v>462</v>
      </c>
      <c r="AD676" s="165" t="s">
        <v>463</v>
      </c>
      <c r="AE676" s="134"/>
      <c r="AF676" s="22"/>
      <c r="AG676" s="22"/>
      <c r="AI676" s="190">
        <v>1</v>
      </c>
    </row>
    <row r="677" spans="1:35" s="180" customFormat="1" ht="18" hidden="1" customHeight="1" x14ac:dyDescent="0.2">
      <c r="A677" s="163" t="str">
        <f t="shared" si="153"/>
        <v/>
      </c>
      <c r="B677" s="170"/>
      <c r="C677" s="152"/>
      <c r="D677" s="378" t="s">
        <v>397</v>
      </c>
      <c r="E677" s="378"/>
      <c r="F677" s="378"/>
      <c r="G677" s="378"/>
      <c r="H677" s="378"/>
      <c r="I677" s="378"/>
      <c r="J677" s="378"/>
      <c r="K677" s="378"/>
      <c r="L677" s="378"/>
      <c r="M677" s="378"/>
      <c r="N677" s="378"/>
      <c r="O677" s="378"/>
      <c r="P677" s="378"/>
      <c r="Q677" s="378"/>
      <c r="R677" s="378"/>
      <c r="S677" s="378"/>
      <c r="T677" s="378"/>
      <c r="U677" s="378"/>
      <c r="V677" s="378"/>
      <c r="W677" s="378"/>
      <c r="X677" s="378"/>
      <c r="Y677" s="378"/>
      <c r="Z677" s="378"/>
      <c r="AA677" s="169"/>
      <c r="AB677" s="159" t="s">
        <v>281</v>
      </c>
      <c r="AD677" s="172" t="s">
        <v>249</v>
      </c>
      <c r="AE677" s="167"/>
      <c r="AF677" s="164">
        <f t="shared" ref="AF677:AF678" si="155">IF(B677&lt;&gt;"",1,0)</f>
        <v>0</v>
      </c>
      <c r="AG677" s="164">
        <f>IF(AND(SUM(AF:AF)&gt;0,OR(AND(B677="",Y671="Yes"),AND(B677=1,Y671="No"))),1,0)</f>
        <v>0</v>
      </c>
      <c r="AI677" s="190">
        <v>1</v>
      </c>
    </row>
    <row r="678" spans="1:35" s="180" customFormat="1" ht="18" hidden="1" customHeight="1" x14ac:dyDescent="0.2">
      <c r="A678" s="163" t="str">
        <f t="shared" si="153"/>
        <v/>
      </c>
      <c r="B678" s="170"/>
      <c r="C678" s="152"/>
      <c r="D678" s="378" t="s">
        <v>398</v>
      </c>
      <c r="E678" s="378"/>
      <c r="F678" s="378"/>
      <c r="G678" s="378"/>
      <c r="H678" s="378"/>
      <c r="I678" s="378"/>
      <c r="J678" s="378"/>
      <c r="K678" s="378"/>
      <c r="L678" s="378"/>
      <c r="M678" s="378"/>
      <c r="N678" s="378"/>
      <c r="O678" s="378"/>
      <c r="P678" s="378"/>
      <c r="Q678" s="378"/>
      <c r="R678" s="378"/>
      <c r="S678" s="378"/>
      <c r="T678" s="378"/>
      <c r="U678" s="378"/>
      <c r="V678" s="378"/>
      <c r="W678" s="378"/>
      <c r="X678" s="378"/>
      <c r="Y678" s="378"/>
      <c r="Z678" s="378"/>
      <c r="AA678" s="169"/>
      <c r="AB678" s="159" t="s">
        <v>281</v>
      </c>
      <c r="AD678" s="172" t="s">
        <v>249</v>
      </c>
      <c r="AE678" s="167"/>
      <c r="AF678" s="164">
        <f t="shared" si="155"/>
        <v>0</v>
      </c>
      <c r="AG678" s="164">
        <f>IF(AND(SUM(AF:AF)&gt;0,OR(AND(B678="",Y671="Yes"),AND(B678=1,Y671="No"))),1,0)</f>
        <v>0</v>
      </c>
      <c r="AI678" s="190">
        <v>1</v>
      </c>
    </row>
    <row r="679" spans="1:35" s="180" customFormat="1" ht="18" hidden="1" customHeight="1" x14ac:dyDescent="0.2">
      <c r="A679" s="163" t="str">
        <f t="shared" si="153"/>
        <v/>
      </c>
      <c r="B679" s="170"/>
      <c r="C679" s="152"/>
      <c r="D679" s="179" t="s">
        <v>252</v>
      </c>
      <c r="E679" s="378" t="s">
        <v>315</v>
      </c>
      <c r="F679" s="378"/>
      <c r="G679" s="378"/>
      <c r="H679" s="378"/>
      <c r="I679" s="378"/>
      <c r="J679" s="378"/>
      <c r="K679" s="378"/>
      <c r="L679" s="378"/>
      <c r="M679" s="378"/>
      <c r="N679" s="378"/>
      <c r="O679" s="378"/>
      <c r="P679" s="378"/>
      <c r="Q679" s="378"/>
      <c r="R679" s="378"/>
      <c r="S679" s="378"/>
      <c r="T679" s="378"/>
      <c r="U679" s="378"/>
      <c r="V679" s="378"/>
      <c r="W679" s="378"/>
      <c r="X679" s="378"/>
      <c r="Y679" s="378"/>
      <c r="Z679" s="378"/>
      <c r="AA679" s="169"/>
      <c r="AB679" s="159" t="s">
        <v>281</v>
      </c>
      <c r="AD679" s="172" t="s">
        <v>249</v>
      </c>
      <c r="AE679" s="167"/>
      <c r="AF679" s="164">
        <f t="shared" ref="AF679:AF680" si="156">IF(B679&lt;&gt;"",1,0)</f>
        <v>0</v>
      </c>
      <c r="AG679" s="164">
        <f>IF(AND(SUM(AF:AF)&gt;0,OR(AND(B679="",Y671="Yes"),AND(B679=1,Y671="No"))),1,0)</f>
        <v>0</v>
      </c>
      <c r="AI679" s="190">
        <v>1</v>
      </c>
    </row>
    <row r="680" spans="1:35" s="180" customFormat="1" ht="18" hidden="1" customHeight="1" x14ac:dyDescent="0.2">
      <c r="A680" s="163" t="str">
        <f t="shared" si="153"/>
        <v/>
      </c>
      <c r="B680" s="170"/>
      <c r="C680" s="152"/>
      <c r="D680" s="179" t="s">
        <v>252</v>
      </c>
      <c r="E680" s="378" t="s">
        <v>316</v>
      </c>
      <c r="F680" s="378"/>
      <c r="G680" s="378"/>
      <c r="H680" s="378"/>
      <c r="I680" s="378"/>
      <c r="J680" s="378"/>
      <c r="K680" s="378"/>
      <c r="L680" s="378"/>
      <c r="M680" s="378"/>
      <c r="N680" s="378"/>
      <c r="O680" s="378"/>
      <c r="P680" s="378"/>
      <c r="Q680" s="378"/>
      <c r="R680" s="378"/>
      <c r="S680" s="378"/>
      <c r="T680" s="378"/>
      <c r="U680" s="378"/>
      <c r="V680" s="378"/>
      <c r="W680" s="378"/>
      <c r="X680" s="378"/>
      <c r="Y680" s="378"/>
      <c r="Z680" s="378"/>
      <c r="AA680" s="169"/>
      <c r="AB680" s="159" t="s">
        <v>281</v>
      </c>
      <c r="AD680" s="172" t="s">
        <v>249</v>
      </c>
      <c r="AE680" s="167"/>
      <c r="AF680" s="164">
        <f t="shared" si="156"/>
        <v>0</v>
      </c>
      <c r="AG680" s="164">
        <f>IF(AND(SUM(AF:AF)&gt;0,OR(AND(B680="",Y671="Yes"),AND(B680=1,Y671="No"))),1,0)</f>
        <v>0</v>
      </c>
      <c r="AI680" s="190">
        <v>1</v>
      </c>
    </row>
    <row r="681" spans="1:35" s="180" customFormat="1" ht="18.5" hidden="1" customHeight="1" x14ac:dyDescent="0.2">
      <c r="A681" s="163" t="str">
        <f t="shared" si="153"/>
        <v/>
      </c>
      <c r="B681" s="164">
        <v>0</v>
      </c>
      <c r="C681" s="152"/>
      <c r="D681" s="179" t="s">
        <v>252</v>
      </c>
      <c r="E681" s="378" t="s">
        <v>312</v>
      </c>
      <c r="F681" s="378"/>
      <c r="G681" s="378"/>
      <c r="H681" s="378"/>
      <c r="I681" s="378"/>
      <c r="J681" s="378"/>
      <c r="K681" s="378"/>
      <c r="L681" s="378"/>
      <c r="M681" s="378"/>
      <c r="N681" s="378"/>
      <c r="O681" s="378"/>
      <c r="P681" s="378"/>
      <c r="Q681" s="378"/>
      <c r="R681" s="378"/>
      <c r="S681" s="378"/>
      <c r="T681" s="378"/>
      <c r="U681" s="378"/>
      <c r="V681" s="378"/>
      <c r="W681" s="378"/>
      <c r="X681" s="378"/>
      <c r="Y681" s="378"/>
      <c r="Z681" s="378"/>
      <c r="AA681" s="168"/>
      <c r="AB681" s="166" t="s">
        <v>259</v>
      </c>
      <c r="AD681" s="165" t="s">
        <v>260</v>
      </c>
      <c r="AE681" s="134"/>
      <c r="AF681" s="22"/>
      <c r="AG681" s="22"/>
      <c r="AI681" s="190">
        <v>1</v>
      </c>
    </row>
    <row r="682" spans="1:35" s="180" customFormat="1" ht="18" hidden="1" customHeight="1" x14ac:dyDescent="0.2">
      <c r="A682" s="163" t="str">
        <f t="shared" si="153"/>
        <v/>
      </c>
      <c r="B682" s="170"/>
      <c r="C682" s="152"/>
      <c r="D682" s="179" t="s">
        <v>252</v>
      </c>
      <c r="E682" s="373"/>
      <c r="F682" s="373"/>
      <c r="G682" s="373"/>
      <c r="H682" s="373"/>
      <c r="I682" s="373"/>
      <c r="J682" s="373"/>
      <c r="K682" s="373"/>
      <c r="L682" s="373"/>
      <c r="M682" s="373"/>
      <c r="N682" s="373"/>
      <c r="O682" s="373"/>
      <c r="P682" s="373"/>
      <c r="Q682" s="373"/>
      <c r="R682" s="373"/>
      <c r="S682" s="373"/>
      <c r="T682" s="373"/>
      <c r="U682" s="373"/>
      <c r="V682" s="373"/>
      <c r="W682" s="373"/>
      <c r="X682" s="373"/>
      <c r="Y682" s="373"/>
      <c r="Z682" s="373"/>
      <c r="AA682" s="169"/>
      <c r="AB682" s="159" t="s">
        <v>281</v>
      </c>
      <c r="AD682" s="172" t="s">
        <v>249</v>
      </c>
      <c r="AE682" s="167"/>
      <c r="AF682" s="164">
        <f t="shared" ref="AF682:AF684" si="157">IF(B682&lt;&gt;"",1,0)</f>
        <v>0</v>
      </c>
      <c r="AG682" s="164">
        <f>IF(AND(SUM(AF:AF)&gt;0,OR(AND(B682=1,Y671="No"),AND(B682=1,E682="",Y671="Yes"),AND(B682="",E682="",Y671="Yes"),AND(B682="",E682&lt;&gt;"",Y671="Yes"),AND(B682=0,E682&lt;&gt;"",Y671="Yes"))),1,0)</f>
        <v>0</v>
      </c>
      <c r="AI682" s="190">
        <v>1</v>
      </c>
    </row>
    <row r="683" spans="1:35" s="180" customFormat="1" ht="18" hidden="1" customHeight="1" x14ac:dyDescent="0.2">
      <c r="A683" s="163" t="str">
        <f t="shared" si="153"/>
        <v/>
      </c>
      <c r="B683" s="170"/>
      <c r="C683" s="152"/>
      <c r="D683" s="179" t="s">
        <v>252</v>
      </c>
      <c r="E683" s="373"/>
      <c r="F683" s="373"/>
      <c r="G683" s="373"/>
      <c r="H683" s="373"/>
      <c r="I683" s="373"/>
      <c r="J683" s="373"/>
      <c r="K683" s="373"/>
      <c r="L683" s="373"/>
      <c r="M683" s="373"/>
      <c r="N683" s="373"/>
      <c r="O683" s="373"/>
      <c r="P683" s="373"/>
      <c r="Q683" s="373"/>
      <c r="R683" s="373"/>
      <c r="S683" s="373"/>
      <c r="T683" s="373"/>
      <c r="U683" s="373"/>
      <c r="V683" s="373"/>
      <c r="W683" s="373"/>
      <c r="X683" s="373"/>
      <c r="Y683" s="373"/>
      <c r="Z683" s="373"/>
      <c r="AA683" s="169"/>
      <c r="AB683" s="159" t="s">
        <v>281</v>
      </c>
      <c r="AD683" s="172" t="s">
        <v>249</v>
      </c>
      <c r="AE683" s="167"/>
      <c r="AF683" s="164">
        <f t="shared" si="157"/>
        <v>0</v>
      </c>
      <c r="AG683" s="164">
        <f>IF(AND(SUM(AF:AF)&gt;0,OR(AND(B683=1,Y671="No"),AND(B683=1,E683="",Y671="Yes"),AND(B683="",E683="",Y671="Yes"),AND(B683="",E683&lt;&gt;"",Y671="Yes"),AND(B683=0,E683&lt;&gt;"",Y671="Yes"))),1,0)</f>
        <v>0</v>
      </c>
      <c r="AI683" s="190">
        <v>1</v>
      </c>
    </row>
    <row r="684" spans="1:35" s="180" customFormat="1" ht="18" hidden="1" customHeight="1" x14ac:dyDescent="0.2">
      <c r="A684" s="163" t="str">
        <f t="shared" si="153"/>
        <v/>
      </c>
      <c r="B684" s="170"/>
      <c r="C684" s="152"/>
      <c r="D684" s="179" t="s">
        <v>252</v>
      </c>
      <c r="E684" s="373"/>
      <c r="F684" s="373"/>
      <c r="G684" s="373"/>
      <c r="H684" s="373"/>
      <c r="I684" s="373"/>
      <c r="J684" s="373"/>
      <c r="K684" s="373"/>
      <c r="L684" s="373"/>
      <c r="M684" s="373"/>
      <c r="N684" s="373"/>
      <c r="O684" s="373"/>
      <c r="P684" s="373"/>
      <c r="Q684" s="373"/>
      <c r="R684" s="373"/>
      <c r="S684" s="373"/>
      <c r="T684" s="373"/>
      <c r="U684" s="373"/>
      <c r="V684" s="373"/>
      <c r="W684" s="373"/>
      <c r="X684" s="373"/>
      <c r="Y684" s="373"/>
      <c r="Z684" s="373"/>
      <c r="AA684" s="169"/>
      <c r="AB684" s="159" t="s">
        <v>281</v>
      </c>
      <c r="AD684" s="172" t="s">
        <v>249</v>
      </c>
      <c r="AE684" s="167"/>
      <c r="AF684" s="164">
        <f t="shared" si="157"/>
        <v>0</v>
      </c>
      <c r="AG684" s="164">
        <f>IF(AND(SUM(AF:AF)&gt;0,OR(AND(B684=1,Y671="No"),AND(B684=1,E684="",Y671="Yes"),AND(B684="",E684="",Y671="Yes"),AND(B684="",E684&lt;&gt;"",Y671="Yes"),AND(B684=0,E684&lt;&gt;"",Y671="Yes"))),1,0)</f>
        <v>0</v>
      </c>
      <c r="AI684" s="190">
        <v>1</v>
      </c>
    </row>
    <row r="685" spans="1:35" ht="21" hidden="1" customHeight="1" x14ac:dyDescent="0.2">
      <c r="A685" s="163" t="str">
        <f t="shared" si="153"/>
        <v/>
      </c>
      <c r="B685" s="164">
        <v>0</v>
      </c>
      <c r="D685" s="379" t="s">
        <v>258</v>
      </c>
      <c r="E685" s="379"/>
      <c r="F685" s="379"/>
      <c r="G685" s="379"/>
      <c r="H685" s="379"/>
      <c r="I685" s="379"/>
      <c r="J685" s="379"/>
      <c r="K685" s="379"/>
      <c r="L685" s="379"/>
      <c r="M685" s="379"/>
      <c r="N685" s="379"/>
      <c r="O685" s="379"/>
      <c r="P685" s="379"/>
      <c r="Q685" s="379"/>
      <c r="R685" s="379"/>
      <c r="S685" s="379"/>
      <c r="T685" s="379"/>
      <c r="U685" s="379"/>
      <c r="V685" s="379"/>
      <c r="W685" s="379"/>
      <c r="X685" s="379"/>
      <c r="Y685" s="379"/>
      <c r="Z685" s="379"/>
      <c r="AB685" s="166" t="s">
        <v>259</v>
      </c>
      <c r="AD685" s="165" t="s">
        <v>260</v>
      </c>
      <c r="AE685" s="134"/>
      <c r="AF685" s="22"/>
      <c r="AG685" s="22"/>
      <c r="AI685" s="190">
        <v>1</v>
      </c>
    </row>
    <row r="686" spans="1:35" ht="15.75" hidden="1" customHeight="1" x14ac:dyDescent="0.2">
      <c r="A686" s="163"/>
      <c r="B686" s="164">
        <v>0</v>
      </c>
      <c r="D686" s="369" t="s">
        <v>261</v>
      </c>
      <c r="E686" s="369"/>
      <c r="F686" s="369"/>
      <c r="G686" s="369"/>
      <c r="H686" s="369"/>
      <c r="I686" s="369"/>
      <c r="J686" s="369"/>
      <c r="K686" s="369"/>
      <c r="L686" s="369"/>
      <c r="M686" s="369"/>
      <c r="N686" s="369"/>
      <c r="O686" s="369"/>
      <c r="P686" s="369"/>
      <c r="Q686" s="369"/>
      <c r="R686" s="369"/>
      <c r="S686" s="369"/>
      <c r="T686" s="369"/>
      <c r="U686" s="369"/>
      <c r="V686" s="369"/>
      <c r="W686" s="369"/>
      <c r="X686" s="369"/>
      <c r="Y686" s="369"/>
      <c r="Z686" s="369"/>
      <c r="AB686" s="166" t="s">
        <v>259</v>
      </c>
      <c r="AD686" s="165" t="s">
        <v>260</v>
      </c>
      <c r="AE686" s="134"/>
      <c r="AF686" s="22"/>
      <c r="AG686" s="22"/>
      <c r="AI686" s="190">
        <v>1</v>
      </c>
    </row>
    <row r="687" spans="1:35" ht="8.5" hidden="1" customHeight="1" x14ac:dyDescent="0.15">
      <c r="A687" s="163" t="str">
        <f>IF(AG687=1,"X","")</f>
        <v/>
      </c>
      <c r="B687" s="164">
        <f>IF(OR(D688="Show",Q688="Show"),1,0)</f>
        <v>0</v>
      </c>
      <c r="D687" s="368"/>
      <c r="E687" s="368"/>
      <c r="F687" s="368"/>
      <c r="G687" s="368"/>
      <c r="H687" s="368"/>
      <c r="I687" s="368"/>
      <c r="J687" s="368"/>
      <c r="K687" s="368"/>
      <c r="L687" s="368"/>
      <c r="M687" s="368"/>
      <c r="N687" s="368"/>
      <c r="O687" s="368"/>
      <c r="P687" s="368"/>
      <c r="Q687" s="368"/>
      <c r="R687" s="368"/>
      <c r="S687" s="368"/>
      <c r="T687" s="368"/>
      <c r="U687" s="368"/>
      <c r="V687" s="368"/>
      <c r="W687" s="368"/>
      <c r="X687" s="368"/>
      <c r="Y687" s="368"/>
      <c r="Z687" s="368"/>
      <c r="AD687" s="165" t="s">
        <v>227</v>
      </c>
      <c r="AE687" s="156"/>
      <c r="AF687" s="22"/>
      <c r="AG687" s="22"/>
      <c r="AI687" s="190">
        <v>1</v>
      </c>
    </row>
    <row r="688" spans="1:35" ht="18" hidden="1" customHeight="1" x14ac:dyDescent="0.2">
      <c r="A688" s="163" t="str">
        <f t="shared" ref="A688:A691" si="158">IF(AG688=1,"X","")</f>
        <v/>
      </c>
      <c r="B688" s="164">
        <v>0</v>
      </c>
      <c r="D688" s="370" t="s">
        <v>267</v>
      </c>
      <c r="E688" s="370"/>
      <c r="F688" s="370"/>
      <c r="G688" s="370"/>
      <c r="H688" s="370"/>
      <c r="I688" s="370"/>
      <c r="J688" s="370"/>
      <c r="K688" s="370"/>
      <c r="L688" s="370"/>
      <c r="M688" s="370"/>
      <c r="N688" s="370"/>
      <c r="O688" s="175"/>
      <c r="P688" s="175"/>
      <c r="Q688" s="370" t="s">
        <v>267</v>
      </c>
      <c r="R688" s="370"/>
      <c r="S688" s="370"/>
      <c r="T688" s="370"/>
      <c r="U688" s="370"/>
      <c r="V688" s="370"/>
      <c r="W688" s="370"/>
      <c r="X688" s="370"/>
      <c r="Y688" s="370"/>
      <c r="Z688" s="370"/>
      <c r="AA688" s="176"/>
      <c r="AB688" s="159" t="s">
        <v>262</v>
      </c>
      <c r="AD688" s="172" t="s">
        <v>249</v>
      </c>
      <c r="AE688" s="134"/>
      <c r="AF688" s="164">
        <f>IF(OR(D688="Show",D688="",Q688="Show",Q688=""),1,0)</f>
        <v>0</v>
      </c>
      <c r="AG688" s="164">
        <f>IF(AND(SUM(AF:AF)&gt;0,OR(D688="",Q688="")),1,0)</f>
        <v>0</v>
      </c>
      <c r="AI688" s="190">
        <v>1</v>
      </c>
    </row>
    <row r="689" spans="1:35" ht="197.25" hidden="1" customHeight="1" x14ac:dyDescent="0.2">
      <c r="A689" s="163" t="str">
        <f t="shared" si="158"/>
        <v/>
      </c>
      <c r="B689" s="164">
        <f>B687</f>
        <v>0</v>
      </c>
      <c r="D689" s="370"/>
      <c r="E689" s="370"/>
      <c r="F689" s="370"/>
      <c r="G689" s="370"/>
      <c r="H689" s="370"/>
      <c r="I689" s="370"/>
      <c r="J689" s="370"/>
      <c r="K689" s="370"/>
      <c r="L689" s="370"/>
      <c r="M689" s="370"/>
      <c r="N689" s="370"/>
      <c r="O689" s="175"/>
      <c r="P689" s="175"/>
      <c r="Q689" s="370"/>
      <c r="R689" s="370"/>
      <c r="S689" s="370"/>
      <c r="T689" s="370"/>
      <c r="U689" s="370"/>
      <c r="V689" s="370"/>
      <c r="W689" s="370"/>
      <c r="X689" s="370"/>
      <c r="Y689" s="370"/>
      <c r="Z689" s="370"/>
      <c r="AA689" s="176"/>
      <c r="AB689" s="159" t="s">
        <v>263</v>
      </c>
      <c r="AD689" s="172" t="s">
        <v>249</v>
      </c>
      <c r="AE689" s="167"/>
      <c r="AF689" s="22"/>
      <c r="AG689" s="22"/>
      <c r="AI689" s="190">
        <v>1</v>
      </c>
    </row>
    <row r="690" spans="1:35" ht="18" hidden="1" customHeight="1" x14ac:dyDescent="0.2">
      <c r="A690" s="163" t="str">
        <f t="shared" si="158"/>
        <v/>
      </c>
      <c r="B690" s="164">
        <f>B689</f>
        <v>0</v>
      </c>
      <c r="D690" s="371"/>
      <c r="E690" s="371"/>
      <c r="F690" s="371"/>
      <c r="G690" s="371"/>
      <c r="H690" s="371"/>
      <c r="I690" s="371"/>
      <c r="J690" s="371"/>
      <c r="K690" s="371"/>
      <c r="L690" s="371"/>
      <c r="M690" s="371"/>
      <c r="N690" s="371"/>
      <c r="O690" s="175"/>
      <c r="P690" s="175"/>
      <c r="Q690" s="371"/>
      <c r="R690" s="371"/>
      <c r="S690" s="371"/>
      <c r="T690" s="371"/>
      <c r="U690" s="371"/>
      <c r="V690" s="371"/>
      <c r="W690" s="371"/>
      <c r="X690" s="371"/>
      <c r="Y690" s="371"/>
      <c r="Z690" s="371"/>
      <c r="AA690" s="176"/>
      <c r="AB690" s="159" t="s">
        <v>264</v>
      </c>
      <c r="AD690" s="172" t="s">
        <v>249</v>
      </c>
      <c r="AE690" s="167"/>
      <c r="AF690" s="164">
        <f>IF(OR(D688="Show",D688="",Q688="Show",Q688=""),1,0)</f>
        <v>0</v>
      </c>
      <c r="AG690" s="164">
        <f>IF(AND(SUM(AF:AF)&gt;0,OR(AND(D688="Show",D690=""),AND(Q688="Show",Q690=""))),1,0)</f>
        <v>0</v>
      </c>
      <c r="AI690" s="190">
        <v>1</v>
      </c>
    </row>
    <row r="691" spans="1:35" ht="8.5" hidden="1" customHeight="1" x14ac:dyDescent="0.15">
      <c r="A691" s="163" t="str">
        <f t="shared" si="158"/>
        <v/>
      </c>
      <c r="B691" s="164">
        <f>B690</f>
        <v>0</v>
      </c>
      <c r="D691" s="368"/>
      <c r="E691" s="368"/>
      <c r="F691" s="368"/>
      <c r="G691" s="368"/>
      <c r="H691" s="368"/>
      <c r="I691" s="368"/>
      <c r="J691" s="368"/>
      <c r="K691" s="368"/>
      <c r="L691" s="368"/>
      <c r="M691" s="368"/>
      <c r="N691" s="368"/>
      <c r="O691" s="368"/>
      <c r="P691" s="368"/>
      <c r="Q691" s="368"/>
      <c r="R691" s="368"/>
      <c r="S691" s="368"/>
      <c r="T691" s="368"/>
      <c r="U691" s="368"/>
      <c r="V691" s="368"/>
      <c r="W691" s="368"/>
      <c r="X691" s="368"/>
      <c r="Y691" s="368"/>
      <c r="Z691" s="368"/>
      <c r="AA691" s="176"/>
      <c r="AD691" s="165" t="s">
        <v>227</v>
      </c>
      <c r="AE691" s="156"/>
      <c r="AF691" s="22"/>
      <c r="AG691" s="22"/>
      <c r="AI691" s="190">
        <v>1</v>
      </c>
    </row>
    <row r="692" spans="1:35" ht="15.75" hidden="1" customHeight="1" x14ac:dyDescent="0.2">
      <c r="A692" s="163"/>
      <c r="B692" s="164">
        <v>0</v>
      </c>
      <c r="D692" s="369" t="s">
        <v>265</v>
      </c>
      <c r="E692" s="369"/>
      <c r="F692" s="369"/>
      <c r="G692" s="369"/>
      <c r="H692" s="369"/>
      <c r="I692" s="369"/>
      <c r="J692" s="369"/>
      <c r="K692" s="369"/>
      <c r="L692" s="369"/>
      <c r="M692" s="369"/>
      <c r="N692" s="369"/>
      <c r="O692" s="369"/>
      <c r="P692" s="369"/>
      <c r="Q692" s="369"/>
      <c r="R692" s="369"/>
      <c r="S692" s="369"/>
      <c r="T692" s="369"/>
      <c r="U692" s="369"/>
      <c r="V692" s="369"/>
      <c r="W692" s="369"/>
      <c r="X692" s="369"/>
      <c r="Y692" s="369"/>
      <c r="Z692" s="369"/>
      <c r="AB692" s="166" t="s">
        <v>259</v>
      </c>
      <c r="AD692" s="165" t="s">
        <v>260</v>
      </c>
      <c r="AE692" s="134"/>
      <c r="AF692" s="22"/>
      <c r="AG692" s="22"/>
      <c r="AI692" s="190">
        <v>1</v>
      </c>
    </row>
    <row r="693" spans="1:35" ht="21" hidden="1" customHeight="1" x14ac:dyDescent="0.15">
      <c r="A693" s="163" t="str">
        <f t="shared" ref="A693:A705" si="159">IF(AG693=1,"X","")</f>
        <v/>
      </c>
      <c r="B693" s="164">
        <f>IF(Y$671="Yes",1,0)</f>
        <v>0</v>
      </c>
      <c r="D693" s="380" t="s">
        <v>0</v>
      </c>
      <c r="E693" s="380"/>
      <c r="F693" s="380"/>
      <c r="G693" s="380"/>
      <c r="H693" s="380"/>
      <c r="I693" s="380"/>
      <c r="J693" s="380"/>
      <c r="K693" s="380"/>
      <c r="L693" s="380"/>
      <c r="M693" s="380"/>
      <c r="N693" s="380"/>
      <c r="O693" s="380"/>
      <c r="P693" s="380"/>
      <c r="Q693" s="380"/>
      <c r="R693" s="380"/>
      <c r="S693" s="380"/>
      <c r="T693" s="380"/>
      <c r="U693" s="380"/>
      <c r="V693" s="380"/>
      <c r="W693" s="380"/>
      <c r="X693" s="380"/>
      <c r="Y693" s="380"/>
      <c r="Z693" s="380"/>
      <c r="AB693" s="166" t="s">
        <v>462</v>
      </c>
      <c r="AD693" s="165" t="s">
        <v>463</v>
      </c>
      <c r="AE693" s="134"/>
      <c r="AF693" s="22"/>
      <c r="AG693" s="22"/>
      <c r="AI693" s="190">
        <v>1</v>
      </c>
    </row>
    <row r="694" spans="1:35" s="180" customFormat="1" ht="18" hidden="1" customHeight="1" x14ac:dyDescent="0.2">
      <c r="A694" s="163" t="str">
        <f t="shared" si="159"/>
        <v/>
      </c>
      <c r="B694" s="170"/>
      <c r="C694" s="152"/>
      <c r="D694" s="378" t="s">
        <v>399</v>
      </c>
      <c r="E694" s="378"/>
      <c r="F694" s="378"/>
      <c r="G694" s="378"/>
      <c r="H694" s="378"/>
      <c r="I694" s="378"/>
      <c r="J694" s="378"/>
      <c r="K694" s="378"/>
      <c r="L694" s="378"/>
      <c r="M694" s="378"/>
      <c r="N694" s="378"/>
      <c r="O694" s="378"/>
      <c r="P694" s="378"/>
      <c r="Q694" s="378"/>
      <c r="R694" s="378"/>
      <c r="S694" s="378"/>
      <c r="T694" s="378"/>
      <c r="U694" s="378"/>
      <c r="V694" s="378"/>
      <c r="W694" s="378"/>
      <c r="X694" s="378"/>
      <c r="Y694" s="378"/>
      <c r="Z694" s="378"/>
      <c r="AA694" s="169"/>
      <c r="AB694" s="159" t="s">
        <v>281</v>
      </c>
      <c r="AD694" s="172" t="s">
        <v>249</v>
      </c>
      <c r="AE694" s="167"/>
      <c r="AF694" s="164">
        <f t="shared" ref="AF694:AF700" si="160">IF(B694&lt;&gt;"",1,0)</f>
        <v>0</v>
      </c>
      <c r="AG694" s="164">
        <f>IF(AND(SUM(AF:AF)&gt;0,OR(AND(B694="",Y671="Yes"),AND(B694=1,Y671="No"))),1,0)</f>
        <v>0</v>
      </c>
      <c r="AI694" s="190">
        <v>1</v>
      </c>
    </row>
    <row r="695" spans="1:35" s="180" customFormat="1" ht="18" hidden="1" customHeight="1" x14ac:dyDescent="0.2">
      <c r="A695" s="163" t="str">
        <f t="shared" si="159"/>
        <v/>
      </c>
      <c r="B695" s="170"/>
      <c r="C695" s="152"/>
      <c r="D695" s="378" t="s">
        <v>400</v>
      </c>
      <c r="E695" s="378"/>
      <c r="F695" s="378"/>
      <c r="G695" s="378"/>
      <c r="H695" s="378"/>
      <c r="I695" s="378"/>
      <c r="J695" s="378"/>
      <c r="K695" s="378"/>
      <c r="L695" s="378"/>
      <c r="M695" s="378"/>
      <c r="N695" s="378"/>
      <c r="O695" s="378"/>
      <c r="P695" s="378"/>
      <c r="Q695" s="378"/>
      <c r="R695" s="378"/>
      <c r="S695" s="378"/>
      <c r="T695" s="378"/>
      <c r="U695" s="378"/>
      <c r="V695" s="378"/>
      <c r="W695" s="378"/>
      <c r="X695" s="378"/>
      <c r="Y695" s="378"/>
      <c r="Z695" s="378"/>
      <c r="AA695" s="169"/>
      <c r="AB695" s="159" t="s">
        <v>281</v>
      </c>
      <c r="AD695" s="172" t="s">
        <v>249</v>
      </c>
      <c r="AE695" s="167"/>
      <c r="AF695" s="164">
        <f t="shared" si="160"/>
        <v>0</v>
      </c>
      <c r="AG695" s="164">
        <f>IF(AND(SUM(AF:AF)&gt;0,OR(AND(B695="",Y671="Yes"),AND(B695=1,Y671="No"))),1,0)</f>
        <v>0</v>
      </c>
      <c r="AI695" s="190">
        <v>1</v>
      </c>
    </row>
    <row r="696" spans="1:35" s="180" customFormat="1" ht="18" hidden="1" customHeight="1" x14ac:dyDescent="0.2">
      <c r="A696" s="163" t="str">
        <f t="shared" si="159"/>
        <v/>
      </c>
      <c r="B696" s="170"/>
      <c r="C696" s="152"/>
      <c r="D696" s="179" t="s">
        <v>252</v>
      </c>
      <c r="E696" s="378" t="s">
        <v>317</v>
      </c>
      <c r="F696" s="378"/>
      <c r="G696" s="378"/>
      <c r="H696" s="378"/>
      <c r="I696" s="378"/>
      <c r="J696" s="378"/>
      <c r="K696" s="378"/>
      <c r="L696" s="378"/>
      <c r="M696" s="378"/>
      <c r="N696" s="378"/>
      <c r="O696" s="378"/>
      <c r="P696" s="378"/>
      <c r="Q696" s="378"/>
      <c r="R696" s="378"/>
      <c r="S696" s="378"/>
      <c r="T696" s="378"/>
      <c r="U696" s="378"/>
      <c r="V696" s="378"/>
      <c r="W696" s="378"/>
      <c r="X696" s="378"/>
      <c r="Y696" s="378"/>
      <c r="Z696" s="378"/>
      <c r="AA696" s="169"/>
      <c r="AB696" s="159" t="s">
        <v>281</v>
      </c>
      <c r="AD696" s="172" t="s">
        <v>249</v>
      </c>
      <c r="AE696" s="167"/>
      <c r="AF696" s="164">
        <f t="shared" si="160"/>
        <v>0</v>
      </c>
      <c r="AG696" s="164">
        <f>IF(AND(SUM(AF:AF)&gt;0,OR(AND(B696="",Y671="Yes"),AND(B696=1,Y671="No"))),1,0)</f>
        <v>0</v>
      </c>
      <c r="AI696" s="190">
        <v>1</v>
      </c>
    </row>
    <row r="697" spans="1:35" s="180" customFormat="1" ht="18" hidden="1" customHeight="1" x14ac:dyDescent="0.2">
      <c r="A697" s="163" t="str">
        <f t="shared" si="159"/>
        <v/>
      </c>
      <c r="B697" s="170"/>
      <c r="C697" s="152"/>
      <c r="D697" s="179" t="s">
        <v>252</v>
      </c>
      <c r="E697" s="378" t="s">
        <v>318</v>
      </c>
      <c r="F697" s="378"/>
      <c r="G697" s="378"/>
      <c r="H697" s="378"/>
      <c r="I697" s="378"/>
      <c r="J697" s="378"/>
      <c r="K697" s="378"/>
      <c r="L697" s="378"/>
      <c r="M697" s="378"/>
      <c r="N697" s="378"/>
      <c r="O697" s="378"/>
      <c r="P697" s="378"/>
      <c r="Q697" s="378"/>
      <c r="R697" s="378"/>
      <c r="S697" s="378"/>
      <c r="T697" s="378"/>
      <c r="U697" s="378"/>
      <c r="V697" s="378"/>
      <c r="W697" s="378"/>
      <c r="X697" s="378"/>
      <c r="Y697" s="378"/>
      <c r="Z697" s="378"/>
      <c r="AA697" s="169"/>
      <c r="AB697" s="159" t="s">
        <v>281</v>
      </c>
      <c r="AD697" s="172" t="s">
        <v>249</v>
      </c>
      <c r="AE697" s="167"/>
      <c r="AF697" s="164">
        <f t="shared" si="160"/>
        <v>0</v>
      </c>
      <c r="AG697" s="164">
        <f>IF(AND(SUM(AF:AF)&gt;0,OR(AND(B697="",Y671="Yes"),AND(B697=1,Y671="No"))),1,0)</f>
        <v>0</v>
      </c>
      <c r="AI697" s="190">
        <v>1</v>
      </c>
    </row>
    <row r="698" spans="1:35" s="180" customFormat="1" ht="18" hidden="1" customHeight="1" x14ac:dyDescent="0.2">
      <c r="A698" s="163" t="str">
        <f t="shared" si="159"/>
        <v/>
      </c>
      <c r="B698" s="170"/>
      <c r="C698" s="152"/>
      <c r="D698" s="179" t="s">
        <v>252</v>
      </c>
      <c r="E698" s="378" t="s">
        <v>405</v>
      </c>
      <c r="F698" s="378"/>
      <c r="G698" s="378"/>
      <c r="H698" s="378"/>
      <c r="I698" s="378"/>
      <c r="J698" s="378"/>
      <c r="K698" s="378"/>
      <c r="L698" s="378"/>
      <c r="M698" s="378"/>
      <c r="N698" s="378"/>
      <c r="O698" s="378"/>
      <c r="P698" s="378"/>
      <c r="Q698" s="378"/>
      <c r="R698" s="378"/>
      <c r="S698" s="378"/>
      <c r="T698" s="378"/>
      <c r="U698" s="378"/>
      <c r="V698" s="378"/>
      <c r="W698" s="378"/>
      <c r="X698" s="378"/>
      <c r="Y698" s="378"/>
      <c r="Z698" s="378"/>
      <c r="AA698" s="169"/>
      <c r="AB698" s="159" t="s">
        <v>281</v>
      </c>
      <c r="AD698" s="172" t="s">
        <v>249</v>
      </c>
      <c r="AE698" s="167"/>
      <c r="AF698" s="164">
        <f t="shared" si="160"/>
        <v>0</v>
      </c>
      <c r="AG698" s="164">
        <f>IF(AND(SUM(AF:AF)&gt;0,OR(AND(B698="",Y671="Yes"),AND(B698=1,Y671="No"))),1,0)</f>
        <v>0</v>
      </c>
      <c r="AI698" s="190">
        <v>1</v>
      </c>
    </row>
    <row r="699" spans="1:35" s="180" customFormat="1" ht="18" hidden="1" customHeight="1" x14ac:dyDescent="0.2">
      <c r="A699" s="163" t="str">
        <f t="shared" si="159"/>
        <v/>
      </c>
      <c r="B699" s="170"/>
      <c r="C699" s="152"/>
      <c r="D699" s="179" t="s">
        <v>252</v>
      </c>
      <c r="E699" s="378" t="s">
        <v>396</v>
      </c>
      <c r="F699" s="378"/>
      <c r="G699" s="378"/>
      <c r="H699" s="378"/>
      <c r="I699" s="378"/>
      <c r="J699" s="378"/>
      <c r="K699" s="378"/>
      <c r="L699" s="378"/>
      <c r="M699" s="378"/>
      <c r="N699" s="378"/>
      <c r="O699" s="378"/>
      <c r="P699" s="378"/>
      <c r="Q699" s="378"/>
      <c r="R699" s="378"/>
      <c r="S699" s="378"/>
      <c r="T699" s="378"/>
      <c r="U699" s="378"/>
      <c r="V699" s="378"/>
      <c r="W699" s="378"/>
      <c r="X699" s="378"/>
      <c r="Y699" s="378"/>
      <c r="Z699" s="378"/>
      <c r="AA699" s="169"/>
      <c r="AB699" s="159" t="s">
        <v>281</v>
      </c>
      <c r="AD699" s="172" t="s">
        <v>249</v>
      </c>
      <c r="AE699" s="167"/>
      <c r="AF699" s="164">
        <f t="shared" si="160"/>
        <v>0</v>
      </c>
      <c r="AG699" s="164">
        <f>IF(AND(SUM(AF:AF)&gt;0,OR(AND(B699="",Y671="Yes"),AND(B699=1,Y671="No"))),1,0)</f>
        <v>0</v>
      </c>
      <c r="AI699" s="190">
        <v>1</v>
      </c>
    </row>
    <row r="700" spans="1:35" s="180" customFormat="1" ht="18" hidden="1" customHeight="1" x14ac:dyDescent="0.2">
      <c r="A700" s="163" t="str">
        <f t="shared" si="159"/>
        <v/>
      </c>
      <c r="B700" s="170"/>
      <c r="C700" s="152"/>
      <c r="D700" s="179" t="s">
        <v>252</v>
      </c>
      <c r="E700" s="378" t="s">
        <v>319</v>
      </c>
      <c r="F700" s="378"/>
      <c r="G700" s="378"/>
      <c r="H700" s="378"/>
      <c r="I700" s="378"/>
      <c r="J700" s="378"/>
      <c r="K700" s="378"/>
      <c r="L700" s="378"/>
      <c r="M700" s="378"/>
      <c r="N700" s="378"/>
      <c r="O700" s="378"/>
      <c r="P700" s="378"/>
      <c r="Q700" s="378"/>
      <c r="R700" s="378"/>
      <c r="S700" s="378"/>
      <c r="T700" s="378"/>
      <c r="U700" s="378"/>
      <c r="V700" s="378"/>
      <c r="W700" s="378"/>
      <c r="X700" s="378"/>
      <c r="Y700" s="378"/>
      <c r="Z700" s="378"/>
      <c r="AA700" s="169"/>
      <c r="AB700" s="159" t="s">
        <v>281</v>
      </c>
      <c r="AD700" s="172" t="s">
        <v>249</v>
      </c>
      <c r="AE700" s="167"/>
      <c r="AF700" s="164">
        <f t="shared" si="160"/>
        <v>0</v>
      </c>
      <c r="AG700" s="164">
        <f>IF(AND(SUM(AF:AF)&gt;0,OR(AND(B700="",Y671="Yes"),AND(B700=1,Y671="No"))),1,0)</f>
        <v>0</v>
      </c>
      <c r="AI700" s="190">
        <v>1</v>
      </c>
    </row>
    <row r="701" spans="1:35" s="180" customFormat="1" ht="18.5" hidden="1" customHeight="1" x14ac:dyDescent="0.2">
      <c r="A701" s="163" t="str">
        <f t="shared" si="159"/>
        <v/>
      </c>
      <c r="B701" s="164">
        <v>0</v>
      </c>
      <c r="C701" s="152"/>
      <c r="D701" s="179" t="s">
        <v>252</v>
      </c>
      <c r="E701" s="378" t="s">
        <v>312</v>
      </c>
      <c r="F701" s="378"/>
      <c r="G701" s="378"/>
      <c r="H701" s="378"/>
      <c r="I701" s="378"/>
      <c r="J701" s="378"/>
      <c r="K701" s="378"/>
      <c r="L701" s="378"/>
      <c r="M701" s="378"/>
      <c r="N701" s="378"/>
      <c r="O701" s="378"/>
      <c r="P701" s="378"/>
      <c r="Q701" s="378"/>
      <c r="R701" s="378"/>
      <c r="S701" s="378"/>
      <c r="T701" s="378"/>
      <c r="U701" s="378"/>
      <c r="V701" s="378"/>
      <c r="W701" s="378"/>
      <c r="X701" s="378"/>
      <c r="Y701" s="378"/>
      <c r="Z701" s="378"/>
      <c r="AA701" s="168"/>
      <c r="AB701" s="166" t="s">
        <v>259</v>
      </c>
      <c r="AD701" s="165" t="s">
        <v>260</v>
      </c>
      <c r="AE701" s="134"/>
      <c r="AF701" s="22"/>
      <c r="AG701" s="22"/>
      <c r="AI701" s="190">
        <v>1</v>
      </c>
    </row>
    <row r="702" spans="1:35" s="180" customFormat="1" ht="18" hidden="1" customHeight="1" x14ac:dyDescent="0.2">
      <c r="A702" s="163" t="str">
        <f t="shared" si="159"/>
        <v/>
      </c>
      <c r="B702" s="170"/>
      <c r="C702" s="152"/>
      <c r="D702" s="179" t="s">
        <v>252</v>
      </c>
      <c r="E702" s="386"/>
      <c r="F702" s="386"/>
      <c r="G702" s="386"/>
      <c r="H702" s="386"/>
      <c r="I702" s="386"/>
      <c r="J702" s="386"/>
      <c r="K702" s="386"/>
      <c r="L702" s="386"/>
      <c r="M702" s="386"/>
      <c r="N702" s="386"/>
      <c r="O702" s="386"/>
      <c r="P702" s="386"/>
      <c r="Q702" s="386"/>
      <c r="R702" s="386"/>
      <c r="S702" s="386"/>
      <c r="T702" s="386"/>
      <c r="U702" s="386"/>
      <c r="V702" s="386"/>
      <c r="W702" s="386"/>
      <c r="X702" s="386"/>
      <c r="Y702" s="386"/>
      <c r="Z702" s="386"/>
      <c r="AA702" s="169"/>
      <c r="AB702" s="159" t="s">
        <v>281</v>
      </c>
      <c r="AD702" s="172" t="s">
        <v>249</v>
      </c>
      <c r="AE702" s="167"/>
      <c r="AF702" s="164">
        <f t="shared" ref="AF702:AF704" si="161">IF(B702&lt;&gt;"",1,0)</f>
        <v>0</v>
      </c>
      <c r="AG702" s="164">
        <f>IF(AND(SUM(AF:AF)&gt;0,OR(AND(B702=1,Y671="No"),AND(B702=1,E702="",Y671="Yes"),AND(B702="",E702="",Y671="Yes"),AND(B702="",E702&lt;&gt;"",Y671="Yes"),AND(B702=0,E702&lt;&gt;"",Y671="Yes"))),1,0)</f>
        <v>0</v>
      </c>
      <c r="AI702" s="190">
        <v>1</v>
      </c>
    </row>
    <row r="703" spans="1:35" s="180" customFormat="1" ht="18" hidden="1" customHeight="1" x14ac:dyDescent="0.2">
      <c r="A703" s="163" t="str">
        <f t="shared" si="159"/>
        <v/>
      </c>
      <c r="B703" s="170"/>
      <c r="C703" s="152"/>
      <c r="D703" s="179" t="s">
        <v>252</v>
      </c>
      <c r="E703" s="386"/>
      <c r="F703" s="386"/>
      <c r="G703" s="386"/>
      <c r="H703" s="386"/>
      <c r="I703" s="386"/>
      <c r="J703" s="386"/>
      <c r="K703" s="386"/>
      <c r="L703" s="386"/>
      <c r="M703" s="386"/>
      <c r="N703" s="386"/>
      <c r="O703" s="386"/>
      <c r="P703" s="386"/>
      <c r="Q703" s="386"/>
      <c r="R703" s="386"/>
      <c r="S703" s="386"/>
      <c r="T703" s="386"/>
      <c r="U703" s="386"/>
      <c r="V703" s="386"/>
      <c r="W703" s="386"/>
      <c r="X703" s="386"/>
      <c r="Y703" s="386"/>
      <c r="Z703" s="386"/>
      <c r="AA703" s="169"/>
      <c r="AB703" s="159" t="s">
        <v>281</v>
      </c>
      <c r="AD703" s="172" t="s">
        <v>249</v>
      </c>
      <c r="AE703" s="167"/>
      <c r="AF703" s="164">
        <f t="shared" si="161"/>
        <v>0</v>
      </c>
      <c r="AG703" s="164">
        <f>IF(AND(SUM(AF:AF)&gt;0,OR(AND(B703=1,Y671="No"),AND(B703=1,E703="",Y671="Yes"),AND(B703="",E703="",Y671="Yes"),AND(B703="",E703&lt;&gt;"",Y671="Yes"),AND(B703=0,E703&lt;&gt;"",Y671="Yes"))),1,0)</f>
        <v>0</v>
      </c>
      <c r="AI703" s="190">
        <v>1</v>
      </c>
    </row>
    <row r="704" spans="1:35" s="180" customFormat="1" ht="18" hidden="1" customHeight="1" x14ac:dyDescent="0.2">
      <c r="A704" s="163" t="str">
        <f t="shared" si="159"/>
        <v/>
      </c>
      <c r="B704" s="170"/>
      <c r="C704" s="152"/>
      <c r="D704" s="179" t="s">
        <v>252</v>
      </c>
      <c r="E704" s="386"/>
      <c r="F704" s="386"/>
      <c r="G704" s="386"/>
      <c r="H704" s="386"/>
      <c r="I704" s="386"/>
      <c r="J704" s="386"/>
      <c r="K704" s="386"/>
      <c r="L704" s="386"/>
      <c r="M704" s="386"/>
      <c r="N704" s="386"/>
      <c r="O704" s="386"/>
      <c r="P704" s="386"/>
      <c r="Q704" s="386"/>
      <c r="R704" s="386"/>
      <c r="S704" s="386"/>
      <c r="T704" s="386"/>
      <c r="U704" s="386"/>
      <c r="V704" s="386"/>
      <c r="W704" s="386"/>
      <c r="X704" s="386"/>
      <c r="Y704" s="386"/>
      <c r="Z704" s="386"/>
      <c r="AA704" s="169"/>
      <c r="AB704" s="159" t="s">
        <v>281</v>
      </c>
      <c r="AD704" s="172" t="s">
        <v>249</v>
      </c>
      <c r="AE704" s="167"/>
      <c r="AF704" s="164">
        <f t="shared" si="161"/>
        <v>0</v>
      </c>
      <c r="AG704" s="164">
        <f>IF(AND(SUM(AF:AF)&gt;0,OR(AND(B704=1,Y671="No"),AND(B704=1,E704="",Y671="Yes"),AND(B704="",E704="",Y671="Yes"),AND(B704="",E704&lt;&gt;"",Y671="Yes"),AND(B704=0,E704&lt;&gt;"",Y671="Yes"))),1,0)</f>
        <v>0</v>
      </c>
      <c r="AI704" s="190">
        <v>1</v>
      </c>
    </row>
    <row r="705" spans="1:35" ht="21" hidden="1" customHeight="1" x14ac:dyDescent="0.2">
      <c r="A705" s="163" t="str">
        <f t="shared" si="159"/>
        <v/>
      </c>
      <c r="B705" s="164">
        <v>0</v>
      </c>
      <c r="D705" s="379" t="s">
        <v>258</v>
      </c>
      <c r="E705" s="379"/>
      <c r="F705" s="379"/>
      <c r="G705" s="379"/>
      <c r="H705" s="379"/>
      <c r="I705" s="379"/>
      <c r="J705" s="379"/>
      <c r="K705" s="379"/>
      <c r="L705" s="379"/>
      <c r="M705" s="379"/>
      <c r="N705" s="379"/>
      <c r="O705" s="379"/>
      <c r="P705" s="379"/>
      <c r="Q705" s="379"/>
      <c r="R705" s="379"/>
      <c r="S705" s="379"/>
      <c r="T705" s="379"/>
      <c r="U705" s="379"/>
      <c r="V705" s="379"/>
      <c r="W705" s="379"/>
      <c r="X705" s="379"/>
      <c r="Y705" s="379"/>
      <c r="Z705" s="379"/>
      <c r="AB705" s="166" t="s">
        <v>259</v>
      </c>
      <c r="AD705" s="165" t="s">
        <v>260</v>
      </c>
      <c r="AE705" s="134"/>
      <c r="AF705" s="22"/>
      <c r="AG705" s="22"/>
      <c r="AI705" s="190">
        <v>1</v>
      </c>
    </row>
    <row r="706" spans="1:35" ht="15.75" hidden="1" customHeight="1" x14ac:dyDescent="0.2">
      <c r="A706" s="163"/>
      <c r="B706" s="164">
        <v>0</v>
      </c>
      <c r="D706" s="369" t="s">
        <v>261</v>
      </c>
      <c r="E706" s="369"/>
      <c r="F706" s="369"/>
      <c r="G706" s="369"/>
      <c r="H706" s="369"/>
      <c r="I706" s="369"/>
      <c r="J706" s="369"/>
      <c r="K706" s="369"/>
      <c r="L706" s="369"/>
      <c r="M706" s="369"/>
      <c r="N706" s="369"/>
      <c r="O706" s="369"/>
      <c r="P706" s="369"/>
      <c r="Q706" s="369"/>
      <c r="R706" s="369"/>
      <c r="S706" s="369"/>
      <c r="T706" s="369"/>
      <c r="U706" s="369"/>
      <c r="V706" s="369"/>
      <c r="W706" s="369"/>
      <c r="X706" s="369"/>
      <c r="Y706" s="369"/>
      <c r="Z706" s="369"/>
      <c r="AB706" s="166" t="s">
        <v>259</v>
      </c>
      <c r="AD706" s="165" t="s">
        <v>260</v>
      </c>
      <c r="AE706" s="134"/>
      <c r="AF706" s="22"/>
      <c r="AG706" s="22"/>
      <c r="AI706" s="190">
        <v>1</v>
      </c>
    </row>
    <row r="707" spans="1:35" ht="8.5" hidden="1" customHeight="1" x14ac:dyDescent="0.15">
      <c r="A707" s="163" t="str">
        <f>IF(AG707=1,"X","")</f>
        <v/>
      </c>
      <c r="B707" s="164">
        <f>IF(OR(D708="Show",Q708="Show"),1,0)</f>
        <v>0</v>
      </c>
      <c r="D707" s="368"/>
      <c r="E707" s="368"/>
      <c r="F707" s="368"/>
      <c r="G707" s="368"/>
      <c r="H707" s="368"/>
      <c r="I707" s="368"/>
      <c r="J707" s="368"/>
      <c r="K707" s="368"/>
      <c r="L707" s="368"/>
      <c r="M707" s="368"/>
      <c r="N707" s="368"/>
      <c r="O707" s="368"/>
      <c r="P707" s="368"/>
      <c r="Q707" s="368"/>
      <c r="R707" s="368"/>
      <c r="S707" s="368"/>
      <c r="T707" s="368"/>
      <c r="U707" s="368"/>
      <c r="V707" s="368"/>
      <c r="W707" s="368"/>
      <c r="X707" s="368"/>
      <c r="Y707" s="368"/>
      <c r="Z707" s="368"/>
      <c r="AD707" s="165" t="s">
        <v>227</v>
      </c>
      <c r="AE707" s="156"/>
      <c r="AF707" s="22"/>
      <c r="AG707" s="22"/>
      <c r="AI707" s="190">
        <v>1</v>
      </c>
    </row>
    <row r="708" spans="1:35" ht="18" hidden="1" customHeight="1" x14ac:dyDescent="0.2">
      <c r="A708" s="163" t="str">
        <f t="shared" ref="A708:A711" si="162">IF(AG708=1,"X","")</f>
        <v/>
      </c>
      <c r="B708" s="164">
        <v>0</v>
      </c>
      <c r="D708" s="370" t="s">
        <v>267</v>
      </c>
      <c r="E708" s="370"/>
      <c r="F708" s="370"/>
      <c r="G708" s="370"/>
      <c r="H708" s="370"/>
      <c r="I708" s="370"/>
      <c r="J708" s="370"/>
      <c r="K708" s="370"/>
      <c r="L708" s="370"/>
      <c r="M708" s="370"/>
      <c r="N708" s="370"/>
      <c r="O708" s="175"/>
      <c r="P708" s="175"/>
      <c r="Q708" s="370" t="s">
        <v>267</v>
      </c>
      <c r="R708" s="370"/>
      <c r="S708" s="370"/>
      <c r="T708" s="370"/>
      <c r="U708" s="370"/>
      <c r="V708" s="370"/>
      <c r="W708" s="370"/>
      <c r="X708" s="370"/>
      <c r="Y708" s="370"/>
      <c r="Z708" s="370"/>
      <c r="AA708" s="176"/>
      <c r="AB708" s="159" t="s">
        <v>262</v>
      </c>
      <c r="AD708" s="172" t="s">
        <v>249</v>
      </c>
      <c r="AE708" s="134"/>
      <c r="AF708" s="164">
        <f>IF(OR(D708="Show",D708="",Q708="Show",Q708=""),1,0)</f>
        <v>0</v>
      </c>
      <c r="AG708" s="164">
        <f>IF(AND(SUM(AF:AF)&gt;0,OR(D708="",Q708="")),1,0)</f>
        <v>0</v>
      </c>
      <c r="AI708" s="190">
        <v>1</v>
      </c>
    </row>
    <row r="709" spans="1:35" ht="197.25" hidden="1" customHeight="1" x14ac:dyDescent="0.2">
      <c r="A709" s="163" t="str">
        <f t="shared" si="162"/>
        <v/>
      </c>
      <c r="B709" s="164">
        <f>B707</f>
        <v>0</v>
      </c>
      <c r="D709" s="370"/>
      <c r="E709" s="370"/>
      <c r="F709" s="370"/>
      <c r="G709" s="370"/>
      <c r="H709" s="370"/>
      <c r="I709" s="370"/>
      <c r="J709" s="370"/>
      <c r="K709" s="370"/>
      <c r="L709" s="370"/>
      <c r="M709" s="370"/>
      <c r="N709" s="370"/>
      <c r="O709" s="175"/>
      <c r="P709" s="175"/>
      <c r="Q709" s="370"/>
      <c r="R709" s="370"/>
      <c r="S709" s="370"/>
      <c r="T709" s="370"/>
      <c r="U709" s="370"/>
      <c r="V709" s="370"/>
      <c r="W709" s="370"/>
      <c r="X709" s="370"/>
      <c r="Y709" s="370"/>
      <c r="Z709" s="370"/>
      <c r="AA709" s="176"/>
      <c r="AB709" s="159" t="s">
        <v>263</v>
      </c>
      <c r="AD709" s="172" t="s">
        <v>249</v>
      </c>
      <c r="AE709" s="167"/>
      <c r="AF709" s="22"/>
      <c r="AG709" s="22"/>
      <c r="AI709" s="190">
        <v>1</v>
      </c>
    </row>
    <row r="710" spans="1:35" ht="18" hidden="1" customHeight="1" x14ac:dyDescent="0.2">
      <c r="A710" s="163" t="str">
        <f t="shared" si="162"/>
        <v/>
      </c>
      <c r="B710" s="164">
        <f>B709</f>
        <v>0</v>
      </c>
      <c r="D710" s="371"/>
      <c r="E710" s="371"/>
      <c r="F710" s="371"/>
      <c r="G710" s="371"/>
      <c r="H710" s="371"/>
      <c r="I710" s="371"/>
      <c r="J710" s="371"/>
      <c r="K710" s="371"/>
      <c r="L710" s="371"/>
      <c r="M710" s="371"/>
      <c r="N710" s="371"/>
      <c r="O710" s="175"/>
      <c r="P710" s="175"/>
      <c r="Q710" s="371"/>
      <c r="R710" s="371"/>
      <c r="S710" s="371"/>
      <c r="T710" s="371"/>
      <c r="U710" s="371"/>
      <c r="V710" s="371"/>
      <c r="W710" s="371"/>
      <c r="X710" s="371"/>
      <c r="Y710" s="371"/>
      <c r="Z710" s="371"/>
      <c r="AA710" s="176"/>
      <c r="AB710" s="159" t="s">
        <v>264</v>
      </c>
      <c r="AD710" s="172" t="s">
        <v>249</v>
      </c>
      <c r="AE710" s="167"/>
      <c r="AF710" s="164">
        <f>IF(OR(D708="Show",D708="",Q708="Show",Q708=""),1,0)</f>
        <v>0</v>
      </c>
      <c r="AG710" s="164">
        <f>IF(AND(SUM(AF:AF)&gt;0,OR(AND(D708="Show",D710=""),AND(Q708="Show",Q710=""))),1,0)</f>
        <v>0</v>
      </c>
      <c r="AI710" s="190">
        <v>1</v>
      </c>
    </row>
    <row r="711" spans="1:35" ht="8.5" hidden="1" customHeight="1" x14ac:dyDescent="0.15">
      <c r="A711" s="163" t="str">
        <f t="shared" si="162"/>
        <v/>
      </c>
      <c r="B711" s="164">
        <f>B710</f>
        <v>0</v>
      </c>
      <c r="D711" s="368"/>
      <c r="E711" s="368"/>
      <c r="F711" s="368"/>
      <c r="G711" s="368"/>
      <c r="H711" s="368"/>
      <c r="I711" s="368"/>
      <c r="J711" s="368"/>
      <c r="K711" s="368"/>
      <c r="L711" s="368"/>
      <c r="M711" s="368"/>
      <c r="N711" s="368"/>
      <c r="O711" s="368"/>
      <c r="P711" s="368"/>
      <c r="Q711" s="368"/>
      <c r="R711" s="368"/>
      <c r="S711" s="368"/>
      <c r="T711" s="368"/>
      <c r="U711" s="368"/>
      <c r="V711" s="368"/>
      <c r="W711" s="368"/>
      <c r="X711" s="368"/>
      <c r="Y711" s="368"/>
      <c r="Z711" s="368"/>
      <c r="AA711" s="176"/>
      <c r="AD711" s="165" t="s">
        <v>227</v>
      </c>
      <c r="AE711" s="156"/>
      <c r="AF711" s="22"/>
      <c r="AG711" s="22"/>
      <c r="AI711" s="190">
        <v>1</v>
      </c>
    </row>
    <row r="712" spans="1:35" ht="15.75" hidden="1" customHeight="1" x14ac:dyDescent="0.2">
      <c r="A712" s="163"/>
      <c r="B712" s="164">
        <v>0</v>
      </c>
      <c r="D712" s="369" t="s">
        <v>265</v>
      </c>
      <c r="E712" s="369"/>
      <c r="F712" s="369"/>
      <c r="G712" s="369"/>
      <c r="H712" s="369"/>
      <c r="I712" s="369"/>
      <c r="J712" s="369"/>
      <c r="K712" s="369"/>
      <c r="L712" s="369"/>
      <c r="M712" s="369"/>
      <c r="N712" s="369"/>
      <c r="O712" s="369"/>
      <c r="P712" s="369"/>
      <c r="Q712" s="369"/>
      <c r="R712" s="369"/>
      <c r="S712" s="369"/>
      <c r="T712" s="369"/>
      <c r="U712" s="369"/>
      <c r="V712" s="369"/>
      <c r="W712" s="369"/>
      <c r="X712" s="369"/>
      <c r="Y712" s="369"/>
      <c r="Z712" s="369"/>
      <c r="AB712" s="166" t="s">
        <v>259</v>
      </c>
      <c r="AD712" s="165" t="s">
        <v>260</v>
      </c>
      <c r="AE712" s="134"/>
      <c r="AF712" s="22"/>
      <c r="AG712" s="22"/>
      <c r="AI712" s="190">
        <v>1</v>
      </c>
    </row>
    <row r="713" spans="1:35" ht="21" hidden="1" customHeight="1" x14ac:dyDescent="0.15">
      <c r="A713" s="163" t="str">
        <f t="shared" ref="A713:A723" si="163">IF(AG713=1,"X","")</f>
        <v/>
      </c>
      <c r="B713" s="164">
        <f>IF(Y$671="Yes",1,0)</f>
        <v>0</v>
      </c>
      <c r="D713" s="380" t="s">
        <v>314</v>
      </c>
      <c r="E713" s="380"/>
      <c r="F713" s="380"/>
      <c r="G713" s="380"/>
      <c r="H713" s="380"/>
      <c r="I713" s="380"/>
      <c r="J713" s="380"/>
      <c r="K713" s="380"/>
      <c r="L713" s="380"/>
      <c r="M713" s="380"/>
      <c r="N713" s="380"/>
      <c r="O713" s="380"/>
      <c r="P713" s="380"/>
      <c r="Q713" s="380"/>
      <c r="R713" s="380"/>
      <c r="S713" s="380"/>
      <c r="T713" s="380"/>
      <c r="U713" s="380"/>
      <c r="V713" s="380"/>
      <c r="W713" s="380"/>
      <c r="X713" s="380"/>
      <c r="Y713" s="380"/>
      <c r="Z713" s="380"/>
      <c r="AB713" s="166" t="s">
        <v>462</v>
      </c>
      <c r="AD713" s="165" t="s">
        <v>463</v>
      </c>
      <c r="AE713" s="134"/>
      <c r="AF713" s="22"/>
      <c r="AG713" s="22"/>
      <c r="AI713" s="190">
        <v>1</v>
      </c>
    </row>
    <row r="714" spans="1:35" s="180" customFormat="1" ht="18" hidden="1" customHeight="1" x14ac:dyDescent="0.2">
      <c r="A714" s="163" t="str">
        <f t="shared" si="163"/>
        <v/>
      </c>
      <c r="B714" s="170"/>
      <c r="C714" s="152"/>
      <c r="D714" s="378" t="s">
        <v>401</v>
      </c>
      <c r="E714" s="378"/>
      <c r="F714" s="378"/>
      <c r="G714" s="378"/>
      <c r="H714" s="378"/>
      <c r="I714" s="378"/>
      <c r="J714" s="378"/>
      <c r="K714" s="378"/>
      <c r="L714" s="378"/>
      <c r="M714" s="378"/>
      <c r="N714" s="378"/>
      <c r="O714" s="378"/>
      <c r="P714" s="378"/>
      <c r="Q714" s="378"/>
      <c r="R714" s="378"/>
      <c r="S714" s="378"/>
      <c r="T714" s="378"/>
      <c r="U714" s="378"/>
      <c r="V714" s="378"/>
      <c r="W714" s="378"/>
      <c r="X714" s="378"/>
      <c r="Y714" s="378"/>
      <c r="Z714" s="378"/>
      <c r="AA714" s="169"/>
      <c r="AB714" s="159" t="s">
        <v>281</v>
      </c>
      <c r="AD714" s="172" t="s">
        <v>249</v>
      </c>
      <c r="AE714" s="167"/>
      <c r="AF714" s="164">
        <f t="shared" ref="AF714:AF717" si="164">IF(B714&lt;&gt;"",1,0)</f>
        <v>0</v>
      </c>
      <c r="AG714" s="164">
        <f>IF(AND(SUM(AF:AF)&gt;0,OR(AND(B714="",Y671="Yes"),AND(B714=1,Y671="No"))),1,0)</f>
        <v>0</v>
      </c>
      <c r="AI714" s="190">
        <v>1</v>
      </c>
    </row>
    <row r="715" spans="1:35" s="180" customFormat="1" ht="18" hidden="1" customHeight="1" x14ac:dyDescent="0.2">
      <c r="A715" s="163" t="str">
        <f t="shared" si="163"/>
        <v/>
      </c>
      <c r="B715" s="170"/>
      <c r="C715" s="152"/>
      <c r="D715" s="378" t="s">
        <v>402</v>
      </c>
      <c r="E715" s="378"/>
      <c r="F715" s="378"/>
      <c r="G715" s="378"/>
      <c r="H715" s="378"/>
      <c r="I715" s="378"/>
      <c r="J715" s="378"/>
      <c r="K715" s="378"/>
      <c r="L715" s="378"/>
      <c r="M715" s="378"/>
      <c r="N715" s="378"/>
      <c r="O715" s="378"/>
      <c r="P715" s="378"/>
      <c r="Q715" s="378"/>
      <c r="R715" s="378"/>
      <c r="S715" s="378"/>
      <c r="T715" s="378"/>
      <c r="U715" s="378"/>
      <c r="V715" s="378"/>
      <c r="W715" s="378"/>
      <c r="X715" s="378"/>
      <c r="Y715" s="378"/>
      <c r="Z715" s="378"/>
      <c r="AA715" s="169"/>
      <c r="AB715" s="159" t="s">
        <v>281</v>
      </c>
      <c r="AD715" s="172" t="s">
        <v>249</v>
      </c>
      <c r="AE715" s="167"/>
      <c r="AF715" s="164">
        <f t="shared" si="164"/>
        <v>0</v>
      </c>
      <c r="AG715" s="164">
        <f>IF(AND(SUM(AF:AF)&gt;0,OR(AND(B715="",Y671="Yes"),AND(B715=1,Y671="No"))),1,0)</f>
        <v>0</v>
      </c>
      <c r="AI715" s="190">
        <v>1</v>
      </c>
    </row>
    <row r="716" spans="1:35" s="180" customFormat="1" ht="18" hidden="1" customHeight="1" x14ac:dyDescent="0.2">
      <c r="A716" s="163" t="str">
        <f t="shared" si="163"/>
        <v/>
      </c>
      <c r="B716" s="170"/>
      <c r="C716" s="152"/>
      <c r="D716" s="179" t="s">
        <v>252</v>
      </c>
      <c r="E716" s="378" t="s">
        <v>318</v>
      </c>
      <c r="F716" s="378"/>
      <c r="G716" s="378"/>
      <c r="H716" s="378"/>
      <c r="I716" s="378"/>
      <c r="J716" s="378"/>
      <c r="K716" s="378"/>
      <c r="L716" s="378"/>
      <c r="M716" s="378"/>
      <c r="N716" s="378"/>
      <c r="O716" s="378"/>
      <c r="P716" s="378"/>
      <c r="Q716" s="378"/>
      <c r="R716" s="378"/>
      <c r="S716" s="378"/>
      <c r="T716" s="378"/>
      <c r="U716" s="378"/>
      <c r="V716" s="378"/>
      <c r="W716" s="378"/>
      <c r="X716" s="378"/>
      <c r="Y716" s="378"/>
      <c r="Z716" s="378"/>
      <c r="AA716" s="169"/>
      <c r="AB716" s="159" t="s">
        <v>281</v>
      </c>
      <c r="AD716" s="172" t="s">
        <v>249</v>
      </c>
      <c r="AE716" s="167"/>
      <c r="AF716" s="164">
        <f t="shared" si="164"/>
        <v>0</v>
      </c>
      <c r="AG716" s="164">
        <f>IF(AND(SUM(AF:AF)&gt;0,OR(AND(B716="",Y671="Yes"),AND(B716=1,Y671="No"))),1,0)</f>
        <v>0</v>
      </c>
      <c r="AI716" s="190">
        <v>1</v>
      </c>
    </row>
    <row r="717" spans="1:35" s="180" customFormat="1" ht="18" hidden="1" customHeight="1" x14ac:dyDescent="0.2">
      <c r="A717" s="163" t="str">
        <f t="shared" si="163"/>
        <v/>
      </c>
      <c r="B717" s="170"/>
      <c r="C717" s="152"/>
      <c r="D717" s="179" t="s">
        <v>252</v>
      </c>
      <c r="E717" s="378" t="s">
        <v>405</v>
      </c>
      <c r="F717" s="378"/>
      <c r="G717" s="378"/>
      <c r="H717" s="378"/>
      <c r="I717" s="378"/>
      <c r="J717" s="378"/>
      <c r="K717" s="378"/>
      <c r="L717" s="378"/>
      <c r="M717" s="378"/>
      <c r="N717" s="378"/>
      <c r="O717" s="378"/>
      <c r="P717" s="378"/>
      <c r="Q717" s="378"/>
      <c r="R717" s="378"/>
      <c r="S717" s="378"/>
      <c r="T717" s="378"/>
      <c r="U717" s="378"/>
      <c r="V717" s="378"/>
      <c r="W717" s="378"/>
      <c r="X717" s="378"/>
      <c r="Y717" s="378"/>
      <c r="Z717" s="378"/>
      <c r="AA717" s="169"/>
      <c r="AB717" s="159" t="s">
        <v>281</v>
      </c>
      <c r="AD717" s="172" t="s">
        <v>249</v>
      </c>
      <c r="AE717" s="167"/>
      <c r="AF717" s="164">
        <f t="shared" si="164"/>
        <v>0</v>
      </c>
      <c r="AG717" s="164">
        <f>IF(AND(SUM(AF:AF)&gt;0,OR(AND(B717="",Y671="Yes"),AND(B717=1,Y671="No"))),1,0)</f>
        <v>0</v>
      </c>
      <c r="AI717" s="190">
        <v>1</v>
      </c>
    </row>
    <row r="718" spans="1:35" s="180" customFormat="1" ht="18.5" hidden="1" customHeight="1" x14ac:dyDescent="0.2">
      <c r="A718" s="163" t="str">
        <f t="shared" si="163"/>
        <v/>
      </c>
      <c r="B718" s="164">
        <v>0</v>
      </c>
      <c r="C718" s="152"/>
      <c r="D718" s="179" t="s">
        <v>252</v>
      </c>
      <c r="E718" s="378" t="s">
        <v>312</v>
      </c>
      <c r="F718" s="378"/>
      <c r="G718" s="378"/>
      <c r="H718" s="378"/>
      <c r="I718" s="378"/>
      <c r="J718" s="378"/>
      <c r="K718" s="378"/>
      <c r="L718" s="378"/>
      <c r="M718" s="378"/>
      <c r="N718" s="378"/>
      <c r="O718" s="378"/>
      <c r="P718" s="378"/>
      <c r="Q718" s="378"/>
      <c r="R718" s="378"/>
      <c r="S718" s="378"/>
      <c r="T718" s="378"/>
      <c r="U718" s="378"/>
      <c r="V718" s="378"/>
      <c r="W718" s="378"/>
      <c r="X718" s="378"/>
      <c r="Y718" s="378"/>
      <c r="Z718" s="378"/>
      <c r="AA718" s="168"/>
      <c r="AB718" s="166" t="s">
        <v>259</v>
      </c>
      <c r="AD718" s="165" t="s">
        <v>260</v>
      </c>
      <c r="AE718" s="134"/>
      <c r="AF718" s="22"/>
      <c r="AG718" s="22"/>
      <c r="AI718" s="190">
        <v>1</v>
      </c>
    </row>
    <row r="719" spans="1:35" s="180" customFormat="1" ht="18" hidden="1" customHeight="1" x14ac:dyDescent="0.2">
      <c r="A719" s="163" t="str">
        <f t="shared" si="163"/>
        <v/>
      </c>
      <c r="B719" s="170"/>
      <c r="C719" s="152"/>
      <c r="D719" s="179" t="s">
        <v>252</v>
      </c>
      <c r="E719" s="373" t="s">
        <v>395</v>
      </c>
      <c r="F719" s="373"/>
      <c r="G719" s="373"/>
      <c r="H719" s="373"/>
      <c r="I719" s="373"/>
      <c r="J719" s="373"/>
      <c r="K719" s="373"/>
      <c r="L719" s="373"/>
      <c r="M719" s="373"/>
      <c r="N719" s="373"/>
      <c r="O719" s="373"/>
      <c r="P719" s="373"/>
      <c r="Q719" s="373"/>
      <c r="R719" s="373"/>
      <c r="S719" s="373"/>
      <c r="T719" s="373"/>
      <c r="U719" s="373"/>
      <c r="V719" s="373"/>
      <c r="W719" s="373"/>
      <c r="X719" s="373"/>
      <c r="Y719" s="373"/>
      <c r="Z719" s="373"/>
      <c r="AA719" s="169"/>
      <c r="AB719" s="159" t="s">
        <v>281</v>
      </c>
      <c r="AD719" s="172" t="s">
        <v>249</v>
      </c>
      <c r="AE719" s="167"/>
      <c r="AF719" s="164">
        <f t="shared" ref="AF719:AF722" si="165">IF(B719&lt;&gt;"",1,0)</f>
        <v>0</v>
      </c>
      <c r="AG719" s="164">
        <f>IF(AND(SUM(AF:AF)&gt;0,OR(AND(B719=1,Y671="No"),AND(B719=1,E719="",Y671="Yes"),AND(B719="",E719="",Y671="Yes"),AND(B719="",E719&lt;&gt;"",Y671="Yes"),AND(B719=0,E719&lt;&gt;"",Y671="Yes"))),1,0)</f>
        <v>0</v>
      </c>
      <c r="AI719" s="190">
        <v>1</v>
      </c>
    </row>
    <row r="720" spans="1:35" s="180" customFormat="1" ht="18" hidden="1" customHeight="1" x14ac:dyDescent="0.2">
      <c r="A720" s="163" t="str">
        <f t="shared" si="163"/>
        <v/>
      </c>
      <c r="B720" s="170"/>
      <c r="C720" s="152"/>
      <c r="D720" s="179" t="s">
        <v>252</v>
      </c>
      <c r="E720" s="373"/>
      <c r="F720" s="373"/>
      <c r="G720" s="373"/>
      <c r="H720" s="373"/>
      <c r="I720" s="373"/>
      <c r="J720" s="373"/>
      <c r="K720" s="373"/>
      <c r="L720" s="373"/>
      <c r="M720" s="373"/>
      <c r="N720" s="373"/>
      <c r="O720" s="373"/>
      <c r="P720" s="373"/>
      <c r="Q720" s="373"/>
      <c r="R720" s="373"/>
      <c r="S720" s="373"/>
      <c r="T720" s="373"/>
      <c r="U720" s="373"/>
      <c r="V720" s="373"/>
      <c r="W720" s="373"/>
      <c r="X720" s="373"/>
      <c r="Y720" s="373"/>
      <c r="Z720" s="373"/>
      <c r="AA720" s="169"/>
      <c r="AB720" s="159" t="s">
        <v>281</v>
      </c>
      <c r="AD720" s="172" t="s">
        <v>249</v>
      </c>
      <c r="AE720" s="167"/>
      <c r="AF720" s="164">
        <f t="shared" si="165"/>
        <v>0</v>
      </c>
      <c r="AG720" s="164">
        <f>IF(AND(SUM(AF:AF)&gt;0,OR(AND(B720=1,Y671="No"),AND(B720=1,E720="",Y671="Yes"),AND(B720="",E720="",Y671="Yes"),AND(B720="",E720&lt;&gt;"",Y671="Yes"),AND(B720=0,E720&lt;&gt;"",Y671="Yes"))),1,0)</f>
        <v>0</v>
      </c>
      <c r="AI720" s="190">
        <v>1</v>
      </c>
    </row>
    <row r="721" spans="1:35" s="180" customFormat="1" ht="18" hidden="1" customHeight="1" x14ac:dyDescent="0.2">
      <c r="A721" s="163" t="str">
        <f t="shared" si="163"/>
        <v/>
      </c>
      <c r="B721" s="170"/>
      <c r="C721" s="152"/>
      <c r="D721" s="179" t="s">
        <v>252</v>
      </c>
      <c r="E721" s="373"/>
      <c r="F721" s="373"/>
      <c r="G721" s="373"/>
      <c r="H721" s="373"/>
      <c r="I721" s="373"/>
      <c r="J721" s="373"/>
      <c r="K721" s="373"/>
      <c r="L721" s="373"/>
      <c r="M721" s="373"/>
      <c r="N721" s="373"/>
      <c r="O721" s="373"/>
      <c r="P721" s="373"/>
      <c r="Q721" s="373"/>
      <c r="R721" s="373"/>
      <c r="S721" s="373"/>
      <c r="T721" s="373"/>
      <c r="U721" s="373"/>
      <c r="V721" s="373"/>
      <c r="W721" s="373"/>
      <c r="X721" s="373"/>
      <c r="Y721" s="373"/>
      <c r="Z721" s="373"/>
      <c r="AA721" s="169"/>
      <c r="AB721" s="159" t="s">
        <v>281</v>
      </c>
      <c r="AD721" s="172" t="s">
        <v>249</v>
      </c>
      <c r="AE721" s="167"/>
      <c r="AF721" s="164">
        <f t="shared" si="165"/>
        <v>0</v>
      </c>
      <c r="AG721" s="164">
        <f>IF(AND(SUM(AF:AF)&gt;0,OR(AND(B721=1,Y671="No"),AND(B721=1,E721="",Y671="Yes"),AND(B721="",E721="",Y671="Yes"),AND(B721="",E721&lt;&gt;"",Y671="Yes"),AND(B721=0,E721&lt;&gt;"",Y671="Yes"))),1,0)</f>
        <v>0</v>
      </c>
      <c r="AI721" s="190">
        <v>1</v>
      </c>
    </row>
    <row r="722" spans="1:35" s="180" customFormat="1" ht="18" hidden="1" customHeight="1" x14ac:dyDescent="0.2">
      <c r="A722" s="163" t="str">
        <f t="shared" si="163"/>
        <v/>
      </c>
      <c r="B722" s="170"/>
      <c r="C722" s="152"/>
      <c r="D722" s="375" t="s">
        <v>320</v>
      </c>
      <c r="E722" s="375"/>
      <c r="F722" s="375"/>
      <c r="G722" s="375"/>
      <c r="H722" s="375"/>
      <c r="I722" s="375"/>
      <c r="J722" s="375"/>
      <c r="K722" s="375"/>
      <c r="L722" s="375"/>
      <c r="M722" s="375"/>
      <c r="N722" s="375"/>
      <c r="O722" s="375"/>
      <c r="P722" s="375"/>
      <c r="Q722" s="375"/>
      <c r="R722" s="187"/>
      <c r="S722" s="378" t="s">
        <v>321</v>
      </c>
      <c r="T722" s="378"/>
      <c r="U722" s="378"/>
      <c r="V722" s="378"/>
      <c r="W722" s="378"/>
      <c r="X722" s="378"/>
      <c r="Y722" s="378"/>
      <c r="Z722" s="378"/>
      <c r="AA722" s="169"/>
      <c r="AB722" s="159" t="s">
        <v>281</v>
      </c>
      <c r="AD722" s="172" t="s">
        <v>249</v>
      </c>
      <c r="AE722" s="167"/>
      <c r="AF722" s="164">
        <f t="shared" si="165"/>
        <v>0</v>
      </c>
      <c r="AG722" s="164">
        <f>IF(AND(SUM(AF:AF)&gt;0,OR(AND(B722=1,Y671="No"),AND(B722=1,R722="",Y671="Yes"),AND(B722="",R722="",Y671="Yes"),AND(B722="",R722&lt;&gt;"",Y671="Yes"),AND(B722=0,R722&lt;&gt;"",Y671="Yes"))),1,0)</f>
        <v>0</v>
      </c>
      <c r="AI722" s="190">
        <v>1</v>
      </c>
    </row>
    <row r="723" spans="1:35" ht="21" hidden="1" customHeight="1" x14ac:dyDescent="0.2">
      <c r="A723" s="163" t="str">
        <f t="shared" si="163"/>
        <v/>
      </c>
      <c r="B723" s="164">
        <v>0</v>
      </c>
      <c r="D723" s="379" t="s">
        <v>258</v>
      </c>
      <c r="E723" s="379"/>
      <c r="F723" s="379"/>
      <c r="G723" s="379"/>
      <c r="H723" s="379"/>
      <c r="I723" s="379"/>
      <c r="J723" s="379"/>
      <c r="K723" s="379"/>
      <c r="L723" s="379"/>
      <c r="M723" s="379"/>
      <c r="N723" s="379"/>
      <c r="O723" s="379"/>
      <c r="P723" s="379"/>
      <c r="Q723" s="379"/>
      <c r="R723" s="379"/>
      <c r="S723" s="379"/>
      <c r="T723" s="379"/>
      <c r="U723" s="379"/>
      <c r="V723" s="379"/>
      <c r="W723" s="379"/>
      <c r="X723" s="379"/>
      <c r="Y723" s="379"/>
      <c r="Z723" s="379"/>
      <c r="AB723" s="166" t="s">
        <v>259</v>
      </c>
      <c r="AD723" s="165" t="s">
        <v>260</v>
      </c>
      <c r="AE723" s="134"/>
      <c r="AF723" s="22"/>
      <c r="AG723" s="22"/>
      <c r="AI723" s="190">
        <v>1</v>
      </c>
    </row>
    <row r="724" spans="1:35" ht="15.75" hidden="1" customHeight="1" x14ac:dyDescent="0.2">
      <c r="A724" s="163"/>
      <c r="B724" s="164">
        <v>0</v>
      </c>
      <c r="D724" s="369" t="s">
        <v>261</v>
      </c>
      <c r="E724" s="369"/>
      <c r="F724" s="369"/>
      <c r="G724" s="369"/>
      <c r="H724" s="369"/>
      <c r="I724" s="369"/>
      <c r="J724" s="369"/>
      <c r="K724" s="369"/>
      <c r="L724" s="369"/>
      <c r="M724" s="369"/>
      <c r="N724" s="369"/>
      <c r="O724" s="369"/>
      <c r="P724" s="369"/>
      <c r="Q724" s="369"/>
      <c r="R724" s="369"/>
      <c r="S724" s="369"/>
      <c r="T724" s="369"/>
      <c r="U724" s="369"/>
      <c r="V724" s="369"/>
      <c r="W724" s="369"/>
      <c r="X724" s="369"/>
      <c r="Y724" s="369"/>
      <c r="Z724" s="369"/>
      <c r="AB724" s="166" t="s">
        <v>259</v>
      </c>
      <c r="AD724" s="165" t="s">
        <v>260</v>
      </c>
      <c r="AE724" s="134"/>
      <c r="AF724" s="22"/>
      <c r="AG724" s="22"/>
      <c r="AI724" s="190">
        <v>1</v>
      </c>
    </row>
    <row r="725" spans="1:35" ht="8.5" hidden="1" customHeight="1" x14ac:dyDescent="0.15">
      <c r="A725" s="163" t="str">
        <f>IF(AG725=1,"X","")</f>
        <v/>
      </c>
      <c r="B725" s="164">
        <f>IF(OR(D726="Show",Q726="Show"),1,0)</f>
        <v>0</v>
      </c>
      <c r="D725" s="368"/>
      <c r="E725" s="368"/>
      <c r="F725" s="368"/>
      <c r="G725" s="368"/>
      <c r="H725" s="368"/>
      <c r="I725" s="368"/>
      <c r="J725" s="368"/>
      <c r="K725" s="368"/>
      <c r="L725" s="368"/>
      <c r="M725" s="368"/>
      <c r="N725" s="368"/>
      <c r="O725" s="368"/>
      <c r="P725" s="368"/>
      <c r="Q725" s="368"/>
      <c r="R725" s="368"/>
      <c r="S725" s="368"/>
      <c r="T725" s="368"/>
      <c r="U725" s="368"/>
      <c r="V725" s="368"/>
      <c r="W725" s="368"/>
      <c r="X725" s="368"/>
      <c r="Y725" s="368"/>
      <c r="Z725" s="368"/>
      <c r="AD725" s="165" t="s">
        <v>227</v>
      </c>
      <c r="AE725" s="156"/>
      <c r="AF725" s="22"/>
      <c r="AG725" s="22"/>
      <c r="AI725" s="190">
        <v>1</v>
      </c>
    </row>
    <row r="726" spans="1:35" ht="18" hidden="1" customHeight="1" x14ac:dyDescent="0.2">
      <c r="A726" s="163" t="str">
        <f t="shared" ref="A726:A729" si="166">IF(AG726=1,"X","")</f>
        <v/>
      </c>
      <c r="B726" s="164">
        <v>0</v>
      </c>
      <c r="D726" s="370" t="s">
        <v>267</v>
      </c>
      <c r="E726" s="370"/>
      <c r="F726" s="370"/>
      <c r="G726" s="370"/>
      <c r="H726" s="370"/>
      <c r="I726" s="370"/>
      <c r="J726" s="370"/>
      <c r="K726" s="370"/>
      <c r="L726" s="370"/>
      <c r="M726" s="370"/>
      <c r="N726" s="370"/>
      <c r="O726" s="175"/>
      <c r="P726" s="175"/>
      <c r="Q726" s="370" t="s">
        <v>267</v>
      </c>
      <c r="R726" s="370"/>
      <c r="S726" s="370"/>
      <c r="T726" s="370"/>
      <c r="U726" s="370"/>
      <c r="V726" s="370"/>
      <c r="W726" s="370"/>
      <c r="X726" s="370"/>
      <c r="Y726" s="370"/>
      <c r="Z726" s="370"/>
      <c r="AA726" s="176"/>
      <c r="AB726" s="159" t="s">
        <v>262</v>
      </c>
      <c r="AD726" s="172" t="s">
        <v>249</v>
      </c>
      <c r="AE726" s="134"/>
      <c r="AF726" s="164">
        <f>IF(OR(D726="Show",D726="",Q726="Show",Q726=""),1,0)</f>
        <v>0</v>
      </c>
      <c r="AG726" s="164">
        <f>IF(AND(SUM(AF:AF)&gt;0,OR(D726="",Q726="")),1,0)</f>
        <v>0</v>
      </c>
      <c r="AI726" s="190">
        <v>1</v>
      </c>
    </row>
    <row r="727" spans="1:35" ht="197.25" hidden="1" customHeight="1" x14ac:dyDescent="0.2">
      <c r="A727" s="163" t="str">
        <f t="shared" si="166"/>
        <v/>
      </c>
      <c r="B727" s="164">
        <f>B725</f>
        <v>0</v>
      </c>
      <c r="D727" s="370"/>
      <c r="E727" s="370"/>
      <c r="F727" s="370"/>
      <c r="G727" s="370"/>
      <c r="H727" s="370"/>
      <c r="I727" s="370"/>
      <c r="J727" s="370"/>
      <c r="K727" s="370"/>
      <c r="L727" s="370"/>
      <c r="M727" s="370"/>
      <c r="N727" s="370"/>
      <c r="O727" s="175"/>
      <c r="P727" s="175"/>
      <c r="Q727" s="370"/>
      <c r="R727" s="370"/>
      <c r="S727" s="370"/>
      <c r="T727" s="370"/>
      <c r="U727" s="370"/>
      <c r="V727" s="370"/>
      <c r="W727" s="370"/>
      <c r="X727" s="370"/>
      <c r="Y727" s="370"/>
      <c r="Z727" s="370"/>
      <c r="AA727" s="176"/>
      <c r="AB727" s="159" t="s">
        <v>263</v>
      </c>
      <c r="AD727" s="172" t="s">
        <v>249</v>
      </c>
      <c r="AE727" s="167"/>
      <c r="AF727" s="22"/>
      <c r="AG727" s="22"/>
      <c r="AI727" s="190">
        <v>1</v>
      </c>
    </row>
    <row r="728" spans="1:35" ht="18" hidden="1" customHeight="1" x14ac:dyDescent="0.2">
      <c r="A728" s="163" t="str">
        <f t="shared" si="166"/>
        <v/>
      </c>
      <c r="B728" s="164">
        <f>B727</f>
        <v>0</v>
      </c>
      <c r="D728" s="371"/>
      <c r="E728" s="371"/>
      <c r="F728" s="371"/>
      <c r="G728" s="371"/>
      <c r="H728" s="371"/>
      <c r="I728" s="371"/>
      <c r="J728" s="371"/>
      <c r="K728" s="371"/>
      <c r="L728" s="371"/>
      <c r="M728" s="371"/>
      <c r="N728" s="371"/>
      <c r="O728" s="175"/>
      <c r="P728" s="175"/>
      <c r="Q728" s="371"/>
      <c r="R728" s="371"/>
      <c r="S728" s="371"/>
      <c r="T728" s="371"/>
      <c r="U728" s="371"/>
      <c r="V728" s="371"/>
      <c r="W728" s="371"/>
      <c r="X728" s="371"/>
      <c r="Y728" s="371"/>
      <c r="Z728" s="371"/>
      <c r="AA728" s="176"/>
      <c r="AB728" s="159" t="s">
        <v>264</v>
      </c>
      <c r="AD728" s="172" t="s">
        <v>249</v>
      </c>
      <c r="AE728" s="167"/>
      <c r="AF728" s="164">
        <f>IF(OR(D726="Show",D726="",Q726="Show",Q726=""),1,0)</f>
        <v>0</v>
      </c>
      <c r="AG728" s="164">
        <f>IF(AND(SUM(AF:AF)&gt;0,OR(AND(D726="Show",D728=""),AND(Q726="Show",Q728=""))),1,0)</f>
        <v>0</v>
      </c>
      <c r="AI728" s="190">
        <v>1</v>
      </c>
    </row>
    <row r="729" spans="1:35" ht="8.5" hidden="1" customHeight="1" x14ac:dyDescent="0.15">
      <c r="A729" s="163" t="str">
        <f t="shared" si="166"/>
        <v/>
      </c>
      <c r="B729" s="164">
        <f>B728</f>
        <v>0</v>
      </c>
      <c r="D729" s="368"/>
      <c r="E729" s="368"/>
      <c r="F729" s="368"/>
      <c r="G729" s="368"/>
      <c r="H729" s="368"/>
      <c r="I729" s="368"/>
      <c r="J729" s="368"/>
      <c r="K729" s="368"/>
      <c r="L729" s="368"/>
      <c r="M729" s="368"/>
      <c r="N729" s="368"/>
      <c r="O729" s="368"/>
      <c r="P729" s="368"/>
      <c r="Q729" s="368"/>
      <c r="R729" s="368"/>
      <c r="S729" s="368"/>
      <c r="T729" s="368"/>
      <c r="U729" s="368"/>
      <c r="V729" s="368"/>
      <c r="W729" s="368"/>
      <c r="X729" s="368"/>
      <c r="Y729" s="368"/>
      <c r="Z729" s="368"/>
      <c r="AA729" s="176"/>
      <c r="AD729" s="165" t="s">
        <v>227</v>
      </c>
      <c r="AE729" s="156"/>
      <c r="AF729" s="22"/>
      <c r="AG729" s="22"/>
      <c r="AI729" s="190">
        <v>1</v>
      </c>
    </row>
    <row r="730" spans="1:35" ht="15.75" hidden="1" customHeight="1" x14ac:dyDescent="0.2">
      <c r="A730" s="163"/>
      <c r="B730" s="164">
        <v>0</v>
      </c>
      <c r="D730" s="369" t="s">
        <v>265</v>
      </c>
      <c r="E730" s="369"/>
      <c r="F730" s="369"/>
      <c r="G730" s="369"/>
      <c r="H730" s="369"/>
      <c r="I730" s="369"/>
      <c r="J730" s="369"/>
      <c r="K730" s="369"/>
      <c r="L730" s="369"/>
      <c r="M730" s="369"/>
      <c r="N730" s="369"/>
      <c r="O730" s="369"/>
      <c r="P730" s="369"/>
      <c r="Q730" s="369"/>
      <c r="R730" s="369"/>
      <c r="S730" s="369"/>
      <c r="T730" s="369"/>
      <c r="U730" s="369"/>
      <c r="V730" s="369"/>
      <c r="W730" s="369"/>
      <c r="X730" s="369"/>
      <c r="Y730" s="369"/>
      <c r="Z730" s="369"/>
      <c r="AB730" s="166" t="s">
        <v>259</v>
      </c>
      <c r="AD730" s="165" t="s">
        <v>260</v>
      </c>
      <c r="AE730" s="134"/>
      <c r="AF730" s="22"/>
      <c r="AG730" s="22"/>
      <c r="AI730" s="190">
        <v>1</v>
      </c>
    </row>
    <row r="731" spans="1:35" ht="25" hidden="1" customHeight="1" x14ac:dyDescent="0.2">
      <c r="A731" s="163"/>
      <c r="B731" s="164">
        <v>0</v>
      </c>
      <c r="D731" s="374" t="str">
        <f>CONCATENATE("↑ Room Section ", N673," ↑")</f>
        <v>↑ Room Section 9 ↑</v>
      </c>
      <c r="E731" s="374"/>
      <c r="F731" s="374"/>
      <c r="G731" s="374"/>
      <c r="H731" s="374"/>
      <c r="I731" s="374"/>
      <c r="J731" s="374"/>
      <c r="K731" s="374"/>
      <c r="L731" s="374"/>
      <c r="M731" s="374"/>
      <c r="N731" s="374"/>
      <c r="O731" s="374"/>
      <c r="P731" s="374"/>
      <c r="Q731" s="374"/>
      <c r="R731" s="374"/>
      <c r="S731" s="374"/>
      <c r="T731" s="374"/>
      <c r="U731" s="374"/>
      <c r="V731" s="374"/>
      <c r="W731" s="374"/>
      <c r="X731" s="374"/>
      <c r="Y731" s="374"/>
      <c r="Z731" s="374"/>
      <c r="AB731" s="166" t="s">
        <v>259</v>
      </c>
      <c r="AD731" s="165" t="s">
        <v>260</v>
      </c>
      <c r="AE731" s="134"/>
      <c r="AF731" s="22"/>
      <c r="AG731" s="22"/>
      <c r="AI731" s="190">
        <v>1</v>
      </c>
    </row>
    <row r="732" spans="1:35" ht="21" hidden="1" customHeight="1" x14ac:dyDescent="0.2">
      <c r="A732" s="163" t="str">
        <f>IF(OR(SUM(AG733:AG792),Y732=""),"X","")</f>
        <v/>
      </c>
      <c r="B732" s="164">
        <v>0</v>
      </c>
      <c r="D732" s="381" t="str">
        <f>CONCATENATE("Show Room ",N734," Inspection Section?")</f>
        <v>Show Room 10 Inspection Section?</v>
      </c>
      <c r="E732" s="381"/>
      <c r="F732" s="381"/>
      <c r="G732" s="381"/>
      <c r="H732" s="381"/>
      <c r="I732" s="381"/>
      <c r="J732" s="381"/>
      <c r="K732" s="381"/>
      <c r="L732" s="381"/>
      <c r="M732" s="381"/>
      <c r="N732" s="381"/>
      <c r="O732" s="381"/>
      <c r="P732" s="381"/>
      <c r="Q732" s="381"/>
      <c r="R732" s="381"/>
      <c r="S732" s="381"/>
      <c r="T732" s="381"/>
      <c r="U732" s="381"/>
      <c r="V732" s="381"/>
      <c r="W732" s="381"/>
      <c r="X732" s="381"/>
      <c r="Y732" s="382" t="s">
        <v>114</v>
      </c>
      <c r="Z732" s="383"/>
      <c r="AB732" s="166" t="s">
        <v>259</v>
      </c>
      <c r="AD732" s="165" t="s">
        <v>260</v>
      </c>
      <c r="AE732" s="134"/>
      <c r="AF732" s="22"/>
      <c r="AG732" s="22"/>
      <c r="AI732" s="190">
        <v>1</v>
      </c>
    </row>
    <row r="733" spans="1:35" ht="25" hidden="1" customHeight="1" x14ac:dyDescent="0.2">
      <c r="A733" s="163"/>
      <c r="B733" s="164">
        <v>0</v>
      </c>
      <c r="D733" s="374" t="str">
        <f>CONCATENATE("↓ Room Section ", N734," ↓")</f>
        <v>↓ Room Section 10 ↓</v>
      </c>
      <c r="E733" s="374"/>
      <c r="F733" s="374"/>
      <c r="G733" s="374"/>
      <c r="H733" s="374"/>
      <c r="I733" s="374"/>
      <c r="J733" s="374"/>
      <c r="K733" s="374"/>
      <c r="L733" s="374"/>
      <c r="M733" s="374"/>
      <c r="N733" s="374"/>
      <c r="O733" s="374"/>
      <c r="P733" s="374"/>
      <c r="Q733" s="374"/>
      <c r="R733" s="374"/>
      <c r="S733" s="374"/>
      <c r="T733" s="374"/>
      <c r="U733" s="374"/>
      <c r="V733" s="374"/>
      <c r="W733" s="374"/>
      <c r="X733" s="374"/>
      <c r="Y733" s="374"/>
      <c r="Z733" s="374"/>
      <c r="AB733" s="166" t="s">
        <v>259</v>
      </c>
      <c r="AD733" s="165" t="s">
        <v>260</v>
      </c>
      <c r="AE733" s="134"/>
      <c r="AF733" s="22"/>
      <c r="AG733" s="22"/>
      <c r="AI733" s="190">
        <v>1</v>
      </c>
    </row>
    <row r="734" spans="1:35" ht="21" hidden="1" customHeight="1" x14ac:dyDescent="0.15">
      <c r="A734" s="163" t="str">
        <f t="shared" ref="A734:A746" si="167">IF(AG734=1,"X","")</f>
        <v/>
      </c>
      <c r="B734" s="164">
        <f>IF(Y$732="Yes",1,0)</f>
        <v>0</v>
      </c>
      <c r="D734" s="384" t="s">
        <v>404</v>
      </c>
      <c r="E734" s="384"/>
      <c r="F734" s="384"/>
      <c r="G734" s="384"/>
      <c r="H734" s="384"/>
      <c r="I734" s="384"/>
      <c r="J734" s="384"/>
      <c r="K734" s="384"/>
      <c r="L734" s="385" t="s">
        <v>394</v>
      </c>
      <c r="M734" s="385"/>
      <c r="N734" s="380">
        <f>N673+1</f>
        <v>10</v>
      </c>
      <c r="O734" s="380"/>
      <c r="P734" s="380"/>
      <c r="Q734" s="380"/>
      <c r="R734" s="380"/>
      <c r="S734" s="380"/>
      <c r="T734" s="380"/>
      <c r="U734" s="380"/>
      <c r="V734" s="380"/>
      <c r="W734" s="380"/>
      <c r="X734" s="380"/>
      <c r="Y734" s="380"/>
      <c r="Z734" s="380"/>
      <c r="AB734" s="166" t="s">
        <v>462</v>
      </c>
      <c r="AD734" s="165" t="s">
        <v>463</v>
      </c>
      <c r="AE734" s="134"/>
      <c r="AF734" s="22"/>
      <c r="AG734" s="22"/>
      <c r="AI734" s="190">
        <v>1</v>
      </c>
    </row>
    <row r="735" spans="1:35" s="180" customFormat="1" ht="18" hidden="1" customHeight="1" x14ac:dyDescent="0.2">
      <c r="A735" s="163" t="str">
        <f t="shared" si="167"/>
        <v/>
      </c>
      <c r="B735" s="164">
        <f>IF(Y$732="Yes",1,0)</f>
        <v>0</v>
      </c>
      <c r="C735" s="152"/>
      <c r="D735" s="378" t="s">
        <v>392</v>
      </c>
      <c r="E735" s="378"/>
      <c r="F735" s="378"/>
      <c r="G735" s="378"/>
      <c r="H735" s="378"/>
      <c r="I735" s="373"/>
      <c r="J735" s="373"/>
      <c r="K735" s="373"/>
      <c r="L735" s="373"/>
      <c r="M735" s="373"/>
      <c r="N735" s="373"/>
      <c r="O735" s="373"/>
      <c r="P735" s="373"/>
      <c r="Q735" s="373"/>
      <c r="R735" s="373"/>
      <c r="S735" s="373"/>
      <c r="T735" s="373"/>
      <c r="U735" s="373"/>
      <c r="V735" s="373"/>
      <c r="W735" s="373"/>
      <c r="X735" s="373"/>
      <c r="Y735" s="373"/>
      <c r="Z735" s="373"/>
      <c r="AA735" s="169"/>
      <c r="AB735" s="159" t="s">
        <v>464</v>
      </c>
      <c r="AD735" s="165" t="s">
        <v>463</v>
      </c>
      <c r="AE735" s="167"/>
      <c r="AF735" s="164">
        <f t="shared" ref="AF735:AF736" si="168">IF(B735&lt;&gt;"",1,0)</f>
        <v>1</v>
      </c>
      <c r="AG735" s="164">
        <f>IF(AND(SUM(AF:AF)&gt;0,OR(AND(B735=1,Y732="No"),AND(B735=1,I735="",Y732="Yes"),AND(B735="",I735="",Y732="Yes"),AND(B735="",I735&lt;&gt;"",Y732="Yes"),AND(B735=0,I735&lt;&gt;"",Y732="Yes"))),1,0)</f>
        <v>0</v>
      </c>
      <c r="AI735" s="190">
        <v>1</v>
      </c>
    </row>
    <row r="736" spans="1:35" s="180" customFormat="1" ht="18" hidden="1" customHeight="1" x14ac:dyDescent="0.2">
      <c r="A736" s="163" t="str">
        <f t="shared" si="167"/>
        <v/>
      </c>
      <c r="B736" s="164">
        <f>IF(Y$732="Yes",1,0)</f>
        <v>0</v>
      </c>
      <c r="C736" s="152"/>
      <c r="D736" s="378" t="s">
        <v>393</v>
      </c>
      <c r="E736" s="378"/>
      <c r="F736" s="378"/>
      <c r="G736" s="378"/>
      <c r="H736" s="378"/>
      <c r="I736" s="373"/>
      <c r="J736" s="373"/>
      <c r="K736" s="373"/>
      <c r="L736" s="373"/>
      <c r="M736" s="373"/>
      <c r="N736" s="373"/>
      <c r="O736" s="373"/>
      <c r="P736" s="373"/>
      <c r="Q736" s="373"/>
      <c r="R736" s="373"/>
      <c r="S736" s="373"/>
      <c r="T736" s="373"/>
      <c r="U736" s="373"/>
      <c r="V736" s="373"/>
      <c r="W736" s="373"/>
      <c r="X736" s="373"/>
      <c r="Y736" s="373"/>
      <c r="Z736" s="373"/>
      <c r="AA736" s="169"/>
      <c r="AB736" s="159" t="s">
        <v>464</v>
      </c>
      <c r="AD736" s="165" t="s">
        <v>463</v>
      </c>
      <c r="AE736" s="167"/>
      <c r="AF736" s="164">
        <f t="shared" si="168"/>
        <v>1</v>
      </c>
      <c r="AG736" s="164">
        <f>IF(AND(SUM(AF:AF)&gt;0,OR(AND(B736=1,Y732="No"),AND(B736=1,I736="",Y732="Yes"),AND(B736="",I736="",Y732="Yes"),AND(B736="",I736&lt;&gt;"",Y732="Yes"),AND(B736=0,I736&lt;&gt;"",Y732="Yes"))),1,0)</f>
        <v>0</v>
      </c>
      <c r="AI736" s="190">
        <v>1</v>
      </c>
    </row>
    <row r="737" spans="1:35" ht="21" hidden="1" customHeight="1" x14ac:dyDescent="0.15">
      <c r="A737" s="163" t="str">
        <f t="shared" si="167"/>
        <v/>
      </c>
      <c r="B737" s="164">
        <f>IF(Y$732="Yes",1,0)</f>
        <v>0</v>
      </c>
      <c r="D737" s="380" t="s">
        <v>313</v>
      </c>
      <c r="E737" s="380"/>
      <c r="F737" s="380"/>
      <c r="G737" s="380"/>
      <c r="H737" s="380"/>
      <c r="I737" s="380"/>
      <c r="J737" s="380"/>
      <c r="K737" s="380"/>
      <c r="L737" s="380"/>
      <c r="M737" s="380"/>
      <c r="N737" s="380"/>
      <c r="O737" s="380"/>
      <c r="P737" s="380"/>
      <c r="Q737" s="380"/>
      <c r="R737" s="380"/>
      <c r="S737" s="380"/>
      <c r="T737" s="380"/>
      <c r="U737" s="380"/>
      <c r="V737" s="380"/>
      <c r="W737" s="380"/>
      <c r="X737" s="380"/>
      <c r="Y737" s="380"/>
      <c r="Z737" s="380"/>
      <c r="AB737" s="166" t="s">
        <v>462</v>
      </c>
      <c r="AD737" s="165" t="s">
        <v>463</v>
      </c>
      <c r="AE737" s="134"/>
      <c r="AF737" s="22"/>
      <c r="AG737" s="22"/>
      <c r="AI737" s="190">
        <v>1</v>
      </c>
    </row>
    <row r="738" spans="1:35" s="180" customFormat="1" ht="18" hidden="1" customHeight="1" x14ac:dyDescent="0.2">
      <c r="A738" s="163" t="str">
        <f t="shared" si="167"/>
        <v/>
      </c>
      <c r="B738" s="170"/>
      <c r="C738" s="152"/>
      <c r="D738" s="378" t="s">
        <v>397</v>
      </c>
      <c r="E738" s="378"/>
      <c r="F738" s="378"/>
      <c r="G738" s="378"/>
      <c r="H738" s="378"/>
      <c r="I738" s="378"/>
      <c r="J738" s="378"/>
      <c r="K738" s="378"/>
      <c r="L738" s="378"/>
      <c r="M738" s="378"/>
      <c r="N738" s="378"/>
      <c r="O738" s="378"/>
      <c r="P738" s="378"/>
      <c r="Q738" s="378"/>
      <c r="R738" s="378"/>
      <c r="S738" s="378"/>
      <c r="T738" s="378"/>
      <c r="U738" s="378"/>
      <c r="V738" s="378"/>
      <c r="W738" s="378"/>
      <c r="X738" s="378"/>
      <c r="Y738" s="378"/>
      <c r="Z738" s="378"/>
      <c r="AA738" s="169"/>
      <c r="AB738" s="159" t="s">
        <v>281</v>
      </c>
      <c r="AD738" s="172" t="s">
        <v>249</v>
      </c>
      <c r="AE738" s="167"/>
      <c r="AF738" s="164">
        <f t="shared" ref="AF738:AF739" si="169">IF(B738&lt;&gt;"",1,0)</f>
        <v>0</v>
      </c>
      <c r="AG738" s="164">
        <f>IF(AND(SUM(AF:AF)&gt;0,OR(AND(B738="",Y732="Yes"),AND(B738=1,Y732="No"))),1,0)</f>
        <v>0</v>
      </c>
      <c r="AI738" s="190">
        <v>1</v>
      </c>
    </row>
    <row r="739" spans="1:35" s="180" customFormat="1" ht="18" hidden="1" customHeight="1" x14ac:dyDescent="0.2">
      <c r="A739" s="163" t="str">
        <f t="shared" si="167"/>
        <v/>
      </c>
      <c r="B739" s="170"/>
      <c r="C739" s="152"/>
      <c r="D739" s="378" t="s">
        <v>398</v>
      </c>
      <c r="E739" s="378"/>
      <c r="F739" s="378"/>
      <c r="G739" s="378"/>
      <c r="H739" s="378"/>
      <c r="I739" s="378"/>
      <c r="J739" s="378"/>
      <c r="K739" s="378"/>
      <c r="L739" s="378"/>
      <c r="M739" s="378"/>
      <c r="N739" s="378"/>
      <c r="O739" s="378"/>
      <c r="P739" s="378"/>
      <c r="Q739" s="378"/>
      <c r="R739" s="378"/>
      <c r="S739" s="378"/>
      <c r="T739" s="378"/>
      <c r="U739" s="378"/>
      <c r="V739" s="378"/>
      <c r="W739" s="378"/>
      <c r="X739" s="378"/>
      <c r="Y739" s="378"/>
      <c r="Z739" s="378"/>
      <c r="AA739" s="169"/>
      <c r="AB739" s="159" t="s">
        <v>281</v>
      </c>
      <c r="AD739" s="172" t="s">
        <v>249</v>
      </c>
      <c r="AE739" s="167"/>
      <c r="AF739" s="164">
        <f t="shared" si="169"/>
        <v>0</v>
      </c>
      <c r="AG739" s="164">
        <f>IF(AND(SUM(AF:AF)&gt;0,OR(AND(B739="",Y732="Yes"),AND(B739=1,Y732="No"))),1,0)</f>
        <v>0</v>
      </c>
      <c r="AI739" s="190">
        <v>1</v>
      </c>
    </row>
    <row r="740" spans="1:35" s="180" customFormat="1" ht="18" hidden="1" customHeight="1" x14ac:dyDescent="0.2">
      <c r="A740" s="163" t="str">
        <f t="shared" si="167"/>
        <v/>
      </c>
      <c r="B740" s="170"/>
      <c r="C740" s="152"/>
      <c r="D740" s="179" t="s">
        <v>252</v>
      </c>
      <c r="E740" s="378" t="s">
        <v>315</v>
      </c>
      <c r="F740" s="378"/>
      <c r="G740" s="378"/>
      <c r="H740" s="378"/>
      <c r="I740" s="378"/>
      <c r="J740" s="378"/>
      <c r="K740" s="378"/>
      <c r="L740" s="378"/>
      <c r="M740" s="378"/>
      <c r="N740" s="378"/>
      <c r="O740" s="378"/>
      <c r="P740" s="378"/>
      <c r="Q740" s="378"/>
      <c r="R740" s="378"/>
      <c r="S740" s="378"/>
      <c r="T740" s="378"/>
      <c r="U740" s="378"/>
      <c r="V740" s="378"/>
      <c r="W740" s="378"/>
      <c r="X740" s="378"/>
      <c r="Y740" s="378"/>
      <c r="Z740" s="378"/>
      <c r="AA740" s="169"/>
      <c r="AB740" s="159" t="s">
        <v>281</v>
      </c>
      <c r="AD740" s="172" t="s">
        <v>249</v>
      </c>
      <c r="AE740" s="167"/>
      <c r="AF740" s="164">
        <f t="shared" ref="AF740:AF741" si="170">IF(B740&lt;&gt;"",1,0)</f>
        <v>0</v>
      </c>
      <c r="AG740" s="164">
        <f>IF(AND(SUM(AF:AF)&gt;0,OR(AND(B740="",Y732="Yes"),AND(B740=1,Y732="No"))),1,0)</f>
        <v>0</v>
      </c>
      <c r="AI740" s="190">
        <v>1</v>
      </c>
    </row>
    <row r="741" spans="1:35" s="180" customFormat="1" ht="18" hidden="1" customHeight="1" x14ac:dyDescent="0.2">
      <c r="A741" s="163" t="str">
        <f t="shared" si="167"/>
        <v/>
      </c>
      <c r="B741" s="170"/>
      <c r="C741" s="152"/>
      <c r="D741" s="179" t="s">
        <v>252</v>
      </c>
      <c r="E741" s="378" t="s">
        <v>316</v>
      </c>
      <c r="F741" s="378"/>
      <c r="G741" s="378"/>
      <c r="H741" s="378"/>
      <c r="I741" s="378"/>
      <c r="J741" s="378"/>
      <c r="K741" s="378"/>
      <c r="L741" s="378"/>
      <c r="M741" s="378"/>
      <c r="N741" s="378"/>
      <c r="O741" s="378"/>
      <c r="P741" s="378"/>
      <c r="Q741" s="378"/>
      <c r="R741" s="378"/>
      <c r="S741" s="378"/>
      <c r="T741" s="378"/>
      <c r="U741" s="378"/>
      <c r="V741" s="378"/>
      <c r="W741" s="378"/>
      <c r="X741" s="378"/>
      <c r="Y741" s="378"/>
      <c r="Z741" s="378"/>
      <c r="AA741" s="169"/>
      <c r="AB741" s="159" t="s">
        <v>281</v>
      </c>
      <c r="AD741" s="172" t="s">
        <v>249</v>
      </c>
      <c r="AE741" s="167"/>
      <c r="AF741" s="164">
        <f t="shared" si="170"/>
        <v>0</v>
      </c>
      <c r="AG741" s="164">
        <f>IF(AND(SUM(AF:AF)&gt;0,OR(AND(B741="",Y732="Yes"),AND(B741=1,Y732="No"))),1,0)</f>
        <v>0</v>
      </c>
      <c r="AI741" s="190">
        <v>1</v>
      </c>
    </row>
    <row r="742" spans="1:35" s="180" customFormat="1" ht="18.5" hidden="1" customHeight="1" x14ac:dyDescent="0.2">
      <c r="A742" s="163" t="str">
        <f t="shared" si="167"/>
        <v/>
      </c>
      <c r="B742" s="164">
        <v>0</v>
      </c>
      <c r="C742" s="152"/>
      <c r="D742" s="179" t="s">
        <v>252</v>
      </c>
      <c r="E742" s="378" t="s">
        <v>312</v>
      </c>
      <c r="F742" s="378"/>
      <c r="G742" s="378"/>
      <c r="H742" s="378"/>
      <c r="I742" s="378"/>
      <c r="J742" s="378"/>
      <c r="K742" s="378"/>
      <c r="L742" s="378"/>
      <c r="M742" s="378"/>
      <c r="N742" s="378"/>
      <c r="O742" s="378"/>
      <c r="P742" s="378"/>
      <c r="Q742" s="378"/>
      <c r="R742" s="378"/>
      <c r="S742" s="378"/>
      <c r="T742" s="378"/>
      <c r="U742" s="378"/>
      <c r="V742" s="378"/>
      <c r="W742" s="378"/>
      <c r="X742" s="378"/>
      <c r="Y742" s="378"/>
      <c r="Z742" s="378"/>
      <c r="AA742" s="168"/>
      <c r="AB742" s="166" t="s">
        <v>259</v>
      </c>
      <c r="AD742" s="165" t="s">
        <v>260</v>
      </c>
      <c r="AE742" s="134"/>
      <c r="AF742" s="22"/>
      <c r="AG742" s="22"/>
      <c r="AI742" s="190">
        <v>1</v>
      </c>
    </row>
    <row r="743" spans="1:35" s="180" customFormat="1" ht="18" hidden="1" customHeight="1" x14ac:dyDescent="0.2">
      <c r="A743" s="163" t="str">
        <f t="shared" si="167"/>
        <v/>
      </c>
      <c r="B743" s="170"/>
      <c r="C743" s="152"/>
      <c r="D743" s="179" t="s">
        <v>252</v>
      </c>
      <c r="E743" s="373"/>
      <c r="F743" s="373"/>
      <c r="G743" s="373"/>
      <c r="H743" s="373"/>
      <c r="I743" s="373"/>
      <c r="J743" s="373"/>
      <c r="K743" s="373"/>
      <c r="L743" s="373"/>
      <c r="M743" s="373"/>
      <c r="N743" s="373"/>
      <c r="O743" s="373"/>
      <c r="P743" s="373"/>
      <c r="Q743" s="373"/>
      <c r="R743" s="373"/>
      <c r="S743" s="373"/>
      <c r="T743" s="373"/>
      <c r="U743" s="373"/>
      <c r="V743" s="373"/>
      <c r="W743" s="373"/>
      <c r="X743" s="373"/>
      <c r="Y743" s="373"/>
      <c r="Z743" s="373"/>
      <c r="AA743" s="169"/>
      <c r="AB743" s="159" t="s">
        <v>281</v>
      </c>
      <c r="AD743" s="172" t="s">
        <v>249</v>
      </c>
      <c r="AE743" s="167"/>
      <c r="AF743" s="164">
        <f t="shared" ref="AF743:AF745" si="171">IF(B743&lt;&gt;"",1,0)</f>
        <v>0</v>
      </c>
      <c r="AG743" s="164">
        <f>IF(AND(SUM(AF:AF)&gt;0,OR(AND(B743=1,Y732="No"),AND(B743=1,E743="",Y732="Yes"),AND(B743="",E743="",Y732="Yes"),AND(B743="",E743&lt;&gt;"",Y732="Yes"),AND(B743=0,E743&lt;&gt;"",Y732="Yes"))),1,0)</f>
        <v>0</v>
      </c>
      <c r="AI743" s="190">
        <v>1</v>
      </c>
    </row>
    <row r="744" spans="1:35" s="180" customFormat="1" ht="18" hidden="1" customHeight="1" x14ac:dyDescent="0.2">
      <c r="A744" s="163" t="str">
        <f t="shared" si="167"/>
        <v/>
      </c>
      <c r="B744" s="170"/>
      <c r="C744" s="152"/>
      <c r="D744" s="179" t="s">
        <v>252</v>
      </c>
      <c r="E744" s="373"/>
      <c r="F744" s="373"/>
      <c r="G744" s="373"/>
      <c r="H744" s="373"/>
      <c r="I744" s="373"/>
      <c r="J744" s="373"/>
      <c r="K744" s="373"/>
      <c r="L744" s="373"/>
      <c r="M744" s="373"/>
      <c r="N744" s="373"/>
      <c r="O744" s="373"/>
      <c r="P744" s="373"/>
      <c r="Q744" s="373"/>
      <c r="R744" s="373"/>
      <c r="S744" s="373"/>
      <c r="T744" s="373"/>
      <c r="U744" s="373"/>
      <c r="V744" s="373"/>
      <c r="W744" s="373"/>
      <c r="X744" s="373"/>
      <c r="Y744" s="373"/>
      <c r="Z744" s="373"/>
      <c r="AA744" s="169"/>
      <c r="AB744" s="159" t="s">
        <v>281</v>
      </c>
      <c r="AD744" s="172" t="s">
        <v>249</v>
      </c>
      <c r="AE744" s="167"/>
      <c r="AF744" s="164">
        <f t="shared" si="171"/>
        <v>0</v>
      </c>
      <c r="AG744" s="164">
        <f>IF(AND(SUM(AF:AF)&gt;0,OR(AND(B744=1,Y732="No"),AND(B744=1,E744="",Y732="Yes"),AND(B744="",E744="",Y732="Yes"),AND(B744="",E744&lt;&gt;"",Y732="Yes"),AND(B744=0,E744&lt;&gt;"",Y732="Yes"))),1,0)</f>
        <v>0</v>
      </c>
      <c r="AI744" s="190">
        <v>1</v>
      </c>
    </row>
    <row r="745" spans="1:35" s="180" customFormat="1" ht="18" hidden="1" customHeight="1" x14ac:dyDescent="0.2">
      <c r="A745" s="163" t="str">
        <f t="shared" si="167"/>
        <v/>
      </c>
      <c r="B745" s="170"/>
      <c r="C745" s="152"/>
      <c r="D745" s="179" t="s">
        <v>252</v>
      </c>
      <c r="E745" s="373"/>
      <c r="F745" s="373"/>
      <c r="G745" s="373"/>
      <c r="H745" s="373"/>
      <c r="I745" s="373"/>
      <c r="J745" s="373"/>
      <c r="K745" s="373"/>
      <c r="L745" s="373"/>
      <c r="M745" s="373"/>
      <c r="N745" s="373"/>
      <c r="O745" s="373"/>
      <c r="P745" s="373"/>
      <c r="Q745" s="373"/>
      <c r="R745" s="373"/>
      <c r="S745" s="373"/>
      <c r="T745" s="373"/>
      <c r="U745" s="373"/>
      <c r="V745" s="373"/>
      <c r="W745" s="373"/>
      <c r="X745" s="373"/>
      <c r="Y745" s="373"/>
      <c r="Z745" s="373"/>
      <c r="AA745" s="169"/>
      <c r="AB745" s="159" t="s">
        <v>281</v>
      </c>
      <c r="AD745" s="172" t="s">
        <v>249</v>
      </c>
      <c r="AE745" s="167"/>
      <c r="AF745" s="164">
        <f t="shared" si="171"/>
        <v>0</v>
      </c>
      <c r="AG745" s="164">
        <f>IF(AND(SUM(AF:AF)&gt;0,OR(AND(B745=1,Y732="No"),AND(B745=1,E745="",Y732="Yes"),AND(B745="",E745="",Y732="Yes"),AND(B745="",E745&lt;&gt;"",Y732="Yes"),AND(B745=0,E745&lt;&gt;"",Y732="Yes"))),1,0)</f>
        <v>0</v>
      </c>
      <c r="AI745" s="190">
        <v>1</v>
      </c>
    </row>
    <row r="746" spans="1:35" ht="21" hidden="1" customHeight="1" x14ac:dyDescent="0.2">
      <c r="A746" s="163" t="str">
        <f t="shared" si="167"/>
        <v/>
      </c>
      <c r="B746" s="164">
        <v>0</v>
      </c>
      <c r="D746" s="379" t="s">
        <v>258</v>
      </c>
      <c r="E746" s="379"/>
      <c r="F746" s="379"/>
      <c r="G746" s="379"/>
      <c r="H746" s="379"/>
      <c r="I746" s="379"/>
      <c r="J746" s="379"/>
      <c r="K746" s="379"/>
      <c r="L746" s="379"/>
      <c r="M746" s="379"/>
      <c r="N746" s="379"/>
      <c r="O746" s="379"/>
      <c r="P746" s="379"/>
      <c r="Q746" s="379"/>
      <c r="R746" s="379"/>
      <c r="S746" s="379"/>
      <c r="T746" s="379"/>
      <c r="U746" s="379"/>
      <c r="V746" s="379"/>
      <c r="W746" s="379"/>
      <c r="X746" s="379"/>
      <c r="Y746" s="379"/>
      <c r="Z746" s="379"/>
      <c r="AB746" s="166" t="s">
        <v>259</v>
      </c>
      <c r="AD746" s="165" t="s">
        <v>260</v>
      </c>
      <c r="AE746" s="134"/>
      <c r="AF746" s="22"/>
      <c r="AG746" s="22"/>
      <c r="AI746" s="190">
        <v>1</v>
      </c>
    </row>
    <row r="747" spans="1:35" ht="15.75" hidden="1" customHeight="1" x14ac:dyDescent="0.2">
      <c r="A747" s="163"/>
      <c r="B747" s="164">
        <v>0</v>
      </c>
      <c r="D747" s="369" t="s">
        <v>261</v>
      </c>
      <c r="E747" s="369"/>
      <c r="F747" s="369"/>
      <c r="G747" s="369"/>
      <c r="H747" s="369"/>
      <c r="I747" s="369"/>
      <c r="J747" s="369"/>
      <c r="K747" s="369"/>
      <c r="L747" s="369"/>
      <c r="M747" s="369"/>
      <c r="N747" s="369"/>
      <c r="O747" s="369"/>
      <c r="P747" s="369"/>
      <c r="Q747" s="369"/>
      <c r="R747" s="369"/>
      <c r="S747" s="369"/>
      <c r="T747" s="369"/>
      <c r="U747" s="369"/>
      <c r="V747" s="369"/>
      <c r="W747" s="369"/>
      <c r="X747" s="369"/>
      <c r="Y747" s="369"/>
      <c r="Z747" s="369"/>
      <c r="AB747" s="166" t="s">
        <v>259</v>
      </c>
      <c r="AD747" s="165" t="s">
        <v>260</v>
      </c>
      <c r="AE747" s="134"/>
      <c r="AF747" s="22"/>
      <c r="AG747" s="22"/>
      <c r="AI747" s="190">
        <v>1</v>
      </c>
    </row>
    <row r="748" spans="1:35" ht="8.5" hidden="1" customHeight="1" x14ac:dyDescent="0.15">
      <c r="A748" s="163" t="str">
        <f>IF(AG748=1,"X","")</f>
        <v/>
      </c>
      <c r="B748" s="164">
        <f>IF(OR(D749="Show",Q749="Show"),1,0)</f>
        <v>0</v>
      </c>
      <c r="D748" s="368"/>
      <c r="E748" s="368"/>
      <c r="F748" s="368"/>
      <c r="G748" s="368"/>
      <c r="H748" s="368"/>
      <c r="I748" s="368"/>
      <c r="J748" s="368"/>
      <c r="K748" s="368"/>
      <c r="L748" s="368"/>
      <c r="M748" s="368"/>
      <c r="N748" s="368"/>
      <c r="O748" s="368"/>
      <c r="P748" s="368"/>
      <c r="Q748" s="368"/>
      <c r="R748" s="368"/>
      <c r="S748" s="368"/>
      <c r="T748" s="368"/>
      <c r="U748" s="368"/>
      <c r="V748" s="368"/>
      <c r="W748" s="368"/>
      <c r="X748" s="368"/>
      <c r="Y748" s="368"/>
      <c r="Z748" s="368"/>
      <c r="AD748" s="165" t="s">
        <v>227</v>
      </c>
      <c r="AE748" s="156"/>
      <c r="AF748" s="22"/>
      <c r="AG748" s="22"/>
      <c r="AI748" s="190">
        <v>1</v>
      </c>
    </row>
    <row r="749" spans="1:35" ht="18" hidden="1" customHeight="1" x14ac:dyDescent="0.2">
      <c r="A749" s="163" t="str">
        <f t="shared" ref="A749:A752" si="172">IF(AG749=1,"X","")</f>
        <v/>
      </c>
      <c r="B749" s="164">
        <v>0</v>
      </c>
      <c r="D749" s="370" t="s">
        <v>267</v>
      </c>
      <c r="E749" s="370"/>
      <c r="F749" s="370"/>
      <c r="G749" s="370"/>
      <c r="H749" s="370"/>
      <c r="I749" s="370"/>
      <c r="J749" s="370"/>
      <c r="K749" s="370"/>
      <c r="L749" s="370"/>
      <c r="M749" s="370"/>
      <c r="N749" s="370"/>
      <c r="O749" s="175"/>
      <c r="P749" s="175"/>
      <c r="Q749" s="370" t="s">
        <v>267</v>
      </c>
      <c r="R749" s="370"/>
      <c r="S749" s="370"/>
      <c r="T749" s="370"/>
      <c r="U749" s="370"/>
      <c r="V749" s="370"/>
      <c r="W749" s="370"/>
      <c r="X749" s="370"/>
      <c r="Y749" s="370"/>
      <c r="Z749" s="370"/>
      <c r="AA749" s="176"/>
      <c r="AB749" s="159" t="s">
        <v>262</v>
      </c>
      <c r="AD749" s="172" t="s">
        <v>249</v>
      </c>
      <c r="AE749" s="134"/>
      <c r="AF749" s="164">
        <f>IF(OR(D749="Show",D749="",Q749="Show",Q749=""),1,0)</f>
        <v>0</v>
      </c>
      <c r="AG749" s="164">
        <f>IF(AND(SUM(AF:AF)&gt;0,OR(D749="",Q749="")),1,0)</f>
        <v>0</v>
      </c>
      <c r="AI749" s="190">
        <v>1</v>
      </c>
    </row>
    <row r="750" spans="1:35" ht="197.25" hidden="1" customHeight="1" x14ac:dyDescent="0.2">
      <c r="A750" s="163" t="str">
        <f t="shared" si="172"/>
        <v/>
      </c>
      <c r="B750" s="164">
        <f>B748</f>
        <v>0</v>
      </c>
      <c r="D750" s="370"/>
      <c r="E750" s="370"/>
      <c r="F750" s="370"/>
      <c r="G750" s="370"/>
      <c r="H750" s="370"/>
      <c r="I750" s="370"/>
      <c r="J750" s="370"/>
      <c r="K750" s="370"/>
      <c r="L750" s="370"/>
      <c r="M750" s="370"/>
      <c r="N750" s="370"/>
      <c r="O750" s="175"/>
      <c r="P750" s="175"/>
      <c r="Q750" s="370"/>
      <c r="R750" s="370"/>
      <c r="S750" s="370"/>
      <c r="T750" s="370"/>
      <c r="U750" s="370"/>
      <c r="V750" s="370"/>
      <c r="W750" s="370"/>
      <c r="X750" s="370"/>
      <c r="Y750" s="370"/>
      <c r="Z750" s="370"/>
      <c r="AA750" s="176"/>
      <c r="AB750" s="159" t="s">
        <v>263</v>
      </c>
      <c r="AD750" s="172" t="s">
        <v>249</v>
      </c>
      <c r="AE750" s="167"/>
      <c r="AF750" s="22"/>
      <c r="AG750" s="22"/>
      <c r="AI750" s="190">
        <v>1</v>
      </c>
    </row>
    <row r="751" spans="1:35" ht="18" hidden="1" customHeight="1" x14ac:dyDescent="0.2">
      <c r="A751" s="163" t="str">
        <f t="shared" si="172"/>
        <v/>
      </c>
      <c r="B751" s="164">
        <f>B750</f>
        <v>0</v>
      </c>
      <c r="D751" s="371"/>
      <c r="E751" s="371"/>
      <c r="F751" s="371"/>
      <c r="G751" s="371"/>
      <c r="H751" s="371"/>
      <c r="I751" s="371"/>
      <c r="J751" s="371"/>
      <c r="K751" s="371"/>
      <c r="L751" s="371"/>
      <c r="M751" s="371"/>
      <c r="N751" s="371"/>
      <c r="O751" s="175"/>
      <c r="P751" s="175"/>
      <c r="Q751" s="371"/>
      <c r="R751" s="371"/>
      <c r="S751" s="371"/>
      <c r="T751" s="371"/>
      <c r="U751" s="371"/>
      <c r="V751" s="371"/>
      <c r="W751" s="371"/>
      <c r="X751" s="371"/>
      <c r="Y751" s="371"/>
      <c r="Z751" s="371"/>
      <c r="AA751" s="176"/>
      <c r="AB751" s="159" t="s">
        <v>264</v>
      </c>
      <c r="AD751" s="172" t="s">
        <v>249</v>
      </c>
      <c r="AE751" s="167"/>
      <c r="AF751" s="164">
        <f>IF(OR(D749="Show",D749="",Q749="Show",Q749=""),1,0)</f>
        <v>0</v>
      </c>
      <c r="AG751" s="164">
        <f>IF(AND(SUM(AF:AF)&gt;0,OR(AND(D749="Show",D751=""),AND(Q749="Show",Q751=""))),1,0)</f>
        <v>0</v>
      </c>
      <c r="AI751" s="190">
        <v>1</v>
      </c>
    </row>
    <row r="752" spans="1:35" ht="8.5" hidden="1" customHeight="1" x14ac:dyDescent="0.15">
      <c r="A752" s="163" t="str">
        <f t="shared" si="172"/>
        <v/>
      </c>
      <c r="B752" s="164">
        <f>B751</f>
        <v>0</v>
      </c>
      <c r="D752" s="368"/>
      <c r="E752" s="368"/>
      <c r="F752" s="368"/>
      <c r="G752" s="368"/>
      <c r="H752" s="368"/>
      <c r="I752" s="368"/>
      <c r="J752" s="368"/>
      <c r="K752" s="368"/>
      <c r="L752" s="368"/>
      <c r="M752" s="368"/>
      <c r="N752" s="368"/>
      <c r="O752" s="368"/>
      <c r="P752" s="368"/>
      <c r="Q752" s="368"/>
      <c r="R752" s="368"/>
      <c r="S752" s="368"/>
      <c r="T752" s="368"/>
      <c r="U752" s="368"/>
      <c r="V752" s="368"/>
      <c r="W752" s="368"/>
      <c r="X752" s="368"/>
      <c r="Y752" s="368"/>
      <c r="Z752" s="368"/>
      <c r="AA752" s="176"/>
      <c r="AD752" s="165" t="s">
        <v>227</v>
      </c>
      <c r="AE752" s="156"/>
      <c r="AF752" s="22"/>
      <c r="AG752" s="22"/>
      <c r="AI752" s="190">
        <v>1</v>
      </c>
    </row>
    <row r="753" spans="1:35" ht="15.75" hidden="1" customHeight="1" x14ac:dyDescent="0.2">
      <c r="A753" s="163"/>
      <c r="B753" s="164">
        <v>0</v>
      </c>
      <c r="D753" s="369" t="s">
        <v>265</v>
      </c>
      <c r="E753" s="369"/>
      <c r="F753" s="369"/>
      <c r="G753" s="369"/>
      <c r="H753" s="369"/>
      <c r="I753" s="369"/>
      <c r="J753" s="369"/>
      <c r="K753" s="369"/>
      <c r="L753" s="369"/>
      <c r="M753" s="369"/>
      <c r="N753" s="369"/>
      <c r="O753" s="369"/>
      <c r="P753" s="369"/>
      <c r="Q753" s="369"/>
      <c r="R753" s="369"/>
      <c r="S753" s="369"/>
      <c r="T753" s="369"/>
      <c r="U753" s="369"/>
      <c r="V753" s="369"/>
      <c r="W753" s="369"/>
      <c r="X753" s="369"/>
      <c r="Y753" s="369"/>
      <c r="Z753" s="369"/>
      <c r="AB753" s="166" t="s">
        <v>259</v>
      </c>
      <c r="AD753" s="165" t="s">
        <v>260</v>
      </c>
      <c r="AE753" s="134"/>
      <c r="AF753" s="22"/>
      <c r="AG753" s="22"/>
      <c r="AI753" s="190">
        <v>1</v>
      </c>
    </row>
    <row r="754" spans="1:35" ht="21" hidden="1" customHeight="1" x14ac:dyDescent="0.15">
      <c r="A754" s="163" t="str">
        <f t="shared" ref="A754:A766" si="173">IF(AG754=1,"X","")</f>
        <v/>
      </c>
      <c r="B754" s="164">
        <f>IF(Y$732="Yes",1,0)</f>
        <v>0</v>
      </c>
      <c r="D754" s="380" t="s">
        <v>0</v>
      </c>
      <c r="E754" s="380"/>
      <c r="F754" s="380"/>
      <c r="G754" s="380"/>
      <c r="H754" s="380"/>
      <c r="I754" s="380"/>
      <c r="J754" s="380"/>
      <c r="K754" s="380"/>
      <c r="L754" s="380"/>
      <c r="M754" s="380"/>
      <c r="N754" s="380"/>
      <c r="O754" s="380"/>
      <c r="P754" s="380"/>
      <c r="Q754" s="380"/>
      <c r="R754" s="380"/>
      <c r="S754" s="380"/>
      <c r="T754" s="380"/>
      <c r="U754" s="380"/>
      <c r="V754" s="380"/>
      <c r="W754" s="380"/>
      <c r="X754" s="380"/>
      <c r="Y754" s="380"/>
      <c r="Z754" s="380"/>
      <c r="AB754" s="166" t="s">
        <v>462</v>
      </c>
      <c r="AD754" s="165" t="s">
        <v>463</v>
      </c>
      <c r="AE754" s="134"/>
      <c r="AF754" s="22"/>
      <c r="AG754" s="22"/>
      <c r="AI754" s="190">
        <v>1</v>
      </c>
    </row>
    <row r="755" spans="1:35" s="180" customFormat="1" ht="18" hidden="1" customHeight="1" x14ac:dyDescent="0.2">
      <c r="A755" s="163" t="str">
        <f t="shared" si="173"/>
        <v/>
      </c>
      <c r="B755" s="170"/>
      <c r="C755" s="152"/>
      <c r="D755" s="378" t="s">
        <v>399</v>
      </c>
      <c r="E755" s="378"/>
      <c r="F755" s="378"/>
      <c r="G755" s="378"/>
      <c r="H755" s="378"/>
      <c r="I755" s="378"/>
      <c r="J755" s="378"/>
      <c r="K755" s="378"/>
      <c r="L755" s="378"/>
      <c r="M755" s="378"/>
      <c r="N755" s="378"/>
      <c r="O755" s="378"/>
      <c r="P755" s="378"/>
      <c r="Q755" s="378"/>
      <c r="R755" s="378"/>
      <c r="S755" s="378"/>
      <c r="T755" s="378"/>
      <c r="U755" s="378"/>
      <c r="V755" s="378"/>
      <c r="W755" s="378"/>
      <c r="X755" s="378"/>
      <c r="Y755" s="378"/>
      <c r="Z755" s="378"/>
      <c r="AA755" s="169"/>
      <c r="AB755" s="159" t="s">
        <v>281</v>
      </c>
      <c r="AD755" s="172" t="s">
        <v>249</v>
      </c>
      <c r="AE755" s="167"/>
      <c r="AF755" s="164">
        <f t="shared" ref="AF755:AF761" si="174">IF(B755&lt;&gt;"",1,0)</f>
        <v>0</v>
      </c>
      <c r="AG755" s="164">
        <f>IF(AND(SUM(AF:AF)&gt;0,OR(AND(B755="",Y732="Yes"),AND(B755=1,Y732="No"))),1,0)</f>
        <v>0</v>
      </c>
      <c r="AI755" s="190">
        <v>1</v>
      </c>
    </row>
    <row r="756" spans="1:35" s="180" customFormat="1" ht="18" hidden="1" customHeight="1" x14ac:dyDescent="0.2">
      <c r="A756" s="163" t="str">
        <f t="shared" si="173"/>
        <v/>
      </c>
      <c r="B756" s="170"/>
      <c r="C756" s="152"/>
      <c r="D756" s="378" t="s">
        <v>400</v>
      </c>
      <c r="E756" s="378"/>
      <c r="F756" s="378"/>
      <c r="G756" s="378"/>
      <c r="H756" s="378"/>
      <c r="I756" s="378"/>
      <c r="J756" s="378"/>
      <c r="K756" s="378"/>
      <c r="L756" s="378"/>
      <c r="M756" s="378"/>
      <c r="N756" s="378"/>
      <c r="O756" s="378"/>
      <c r="P756" s="378"/>
      <c r="Q756" s="378"/>
      <c r="R756" s="378"/>
      <c r="S756" s="378"/>
      <c r="T756" s="378"/>
      <c r="U756" s="378"/>
      <c r="V756" s="378"/>
      <c r="W756" s="378"/>
      <c r="X756" s="378"/>
      <c r="Y756" s="378"/>
      <c r="Z756" s="378"/>
      <c r="AA756" s="169"/>
      <c r="AB756" s="159" t="s">
        <v>281</v>
      </c>
      <c r="AD756" s="172" t="s">
        <v>249</v>
      </c>
      <c r="AE756" s="167"/>
      <c r="AF756" s="164">
        <f t="shared" si="174"/>
        <v>0</v>
      </c>
      <c r="AG756" s="164">
        <f>IF(AND(SUM(AF:AF)&gt;0,OR(AND(B756="",Y732="Yes"),AND(B756=1,Y732="No"))),1,0)</f>
        <v>0</v>
      </c>
      <c r="AI756" s="190">
        <v>1</v>
      </c>
    </row>
    <row r="757" spans="1:35" s="180" customFormat="1" ht="18" hidden="1" customHeight="1" x14ac:dyDescent="0.2">
      <c r="A757" s="163" t="str">
        <f t="shared" si="173"/>
        <v/>
      </c>
      <c r="B757" s="170"/>
      <c r="C757" s="152"/>
      <c r="D757" s="179" t="s">
        <v>252</v>
      </c>
      <c r="E757" s="378" t="s">
        <v>317</v>
      </c>
      <c r="F757" s="378"/>
      <c r="G757" s="378"/>
      <c r="H757" s="378"/>
      <c r="I757" s="378"/>
      <c r="J757" s="378"/>
      <c r="K757" s="378"/>
      <c r="L757" s="378"/>
      <c r="M757" s="378"/>
      <c r="N757" s="378"/>
      <c r="O757" s="378"/>
      <c r="P757" s="378"/>
      <c r="Q757" s="378"/>
      <c r="R757" s="378"/>
      <c r="S757" s="378"/>
      <c r="T757" s="378"/>
      <c r="U757" s="378"/>
      <c r="V757" s="378"/>
      <c r="W757" s="378"/>
      <c r="X757" s="378"/>
      <c r="Y757" s="378"/>
      <c r="Z757" s="378"/>
      <c r="AA757" s="169"/>
      <c r="AB757" s="159" t="s">
        <v>281</v>
      </c>
      <c r="AD757" s="172" t="s">
        <v>249</v>
      </c>
      <c r="AE757" s="167"/>
      <c r="AF757" s="164">
        <f t="shared" si="174"/>
        <v>0</v>
      </c>
      <c r="AG757" s="164">
        <f>IF(AND(SUM(AF:AF)&gt;0,OR(AND(B757="",Y732="Yes"),AND(B757=1,Y732="No"))),1,0)</f>
        <v>0</v>
      </c>
      <c r="AI757" s="190">
        <v>1</v>
      </c>
    </row>
    <row r="758" spans="1:35" s="180" customFormat="1" ht="18" hidden="1" customHeight="1" x14ac:dyDescent="0.2">
      <c r="A758" s="163" t="str">
        <f t="shared" si="173"/>
        <v/>
      </c>
      <c r="B758" s="170"/>
      <c r="C758" s="152"/>
      <c r="D758" s="179" t="s">
        <v>252</v>
      </c>
      <c r="E758" s="378" t="s">
        <v>318</v>
      </c>
      <c r="F758" s="378"/>
      <c r="G758" s="378"/>
      <c r="H758" s="378"/>
      <c r="I758" s="378"/>
      <c r="J758" s="378"/>
      <c r="K758" s="378"/>
      <c r="L758" s="378"/>
      <c r="M758" s="378"/>
      <c r="N758" s="378"/>
      <c r="O758" s="378"/>
      <c r="P758" s="378"/>
      <c r="Q758" s="378"/>
      <c r="R758" s="378"/>
      <c r="S758" s="378"/>
      <c r="T758" s="378"/>
      <c r="U758" s="378"/>
      <c r="V758" s="378"/>
      <c r="W758" s="378"/>
      <c r="X758" s="378"/>
      <c r="Y758" s="378"/>
      <c r="Z758" s="378"/>
      <c r="AA758" s="169"/>
      <c r="AB758" s="159" t="s">
        <v>281</v>
      </c>
      <c r="AD758" s="172" t="s">
        <v>249</v>
      </c>
      <c r="AE758" s="167"/>
      <c r="AF758" s="164">
        <f t="shared" si="174"/>
        <v>0</v>
      </c>
      <c r="AG758" s="164">
        <f>IF(AND(SUM(AF:AF)&gt;0,OR(AND(B758="",Y732="Yes"),AND(B758=1,Y732="No"))),1,0)</f>
        <v>0</v>
      </c>
      <c r="AI758" s="190">
        <v>1</v>
      </c>
    </row>
    <row r="759" spans="1:35" s="180" customFormat="1" ht="18" hidden="1" customHeight="1" x14ac:dyDescent="0.2">
      <c r="A759" s="163" t="str">
        <f t="shared" si="173"/>
        <v/>
      </c>
      <c r="B759" s="170"/>
      <c r="C759" s="152"/>
      <c r="D759" s="179" t="s">
        <v>252</v>
      </c>
      <c r="E759" s="378" t="s">
        <v>405</v>
      </c>
      <c r="F759" s="378"/>
      <c r="G759" s="378"/>
      <c r="H759" s="378"/>
      <c r="I759" s="378"/>
      <c r="J759" s="378"/>
      <c r="K759" s="378"/>
      <c r="L759" s="378"/>
      <c r="M759" s="378"/>
      <c r="N759" s="378"/>
      <c r="O759" s="378"/>
      <c r="P759" s="378"/>
      <c r="Q759" s="378"/>
      <c r="R759" s="378"/>
      <c r="S759" s="378"/>
      <c r="T759" s="378"/>
      <c r="U759" s="378"/>
      <c r="V759" s="378"/>
      <c r="W759" s="378"/>
      <c r="X759" s="378"/>
      <c r="Y759" s="378"/>
      <c r="Z759" s="378"/>
      <c r="AA759" s="169"/>
      <c r="AB759" s="159" t="s">
        <v>281</v>
      </c>
      <c r="AD759" s="172" t="s">
        <v>249</v>
      </c>
      <c r="AE759" s="167"/>
      <c r="AF759" s="164">
        <f t="shared" si="174"/>
        <v>0</v>
      </c>
      <c r="AG759" s="164">
        <f>IF(AND(SUM(AF:AF)&gt;0,OR(AND(B759="",Y732="Yes"),AND(B759=1,Y732="No"))),1,0)</f>
        <v>0</v>
      </c>
      <c r="AI759" s="190">
        <v>1</v>
      </c>
    </row>
    <row r="760" spans="1:35" s="180" customFormat="1" ht="18" hidden="1" customHeight="1" x14ac:dyDescent="0.2">
      <c r="A760" s="163" t="str">
        <f t="shared" si="173"/>
        <v/>
      </c>
      <c r="B760" s="170"/>
      <c r="C760" s="152"/>
      <c r="D760" s="179" t="s">
        <v>252</v>
      </c>
      <c r="E760" s="378" t="s">
        <v>396</v>
      </c>
      <c r="F760" s="378"/>
      <c r="G760" s="378"/>
      <c r="H760" s="378"/>
      <c r="I760" s="378"/>
      <c r="J760" s="378"/>
      <c r="K760" s="378"/>
      <c r="L760" s="378"/>
      <c r="M760" s="378"/>
      <c r="N760" s="378"/>
      <c r="O760" s="378"/>
      <c r="P760" s="378"/>
      <c r="Q760" s="378"/>
      <c r="R760" s="378"/>
      <c r="S760" s="378"/>
      <c r="T760" s="378"/>
      <c r="U760" s="378"/>
      <c r="V760" s="378"/>
      <c r="W760" s="378"/>
      <c r="X760" s="378"/>
      <c r="Y760" s="378"/>
      <c r="Z760" s="378"/>
      <c r="AA760" s="169"/>
      <c r="AB760" s="159" t="s">
        <v>281</v>
      </c>
      <c r="AD760" s="172" t="s">
        <v>249</v>
      </c>
      <c r="AE760" s="167"/>
      <c r="AF760" s="164">
        <f t="shared" si="174"/>
        <v>0</v>
      </c>
      <c r="AG760" s="164">
        <f>IF(AND(SUM(AF:AF)&gt;0,OR(AND(B760="",Y732="Yes"),AND(B760=1,Y732="No"))),1,0)</f>
        <v>0</v>
      </c>
      <c r="AI760" s="190">
        <v>1</v>
      </c>
    </row>
    <row r="761" spans="1:35" s="180" customFormat="1" ht="18" hidden="1" customHeight="1" x14ac:dyDescent="0.2">
      <c r="A761" s="163" t="str">
        <f t="shared" si="173"/>
        <v/>
      </c>
      <c r="B761" s="170"/>
      <c r="C761" s="152"/>
      <c r="D761" s="179" t="s">
        <v>252</v>
      </c>
      <c r="E761" s="378" t="s">
        <v>319</v>
      </c>
      <c r="F761" s="378"/>
      <c r="G761" s="378"/>
      <c r="H761" s="378"/>
      <c r="I761" s="378"/>
      <c r="J761" s="378"/>
      <c r="K761" s="378"/>
      <c r="L761" s="378"/>
      <c r="M761" s="378"/>
      <c r="N761" s="378"/>
      <c r="O761" s="378"/>
      <c r="P761" s="378"/>
      <c r="Q761" s="378"/>
      <c r="R761" s="378"/>
      <c r="S761" s="378"/>
      <c r="T761" s="378"/>
      <c r="U761" s="378"/>
      <c r="V761" s="378"/>
      <c r="W761" s="378"/>
      <c r="X761" s="378"/>
      <c r="Y761" s="378"/>
      <c r="Z761" s="378"/>
      <c r="AA761" s="169"/>
      <c r="AB761" s="159" t="s">
        <v>281</v>
      </c>
      <c r="AD761" s="172" t="s">
        <v>249</v>
      </c>
      <c r="AE761" s="167"/>
      <c r="AF761" s="164">
        <f t="shared" si="174"/>
        <v>0</v>
      </c>
      <c r="AG761" s="164">
        <f>IF(AND(SUM(AF:AF)&gt;0,OR(AND(B761="",Y732="Yes"),AND(B761=1,Y732="No"))),1,0)</f>
        <v>0</v>
      </c>
      <c r="AI761" s="190">
        <v>1</v>
      </c>
    </row>
    <row r="762" spans="1:35" s="180" customFormat="1" ht="18.5" hidden="1" customHeight="1" x14ac:dyDescent="0.2">
      <c r="A762" s="163" t="str">
        <f t="shared" si="173"/>
        <v/>
      </c>
      <c r="B762" s="164">
        <v>0</v>
      </c>
      <c r="C762" s="152"/>
      <c r="D762" s="179" t="s">
        <v>252</v>
      </c>
      <c r="E762" s="378" t="s">
        <v>312</v>
      </c>
      <c r="F762" s="378"/>
      <c r="G762" s="378"/>
      <c r="H762" s="378"/>
      <c r="I762" s="378"/>
      <c r="J762" s="378"/>
      <c r="K762" s="378"/>
      <c r="L762" s="378"/>
      <c r="M762" s="378"/>
      <c r="N762" s="378"/>
      <c r="O762" s="378"/>
      <c r="P762" s="378"/>
      <c r="Q762" s="378"/>
      <c r="R762" s="378"/>
      <c r="S762" s="378"/>
      <c r="T762" s="378"/>
      <c r="U762" s="378"/>
      <c r="V762" s="378"/>
      <c r="W762" s="378"/>
      <c r="X762" s="378"/>
      <c r="Y762" s="378"/>
      <c r="Z762" s="378"/>
      <c r="AA762" s="168"/>
      <c r="AB762" s="166" t="s">
        <v>259</v>
      </c>
      <c r="AD762" s="165" t="s">
        <v>260</v>
      </c>
      <c r="AE762" s="134"/>
      <c r="AF762" s="22"/>
      <c r="AG762" s="22"/>
      <c r="AI762" s="190">
        <v>1</v>
      </c>
    </row>
    <row r="763" spans="1:35" s="180" customFormat="1" ht="18" hidden="1" customHeight="1" x14ac:dyDescent="0.2">
      <c r="A763" s="163" t="str">
        <f t="shared" si="173"/>
        <v/>
      </c>
      <c r="B763" s="170"/>
      <c r="C763" s="152"/>
      <c r="D763" s="179" t="s">
        <v>252</v>
      </c>
      <c r="E763" s="373"/>
      <c r="F763" s="373"/>
      <c r="G763" s="373"/>
      <c r="H763" s="373"/>
      <c r="I763" s="373"/>
      <c r="J763" s="373"/>
      <c r="K763" s="373"/>
      <c r="L763" s="373"/>
      <c r="M763" s="373"/>
      <c r="N763" s="373"/>
      <c r="O763" s="373"/>
      <c r="P763" s="373"/>
      <c r="Q763" s="373"/>
      <c r="R763" s="373"/>
      <c r="S763" s="373"/>
      <c r="T763" s="373"/>
      <c r="U763" s="373"/>
      <c r="V763" s="373"/>
      <c r="W763" s="373"/>
      <c r="X763" s="373"/>
      <c r="Y763" s="373"/>
      <c r="Z763" s="373"/>
      <c r="AA763" s="169"/>
      <c r="AB763" s="159" t="s">
        <v>281</v>
      </c>
      <c r="AD763" s="172" t="s">
        <v>249</v>
      </c>
      <c r="AE763" s="167"/>
      <c r="AF763" s="164">
        <f t="shared" ref="AF763:AF765" si="175">IF(B763&lt;&gt;"",1,0)</f>
        <v>0</v>
      </c>
      <c r="AG763" s="164">
        <f>IF(AND(SUM(AF:AF)&gt;0,OR(AND(B763=1,Y732="No"),AND(B763=1,E763="",Y732="Yes"),AND(B763="",E763="",Y732="Yes"),AND(B763="",E763&lt;&gt;"",Y732="Yes"),AND(B763=0,E763&lt;&gt;"",Y732="Yes"))),1,0)</f>
        <v>0</v>
      </c>
      <c r="AI763" s="190">
        <v>1</v>
      </c>
    </row>
    <row r="764" spans="1:35" s="180" customFormat="1" ht="18" hidden="1" customHeight="1" x14ac:dyDescent="0.2">
      <c r="A764" s="163" t="str">
        <f t="shared" si="173"/>
        <v/>
      </c>
      <c r="B764" s="170"/>
      <c r="C764" s="152"/>
      <c r="D764" s="179" t="s">
        <v>252</v>
      </c>
      <c r="E764" s="373"/>
      <c r="F764" s="373"/>
      <c r="G764" s="373"/>
      <c r="H764" s="373"/>
      <c r="I764" s="373"/>
      <c r="J764" s="373"/>
      <c r="K764" s="373"/>
      <c r="L764" s="373"/>
      <c r="M764" s="373"/>
      <c r="N764" s="373"/>
      <c r="O764" s="373"/>
      <c r="P764" s="373"/>
      <c r="Q764" s="373"/>
      <c r="R764" s="373"/>
      <c r="S764" s="373"/>
      <c r="T764" s="373"/>
      <c r="U764" s="373"/>
      <c r="V764" s="373"/>
      <c r="W764" s="373"/>
      <c r="X764" s="373"/>
      <c r="Y764" s="373"/>
      <c r="Z764" s="373"/>
      <c r="AA764" s="169"/>
      <c r="AB764" s="159" t="s">
        <v>281</v>
      </c>
      <c r="AD764" s="172" t="s">
        <v>249</v>
      </c>
      <c r="AE764" s="167"/>
      <c r="AF764" s="164">
        <f t="shared" si="175"/>
        <v>0</v>
      </c>
      <c r="AG764" s="164">
        <f>IF(AND(SUM(AF:AF)&gt;0,OR(AND(B764=1,Y732="No"),AND(B764=1,E764="",Y732="Yes"),AND(B764="",E764="",Y732="Yes"),AND(B764="",E764&lt;&gt;"",Y732="Yes"),AND(B764=0,E764&lt;&gt;"",Y732="Yes"))),1,0)</f>
        <v>0</v>
      </c>
      <c r="AI764" s="190">
        <v>1</v>
      </c>
    </row>
    <row r="765" spans="1:35" s="180" customFormat="1" ht="18" hidden="1" customHeight="1" x14ac:dyDescent="0.2">
      <c r="A765" s="163" t="str">
        <f t="shared" si="173"/>
        <v/>
      </c>
      <c r="B765" s="170"/>
      <c r="C765" s="152"/>
      <c r="D765" s="179" t="s">
        <v>252</v>
      </c>
      <c r="E765" s="373"/>
      <c r="F765" s="373"/>
      <c r="G765" s="373"/>
      <c r="H765" s="373"/>
      <c r="I765" s="373"/>
      <c r="J765" s="373"/>
      <c r="K765" s="373"/>
      <c r="L765" s="373"/>
      <c r="M765" s="373"/>
      <c r="N765" s="373"/>
      <c r="O765" s="373"/>
      <c r="P765" s="373"/>
      <c r="Q765" s="373"/>
      <c r="R765" s="373"/>
      <c r="S765" s="373"/>
      <c r="T765" s="373"/>
      <c r="U765" s="373"/>
      <c r="V765" s="373"/>
      <c r="W765" s="373"/>
      <c r="X765" s="373"/>
      <c r="Y765" s="373"/>
      <c r="Z765" s="373"/>
      <c r="AA765" s="169"/>
      <c r="AB765" s="159" t="s">
        <v>281</v>
      </c>
      <c r="AD765" s="172" t="s">
        <v>249</v>
      </c>
      <c r="AE765" s="167"/>
      <c r="AF765" s="164">
        <f t="shared" si="175"/>
        <v>0</v>
      </c>
      <c r="AG765" s="164">
        <f>IF(AND(SUM(AF:AF)&gt;0,OR(AND(B765=1,Y732="No"),AND(B765=1,E765="",Y732="Yes"),AND(B765="",E765="",Y732="Yes"),AND(B765="",E765&lt;&gt;"",Y732="Yes"),AND(B765=0,E765&lt;&gt;"",Y732="Yes"))),1,0)</f>
        <v>0</v>
      </c>
      <c r="AI765" s="190">
        <v>1</v>
      </c>
    </row>
    <row r="766" spans="1:35" ht="21" hidden="1" customHeight="1" x14ac:dyDescent="0.2">
      <c r="A766" s="163" t="str">
        <f t="shared" si="173"/>
        <v/>
      </c>
      <c r="B766" s="164">
        <v>0</v>
      </c>
      <c r="D766" s="379" t="s">
        <v>258</v>
      </c>
      <c r="E766" s="379"/>
      <c r="F766" s="379"/>
      <c r="G766" s="379"/>
      <c r="H766" s="379"/>
      <c r="I766" s="379"/>
      <c r="J766" s="379"/>
      <c r="K766" s="379"/>
      <c r="L766" s="379"/>
      <c r="M766" s="379"/>
      <c r="N766" s="379"/>
      <c r="O766" s="379"/>
      <c r="P766" s="379"/>
      <c r="Q766" s="379"/>
      <c r="R766" s="379"/>
      <c r="S766" s="379"/>
      <c r="T766" s="379"/>
      <c r="U766" s="379"/>
      <c r="V766" s="379"/>
      <c r="W766" s="379"/>
      <c r="X766" s="379"/>
      <c r="Y766" s="379"/>
      <c r="Z766" s="379"/>
      <c r="AB766" s="166" t="s">
        <v>259</v>
      </c>
      <c r="AD766" s="165" t="s">
        <v>260</v>
      </c>
      <c r="AE766" s="134"/>
      <c r="AF766" s="22"/>
      <c r="AG766" s="22"/>
      <c r="AI766" s="190">
        <v>1</v>
      </c>
    </row>
    <row r="767" spans="1:35" ht="15.75" hidden="1" customHeight="1" x14ac:dyDescent="0.2">
      <c r="A767" s="163"/>
      <c r="B767" s="164">
        <v>0</v>
      </c>
      <c r="D767" s="369" t="s">
        <v>261</v>
      </c>
      <c r="E767" s="369"/>
      <c r="F767" s="369"/>
      <c r="G767" s="369"/>
      <c r="H767" s="369"/>
      <c r="I767" s="369"/>
      <c r="J767" s="369"/>
      <c r="K767" s="369"/>
      <c r="L767" s="369"/>
      <c r="M767" s="369"/>
      <c r="N767" s="369"/>
      <c r="O767" s="369"/>
      <c r="P767" s="369"/>
      <c r="Q767" s="369"/>
      <c r="R767" s="369"/>
      <c r="S767" s="369"/>
      <c r="T767" s="369"/>
      <c r="U767" s="369"/>
      <c r="V767" s="369"/>
      <c r="W767" s="369"/>
      <c r="X767" s="369"/>
      <c r="Y767" s="369"/>
      <c r="Z767" s="369"/>
      <c r="AB767" s="166" t="s">
        <v>259</v>
      </c>
      <c r="AD767" s="165" t="s">
        <v>260</v>
      </c>
      <c r="AE767" s="134"/>
      <c r="AF767" s="22"/>
      <c r="AG767" s="22"/>
      <c r="AI767" s="190">
        <v>1</v>
      </c>
    </row>
    <row r="768" spans="1:35" ht="8.5" hidden="1" customHeight="1" x14ac:dyDescent="0.15">
      <c r="A768" s="163" t="str">
        <f>IF(AG768=1,"X","")</f>
        <v/>
      </c>
      <c r="B768" s="164">
        <f>IF(OR(D769="Show",Q769="Show"),1,0)</f>
        <v>0</v>
      </c>
      <c r="D768" s="368"/>
      <c r="E768" s="368"/>
      <c r="F768" s="368"/>
      <c r="G768" s="368"/>
      <c r="H768" s="368"/>
      <c r="I768" s="368"/>
      <c r="J768" s="368"/>
      <c r="K768" s="368"/>
      <c r="L768" s="368"/>
      <c r="M768" s="368"/>
      <c r="N768" s="368"/>
      <c r="O768" s="368"/>
      <c r="P768" s="368"/>
      <c r="Q768" s="368"/>
      <c r="R768" s="368"/>
      <c r="S768" s="368"/>
      <c r="T768" s="368"/>
      <c r="U768" s="368"/>
      <c r="V768" s="368"/>
      <c r="W768" s="368"/>
      <c r="X768" s="368"/>
      <c r="Y768" s="368"/>
      <c r="Z768" s="368"/>
      <c r="AD768" s="165" t="s">
        <v>227</v>
      </c>
      <c r="AE768" s="156"/>
      <c r="AF768" s="22"/>
      <c r="AG768" s="22"/>
      <c r="AI768" s="190">
        <v>1</v>
      </c>
    </row>
    <row r="769" spans="1:35" ht="18" hidden="1" customHeight="1" x14ac:dyDescent="0.2">
      <c r="A769" s="163" t="str">
        <f t="shared" ref="A769:A772" si="176">IF(AG769=1,"X","")</f>
        <v/>
      </c>
      <c r="B769" s="164">
        <v>0</v>
      </c>
      <c r="D769" s="370" t="s">
        <v>267</v>
      </c>
      <c r="E769" s="370"/>
      <c r="F769" s="370"/>
      <c r="G769" s="370"/>
      <c r="H769" s="370"/>
      <c r="I769" s="370"/>
      <c r="J769" s="370"/>
      <c r="K769" s="370"/>
      <c r="L769" s="370"/>
      <c r="M769" s="370"/>
      <c r="N769" s="370"/>
      <c r="O769" s="175"/>
      <c r="P769" s="175"/>
      <c r="Q769" s="370" t="s">
        <v>267</v>
      </c>
      <c r="R769" s="370"/>
      <c r="S769" s="370"/>
      <c r="T769" s="370"/>
      <c r="U769" s="370"/>
      <c r="V769" s="370"/>
      <c r="W769" s="370"/>
      <c r="X769" s="370"/>
      <c r="Y769" s="370"/>
      <c r="Z769" s="370"/>
      <c r="AA769" s="176"/>
      <c r="AB769" s="159" t="s">
        <v>262</v>
      </c>
      <c r="AD769" s="172" t="s">
        <v>249</v>
      </c>
      <c r="AE769" s="134"/>
      <c r="AF769" s="164">
        <f>IF(OR(D769="Show",D769="",Q769="Show",Q769=""),1,0)</f>
        <v>0</v>
      </c>
      <c r="AG769" s="164">
        <f>IF(AND(SUM(AF:AF)&gt;0,OR(D769="",Q769="")),1,0)</f>
        <v>0</v>
      </c>
      <c r="AI769" s="190">
        <v>1</v>
      </c>
    </row>
    <row r="770" spans="1:35" ht="197.25" hidden="1" customHeight="1" x14ac:dyDescent="0.2">
      <c r="A770" s="163" t="str">
        <f t="shared" si="176"/>
        <v/>
      </c>
      <c r="B770" s="164">
        <f>B768</f>
        <v>0</v>
      </c>
      <c r="D770" s="370"/>
      <c r="E770" s="370"/>
      <c r="F770" s="370"/>
      <c r="G770" s="370"/>
      <c r="H770" s="370"/>
      <c r="I770" s="370"/>
      <c r="J770" s="370"/>
      <c r="K770" s="370"/>
      <c r="L770" s="370"/>
      <c r="M770" s="370"/>
      <c r="N770" s="370"/>
      <c r="O770" s="175"/>
      <c r="P770" s="175"/>
      <c r="Q770" s="370"/>
      <c r="R770" s="370"/>
      <c r="S770" s="370"/>
      <c r="T770" s="370"/>
      <c r="U770" s="370"/>
      <c r="V770" s="370"/>
      <c r="W770" s="370"/>
      <c r="X770" s="370"/>
      <c r="Y770" s="370"/>
      <c r="Z770" s="370"/>
      <c r="AA770" s="176"/>
      <c r="AB770" s="159" t="s">
        <v>263</v>
      </c>
      <c r="AD770" s="172" t="s">
        <v>249</v>
      </c>
      <c r="AE770" s="167"/>
      <c r="AF770" s="22"/>
      <c r="AG770" s="22"/>
      <c r="AI770" s="190">
        <v>1</v>
      </c>
    </row>
    <row r="771" spans="1:35" ht="18" hidden="1" customHeight="1" x14ac:dyDescent="0.2">
      <c r="A771" s="163" t="str">
        <f t="shared" si="176"/>
        <v/>
      </c>
      <c r="B771" s="164">
        <f>B770</f>
        <v>0</v>
      </c>
      <c r="D771" s="371"/>
      <c r="E771" s="371"/>
      <c r="F771" s="371"/>
      <c r="G771" s="371"/>
      <c r="H771" s="371"/>
      <c r="I771" s="371"/>
      <c r="J771" s="371"/>
      <c r="K771" s="371"/>
      <c r="L771" s="371"/>
      <c r="M771" s="371"/>
      <c r="N771" s="371"/>
      <c r="O771" s="175"/>
      <c r="P771" s="175"/>
      <c r="Q771" s="371"/>
      <c r="R771" s="371"/>
      <c r="S771" s="371"/>
      <c r="T771" s="371"/>
      <c r="U771" s="371"/>
      <c r="V771" s="371"/>
      <c r="W771" s="371"/>
      <c r="X771" s="371"/>
      <c r="Y771" s="371"/>
      <c r="Z771" s="371"/>
      <c r="AA771" s="176"/>
      <c r="AB771" s="159" t="s">
        <v>264</v>
      </c>
      <c r="AD771" s="172" t="s">
        <v>249</v>
      </c>
      <c r="AE771" s="167"/>
      <c r="AF771" s="164">
        <f>IF(OR(D769="Show",D769="",Q769="Show",Q769=""),1,0)</f>
        <v>0</v>
      </c>
      <c r="AG771" s="164">
        <f>IF(AND(SUM(AF:AF)&gt;0,OR(AND(D769="Show",D771=""),AND(Q769="Show",Q771=""))),1,0)</f>
        <v>0</v>
      </c>
      <c r="AI771" s="190">
        <v>1</v>
      </c>
    </row>
    <row r="772" spans="1:35" ht="8.5" hidden="1" customHeight="1" x14ac:dyDescent="0.15">
      <c r="A772" s="163" t="str">
        <f t="shared" si="176"/>
        <v/>
      </c>
      <c r="B772" s="164">
        <f>B771</f>
        <v>0</v>
      </c>
      <c r="D772" s="368"/>
      <c r="E772" s="368"/>
      <c r="F772" s="368"/>
      <c r="G772" s="368"/>
      <c r="H772" s="368"/>
      <c r="I772" s="368"/>
      <c r="J772" s="368"/>
      <c r="K772" s="368"/>
      <c r="L772" s="368"/>
      <c r="M772" s="368"/>
      <c r="N772" s="368"/>
      <c r="O772" s="368"/>
      <c r="P772" s="368"/>
      <c r="Q772" s="368"/>
      <c r="R772" s="368"/>
      <c r="S772" s="368"/>
      <c r="T772" s="368"/>
      <c r="U772" s="368"/>
      <c r="V772" s="368"/>
      <c r="W772" s="368"/>
      <c r="X772" s="368"/>
      <c r="Y772" s="368"/>
      <c r="Z772" s="368"/>
      <c r="AA772" s="176"/>
      <c r="AD772" s="165" t="s">
        <v>227</v>
      </c>
      <c r="AE772" s="156"/>
      <c r="AF772" s="22"/>
      <c r="AG772" s="22"/>
      <c r="AI772" s="190">
        <v>1</v>
      </c>
    </row>
    <row r="773" spans="1:35" ht="15.75" hidden="1" customHeight="1" x14ac:dyDescent="0.2">
      <c r="A773" s="163"/>
      <c r="B773" s="164">
        <v>0</v>
      </c>
      <c r="D773" s="369" t="s">
        <v>265</v>
      </c>
      <c r="E773" s="369"/>
      <c r="F773" s="369"/>
      <c r="G773" s="369"/>
      <c r="H773" s="369"/>
      <c r="I773" s="369"/>
      <c r="J773" s="369"/>
      <c r="K773" s="369"/>
      <c r="L773" s="369"/>
      <c r="M773" s="369"/>
      <c r="N773" s="369"/>
      <c r="O773" s="369"/>
      <c r="P773" s="369"/>
      <c r="Q773" s="369"/>
      <c r="R773" s="369"/>
      <c r="S773" s="369"/>
      <c r="T773" s="369"/>
      <c r="U773" s="369"/>
      <c r="V773" s="369"/>
      <c r="W773" s="369"/>
      <c r="X773" s="369"/>
      <c r="Y773" s="369"/>
      <c r="Z773" s="369"/>
      <c r="AB773" s="166" t="s">
        <v>259</v>
      </c>
      <c r="AD773" s="165" t="s">
        <v>260</v>
      </c>
      <c r="AE773" s="134"/>
      <c r="AF773" s="22"/>
      <c r="AG773" s="22"/>
      <c r="AI773" s="190">
        <v>1</v>
      </c>
    </row>
    <row r="774" spans="1:35" ht="21" hidden="1" customHeight="1" x14ac:dyDescent="0.15">
      <c r="A774" s="163" t="str">
        <f t="shared" ref="A774:A784" si="177">IF(AG774=1,"X","")</f>
        <v/>
      </c>
      <c r="B774" s="164">
        <f>IF(Y$732="Yes",1,0)</f>
        <v>0</v>
      </c>
      <c r="D774" s="380" t="s">
        <v>314</v>
      </c>
      <c r="E774" s="380"/>
      <c r="F774" s="380"/>
      <c r="G774" s="380"/>
      <c r="H774" s="380"/>
      <c r="I774" s="380"/>
      <c r="J774" s="380"/>
      <c r="K774" s="380"/>
      <c r="L774" s="380"/>
      <c r="M774" s="380"/>
      <c r="N774" s="380"/>
      <c r="O774" s="380"/>
      <c r="P774" s="380"/>
      <c r="Q774" s="380"/>
      <c r="R774" s="380"/>
      <c r="S774" s="380"/>
      <c r="T774" s="380"/>
      <c r="U774" s="380"/>
      <c r="V774" s="380"/>
      <c r="W774" s="380"/>
      <c r="X774" s="380"/>
      <c r="Y774" s="380"/>
      <c r="Z774" s="380"/>
      <c r="AB774" s="166" t="s">
        <v>462</v>
      </c>
      <c r="AD774" s="165" t="s">
        <v>463</v>
      </c>
      <c r="AE774" s="134"/>
      <c r="AF774" s="22"/>
      <c r="AG774" s="22"/>
      <c r="AI774" s="190">
        <v>1</v>
      </c>
    </row>
    <row r="775" spans="1:35" s="180" customFormat="1" ht="18" hidden="1" customHeight="1" x14ac:dyDescent="0.2">
      <c r="A775" s="163" t="str">
        <f t="shared" si="177"/>
        <v/>
      </c>
      <c r="B775" s="170"/>
      <c r="C775" s="152"/>
      <c r="D775" s="378" t="s">
        <v>401</v>
      </c>
      <c r="E775" s="378"/>
      <c r="F775" s="378"/>
      <c r="G775" s="378"/>
      <c r="H775" s="378"/>
      <c r="I775" s="378"/>
      <c r="J775" s="378"/>
      <c r="K775" s="378"/>
      <c r="L775" s="378"/>
      <c r="M775" s="378"/>
      <c r="N775" s="378"/>
      <c r="O775" s="378"/>
      <c r="P775" s="378"/>
      <c r="Q775" s="378"/>
      <c r="R775" s="378"/>
      <c r="S775" s="378"/>
      <c r="T775" s="378"/>
      <c r="U775" s="378"/>
      <c r="V775" s="378"/>
      <c r="W775" s="378"/>
      <c r="X775" s="378"/>
      <c r="Y775" s="378"/>
      <c r="Z775" s="378"/>
      <c r="AA775" s="169"/>
      <c r="AB775" s="159" t="s">
        <v>281</v>
      </c>
      <c r="AD775" s="172" t="s">
        <v>249</v>
      </c>
      <c r="AE775" s="167"/>
      <c r="AF775" s="164">
        <f t="shared" ref="AF775:AF778" si="178">IF(B775&lt;&gt;"",1,0)</f>
        <v>0</v>
      </c>
      <c r="AG775" s="164">
        <f>IF(AND(SUM(AF:AF)&gt;0,OR(AND(B775="",Y732="Yes"),AND(B775=1,Y732="No"))),1,0)</f>
        <v>0</v>
      </c>
      <c r="AI775" s="190">
        <v>1</v>
      </c>
    </row>
    <row r="776" spans="1:35" s="180" customFormat="1" ht="18" hidden="1" customHeight="1" x14ac:dyDescent="0.2">
      <c r="A776" s="163" t="str">
        <f t="shared" si="177"/>
        <v/>
      </c>
      <c r="B776" s="170"/>
      <c r="C776" s="152"/>
      <c r="D776" s="378" t="s">
        <v>402</v>
      </c>
      <c r="E776" s="378"/>
      <c r="F776" s="378"/>
      <c r="G776" s="378"/>
      <c r="H776" s="378"/>
      <c r="I776" s="378"/>
      <c r="J776" s="378"/>
      <c r="K776" s="378"/>
      <c r="L776" s="378"/>
      <c r="M776" s="378"/>
      <c r="N776" s="378"/>
      <c r="O776" s="378"/>
      <c r="P776" s="378"/>
      <c r="Q776" s="378"/>
      <c r="R776" s="378"/>
      <c r="S776" s="378"/>
      <c r="T776" s="378"/>
      <c r="U776" s="378"/>
      <c r="V776" s="378"/>
      <c r="W776" s="378"/>
      <c r="X776" s="378"/>
      <c r="Y776" s="378"/>
      <c r="Z776" s="378"/>
      <c r="AA776" s="169"/>
      <c r="AB776" s="159" t="s">
        <v>281</v>
      </c>
      <c r="AD776" s="172" t="s">
        <v>249</v>
      </c>
      <c r="AE776" s="167"/>
      <c r="AF776" s="164">
        <f t="shared" si="178"/>
        <v>0</v>
      </c>
      <c r="AG776" s="164">
        <f>IF(AND(SUM(AF:AF)&gt;0,OR(AND(B776="",Y732="Yes"),AND(B776=1,Y732="No"))),1,0)</f>
        <v>0</v>
      </c>
      <c r="AI776" s="190">
        <v>1</v>
      </c>
    </row>
    <row r="777" spans="1:35" s="180" customFormat="1" ht="18" hidden="1" customHeight="1" x14ac:dyDescent="0.2">
      <c r="A777" s="163" t="str">
        <f t="shared" si="177"/>
        <v/>
      </c>
      <c r="B777" s="170"/>
      <c r="C777" s="152"/>
      <c r="D777" s="179" t="s">
        <v>252</v>
      </c>
      <c r="E777" s="378" t="s">
        <v>318</v>
      </c>
      <c r="F777" s="378"/>
      <c r="G777" s="378"/>
      <c r="H777" s="378"/>
      <c r="I777" s="378"/>
      <c r="J777" s="378"/>
      <c r="K777" s="378"/>
      <c r="L777" s="378"/>
      <c r="M777" s="378"/>
      <c r="N777" s="378"/>
      <c r="O777" s="378"/>
      <c r="P777" s="378"/>
      <c r="Q777" s="378"/>
      <c r="R777" s="378"/>
      <c r="S777" s="378"/>
      <c r="T777" s="378"/>
      <c r="U777" s="378"/>
      <c r="V777" s="378"/>
      <c r="W777" s="378"/>
      <c r="X777" s="378"/>
      <c r="Y777" s="378"/>
      <c r="Z777" s="378"/>
      <c r="AA777" s="169"/>
      <c r="AB777" s="159" t="s">
        <v>281</v>
      </c>
      <c r="AD777" s="172" t="s">
        <v>249</v>
      </c>
      <c r="AE777" s="167"/>
      <c r="AF777" s="164">
        <f t="shared" si="178"/>
        <v>0</v>
      </c>
      <c r="AG777" s="164">
        <f>IF(AND(SUM(AF:AF)&gt;0,OR(AND(B777="",Y732="Yes"),AND(B777=1,Y732="No"))),1,0)</f>
        <v>0</v>
      </c>
      <c r="AI777" s="190">
        <v>1</v>
      </c>
    </row>
    <row r="778" spans="1:35" s="180" customFormat="1" ht="18" hidden="1" customHeight="1" x14ac:dyDescent="0.2">
      <c r="A778" s="163" t="str">
        <f t="shared" si="177"/>
        <v/>
      </c>
      <c r="B778" s="170"/>
      <c r="C778" s="152"/>
      <c r="D778" s="179" t="s">
        <v>252</v>
      </c>
      <c r="E778" s="378" t="s">
        <v>405</v>
      </c>
      <c r="F778" s="378"/>
      <c r="G778" s="378"/>
      <c r="H778" s="378"/>
      <c r="I778" s="378"/>
      <c r="J778" s="378"/>
      <c r="K778" s="378"/>
      <c r="L778" s="378"/>
      <c r="M778" s="378"/>
      <c r="N778" s="378"/>
      <c r="O778" s="378"/>
      <c r="P778" s="378"/>
      <c r="Q778" s="378"/>
      <c r="R778" s="378"/>
      <c r="S778" s="378"/>
      <c r="T778" s="378"/>
      <c r="U778" s="378"/>
      <c r="V778" s="378"/>
      <c r="W778" s="378"/>
      <c r="X778" s="378"/>
      <c r="Y778" s="378"/>
      <c r="Z778" s="378"/>
      <c r="AA778" s="169"/>
      <c r="AB778" s="159" t="s">
        <v>281</v>
      </c>
      <c r="AD778" s="172" t="s">
        <v>249</v>
      </c>
      <c r="AE778" s="167"/>
      <c r="AF778" s="164">
        <f t="shared" si="178"/>
        <v>0</v>
      </c>
      <c r="AG778" s="164">
        <f>IF(AND(SUM(AF:AF)&gt;0,OR(AND(B778="",Y732="Yes"),AND(B778=1,Y732="No"))),1,0)</f>
        <v>0</v>
      </c>
      <c r="AI778" s="190">
        <v>1</v>
      </c>
    </row>
    <row r="779" spans="1:35" s="180" customFormat="1" ht="18.5" hidden="1" customHeight="1" x14ac:dyDescent="0.2">
      <c r="A779" s="163" t="str">
        <f t="shared" si="177"/>
        <v/>
      </c>
      <c r="B779" s="164">
        <v>0</v>
      </c>
      <c r="C779" s="152"/>
      <c r="D779" s="179" t="s">
        <v>252</v>
      </c>
      <c r="E779" s="378" t="s">
        <v>312</v>
      </c>
      <c r="F779" s="378"/>
      <c r="G779" s="378"/>
      <c r="H779" s="378"/>
      <c r="I779" s="378"/>
      <c r="J779" s="378"/>
      <c r="K779" s="378"/>
      <c r="L779" s="378"/>
      <c r="M779" s="378"/>
      <c r="N779" s="378"/>
      <c r="O779" s="378"/>
      <c r="P779" s="378"/>
      <c r="Q779" s="378"/>
      <c r="R779" s="378"/>
      <c r="S779" s="378"/>
      <c r="T779" s="378"/>
      <c r="U779" s="378"/>
      <c r="V779" s="378"/>
      <c r="W779" s="378"/>
      <c r="X779" s="378"/>
      <c r="Y779" s="378"/>
      <c r="Z779" s="378"/>
      <c r="AA779" s="168"/>
      <c r="AB779" s="166" t="s">
        <v>259</v>
      </c>
      <c r="AD779" s="165" t="s">
        <v>260</v>
      </c>
      <c r="AE779" s="134"/>
      <c r="AF779" s="22"/>
      <c r="AG779" s="22"/>
      <c r="AI779" s="190">
        <v>1</v>
      </c>
    </row>
    <row r="780" spans="1:35" s="180" customFormat="1" ht="18" hidden="1" customHeight="1" x14ac:dyDescent="0.2">
      <c r="A780" s="163" t="str">
        <f t="shared" si="177"/>
        <v/>
      </c>
      <c r="B780" s="170"/>
      <c r="C780" s="152"/>
      <c r="D780" s="179" t="s">
        <v>252</v>
      </c>
      <c r="E780" s="373"/>
      <c r="F780" s="373"/>
      <c r="G780" s="373"/>
      <c r="H780" s="373"/>
      <c r="I780" s="373"/>
      <c r="J780" s="373"/>
      <c r="K780" s="373"/>
      <c r="L780" s="373"/>
      <c r="M780" s="373"/>
      <c r="N780" s="373"/>
      <c r="O780" s="373"/>
      <c r="P780" s="373"/>
      <c r="Q780" s="373"/>
      <c r="R780" s="373"/>
      <c r="S780" s="373"/>
      <c r="T780" s="373"/>
      <c r="U780" s="373"/>
      <c r="V780" s="373"/>
      <c r="W780" s="373"/>
      <c r="X780" s="373"/>
      <c r="Y780" s="373"/>
      <c r="Z780" s="373"/>
      <c r="AA780" s="169"/>
      <c r="AB780" s="159" t="s">
        <v>281</v>
      </c>
      <c r="AD780" s="172" t="s">
        <v>249</v>
      </c>
      <c r="AE780" s="167"/>
      <c r="AF780" s="164">
        <f t="shared" ref="AF780:AF783" si="179">IF(B780&lt;&gt;"",1,0)</f>
        <v>0</v>
      </c>
      <c r="AG780" s="164">
        <f>IF(AND(SUM(AF:AF)&gt;0,OR(AND(B780=1,Y732="No"),AND(B780=1,E780="",Y732="Yes"),AND(B780="",E780="",Y732="Yes"),AND(B780="",E780&lt;&gt;"",Y732="Yes"),AND(B780=0,E780&lt;&gt;"",Y732="Yes"))),1,0)</f>
        <v>0</v>
      </c>
      <c r="AI780" s="190">
        <v>1</v>
      </c>
    </row>
    <row r="781" spans="1:35" s="180" customFormat="1" ht="18" hidden="1" customHeight="1" x14ac:dyDescent="0.2">
      <c r="A781" s="163" t="str">
        <f t="shared" si="177"/>
        <v/>
      </c>
      <c r="B781" s="170"/>
      <c r="C781" s="152"/>
      <c r="D781" s="179" t="s">
        <v>252</v>
      </c>
      <c r="E781" s="373"/>
      <c r="F781" s="373"/>
      <c r="G781" s="373"/>
      <c r="H781" s="373"/>
      <c r="I781" s="373"/>
      <c r="J781" s="373"/>
      <c r="K781" s="373"/>
      <c r="L781" s="373"/>
      <c r="M781" s="373"/>
      <c r="N781" s="373"/>
      <c r="O781" s="373"/>
      <c r="P781" s="373"/>
      <c r="Q781" s="373"/>
      <c r="R781" s="373"/>
      <c r="S781" s="373"/>
      <c r="T781" s="373"/>
      <c r="U781" s="373"/>
      <c r="V781" s="373"/>
      <c r="W781" s="373"/>
      <c r="X781" s="373"/>
      <c r="Y781" s="373"/>
      <c r="Z781" s="373"/>
      <c r="AA781" s="169"/>
      <c r="AB781" s="159" t="s">
        <v>281</v>
      </c>
      <c r="AD781" s="172" t="s">
        <v>249</v>
      </c>
      <c r="AE781" s="167"/>
      <c r="AF781" s="164">
        <f t="shared" si="179"/>
        <v>0</v>
      </c>
      <c r="AG781" s="164">
        <f>IF(AND(SUM(AF:AF)&gt;0,OR(AND(B781=1,Y732="No"),AND(B781=1,E781="",Y732="Yes"),AND(B781="",E781="",Y732="Yes"),AND(B781="",E781&lt;&gt;"",Y732="Yes"),AND(B781=0,E781&lt;&gt;"",Y732="Yes"))),1,0)</f>
        <v>0</v>
      </c>
      <c r="AI781" s="190">
        <v>1</v>
      </c>
    </row>
    <row r="782" spans="1:35" s="180" customFormat="1" ht="18" hidden="1" customHeight="1" x14ac:dyDescent="0.2">
      <c r="A782" s="163" t="str">
        <f t="shared" si="177"/>
        <v/>
      </c>
      <c r="B782" s="170"/>
      <c r="C782" s="152"/>
      <c r="D782" s="179" t="s">
        <v>252</v>
      </c>
      <c r="E782" s="373"/>
      <c r="F782" s="373"/>
      <c r="G782" s="373"/>
      <c r="H782" s="373"/>
      <c r="I782" s="373"/>
      <c r="J782" s="373"/>
      <c r="K782" s="373"/>
      <c r="L782" s="373"/>
      <c r="M782" s="373"/>
      <c r="N782" s="373"/>
      <c r="O782" s="373"/>
      <c r="P782" s="373"/>
      <c r="Q782" s="373"/>
      <c r="R782" s="373"/>
      <c r="S782" s="373"/>
      <c r="T782" s="373"/>
      <c r="U782" s="373"/>
      <c r="V782" s="373"/>
      <c r="W782" s="373"/>
      <c r="X782" s="373"/>
      <c r="Y782" s="373"/>
      <c r="Z782" s="373"/>
      <c r="AA782" s="169"/>
      <c r="AB782" s="159" t="s">
        <v>281</v>
      </c>
      <c r="AD782" s="172" t="s">
        <v>249</v>
      </c>
      <c r="AE782" s="167"/>
      <c r="AF782" s="164">
        <f t="shared" si="179"/>
        <v>0</v>
      </c>
      <c r="AG782" s="164">
        <f>IF(AND(SUM(AF:AF)&gt;0,OR(AND(B782=1,Y732="No"),AND(B782=1,E782="",Y732="Yes"),AND(B782="",E782="",Y732="Yes"),AND(B782="",E782&lt;&gt;"",Y732="Yes"),AND(B782=0,E782&lt;&gt;"",Y732="Yes"))),1,0)</f>
        <v>0</v>
      </c>
      <c r="AI782" s="190">
        <v>1</v>
      </c>
    </row>
    <row r="783" spans="1:35" s="180" customFormat="1" ht="18" hidden="1" customHeight="1" x14ac:dyDescent="0.2">
      <c r="A783" s="163" t="str">
        <f t="shared" si="177"/>
        <v/>
      </c>
      <c r="B783" s="170"/>
      <c r="C783" s="152"/>
      <c r="D783" s="375" t="s">
        <v>320</v>
      </c>
      <c r="E783" s="375"/>
      <c r="F783" s="375"/>
      <c r="G783" s="375"/>
      <c r="H783" s="375"/>
      <c r="I783" s="375"/>
      <c r="J783" s="375"/>
      <c r="K783" s="375"/>
      <c r="L783" s="375"/>
      <c r="M783" s="375"/>
      <c r="N783" s="375"/>
      <c r="O783" s="375"/>
      <c r="P783" s="375"/>
      <c r="Q783" s="375"/>
      <c r="R783" s="187"/>
      <c r="S783" s="378" t="s">
        <v>321</v>
      </c>
      <c r="T783" s="378"/>
      <c r="U783" s="378"/>
      <c r="V783" s="378"/>
      <c r="W783" s="378"/>
      <c r="X783" s="378"/>
      <c r="Y783" s="378"/>
      <c r="Z783" s="378"/>
      <c r="AA783" s="169"/>
      <c r="AB783" s="159" t="s">
        <v>281</v>
      </c>
      <c r="AD783" s="172" t="s">
        <v>249</v>
      </c>
      <c r="AE783" s="167"/>
      <c r="AF783" s="164">
        <f t="shared" si="179"/>
        <v>0</v>
      </c>
      <c r="AG783" s="164">
        <f>IF(AND(SUM(AF:AF)&gt;0,OR(AND(B783=1,Y732="No"),AND(B783=1,R783="",Y732="Yes"),AND(B783="",R783="",Y732="Yes"),AND(B783="",R783&lt;&gt;"",Y732="Yes"),AND(B783=0,R783&lt;&gt;"",Y732="Yes"))),1,0)</f>
        <v>0</v>
      </c>
      <c r="AI783" s="190">
        <v>1</v>
      </c>
    </row>
    <row r="784" spans="1:35" ht="21" hidden="1" customHeight="1" x14ac:dyDescent="0.2">
      <c r="A784" s="163" t="str">
        <f t="shared" si="177"/>
        <v/>
      </c>
      <c r="B784" s="164">
        <v>0</v>
      </c>
      <c r="D784" s="379" t="s">
        <v>258</v>
      </c>
      <c r="E784" s="379"/>
      <c r="F784" s="379"/>
      <c r="G784" s="379"/>
      <c r="H784" s="379"/>
      <c r="I784" s="379"/>
      <c r="J784" s="379"/>
      <c r="K784" s="379"/>
      <c r="L784" s="379"/>
      <c r="M784" s="379"/>
      <c r="N784" s="379"/>
      <c r="O784" s="379"/>
      <c r="P784" s="379"/>
      <c r="Q784" s="379"/>
      <c r="R784" s="379"/>
      <c r="S784" s="379"/>
      <c r="T784" s="379"/>
      <c r="U784" s="379"/>
      <c r="V784" s="379"/>
      <c r="W784" s="379"/>
      <c r="X784" s="379"/>
      <c r="Y784" s="379"/>
      <c r="Z784" s="379"/>
      <c r="AB784" s="166" t="s">
        <v>259</v>
      </c>
      <c r="AD784" s="165" t="s">
        <v>260</v>
      </c>
      <c r="AE784" s="134"/>
      <c r="AF784" s="22"/>
      <c r="AG784" s="22"/>
      <c r="AI784" s="190">
        <v>1</v>
      </c>
    </row>
    <row r="785" spans="1:35" ht="15.75" hidden="1" customHeight="1" x14ac:dyDescent="0.2">
      <c r="A785" s="163"/>
      <c r="B785" s="164">
        <v>0</v>
      </c>
      <c r="D785" s="369" t="s">
        <v>261</v>
      </c>
      <c r="E785" s="369"/>
      <c r="F785" s="369"/>
      <c r="G785" s="369"/>
      <c r="H785" s="369"/>
      <c r="I785" s="369"/>
      <c r="J785" s="369"/>
      <c r="K785" s="369"/>
      <c r="L785" s="369"/>
      <c r="M785" s="369"/>
      <c r="N785" s="369"/>
      <c r="O785" s="369"/>
      <c r="P785" s="369"/>
      <c r="Q785" s="369"/>
      <c r="R785" s="369"/>
      <c r="S785" s="369"/>
      <c r="T785" s="369"/>
      <c r="U785" s="369"/>
      <c r="V785" s="369"/>
      <c r="W785" s="369"/>
      <c r="X785" s="369"/>
      <c r="Y785" s="369"/>
      <c r="Z785" s="369"/>
      <c r="AB785" s="166" t="s">
        <v>259</v>
      </c>
      <c r="AD785" s="165" t="s">
        <v>260</v>
      </c>
      <c r="AE785" s="134"/>
      <c r="AF785" s="22"/>
      <c r="AG785" s="22"/>
      <c r="AI785" s="190">
        <v>1</v>
      </c>
    </row>
    <row r="786" spans="1:35" ht="8.5" hidden="1" customHeight="1" x14ac:dyDescent="0.15">
      <c r="A786" s="163" t="str">
        <f>IF(AG786=1,"X","")</f>
        <v/>
      </c>
      <c r="B786" s="164">
        <f>IF(OR(D787="Show",Q787="Show"),1,0)</f>
        <v>0</v>
      </c>
      <c r="D786" s="368"/>
      <c r="E786" s="368"/>
      <c r="F786" s="368"/>
      <c r="G786" s="368"/>
      <c r="H786" s="368"/>
      <c r="I786" s="368"/>
      <c r="J786" s="368"/>
      <c r="K786" s="368"/>
      <c r="L786" s="368"/>
      <c r="M786" s="368"/>
      <c r="N786" s="368"/>
      <c r="O786" s="368"/>
      <c r="P786" s="368"/>
      <c r="Q786" s="368"/>
      <c r="R786" s="368"/>
      <c r="S786" s="368"/>
      <c r="T786" s="368"/>
      <c r="U786" s="368"/>
      <c r="V786" s="368"/>
      <c r="W786" s="368"/>
      <c r="X786" s="368"/>
      <c r="Y786" s="368"/>
      <c r="Z786" s="368"/>
      <c r="AD786" s="165" t="s">
        <v>227</v>
      </c>
      <c r="AE786" s="156"/>
      <c r="AF786" s="22"/>
      <c r="AG786" s="22"/>
      <c r="AI786" s="190">
        <v>1</v>
      </c>
    </row>
    <row r="787" spans="1:35" ht="18" hidden="1" customHeight="1" x14ac:dyDescent="0.2">
      <c r="A787" s="163" t="str">
        <f t="shared" ref="A787:A790" si="180">IF(AG787=1,"X","")</f>
        <v/>
      </c>
      <c r="B787" s="164">
        <v>0</v>
      </c>
      <c r="D787" s="370" t="s">
        <v>267</v>
      </c>
      <c r="E787" s="370"/>
      <c r="F787" s="370"/>
      <c r="G787" s="370"/>
      <c r="H787" s="370"/>
      <c r="I787" s="370"/>
      <c r="J787" s="370"/>
      <c r="K787" s="370"/>
      <c r="L787" s="370"/>
      <c r="M787" s="370"/>
      <c r="N787" s="370"/>
      <c r="O787" s="175"/>
      <c r="P787" s="175"/>
      <c r="Q787" s="370" t="s">
        <v>267</v>
      </c>
      <c r="R787" s="370"/>
      <c r="S787" s="370"/>
      <c r="T787" s="370"/>
      <c r="U787" s="370"/>
      <c r="V787" s="370"/>
      <c r="W787" s="370"/>
      <c r="X787" s="370"/>
      <c r="Y787" s="370"/>
      <c r="Z787" s="370"/>
      <c r="AA787" s="176"/>
      <c r="AB787" s="159" t="s">
        <v>262</v>
      </c>
      <c r="AD787" s="172" t="s">
        <v>249</v>
      </c>
      <c r="AE787" s="134"/>
      <c r="AF787" s="164">
        <f>IF(OR(D787="Show",D787="",Q787="Show",Q787=""),1,0)</f>
        <v>0</v>
      </c>
      <c r="AG787" s="164">
        <f>IF(AND(SUM(AF:AF)&gt;0,OR(D787="",Q787="")),1,0)</f>
        <v>0</v>
      </c>
      <c r="AI787" s="190">
        <v>1</v>
      </c>
    </row>
    <row r="788" spans="1:35" ht="197.25" hidden="1" customHeight="1" x14ac:dyDescent="0.2">
      <c r="A788" s="163" t="str">
        <f t="shared" si="180"/>
        <v/>
      </c>
      <c r="B788" s="164">
        <f>B786</f>
        <v>0</v>
      </c>
      <c r="D788" s="370"/>
      <c r="E788" s="370"/>
      <c r="F788" s="370"/>
      <c r="G788" s="370"/>
      <c r="H788" s="370"/>
      <c r="I788" s="370"/>
      <c r="J788" s="370"/>
      <c r="K788" s="370"/>
      <c r="L788" s="370"/>
      <c r="M788" s="370"/>
      <c r="N788" s="370"/>
      <c r="O788" s="175"/>
      <c r="P788" s="175"/>
      <c r="Q788" s="370"/>
      <c r="R788" s="370"/>
      <c r="S788" s="370"/>
      <c r="T788" s="370"/>
      <c r="U788" s="370"/>
      <c r="V788" s="370"/>
      <c r="W788" s="370"/>
      <c r="X788" s="370"/>
      <c r="Y788" s="370"/>
      <c r="Z788" s="370"/>
      <c r="AA788" s="176"/>
      <c r="AB788" s="159" t="s">
        <v>263</v>
      </c>
      <c r="AD788" s="172" t="s">
        <v>249</v>
      </c>
      <c r="AE788" s="167"/>
      <c r="AF788" s="22"/>
      <c r="AG788" s="22"/>
      <c r="AI788" s="190">
        <v>1</v>
      </c>
    </row>
    <row r="789" spans="1:35" ht="18" hidden="1" customHeight="1" x14ac:dyDescent="0.2">
      <c r="A789" s="163" t="str">
        <f t="shared" si="180"/>
        <v/>
      </c>
      <c r="B789" s="164">
        <f>B788</f>
        <v>0</v>
      </c>
      <c r="D789" s="371"/>
      <c r="E789" s="371"/>
      <c r="F789" s="371"/>
      <c r="G789" s="371"/>
      <c r="H789" s="371"/>
      <c r="I789" s="371"/>
      <c r="J789" s="371"/>
      <c r="K789" s="371"/>
      <c r="L789" s="371"/>
      <c r="M789" s="371"/>
      <c r="N789" s="371"/>
      <c r="O789" s="175"/>
      <c r="P789" s="175"/>
      <c r="Q789" s="371"/>
      <c r="R789" s="371"/>
      <c r="S789" s="371"/>
      <c r="T789" s="371"/>
      <c r="U789" s="371"/>
      <c r="V789" s="371"/>
      <c r="W789" s="371"/>
      <c r="X789" s="371"/>
      <c r="Y789" s="371"/>
      <c r="Z789" s="371"/>
      <c r="AA789" s="176"/>
      <c r="AB789" s="159" t="s">
        <v>264</v>
      </c>
      <c r="AD789" s="172" t="s">
        <v>249</v>
      </c>
      <c r="AE789" s="167"/>
      <c r="AF789" s="164">
        <f>IF(OR(D787="Show",D787="",Q787="Show",Q787=""),1,0)</f>
        <v>0</v>
      </c>
      <c r="AG789" s="164">
        <f>IF(AND(SUM(AF:AF)&gt;0,OR(AND(D787="Show",D789=""),AND(Q787="Show",Q789=""))),1,0)</f>
        <v>0</v>
      </c>
      <c r="AI789" s="190">
        <v>1</v>
      </c>
    </row>
    <row r="790" spans="1:35" ht="8.5" hidden="1" customHeight="1" x14ac:dyDescent="0.15">
      <c r="A790" s="163" t="str">
        <f t="shared" si="180"/>
        <v/>
      </c>
      <c r="B790" s="164">
        <f>B789</f>
        <v>0</v>
      </c>
      <c r="D790" s="368"/>
      <c r="E790" s="368"/>
      <c r="F790" s="368"/>
      <c r="G790" s="368"/>
      <c r="H790" s="368"/>
      <c r="I790" s="368"/>
      <c r="J790" s="368"/>
      <c r="K790" s="368"/>
      <c r="L790" s="368"/>
      <c r="M790" s="368"/>
      <c r="N790" s="368"/>
      <c r="O790" s="368"/>
      <c r="P790" s="368"/>
      <c r="Q790" s="368"/>
      <c r="R790" s="368"/>
      <c r="S790" s="368"/>
      <c r="T790" s="368"/>
      <c r="U790" s="368"/>
      <c r="V790" s="368"/>
      <c r="W790" s="368"/>
      <c r="X790" s="368"/>
      <c r="Y790" s="368"/>
      <c r="Z790" s="368"/>
      <c r="AA790" s="176"/>
      <c r="AD790" s="165" t="s">
        <v>227</v>
      </c>
      <c r="AE790" s="156"/>
      <c r="AF790" s="22"/>
      <c r="AG790" s="22"/>
      <c r="AI790" s="190">
        <v>1</v>
      </c>
    </row>
    <row r="791" spans="1:35" ht="15.75" hidden="1" customHeight="1" x14ac:dyDescent="0.2">
      <c r="A791" s="163"/>
      <c r="B791" s="164">
        <v>0</v>
      </c>
      <c r="D791" s="369" t="s">
        <v>265</v>
      </c>
      <c r="E791" s="369"/>
      <c r="F791" s="369"/>
      <c r="G791" s="369"/>
      <c r="H791" s="369"/>
      <c r="I791" s="369"/>
      <c r="J791" s="369"/>
      <c r="K791" s="369"/>
      <c r="L791" s="369"/>
      <c r="M791" s="369"/>
      <c r="N791" s="369"/>
      <c r="O791" s="369"/>
      <c r="P791" s="369"/>
      <c r="Q791" s="369"/>
      <c r="R791" s="369"/>
      <c r="S791" s="369"/>
      <c r="T791" s="369"/>
      <c r="U791" s="369"/>
      <c r="V791" s="369"/>
      <c r="W791" s="369"/>
      <c r="X791" s="369"/>
      <c r="Y791" s="369"/>
      <c r="Z791" s="369"/>
      <c r="AB791" s="166" t="s">
        <v>259</v>
      </c>
      <c r="AD791" s="165" t="s">
        <v>260</v>
      </c>
      <c r="AE791" s="134"/>
      <c r="AF791" s="22"/>
      <c r="AG791" s="22"/>
      <c r="AI791" s="190">
        <v>1</v>
      </c>
    </row>
    <row r="792" spans="1:35" ht="25" hidden="1" customHeight="1" x14ac:dyDescent="0.2">
      <c r="A792" s="163"/>
      <c r="B792" s="164">
        <v>0</v>
      </c>
      <c r="D792" s="374" t="str">
        <f>CONCATENATE("↑ Room Section ", N734," ↑")</f>
        <v>↑ Room Section 10 ↑</v>
      </c>
      <c r="E792" s="374"/>
      <c r="F792" s="374"/>
      <c r="G792" s="374"/>
      <c r="H792" s="374"/>
      <c r="I792" s="374"/>
      <c r="J792" s="374"/>
      <c r="K792" s="374"/>
      <c r="L792" s="374"/>
      <c r="M792" s="374"/>
      <c r="N792" s="374"/>
      <c r="O792" s="374"/>
      <c r="P792" s="374"/>
      <c r="Q792" s="374"/>
      <c r="R792" s="374"/>
      <c r="S792" s="374"/>
      <c r="T792" s="374"/>
      <c r="U792" s="374"/>
      <c r="V792" s="374"/>
      <c r="W792" s="374"/>
      <c r="X792" s="374"/>
      <c r="Y792" s="374"/>
      <c r="Z792" s="374"/>
      <c r="AB792" s="166" t="s">
        <v>259</v>
      </c>
      <c r="AD792" s="165" t="s">
        <v>260</v>
      </c>
      <c r="AE792" s="134"/>
      <c r="AF792" s="22"/>
      <c r="AG792" s="22"/>
      <c r="AI792" s="190">
        <v>1</v>
      </c>
    </row>
    <row r="793" spans="1:35" ht="13.5" customHeight="1" x14ac:dyDescent="0.15">
      <c r="A793" s="163" t="str">
        <f t="shared" ref="A793" si="181">IF(AG793=1,"X","")</f>
        <v/>
      </c>
      <c r="B793" s="164">
        <v>1</v>
      </c>
      <c r="D793" s="380" t="s">
        <v>415</v>
      </c>
      <c r="E793" s="380"/>
      <c r="F793" s="380"/>
      <c r="G793" s="380"/>
      <c r="H793" s="380"/>
      <c r="I793" s="380"/>
      <c r="J793" s="380"/>
      <c r="K793" s="380"/>
      <c r="L793" s="380"/>
      <c r="M793" s="380"/>
      <c r="N793" s="380"/>
      <c r="O793" s="380"/>
      <c r="P793" s="380"/>
      <c r="Q793" s="380"/>
      <c r="R793" s="380"/>
      <c r="S793" s="380"/>
      <c r="T793" s="380"/>
      <c r="U793" s="380"/>
      <c r="V793" s="380"/>
      <c r="W793" s="380"/>
      <c r="X793" s="380"/>
      <c r="Y793" s="380"/>
      <c r="Z793" s="380"/>
      <c r="AB793" s="166" t="s">
        <v>229</v>
      </c>
      <c r="AD793" s="165" t="s">
        <v>227</v>
      </c>
      <c r="AE793" s="156"/>
      <c r="AF793" s="22"/>
      <c r="AG793" s="22"/>
      <c r="AI793" s="190">
        <v>1</v>
      </c>
    </row>
    <row r="794" spans="1:35" s="180" customFormat="1" ht="15" hidden="1" x14ac:dyDescent="0.15">
      <c r="A794" s="163" t="str">
        <f t="shared" ref="A794" si="182">IF(AG794=1,"X","")</f>
        <v/>
      </c>
      <c r="B794" s="170">
        <v>0</v>
      </c>
      <c r="C794" s="152"/>
      <c r="D794" s="407" t="s">
        <v>572</v>
      </c>
      <c r="E794" s="407"/>
      <c r="F794" s="407"/>
      <c r="G794" s="407"/>
      <c r="H794" s="407"/>
      <c r="I794" s="407"/>
      <c r="J794" s="407"/>
      <c r="K794" s="407"/>
      <c r="L794" s="407"/>
      <c r="M794" s="407"/>
      <c r="N794" s="407"/>
      <c r="O794" s="407"/>
      <c r="P794" s="407"/>
      <c r="Q794" s="407"/>
      <c r="R794" s="407"/>
      <c r="S794" s="407"/>
      <c r="T794" s="407"/>
      <c r="U794" s="407"/>
      <c r="V794" s="407"/>
      <c r="W794" s="407"/>
      <c r="X794" s="407"/>
      <c r="Y794" s="407"/>
      <c r="Z794" s="407"/>
      <c r="AB794" s="159" t="s">
        <v>248</v>
      </c>
      <c r="AC794" s="151"/>
      <c r="AD794" s="172" t="s">
        <v>249</v>
      </c>
      <c r="AE794" s="156"/>
      <c r="AF794" s="164">
        <f t="shared" ref="AF794" si="183">IF(B794&lt;&gt;"",1,0)</f>
        <v>1</v>
      </c>
      <c r="AG794" s="164">
        <f>IF(AND(SUM(AF:AF)&gt;0,B794=""),1,0)</f>
        <v>0</v>
      </c>
      <c r="AI794" s="190">
        <v>1</v>
      </c>
    </row>
    <row r="795" spans="1:35" s="180" customFormat="1" ht="18.5" hidden="1" customHeight="1" x14ac:dyDescent="0.2">
      <c r="A795" s="163" t="str">
        <f t="shared" ref="A795:A882" si="184">IF(AG795=1,"X","")</f>
        <v/>
      </c>
      <c r="B795" s="164">
        <v>0</v>
      </c>
      <c r="C795" s="152"/>
      <c r="D795" s="411" t="s">
        <v>326</v>
      </c>
      <c r="E795" s="411"/>
      <c r="F795" s="411"/>
      <c r="G795" s="411"/>
      <c r="H795" s="411"/>
      <c r="I795" s="411"/>
      <c r="J795" s="411"/>
      <c r="K795" s="411"/>
      <c r="L795" s="411"/>
      <c r="M795" s="411"/>
      <c r="N795" s="411"/>
      <c r="O795" s="411"/>
      <c r="P795" s="411"/>
      <c r="Q795" s="411"/>
      <c r="R795" s="411"/>
      <c r="S795" s="411"/>
      <c r="T795" s="411"/>
      <c r="U795" s="411"/>
      <c r="V795" s="411"/>
      <c r="W795" s="411"/>
      <c r="X795" s="411"/>
      <c r="Y795" s="411"/>
      <c r="Z795" s="411"/>
      <c r="AA795" s="168"/>
      <c r="AB795" s="166" t="s">
        <v>259</v>
      </c>
      <c r="AD795" s="165" t="s">
        <v>260</v>
      </c>
      <c r="AE795" s="134"/>
      <c r="AF795" s="22"/>
      <c r="AG795" s="22"/>
      <c r="AI795" s="190">
        <v>1</v>
      </c>
    </row>
    <row r="796" spans="1:35" s="180" customFormat="1" ht="18" hidden="1" customHeight="1" x14ac:dyDescent="0.2">
      <c r="A796" s="163" t="str">
        <f t="shared" si="184"/>
        <v/>
      </c>
      <c r="B796" s="170">
        <v>0</v>
      </c>
      <c r="C796" s="152"/>
      <c r="D796" s="179" t="s">
        <v>252</v>
      </c>
      <c r="E796" s="373"/>
      <c r="F796" s="373"/>
      <c r="G796" s="373"/>
      <c r="H796" s="373"/>
      <c r="I796" s="373"/>
      <c r="J796" s="373"/>
      <c r="K796" s="373"/>
      <c r="L796" s="373"/>
      <c r="M796" s="373"/>
      <c r="N796" s="373"/>
      <c r="O796" s="373"/>
      <c r="P796" s="373"/>
      <c r="Q796" s="373"/>
      <c r="R796" s="373"/>
      <c r="S796" s="373"/>
      <c r="T796" s="373"/>
      <c r="U796" s="373"/>
      <c r="V796" s="373"/>
      <c r="W796" s="373"/>
      <c r="X796" s="373"/>
      <c r="Y796" s="373"/>
      <c r="Z796" s="373"/>
      <c r="AA796" s="169"/>
      <c r="AB796" s="159" t="s">
        <v>281</v>
      </c>
      <c r="AD796" s="172" t="s">
        <v>249</v>
      </c>
      <c r="AE796" s="167"/>
      <c r="AF796" s="164">
        <f t="shared" ref="AF796:AF797" si="185">IF(B796&lt;&gt;"",1,0)</f>
        <v>1</v>
      </c>
      <c r="AG796" s="164">
        <f>IF(AND(SUM(AF:AF)&gt;0,OR(AND(B796=1,E796=""),AND(B796="",E796=""),AND(B796="",E796&lt;&gt;""),AND(B796=0,E796&lt;&gt;""))),1,0)</f>
        <v>0</v>
      </c>
      <c r="AI796" s="190">
        <v>1</v>
      </c>
    </row>
    <row r="797" spans="1:35" s="180" customFormat="1" ht="18" hidden="1" customHeight="1" x14ac:dyDescent="0.2">
      <c r="A797" s="163" t="str">
        <f t="shared" si="184"/>
        <v/>
      </c>
      <c r="B797" s="170">
        <v>0</v>
      </c>
      <c r="C797" s="152"/>
      <c r="D797" s="179" t="s">
        <v>252</v>
      </c>
      <c r="E797" s="373"/>
      <c r="F797" s="373"/>
      <c r="G797" s="373"/>
      <c r="H797" s="373"/>
      <c r="I797" s="373"/>
      <c r="J797" s="373"/>
      <c r="K797" s="373"/>
      <c r="L797" s="373"/>
      <c r="M797" s="373"/>
      <c r="N797" s="373"/>
      <c r="O797" s="373"/>
      <c r="P797" s="373"/>
      <c r="Q797" s="373"/>
      <c r="R797" s="373"/>
      <c r="S797" s="373"/>
      <c r="T797" s="373"/>
      <c r="U797" s="373"/>
      <c r="V797" s="373"/>
      <c r="W797" s="373"/>
      <c r="X797" s="373"/>
      <c r="Y797" s="373"/>
      <c r="Z797" s="373"/>
      <c r="AA797" s="169"/>
      <c r="AB797" s="159" t="s">
        <v>281</v>
      </c>
      <c r="AD797" s="172" t="s">
        <v>249</v>
      </c>
      <c r="AE797" s="167"/>
      <c r="AF797" s="164">
        <f t="shared" si="185"/>
        <v>1</v>
      </c>
      <c r="AG797" s="164">
        <f>IF(AND(SUM(AF:AF)&gt;0,OR(AND(B797=1,E797=""),AND(B797="",E797=""),AND(B797="",E797&lt;&gt;""),AND(B797=0,E797&lt;&gt;""))),1,0)</f>
        <v>0</v>
      </c>
      <c r="AI797" s="190">
        <v>1</v>
      </c>
    </row>
    <row r="798" spans="1:35" s="180" customFormat="1" ht="18" hidden="1" customHeight="1" x14ac:dyDescent="0.2">
      <c r="A798" s="163" t="str">
        <f t="shared" ref="A798" si="186">IF(AG798=1,"X","")</f>
        <v/>
      </c>
      <c r="B798" s="170">
        <v>0</v>
      </c>
      <c r="C798" s="152"/>
      <c r="D798" s="179" t="s">
        <v>252</v>
      </c>
      <c r="E798" s="373"/>
      <c r="F798" s="373"/>
      <c r="G798" s="373"/>
      <c r="H798" s="373"/>
      <c r="I798" s="373"/>
      <c r="J798" s="373"/>
      <c r="K798" s="373"/>
      <c r="L798" s="373"/>
      <c r="M798" s="373"/>
      <c r="N798" s="373"/>
      <c r="O798" s="373"/>
      <c r="P798" s="373"/>
      <c r="Q798" s="373"/>
      <c r="R798" s="373"/>
      <c r="S798" s="373"/>
      <c r="T798" s="373"/>
      <c r="U798" s="373"/>
      <c r="V798" s="373"/>
      <c r="W798" s="373"/>
      <c r="X798" s="373"/>
      <c r="Y798" s="373"/>
      <c r="Z798" s="373"/>
      <c r="AA798" s="169"/>
      <c r="AB798" s="159" t="s">
        <v>281</v>
      </c>
      <c r="AD798" s="172" t="s">
        <v>249</v>
      </c>
      <c r="AE798" s="167"/>
      <c r="AF798" s="164">
        <f t="shared" ref="AF798" si="187">IF(B798&lt;&gt;"",1,0)</f>
        <v>1</v>
      </c>
      <c r="AG798" s="164">
        <f>IF(AND(SUM(AF:AF)&gt;0,OR(AND(B798=1,E798=""),AND(B798="",E798=""),AND(B798="",E798&lt;&gt;""),AND(B798=0,E798&lt;&gt;""))),1,0)</f>
        <v>0</v>
      </c>
      <c r="AI798" s="190">
        <v>1</v>
      </c>
    </row>
    <row r="799" spans="1:35" s="180" customFormat="1" ht="18" hidden="1" customHeight="1" x14ac:dyDescent="0.2">
      <c r="A799" s="163" t="str">
        <f t="shared" ref="A799" si="188">IF(AG799=1,"X","")</f>
        <v/>
      </c>
      <c r="B799" s="170">
        <v>0</v>
      </c>
      <c r="C799" s="152"/>
      <c r="D799" s="179" t="s">
        <v>252</v>
      </c>
      <c r="E799" s="373"/>
      <c r="F799" s="373"/>
      <c r="G799" s="373"/>
      <c r="H799" s="373"/>
      <c r="I799" s="373"/>
      <c r="J799" s="373"/>
      <c r="K799" s="373"/>
      <c r="L799" s="373"/>
      <c r="M799" s="373"/>
      <c r="N799" s="373"/>
      <c r="O799" s="373"/>
      <c r="P799" s="373"/>
      <c r="Q799" s="373"/>
      <c r="R799" s="373"/>
      <c r="S799" s="373"/>
      <c r="T799" s="373"/>
      <c r="U799" s="373"/>
      <c r="V799" s="373"/>
      <c r="W799" s="373"/>
      <c r="X799" s="373"/>
      <c r="Y799" s="373"/>
      <c r="Z799" s="373"/>
      <c r="AA799" s="169"/>
      <c r="AB799" s="159" t="s">
        <v>281</v>
      </c>
      <c r="AD799" s="172" t="s">
        <v>249</v>
      </c>
      <c r="AE799" s="167"/>
      <c r="AF799" s="164">
        <f t="shared" ref="AF799:AF806" si="189">IF(B799&lt;&gt;"",1,0)</f>
        <v>1</v>
      </c>
      <c r="AG799" s="164">
        <f>IF(AND(SUM(AF:AF)&gt;0,OR(AND(B799=1,E799=""),AND(B799="",E799=""),AND(B799="",E799&lt;&gt;""),AND(B799=0,E799&lt;&gt;""))),1,0)</f>
        <v>0</v>
      </c>
      <c r="AI799" s="190">
        <v>1</v>
      </c>
    </row>
    <row r="800" spans="1:35" s="180" customFormat="1" ht="15" x14ac:dyDescent="0.15">
      <c r="A800" s="163" t="str">
        <f t="shared" ref="A800" si="190">IF(AG800=1,"X","")</f>
        <v/>
      </c>
      <c r="B800" s="170">
        <v>1</v>
      </c>
      <c r="C800" s="152"/>
      <c r="D800" s="407" t="s">
        <v>573</v>
      </c>
      <c r="E800" s="407"/>
      <c r="F800" s="407"/>
      <c r="G800" s="407"/>
      <c r="H800" s="407"/>
      <c r="I800" s="407"/>
      <c r="J800" s="407"/>
      <c r="K800" s="407"/>
      <c r="L800" s="407"/>
      <c r="M800" s="407"/>
      <c r="N800" s="407"/>
      <c r="O800" s="407"/>
      <c r="P800" s="407"/>
      <c r="Q800" s="407"/>
      <c r="R800" s="407"/>
      <c r="S800" s="407"/>
      <c r="T800" s="407"/>
      <c r="U800" s="407"/>
      <c r="V800" s="407"/>
      <c r="W800" s="407"/>
      <c r="X800" s="407"/>
      <c r="Y800" s="407"/>
      <c r="Z800" s="407"/>
      <c r="AB800" s="159" t="s">
        <v>248</v>
      </c>
      <c r="AC800" s="151"/>
      <c r="AD800" s="172" t="s">
        <v>249</v>
      </c>
      <c r="AE800" s="156"/>
      <c r="AF800" s="164">
        <f t="shared" si="189"/>
        <v>1</v>
      </c>
      <c r="AG800" s="164">
        <f t="shared" ref="AG800:AG831" si="191">IF(AND(SUM(AF:AF)&gt;0,B800=""),1,0)</f>
        <v>0</v>
      </c>
      <c r="AI800" s="190">
        <v>1</v>
      </c>
    </row>
    <row r="801" spans="1:35" s="180" customFormat="1" ht="18" hidden="1" customHeight="1" x14ac:dyDescent="0.2">
      <c r="A801" s="163" t="str">
        <f t="shared" si="184"/>
        <v/>
      </c>
      <c r="B801" s="170">
        <v>0</v>
      </c>
      <c r="C801" s="152"/>
      <c r="D801" s="179" t="s">
        <v>252</v>
      </c>
      <c r="E801" s="378" t="s">
        <v>323</v>
      </c>
      <c r="F801" s="378"/>
      <c r="G801" s="378"/>
      <c r="H801" s="378"/>
      <c r="I801" s="378"/>
      <c r="J801" s="378"/>
      <c r="K801" s="378"/>
      <c r="L801" s="378"/>
      <c r="M801" s="378"/>
      <c r="N801" s="378"/>
      <c r="O801" s="378"/>
      <c r="P801" s="378"/>
      <c r="Q801" s="378"/>
      <c r="R801" s="378"/>
      <c r="S801" s="378"/>
      <c r="T801" s="378"/>
      <c r="U801" s="378"/>
      <c r="V801" s="378"/>
      <c r="W801" s="378"/>
      <c r="X801" s="378"/>
      <c r="Y801" s="378"/>
      <c r="Z801" s="378"/>
      <c r="AA801" s="169"/>
      <c r="AB801" s="159" t="s">
        <v>281</v>
      </c>
      <c r="AD801" s="172" t="s">
        <v>249</v>
      </c>
      <c r="AE801" s="167"/>
      <c r="AF801" s="164">
        <f t="shared" si="189"/>
        <v>1</v>
      </c>
      <c r="AG801" s="164">
        <f t="shared" si="191"/>
        <v>0</v>
      </c>
      <c r="AI801" s="190">
        <v>1</v>
      </c>
    </row>
    <row r="802" spans="1:35" s="180" customFormat="1" ht="18" customHeight="1" x14ac:dyDescent="0.2">
      <c r="A802" s="163" t="str">
        <f t="shared" ref="A802" si="192">IF(AG802=1,"X","")</f>
        <v/>
      </c>
      <c r="B802" s="170">
        <v>1</v>
      </c>
      <c r="C802" s="152"/>
      <c r="D802" s="179" t="s">
        <v>252</v>
      </c>
      <c r="E802" s="378" t="s">
        <v>324</v>
      </c>
      <c r="F802" s="378"/>
      <c r="G802" s="378"/>
      <c r="H802" s="378"/>
      <c r="I802" s="378"/>
      <c r="J802" s="378"/>
      <c r="K802" s="378"/>
      <c r="L802" s="378"/>
      <c r="M802" s="378"/>
      <c r="N802" s="378"/>
      <c r="O802" s="378"/>
      <c r="P802" s="378"/>
      <c r="Q802" s="378"/>
      <c r="R802" s="378"/>
      <c r="S802" s="378"/>
      <c r="T802" s="378"/>
      <c r="U802" s="378"/>
      <c r="V802" s="378"/>
      <c r="W802" s="378"/>
      <c r="X802" s="378"/>
      <c r="Y802" s="378"/>
      <c r="Z802" s="378"/>
      <c r="AA802" s="169"/>
      <c r="AB802" s="159" t="s">
        <v>281</v>
      </c>
      <c r="AD802" s="172" t="s">
        <v>249</v>
      </c>
      <c r="AE802" s="167"/>
      <c r="AF802" s="164">
        <f t="shared" si="189"/>
        <v>1</v>
      </c>
      <c r="AG802" s="164">
        <f t="shared" si="191"/>
        <v>0</v>
      </c>
      <c r="AI802" s="190">
        <v>1</v>
      </c>
    </row>
    <row r="803" spans="1:35" s="180" customFormat="1" ht="18" customHeight="1" x14ac:dyDescent="0.2">
      <c r="A803" s="163" t="str">
        <f t="shared" si="184"/>
        <v/>
      </c>
      <c r="B803" s="170">
        <v>1</v>
      </c>
      <c r="C803" s="152"/>
      <c r="D803" s="179" t="s">
        <v>252</v>
      </c>
      <c r="E803" s="378" t="s">
        <v>325</v>
      </c>
      <c r="F803" s="378"/>
      <c r="G803" s="378"/>
      <c r="H803" s="378"/>
      <c r="I803" s="378"/>
      <c r="J803" s="378"/>
      <c r="K803" s="378"/>
      <c r="L803" s="378"/>
      <c r="M803" s="378"/>
      <c r="N803" s="378"/>
      <c r="O803" s="378"/>
      <c r="P803" s="378"/>
      <c r="Q803" s="378"/>
      <c r="R803" s="378"/>
      <c r="S803" s="378"/>
      <c r="T803" s="378"/>
      <c r="U803" s="378"/>
      <c r="V803" s="378"/>
      <c r="W803" s="378"/>
      <c r="X803" s="378"/>
      <c r="Y803" s="378"/>
      <c r="Z803" s="378"/>
      <c r="AA803" s="169"/>
      <c r="AB803" s="159" t="s">
        <v>281</v>
      </c>
      <c r="AD803" s="172" t="s">
        <v>249</v>
      </c>
      <c r="AE803" s="167"/>
      <c r="AF803" s="164">
        <f t="shared" si="189"/>
        <v>1</v>
      </c>
      <c r="AG803" s="164">
        <f t="shared" si="191"/>
        <v>0</v>
      </c>
      <c r="AI803" s="190">
        <v>1</v>
      </c>
    </row>
    <row r="804" spans="1:35" s="180" customFormat="1" ht="18" hidden="1" customHeight="1" x14ac:dyDescent="0.2">
      <c r="A804" s="163" t="str">
        <f t="shared" si="184"/>
        <v/>
      </c>
      <c r="B804" s="170">
        <v>0</v>
      </c>
      <c r="C804" s="152"/>
      <c r="D804" s="179" t="s">
        <v>252</v>
      </c>
      <c r="E804" s="378" t="s">
        <v>327</v>
      </c>
      <c r="F804" s="378"/>
      <c r="G804" s="378"/>
      <c r="H804" s="378"/>
      <c r="I804" s="378"/>
      <c r="J804" s="378"/>
      <c r="K804" s="378"/>
      <c r="L804" s="378"/>
      <c r="M804" s="378"/>
      <c r="N804" s="378"/>
      <c r="O804" s="378"/>
      <c r="P804" s="378"/>
      <c r="Q804" s="378"/>
      <c r="R804" s="378"/>
      <c r="S804" s="378"/>
      <c r="T804" s="378"/>
      <c r="U804" s="378"/>
      <c r="V804" s="378"/>
      <c r="W804" s="378"/>
      <c r="X804" s="378"/>
      <c r="Y804" s="378"/>
      <c r="Z804" s="378"/>
      <c r="AA804" s="169"/>
      <c r="AB804" s="159" t="s">
        <v>281</v>
      </c>
      <c r="AD804" s="172" t="s">
        <v>249</v>
      </c>
      <c r="AE804" s="167"/>
      <c r="AF804" s="164">
        <f t="shared" si="189"/>
        <v>1</v>
      </c>
      <c r="AG804" s="164">
        <f t="shared" si="191"/>
        <v>0</v>
      </c>
      <c r="AI804" s="190">
        <v>1</v>
      </c>
    </row>
    <row r="805" spans="1:35" s="180" customFormat="1" ht="28.5" customHeight="1" x14ac:dyDescent="0.2">
      <c r="A805" s="163" t="str">
        <f t="shared" ref="A805:A807" si="193">IF(AG805=1,"X","")</f>
        <v/>
      </c>
      <c r="B805" s="170">
        <v>1</v>
      </c>
      <c r="C805" s="152"/>
      <c r="D805" s="179" t="s">
        <v>252</v>
      </c>
      <c r="E805" s="378" t="s">
        <v>467</v>
      </c>
      <c r="F805" s="378"/>
      <c r="G805" s="378"/>
      <c r="H805" s="378"/>
      <c r="I805" s="378"/>
      <c r="J805" s="378"/>
      <c r="K805" s="378"/>
      <c r="L805" s="378"/>
      <c r="M805" s="378"/>
      <c r="N805" s="378"/>
      <c r="O805" s="378"/>
      <c r="P805" s="378"/>
      <c r="Q805" s="378"/>
      <c r="R805" s="378"/>
      <c r="S805" s="378"/>
      <c r="T805" s="378"/>
      <c r="U805" s="378"/>
      <c r="V805" s="378"/>
      <c r="W805" s="378"/>
      <c r="X805" s="378"/>
      <c r="Y805" s="378"/>
      <c r="Z805" s="378"/>
      <c r="AA805" s="169"/>
      <c r="AB805" s="159" t="s">
        <v>281</v>
      </c>
      <c r="AD805" s="172" t="s">
        <v>249</v>
      </c>
      <c r="AE805" s="167"/>
      <c r="AF805" s="164">
        <f t="shared" si="189"/>
        <v>1</v>
      </c>
      <c r="AG805" s="164">
        <f t="shared" si="191"/>
        <v>0</v>
      </c>
      <c r="AI805" s="190">
        <v>1</v>
      </c>
    </row>
    <row r="806" spans="1:35" ht="21" hidden="1" customHeight="1" x14ac:dyDescent="0.15">
      <c r="A806" s="163" t="str">
        <f t="shared" si="193"/>
        <v/>
      </c>
      <c r="B806" s="170">
        <v>0</v>
      </c>
      <c r="D806" s="380" t="s">
        <v>329</v>
      </c>
      <c r="E806" s="380"/>
      <c r="F806" s="380"/>
      <c r="G806" s="380"/>
      <c r="H806" s="380"/>
      <c r="I806" s="380"/>
      <c r="J806" s="380"/>
      <c r="K806" s="380"/>
      <c r="L806" s="380"/>
      <c r="M806" s="380"/>
      <c r="N806" s="380"/>
      <c r="O806" s="380"/>
      <c r="P806" s="380"/>
      <c r="Q806" s="380"/>
      <c r="R806" s="380"/>
      <c r="S806" s="380"/>
      <c r="T806" s="380"/>
      <c r="U806" s="380"/>
      <c r="V806" s="380"/>
      <c r="W806" s="380"/>
      <c r="X806" s="380"/>
      <c r="Y806" s="380"/>
      <c r="Z806" s="380"/>
      <c r="AB806" s="159" t="s">
        <v>248</v>
      </c>
      <c r="AD806" s="172" t="s">
        <v>249</v>
      </c>
      <c r="AE806" s="156"/>
      <c r="AF806" s="164">
        <f t="shared" si="189"/>
        <v>1</v>
      </c>
      <c r="AG806" s="164">
        <f t="shared" si="191"/>
        <v>0</v>
      </c>
      <c r="AI806" s="190">
        <v>1</v>
      </c>
    </row>
    <row r="807" spans="1:35" s="180" customFormat="1" ht="95.25" hidden="1" customHeight="1" x14ac:dyDescent="0.15">
      <c r="A807" s="163" t="str">
        <f t="shared" si="193"/>
        <v/>
      </c>
      <c r="B807" s="170">
        <v>0</v>
      </c>
      <c r="C807" s="152"/>
      <c r="D807" s="378" t="s">
        <v>406</v>
      </c>
      <c r="E807" s="378"/>
      <c r="F807" s="378"/>
      <c r="G807" s="378"/>
      <c r="H807" s="378"/>
      <c r="I807" s="378"/>
      <c r="J807" s="378"/>
      <c r="K807" s="378"/>
      <c r="L807" s="378"/>
      <c r="M807" s="378"/>
      <c r="N807" s="378"/>
      <c r="O807" s="378"/>
      <c r="P807" s="378"/>
      <c r="Q807" s="378"/>
      <c r="R807" s="378"/>
      <c r="S807" s="378"/>
      <c r="T807" s="378"/>
      <c r="U807" s="378"/>
      <c r="V807" s="378"/>
      <c r="W807" s="378"/>
      <c r="X807" s="378"/>
      <c r="Y807" s="378"/>
      <c r="Z807" s="378"/>
      <c r="AB807" s="159" t="s">
        <v>248</v>
      </c>
      <c r="AC807" s="151"/>
      <c r="AD807" s="172" t="s">
        <v>249</v>
      </c>
      <c r="AE807" s="156"/>
      <c r="AF807" s="164">
        <f t="shared" ref="AF807:AF870" si="194">IF(B807&lt;&gt;"",1,0)</f>
        <v>1</v>
      </c>
      <c r="AG807" s="164">
        <f t="shared" si="191"/>
        <v>0</v>
      </c>
      <c r="AI807" s="190">
        <v>1</v>
      </c>
    </row>
    <row r="808" spans="1:35" s="180" customFormat="1" ht="51" hidden="1" customHeight="1" x14ac:dyDescent="0.15">
      <c r="A808" s="163" t="str">
        <f t="shared" si="184"/>
        <v/>
      </c>
      <c r="B808" s="170">
        <v>0</v>
      </c>
      <c r="C808" s="152"/>
      <c r="D808" s="378" t="s">
        <v>328</v>
      </c>
      <c r="E808" s="378"/>
      <c r="F808" s="378"/>
      <c r="G808" s="378"/>
      <c r="H808" s="378"/>
      <c r="I808" s="378"/>
      <c r="J808" s="378"/>
      <c r="K808" s="378"/>
      <c r="L808" s="378"/>
      <c r="M808" s="378"/>
      <c r="N808" s="378"/>
      <c r="O808" s="378"/>
      <c r="P808" s="378"/>
      <c r="Q808" s="378"/>
      <c r="R808" s="378"/>
      <c r="S808" s="378"/>
      <c r="T808" s="378"/>
      <c r="U808" s="378"/>
      <c r="V808" s="378"/>
      <c r="W808" s="378"/>
      <c r="X808" s="378"/>
      <c r="Y808" s="378"/>
      <c r="Z808" s="378"/>
      <c r="AB808" s="159" t="s">
        <v>248</v>
      </c>
      <c r="AC808" s="151"/>
      <c r="AD808" s="172" t="s">
        <v>249</v>
      </c>
      <c r="AE808" s="156" t="s">
        <v>367</v>
      </c>
      <c r="AF808" s="164">
        <f t="shared" si="194"/>
        <v>1</v>
      </c>
      <c r="AG808" s="164">
        <f t="shared" si="191"/>
        <v>0</v>
      </c>
      <c r="AI808" s="190">
        <v>1</v>
      </c>
    </row>
    <row r="809" spans="1:35" s="180" customFormat="1" ht="51" hidden="1" customHeight="1" x14ac:dyDescent="0.15">
      <c r="A809" s="163" t="str">
        <f t="shared" ref="A809" si="195">IF(AG809=1,"X","")</f>
        <v/>
      </c>
      <c r="B809" s="170">
        <v>0</v>
      </c>
      <c r="C809" s="152"/>
      <c r="D809" s="378" t="s">
        <v>554</v>
      </c>
      <c r="E809" s="378"/>
      <c r="F809" s="378"/>
      <c r="G809" s="378"/>
      <c r="H809" s="378"/>
      <c r="I809" s="378"/>
      <c r="J809" s="378"/>
      <c r="K809" s="378"/>
      <c r="L809" s="378"/>
      <c r="M809" s="378"/>
      <c r="N809" s="378"/>
      <c r="O809" s="378"/>
      <c r="P809" s="378"/>
      <c r="Q809" s="378"/>
      <c r="R809" s="378"/>
      <c r="S809" s="378"/>
      <c r="T809" s="378"/>
      <c r="U809" s="378"/>
      <c r="V809" s="378"/>
      <c r="W809" s="378"/>
      <c r="X809" s="378"/>
      <c r="Y809" s="378"/>
      <c r="Z809" s="378"/>
      <c r="AB809" s="159" t="s">
        <v>248</v>
      </c>
      <c r="AC809" s="151"/>
      <c r="AD809" s="172" t="s">
        <v>249</v>
      </c>
      <c r="AE809" s="156" t="s">
        <v>367</v>
      </c>
      <c r="AF809" s="164">
        <f t="shared" ref="AF809" si="196">IF(B809&lt;&gt;"",1,0)</f>
        <v>1</v>
      </c>
      <c r="AG809" s="164">
        <f t="shared" si="191"/>
        <v>0</v>
      </c>
      <c r="AI809" s="190">
        <v>1</v>
      </c>
    </row>
    <row r="810" spans="1:35" ht="13.5" customHeight="1" x14ac:dyDescent="0.15">
      <c r="A810" s="163" t="str">
        <f t="shared" si="184"/>
        <v/>
      </c>
      <c r="B810" s="170">
        <v>1</v>
      </c>
      <c r="D810" s="380" t="s">
        <v>322</v>
      </c>
      <c r="E810" s="380"/>
      <c r="F810" s="380"/>
      <c r="G810" s="380"/>
      <c r="H810" s="380"/>
      <c r="I810" s="380"/>
      <c r="J810" s="380"/>
      <c r="K810" s="380"/>
      <c r="L810" s="380"/>
      <c r="M810" s="380"/>
      <c r="N810" s="380"/>
      <c r="O810" s="380"/>
      <c r="P810" s="380"/>
      <c r="Q810" s="380"/>
      <c r="R810" s="380"/>
      <c r="S810" s="380"/>
      <c r="T810" s="380"/>
      <c r="U810" s="380"/>
      <c r="V810" s="380"/>
      <c r="W810" s="380"/>
      <c r="X810" s="380"/>
      <c r="Y810" s="380"/>
      <c r="Z810" s="380"/>
      <c r="AB810" s="159" t="s">
        <v>248</v>
      </c>
      <c r="AD810" s="172" t="s">
        <v>249</v>
      </c>
      <c r="AE810" s="156"/>
      <c r="AF810" s="164">
        <f t="shared" si="194"/>
        <v>1</v>
      </c>
      <c r="AG810" s="164">
        <f t="shared" si="191"/>
        <v>0</v>
      </c>
      <c r="AI810" s="190">
        <v>1</v>
      </c>
    </row>
    <row r="811" spans="1:35" ht="18" customHeight="1" x14ac:dyDescent="0.2">
      <c r="A811" s="163" t="str">
        <f t="shared" ref="A811" si="197">IF(AG811=1,"X","")</f>
        <v/>
      </c>
      <c r="B811" s="170">
        <v>1</v>
      </c>
      <c r="D811" s="378" t="s">
        <v>468</v>
      </c>
      <c r="E811" s="378"/>
      <c r="F811" s="378"/>
      <c r="G811" s="378"/>
      <c r="H811" s="378"/>
      <c r="I811" s="378"/>
      <c r="J811" s="378"/>
      <c r="K811" s="378"/>
      <c r="L811" s="378"/>
      <c r="M811" s="378"/>
      <c r="N811" s="378"/>
      <c r="O811" s="378"/>
      <c r="P811" s="378"/>
      <c r="Q811" s="378"/>
      <c r="R811" s="378"/>
      <c r="S811" s="378"/>
      <c r="T811" s="378"/>
      <c r="U811" s="378"/>
      <c r="V811" s="378"/>
      <c r="W811" s="378"/>
      <c r="X811" s="378"/>
      <c r="Y811" s="378"/>
      <c r="Z811" s="378"/>
      <c r="AB811" s="159" t="s">
        <v>248</v>
      </c>
      <c r="AD811" s="172" t="s">
        <v>249</v>
      </c>
      <c r="AE811" s="167"/>
      <c r="AF811" s="164">
        <f t="shared" si="194"/>
        <v>1</v>
      </c>
      <c r="AG811" s="164">
        <f t="shared" si="191"/>
        <v>0</v>
      </c>
      <c r="AI811" s="190">
        <v>1</v>
      </c>
    </row>
    <row r="812" spans="1:35" ht="18" hidden="1" customHeight="1" x14ac:dyDescent="0.2">
      <c r="A812" s="163" t="str">
        <f t="shared" si="184"/>
        <v/>
      </c>
      <c r="B812" s="170">
        <v>0</v>
      </c>
      <c r="D812" s="179" t="s">
        <v>252</v>
      </c>
      <c r="E812" s="378" t="s">
        <v>403</v>
      </c>
      <c r="F812" s="378"/>
      <c r="G812" s="378"/>
      <c r="H812" s="378"/>
      <c r="I812" s="378"/>
      <c r="J812" s="378"/>
      <c r="K812" s="378"/>
      <c r="L812" s="378"/>
      <c r="M812" s="378"/>
      <c r="N812" s="378"/>
      <c r="O812" s="378"/>
      <c r="P812" s="378"/>
      <c r="Q812" s="378"/>
      <c r="R812" s="378"/>
      <c r="S812" s="378"/>
      <c r="T812" s="378"/>
      <c r="U812" s="378"/>
      <c r="V812" s="378"/>
      <c r="W812" s="378"/>
      <c r="X812" s="378"/>
      <c r="Y812" s="378"/>
      <c r="Z812" s="378"/>
      <c r="AB812" s="159" t="s">
        <v>248</v>
      </c>
      <c r="AD812" s="172" t="s">
        <v>249</v>
      </c>
      <c r="AE812" s="167"/>
      <c r="AF812" s="164">
        <f t="shared" si="194"/>
        <v>1</v>
      </c>
      <c r="AG812" s="164">
        <f t="shared" si="191"/>
        <v>0</v>
      </c>
      <c r="AI812" s="190">
        <v>1</v>
      </c>
    </row>
    <row r="813" spans="1:35" ht="18" hidden="1" customHeight="1" x14ac:dyDescent="0.2">
      <c r="A813" s="163" t="str">
        <f t="shared" ref="A813:A814" si="198">IF(AG813=1,"X","")</f>
        <v/>
      </c>
      <c r="B813" s="170">
        <v>0</v>
      </c>
      <c r="D813" s="179" t="s">
        <v>252</v>
      </c>
      <c r="E813" s="378" t="s">
        <v>331</v>
      </c>
      <c r="F813" s="378"/>
      <c r="G813" s="378"/>
      <c r="H813" s="378"/>
      <c r="I813" s="378"/>
      <c r="J813" s="378"/>
      <c r="K813" s="378"/>
      <c r="L813" s="378"/>
      <c r="M813" s="378"/>
      <c r="N813" s="378"/>
      <c r="O813" s="378"/>
      <c r="P813" s="378"/>
      <c r="Q813" s="378"/>
      <c r="R813" s="378"/>
      <c r="S813" s="378"/>
      <c r="T813" s="378"/>
      <c r="U813" s="378"/>
      <c r="V813" s="378"/>
      <c r="W813" s="378"/>
      <c r="X813" s="378"/>
      <c r="Y813" s="378"/>
      <c r="Z813" s="378"/>
      <c r="AB813" s="159" t="s">
        <v>248</v>
      </c>
      <c r="AD813" s="172" t="s">
        <v>249</v>
      </c>
      <c r="AE813" s="167"/>
      <c r="AF813" s="164">
        <f t="shared" si="194"/>
        <v>1</v>
      </c>
      <c r="AG813" s="164">
        <f t="shared" si="191"/>
        <v>0</v>
      </c>
      <c r="AI813" s="190">
        <v>1</v>
      </c>
    </row>
    <row r="814" spans="1:35" ht="23.25" customHeight="1" x14ac:dyDescent="0.2">
      <c r="A814" s="163" t="str">
        <f t="shared" si="198"/>
        <v/>
      </c>
      <c r="B814" s="170">
        <v>1</v>
      </c>
      <c r="D814" s="179" t="s">
        <v>252</v>
      </c>
      <c r="E814" s="378" t="s">
        <v>330</v>
      </c>
      <c r="F814" s="378"/>
      <c r="G814" s="378"/>
      <c r="H814" s="378"/>
      <c r="I814" s="378"/>
      <c r="J814" s="378"/>
      <c r="K814" s="378"/>
      <c r="L814" s="378"/>
      <c r="M814" s="378"/>
      <c r="N814" s="378"/>
      <c r="O814" s="378"/>
      <c r="P814" s="378"/>
      <c r="Q814" s="378"/>
      <c r="R814" s="378"/>
      <c r="S814" s="378"/>
      <c r="T814" s="378"/>
      <c r="U814" s="378"/>
      <c r="V814" s="378"/>
      <c r="W814" s="378"/>
      <c r="X814" s="378"/>
      <c r="Y814" s="378"/>
      <c r="Z814" s="378"/>
      <c r="AB814" s="159" t="s">
        <v>248</v>
      </c>
      <c r="AD814" s="172" t="s">
        <v>249</v>
      </c>
      <c r="AE814" s="167"/>
      <c r="AF814" s="164">
        <f t="shared" si="194"/>
        <v>1</v>
      </c>
      <c r="AG814" s="164">
        <f t="shared" si="191"/>
        <v>0</v>
      </c>
      <c r="AI814" s="190">
        <v>1</v>
      </c>
    </row>
    <row r="815" spans="1:35" ht="18" hidden="1" customHeight="1" x14ac:dyDescent="0.2">
      <c r="A815" s="163" t="str">
        <f t="shared" si="184"/>
        <v/>
      </c>
      <c r="B815" s="170">
        <v>0</v>
      </c>
      <c r="D815" s="179" t="s">
        <v>252</v>
      </c>
      <c r="E815" s="378" t="s">
        <v>332</v>
      </c>
      <c r="F815" s="378"/>
      <c r="G815" s="378"/>
      <c r="H815" s="378"/>
      <c r="I815" s="378"/>
      <c r="J815" s="378"/>
      <c r="K815" s="378"/>
      <c r="L815" s="378"/>
      <c r="M815" s="378"/>
      <c r="N815" s="378"/>
      <c r="O815" s="378"/>
      <c r="P815" s="378"/>
      <c r="Q815" s="378"/>
      <c r="R815" s="378"/>
      <c r="S815" s="378"/>
      <c r="T815" s="378"/>
      <c r="U815" s="378"/>
      <c r="V815" s="378"/>
      <c r="W815" s="378"/>
      <c r="X815" s="378"/>
      <c r="Y815" s="378"/>
      <c r="Z815" s="378"/>
      <c r="AB815" s="159" t="s">
        <v>248</v>
      </c>
      <c r="AD815" s="172" t="s">
        <v>249</v>
      </c>
      <c r="AE815" s="167"/>
      <c r="AF815" s="164">
        <f t="shared" si="194"/>
        <v>1</v>
      </c>
      <c r="AG815" s="164">
        <f t="shared" si="191"/>
        <v>0</v>
      </c>
      <c r="AI815" s="190">
        <v>1</v>
      </c>
    </row>
    <row r="816" spans="1:35" ht="48.75" hidden="1" customHeight="1" x14ac:dyDescent="0.2">
      <c r="A816" s="163" t="str">
        <f t="shared" si="184"/>
        <v/>
      </c>
      <c r="B816" s="170">
        <v>0</v>
      </c>
      <c r="D816" s="179" t="s">
        <v>252</v>
      </c>
      <c r="E816" s="378" t="s">
        <v>419</v>
      </c>
      <c r="F816" s="378"/>
      <c r="G816" s="378"/>
      <c r="H816" s="378"/>
      <c r="I816" s="378"/>
      <c r="J816" s="378"/>
      <c r="K816" s="378"/>
      <c r="L816" s="378"/>
      <c r="M816" s="378"/>
      <c r="N816" s="378"/>
      <c r="O816" s="378"/>
      <c r="P816" s="378"/>
      <c r="Q816" s="378"/>
      <c r="R816" s="378"/>
      <c r="S816" s="378"/>
      <c r="T816" s="378"/>
      <c r="U816" s="378"/>
      <c r="V816" s="378"/>
      <c r="W816" s="378"/>
      <c r="X816" s="378"/>
      <c r="Y816" s="378"/>
      <c r="Z816" s="378"/>
      <c r="AB816" s="159" t="s">
        <v>248</v>
      </c>
      <c r="AD816" s="172" t="s">
        <v>249</v>
      </c>
      <c r="AE816" s="167" t="s">
        <v>366</v>
      </c>
      <c r="AF816" s="164">
        <f t="shared" si="194"/>
        <v>1</v>
      </c>
      <c r="AG816" s="164">
        <f t="shared" si="191"/>
        <v>0</v>
      </c>
      <c r="AI816" s="190">
        <v>1</v>
      </c>
    </row>
    <row r="817" spans="1:35" ht="21" hidden="1" customHeight="1" x14ac:dyDescent="0.15">
      <c r="A817" s="163" t="str">
        <f t="shared" ref="A817:A821" si="199">IF(AG817=1,"X","")</f>
        <v/>
      </c>
      <c r="B817" s="170">
        <v>0</v>
      </c>
      <c r="D817" s="380" t="s">
        <v>333</v>
      </c>
      <c r="E817" s="380"/>
      <c r="F817" s="380"/>
      <c r="G817" s="380"/>
      <c r="H817" s="380"/>
      <c r="I817" s="380"/>
      <c r="J817" s="380"/>
      <c r="K817" s="380"/>
      <c r="L817" s="380"/>
      <c r="M817" s="380"/>
      <c r="N817" s="380"/>
      <c r="O817" s="380"/>
      <c r="P817" s="380"/>
      <c r="Q817" s="380"/>
      <c r="R817" s="380"/>
      <c r="S817" s="380"/>
      <c r="T817" s="380"/>
      <c r="U817" s="380"/>
      <c r="V817" s="380"/>
      <c r="W817" s="380"/>
      <c r="X817" s="380"/>
      <c r="Y817" s="380"/>
      <c r="Z817" s="380"/>
      <c r="AB817" s="159" t="s">
        <v>248</v>
      </c>
      <c r="AD817" s="172" t="s">
        <v>249</v>
      </c>
      <c r="AE817" s="156"/>
      <c r="AF817" s="164">
        <f t="shared" si="194"/>
        <v>1</v>
      </c>
      <c r="AG817" s="164">
        <f t="shared" si="191"/>
        <v>0</v>
      </c>
      <c r="AI817" s="190">
        <v>1</v>
      </c>
    </row>
    <row r="818" spans="1:35" ht="18" hidden="1" customHeight="1" x14ac:dyDescent="0.2">
      <c r="A818" s="163" t="str">
        <f t="shared" ref="A818:A819" si="200">IF(AG818=1,"X","")</f>
        <v/>
      </c>
      <c r="B818" s="170">
        <v>0</v>
      </c>
      <c r="D818" s="179" t="s">
        <v>252</v>
      </c>
      <c r="E818" s="378" t="s">
        <v>342</v>
      </c>
      <c r="F818" s="378"/>
      <c r="G818" s="378"/>
      <c r="H818" s="378"/>
      <c r="I818" s="378"/>
      <c r="J818" s="378"/>
      <c r="K818" s="378"/>
      <c r="L818" s="378"/>
      <c r="M818" s="378"/>
      <c r="N818" s="378"/>
      <c r="O818" s="378"/>
      <c r="P818" s="378"/>
      <c r="Q818" s="378"/>
      <c r="R818" s="378"/>
      <c r="S818" s="378"/>
      <c r="T818" s="378"/>
      <c r="U818" s="378"/>
      <c r="V818" s="378"/>
      <c r="W818" s="378"/>
      <c r="X818" s="378"/>
      <c r="Y818" s="378"/>
      <c r="Z818" s="378"/>
      <c r="AB818" s="159" t="s">
        <v>248</v>
      </c>
      <c r="AD818" s="172" t="s">
        <v>249</v>
      </c>
      <c r="AE818" s="167"/>
      <c r="AF818" s="164">
        <f t="shared" si="194"/>
        <v>1</v>
      </c>
      <c r="AG818" s="164">
        <f t="shared" si="191"/>
        <v>0</v>
      </c>
      <c r="AI818" s="190">
        <v>1</v>
      </c>
    </row>
    <row r="819" spans="1:35" ht="18" hidden="1" customHeight="1" x14ac:dyDescent="0.2">
      <c r="A819" s="163" t="str">
        <f t="shared" si="200"/>
        <v/>
      </c>
      <c r="B819" s="170">
        <v>0</v>
      </c>
      <c r="D819" s="179" t="s">
        <v>252</v>
      </c>
      <c r="E819" s="378" t="s">
        <v>343</v>
      </c>
      <c r="F819" s="378"/>
      <c r="G819" s="378"/>
      <c r="H819" s="378"/>
      <c r="I819" s="378"/>
      <c r="J819" s="378"/>
      <c r="K819" s="378"/>
      <c r="L819" s="378"/>
      <c r="M819" s="378"/>
      <c r="N819" s="378"/>
      <c r="O819" s="378"/>
      <c r="P819" s="378"/>
      <c r="Q819" s="378"/>
      <c r="R819" s="378"/>
      <c r="S819" s="378"/>
      <c r="T819" s="378"/>
      <c r="U819" s="378"/>
      <c r="V819" s="378"/>
      <c r="W819" s="378"/>
      <c r="X819" s="378"/>
      <c r="Y819" s="378"/>
      <c r="Z819" s="378"/>
      <c r="AB819" s="159" t="s">
        <v>248</v>
      </c>
      <c r="AD819" s="172" t="s">
        <v>249</v>
      </c>
      <c r="AE819" s="167"/>
      <c r="AF819" s="164">
        <f t="shared" si="194"/>
        <v>1</v>
      </c>
      <c r="AG819" s="164">
        <f t="shared" si="191"/>
        <v>0</v>
      </c>
      <c r="AI819" s="190">
        <v>1</v>
      </c>
    </row>
    <row r="820" spans="1:35" ht="18" hidden="1" customHeight="1" x14ac:dyDescent="0.2">
      <c r="A820" s="163" t="str">
        <f t="shared" si="199"/>
        <v/>
      </c>
      <c r="B820" s="170">
        <v>0</v>
      </c>
      <c r="D820" s="179" t="s">
        <v>252</v>
      </c>
      <c r="E820" s="378" t="s">
        <v>337</v>
      </c>
      <c r="F820" s="378"/>
      <c r="G820" s="378"/>
      <c r="H820" s="378"/>
      <c r="I820" s="378"/>
      <c r="J820" s="378"/>
      <c r="K820" s="378"/>
      <c r="L820" s="378"/>
      <c r="M820" s="378"/>
      <c r="N820" s="378"/>
      <c r="O820" s="378"/>
      <c r="P820" s="378"/>
      <c r="Q820" s="378"/>
      <c r="R820" s="378"/>
      <c r="S820" s="378"/>
      <c r="T820" s="378"/>
      <c r="U820" s="378"/>
      <c r="V820" s="378"/>
      <c r="W820" s="378"/>
      <c r="X820" s="378"/>
      <c r="Y820" s="378"/>
      <c r="Z820" s="378"/>
      <c r="AB820" s="159" t="s">
        <v>248</v>
      </c>
      <c r="AD820" s="172" t="s">
        <v>249</v>
      </c>
      <c r="AE820" s="167"/>
      <c r="AF820" s="164">
        <f t="shared" si="194"/>
        <v>1</v>
      </c>
      <c r="AG820" s="164">
        <f t="shared" si="191"/>
        <v>0</v>
      </c>
      <c r="AI820" s="190">
        <v>1</v>
      </c>
    </row>
    <row r="821" spans="1:35" ht="18" hidden="1" customHeight="1" x14ac:dyDescent="0.2">
      <c r="A821" s="163" t="str">
        <f t="shared" si="199"/>
        <v/>
      </c>
      <c r="B821" s="170">
        <v>0</v>
      </c>
      <c r="D821" s="179" t="s">
        <v>252</v>
      </c>
      <c r="E821" s="378" t="s">
        <v>338</v>
      </c>
      <c r="F821" s="378"/>
      <c r="G821" s="378"/>
      <c r="H821" s="378"/>
      <c r="I821" s="378"/>
      <c r="J821" s="378"/>
      <c r="K821" s="378"/>
      <c r="L821" s="378"/>
      <c r="M821" s="378"/>
      <c r="N821" s="378"/>
      <c r="O821" s="378"/>
      <c r="P821" s="378"/>
      <c r="Q821" s="378"/>
      <c r="R821" s="378"/>
      <c r="S821" s="378"/>
      <c r="T821" s="378"/>
      <c r="U821" s="378"/>
      <c r="V821" s="378"/>
      <c r="W821" s="378"/>
      <c r="X821" s="378"/>
      <c r="Y821" s="378"/>
      <c r="Z821" s="378"/>
      <c r="AB821" s="159" t="s">
        <v>248</v>
      </c>
      <c r="AD821" s="172" t="s">
        <v>249</v>
      </c>
      <c r="AE821" s="167"/>
      <c r="AF821" s="164">
        <f t="shared" si="194"/>
        <v>1</v>
      </c>
      <c r="AG821" s="164">
        <f t="shared" si="191"/>
        <v>0</v>
      </c>
      <c r="AI821" s="190">
        <v>1</v>
      </c>
    </row>
    <row r="822" spans="1:35" ht="21" hidden="1" customHeight="1" x14ac:dyDescent="0.15">
      <c r="A822" s="163" t="str">
        <f t="shared" ref="A822:A853" si="201">IF(AG822=1,"X","")</f>
        <v/>
      </c>
      <c r="B822" s="170">
        <v>0</v>
      </c>
      <c r="D822" s="380" t="s">
        <v>334</v>
      </c>
      <c r="E822" s="380"/>
      <c r="F822" s="380"/>
      <c r="G822" s="380"/>
      <c r="H822" s="380"/>
      <c r="I822" s="380"/>
      <c r="J822" s="380"/>
      <c r="K822" s="380"/>
      <c r="L822" s="380"/>
      <c r="M822" s="380"/>
      <c r="N822" s="380"/>
      <c r="O822" s="380"/>
      <c r="P822" s="380"/>
      <c r="Q822" s="380"/>
      <c r="R822" s="380"/>
      <c r="S822" s="380"/>
      <c r="T822" s="380"/>
      <c r="U822" s="380"/>
      <c r="V822" s="380"/>
      <c r="W822" s="380"/>
      <c r="X822" s="380"/>
      <c r="Y822" s="380"/>
      <c r="Z822" s="380"/>
      <c r="AB822" s="159" t="s">
        <v>248</v>
      </c>
      <c r="AD822" s="172" t="s">
        <v>249</v>
      </c>
      <c r="AE822" s="156"/>
      <c r="AF822" s="164">
        <f t="shared" si="194"/>
        <v>1</v>
      </c>
      <c r="AG822" s="164">
        <f t="shared" si="191"/>
        <v>0</v>
      </c>
      <c r="AI822" s="190">
        <v>1</v>
      </c>
    </row>
    <row r="823" spans="1:35" ht="18" hidden="1" customHeight="1" x14ac:dyDescent="0.2">
      <c r="A823" s="163" t="str">
        <f t="shared" si="201"/>
        <v/>
      </c>
      <c r="B823" s="170">
        <v>0</v>
      </c>
      <c r="D823" s="179" t="s">
        <v>252</v>
      </c>
      <c r="E823" s="378" t="s">
        <v>341</v>
      </c>
      <c r="F823" s="378"/>
      <c r="G823" s="378"/>
      <c r="H823" s="378"/>
      <c r="I823" s="378"/>
      <c r="J823" s="378"/>
      <c r="K823" s="378"/>
      <c r="L823" s="378"/>
      <c r="M823" s="378"/>
      <c r="N823" s="378"/>
      <c r="O823" s="378"/>
      <c r="P823" s="378"/>
      <c r="Q823" s="378"/>
      <c r="R823" s="378"/>
      <c r="S823" s="378"/>
      <c r="T823" s="378"/>
      <c r="U823" s="378"/>
      <c r="V823" s="378"/>
      <c r="W823" s="378"/>
      <c r="X823" s="378"/>
      <c r="Y823" s="378"/>
      <c r="Z823" s="378"/>
      <c r="AB823" s="159" t="s">
        <v>248</v>
      </c>
      <c r="AD823" s="172" t="s">
        <v>249</v>
      </c>
      <c r="AE823" s="167"/>
      <c r="AF823" s="164">
        <f t="shared" si="194"/>
        <v>1</v>
      </c>
      <c r="AG823" s="164">
        <f t="shared" si="191"/>
        <v>0</v>
      </c>
      <c r="AI823" s="190">
        <v>1</v>
      </c>
    </row>
    <row r="824" spans="1:35" ht="18" hidden="1" customHeight="1" x14ac:dyDescent="0.2">
      <c r="A824" s="163" t="str">
        <f t="shared" si="201"/>
        <v/>
      </c>
      <c r="B824" s="170">
        <v>0</v>
      </c>
      <c r="D824" s="179" t="s">
        <v>252</v>
      </c>
      <c r="E824" s="378" t="s">
        <v>344</v>
      </c>
      <c r="F824" s="378"/>
      <c r="G824" s="378"/>
      <c r="H824" s="378"/>
      <c r="I824" s="378"/>
      <c r="J824" s="378"/>
      <c r="K824" s="378"/>
      <c r="L824" s="378"/>
      <c r="M824" s="378"/>
      <c r="N824" s="378"/>
      <c r="O824" s="378"/>
      <c r="P824" s="378"/>
      <c r="Q824" s="378"/>
      <c r="R824" s="378"/>
      <c r="S824" s="378"/>
      <c r="T824" s="378"/>
      <c r="U824" s="378"/>
      <c r="V824" s="378"/>
      <c r="W824" s="378"/>
      <c r="X824" s="378"/>
      <c r="Y824" s="378"/>
      <c r="Z824" s="378"/>
      <c r="AB824" s="159" t="s">
        <v>248</v>
      </c>
      <c r="AD824" s="172" t="s">
        <v>249</v>
      </c>
      <c r="AE824" s="167"/>
      <c r="AF824" s="164">
        <f t="shared" si="194"/>
        <v>1</v>
      </c>
      <c r="AG824" s="164">
        <f t="shared" si="191"/>
        <v>0</v>
      </c>
      <c r="AI824" s="190">
        <v>1</v>
      </c>
    </row>
    <row r="825" spans="1:35" ht="18" hidden="1" customHeight="1" x14ac:dyDescent="0.2">
      <c r="A825" s="163" t="str">
        <f t="shared" si="201"/>
        <v/>
      </c>
      <c r="B825" s="170">
        <v>0</v>
      </c>
      <c r="D825" s="179" t="s">
        <v>252</v>
      </c>
      <c r="E825" s="378" t="s">
        <v>346</v>
      </c>
      <c r="F825" s="378"/>
      <c r="G825" s="378"/>
      <c r="H825" s="378"/>
      <c r="I825" s="378"/>
      <c r="J825" s="378"/>
      <c r="K825" s="378"/>
      <c r="L825" s="378"/>
      <c r="M825" s="378"/>
      <c r="N825" s="378"/>
      <c r="O825" s="378"/>
      <c r="P825" s="378"/>
      <c r="Q825" s="378"/>
      <c r="R825" s="378"/>
      <c r="S825" s="378"/>
      <c r="T825" s="378"/>
      <c r="U825" s="378"/>
      <c r="V825" s="378"/>
      <c r="W825" s="378"/>
      <c r="X825" s="378"/>
      <c r="Y825" s="378"/>
      <c r="Z825" s="378"/>
      <c r="AB825" s="159" t="s">
        <v>248</v>
      </c>
      <c r="AD825" s="172" t="s">
        <v>249</v>
      </c>
      <c r="AE825" s="167"/>
      <c r="AF825" s="164">
        <f t="shared" si="194"/>
        <v>1</v>
      </c>
      <c r="AG825" s="164">
        <f t="shared" si="191"/>
        <v>0</v>
      </c>
      <c r="AI825" s="190">
        <v>1</v>
      </c>
    </row>
    <row r="826" spans="1:35" ht="18" hidden="1" customHeight="1" x14ac:dyDescent="0.2">
      <c r="A826" s="163" t="str">
        <f t="shared" si="201"/>
        <v/>
      </c>
      <c r="B826" s="170">
        <v>0</v>
      </c>
      <c r="D826" s="179" t="s">
        <v>252</v>
      </c>
      <c r="E826" s="378" t="s">
        <v>345</v>
      </c>
      <c r="F826" s="378"/>
      <c r="G826" s="378"/>
      <c r="H826" s="378"/>
      <c r="I826" s="378"/>
      <c r="J826" s="378"/>
      <c r="K826" s="378"/>
      <c r="L826" s="378"/>
      <c r="M826" s="378"/>
      <c r="N826" s="378"/>
      <c r="O826" s="378"/>
      <c r="P826" s="378"/>
      <c r="Q826" s="378"/>
      <c r="R826" s="378"/>
      <c r="S826" s="378"/>
      <c r="T826" s="378"/>
      <c r="U826" s="378"/>
      <c r="V826" s="378"/>
      <c r="W826" s="378"/>
      <c r="X826" s="378"/>
      <c r="Y826" s="378"/>
      <c r="Z826" s="378"/>
      <c r="AB826" s="159" t="s">
        <v>248</v>
      </c>
      <c r="AD826" s="172" t="s">
        <v>249</v>
      </c>
      <c r="AE826" s="167"/>
      <c r="AF826" s="164">
        <f t="shared" si="194"/>
        <v>1</v>
      </c>
      <c r="AG826" s="164">
        <f t="shared" si="191"/>
        <v>0</v>
      </c>
      <c r="AI826" s="190">
        <v>1</v>
      </c>
    </row>
    <row r="827" spans="1:35" ht="18" hidden="1" customHeight="1" x14ac:dyDescent="0.2">
      <c r="A827" s="163" t="str">
        <f t="shared" ref="A827:A830" si="202">IF(AG827=1,"X","")</f>
        <v/>
      </c>
      <c r="B827" s="170">
        <v>0</v>
      </c>
      <c r="D827" s="179" t="s">
        <v>252</v>
      </c>
      <c r="E827" s="378" t="s">
        <v>339</v>
      </c>
      <c r="F827" s="378"/>
      <c r="G827" s="378"/>
      <c r="H827" s="378"/>
      <c r="I827" s="378"/>
      <c r="J827" s="378"/>
      <c r="K827" s="378"/>
      <c r="L827" s="378"/>
      <c r="M827" s="378"/>
      <c r="N827" s="378"/>
      <c r="O827" s="378"/>
      <c r="P827" s="378"/>
      <c r="Q827" s="378"/>
      <c r="R827" s="378"/>
      <c r="S827" s="378"/>
      <c r="T827" s="378"/>
      <c r="U827" s="378"/>
      <c r="V827" s="378"/>
      <c r="W827" s="378"/>
      <c r="X827" s="378"/>
      <c r="Y827" s="378"/>
      <c r="Z827" s="378"/>
      <c r="AB827" s="159" t="s">
        <v>248</v>
      </c>
      <c r="AD827" s="172" t="s">
        <v>249</v>
      </c>
      <c r="AE827" s="167"/>
      <c r="AF827" s="164">
        <f t="shared" si="194"/>
        <v>1</v>
      </c>
      <c r="AG827" s="164">
        <f t="shared" si="191"/>
        <v>0</v>
      </c>
      <c r="AI827" s="190">
        <v>1</v>
      </c>
    </row>
    <row r="828" spans="1:35" ht="18" hidden="1" customHeight="1" x14ac:dyDescent="0.2">
      <c r="A828" s="163" t="str">
        <f t="shared" si="202"/>
        <v/>
      </c>
      <c r="B828" s="170">
        <v>0</v>
      </c>
      <c r="D828" s="179" t="s">
        <v>252</v>
      </c>
      <c r="E828" s="378" t="s">
        <v>347</v>
      </c>
      <c r="F828" s="378"/>
      <c r="G828" s="378"/>
      <c r="H828" s="378"/>
      <c r="I828" s="378"/>
      <c r="J828" s="378"/>
      <c r="K828" s="378"/>
      <c r="L828" s="378"/>
      <c r="M828" s="378"/>
      <c r="N828" s="378"/>
      <c r="O828" s="378"/>
      <c r="P828" s="378"/>
      <c r="Q828" s="378"/>
      <c r="R828" s="378"/>
      <c r="S828" s="378"/>
      <c r="T828" s="378"/>
      <c r="U828" s="378"/>
      <c r="V828" s="378"/>
      <c r="W828" s="378"/>
      <c r="X828" s="378"/>
      <c r="Y828" s="378"/>
      <c r="Z828" s="378"/>
      <c r="AB828" s="159" t="s">
        <v>248</v>
      </c>
      <c r="AD828" s="172" t="s">
        <v>249</v>
      </c>
      <c r="AE828" s="167"/>
      <c r="AF828" s="164">
        <f t="shared" si="194"/>
        <v>1</v>
      </c>
      <c r="AG828" s="164">
        <f t="shared" si="191"/>
        <v>0</v>
      </c>
      <c r="AI828" s="190">
        <v>1</v>
      </c>
    </row>
    <row r="829" spans="1:35" ht="18" hidden="1" customHeight="1" x14ac:dyDescent="0.2">
      <c r="A829" s="163" t="str">
        <f t="shared" si="202"/>
        <v/>
      </c>
      <c r="B829" s="170">
        <v>0</v>
      </c>
      <c r="D829" s="179" t="s">
        <v>252</v>
      </c>
      <c r="E829" s="378" t="s">
        <v>348</v>
      </c>
      <c r="F829" s="378"/>
      <c r="G829" s="378"/>
      <c r="H829" s="378"/>
      <c r="I829" s="378"/>
      <c r="J829" s="378"/>
      <c r="K829" s="378"/>
      <c r="L829" s="378"/>
      <c r="M829" s="378"/>
      <c r="N829" s="378"/>
      <c r="O829" s="378"/>
      <c r="P829" s="378"/>
      <c r="Q829" s="378"/>
      <c r="R829" s="378"/>
      <c r="S829" s="378"/>
      <c r="T829" s="378"/>
      <c r="U829" s="378"/>
      <c r="V829" s="378"/>
      <c r="W829" s="378"/>
      <c r="X829" s="378"/>
      <c r="Y829" s="378"/>
      <c r="Z829" s="378"/>
      <c r="AB829" s="159" t="s">
        <v>248</v>
      </c>
      <c r="AD829" s="172" t="s">
        <v>249</v>
      </c>
      <c r="AE829" s="167"/>
      <c r="AF829" s="164">
        <f t="shared" si="194"/>
        <v>1</v>
      </c>
      <c r="AG829" s="164">
        <f t="shared" si="191"/>
        <v>0</v>
      </c>
      <c r="AI829" s="190">
        <v>1</v>
      </c>
    </row>
    <row r="830" spans="1:35" ht="18" hidden="1" customHeight="1" x14ac:dyDescent="0.2">
      <c r="A830" s="163" t="str">
        <f t="shared" si="202"/>
        <v/>
      </c>
      <c r="B830" s="170">
        <v>0</v>
      </c>
      <c r="D830" s="179" t="s">
        <v>252</v>
      </c>
      <c r="E830" s="378" t="s">
        <v>349</v>
      </c>
      <c r="F830" s="378"/>
      <c r="G830" s="378"/>
      <c r="H830" s="378"/>
      <c r="I830" s="378"/>
      <c r="J830" s="378"/>
      <c r="K830" s="378"/>
      <c r="L830" s="378"/>
      <c r="M830" s="378"/>
      <c r="N830" s="378"/>
      <c r="O830" s="378"/>
      <c r="P830" s="378"/>
      <c r="Q830" s="378"/>
      <c r="R830" s="378"/>
      <c r="S830" s="378"/>
      <c r="T830" s="378"/>
      <c r="U830" s="378"/>
      <c r="V830" s="378"/>
      <c r="W830" s="378"/>
      <c r="X830" s="378"/>
      <c r="Y830" s="378"/>
      <c r="Z830" s="378"/>
      <c r="AB830" s="159" t="s">
        <v>248</v>
      </c>
      <c r="AD830" s="172" t="s">
        <v>249</v>
      </c>
      <c r="AE830" s="167"/>
      <c r="AF830" s="164">
        <f t="shared" si="194"/>
        <v>1</v>
      </c>
      <c r="AG830" s="164">
        <f t="shared" si="191"/>
        <v>0</v>
      </c>
      <c r="AI830" s="190">
        <v>1</v>
      </c>
    </row>
    <row r="831" spans="1:35" ht="18" hidden="1" customHeight="1" x14ac:dyDescent="0.2">
      <c r="A831" s="163" t="str">
        <f t="shared" ref="A831:A835" si="203">IF(AG831=1,"X","")</f>
        <v/>
      </c>
      <c r="B831" s="170">
        <v>0</v>
      </c>
      <c r="D831" s="179" t="s">
        <v>252</v>
      </c>
      <c r="E831" s="378" t="s">
        <v>350</v>
      </c>
      <c r="F831" s="378"/>
      <c r="G831" s="378"/>
      <c r="H831" s="378"/>
      <c r="I831" s="378"/>
      <c r="J831" s="378"/>
      <c r="K831" s="378"/>
      <c r="L831" s="378"/>
      <c r="M831" s="378"/>
      <c r="N831" s="378"/>
      <c r="O831" s="378"/>
      <c r="P831" s="378"/>
      <c r="Q831" s="378"/>
      <c r="R831" s="378"/>
      <c r="S831" s="378"/>
      <c r="T831" s="378"/>
      <c r="U831" s="378"/>
      <c r="V831" s="378"/>
      <c r="W831" s="378"/>
      <c r="X831" s="378"/>
      <c r="Y831" s="378"/>
      <c r="Z831" s="378"/>
      <c r="AB831" s="159" t="s">
        <v>248</v>
      </c>
      <c r="AD831" s="172" t="s">
        <v>249</v>
      </c>
      <c r="AE831" s="167"/>
      <c r="AF831" s="164">
        <f t="shared" si="194"/>
        <v>1</v>
      </c>
      <c r="AG831" s="164">
        <f t="shared" si="191"/>
        <v>0</v>
      </c>
      <c r="AI831" s="190">
        <v>1</v>
      </c>
    </row>
    <row r="832" spans="1:35" ht="18" hidden="1" customHeight="1" x14ac:dyDescent="0.2">
      <c r="A832" s="163" t="str">
        <f t="shared" si="203"/>
        <v/>
      </c>
      <c r="B832" s="170">
        <v>0</v>
      </c>
      <c r="D832" s="179" t="s">
        <v>252</v>
      </c>
      <c r="E832" s="378" t="s">
        <v>351</v>
      </c>
      <c r="F832" s="378"/>
      <c r="G832" s="378"/>
      <c r="H832" s="378"/>
      <c r="I832" s="378"/>
      <c r="J832" s="378"/>
      <c r="K832" s="378"/>
      <c r="L832" s="378"/>
      <c r="M832" s="378"/>
      <c r="N832" s="378"/>
      <c r="O832" s="378"/>
      <c r="P832" s="378"/>
      <c r="Q832" s="378"/>
      <c r="R832" s="378"/>
      <c r="S832" s="378"/>
      <c r="T832" s="378"/>
      <c r="U832" s="378"/>
      <c r="V832" s="378"/>
      <c r="W832" s="378"/>
      <c r="X832" s="378"/>
      <c r="Y832" s="378"/>
      <c r="Z832" s="378"/>
      <c r="AB832" s="159" t="s">
        <v>248</v>
      </c>
      <c r="AD832" s="172" t="s">
        <v>249</v>
      </c>
      <c r="AE832" s="167"/>
      <c r="AF832" s="164">
        <f t="shared" si="194"/>
        <v>1</v>
      </c>
      <c r="AG832" s="164">
        <f t="shared" ref="AG832:AG863" si="204">IF(AND(SUM(AF:AF)&gt;0,B832=""),1,0)</f>
        <v>0</v>
      </c>
      <c r="AI832" s="190">
        <v>1</v>
      </c>
    </row>
    <row r="833" spans="1:35" ht="18" hidden="1" customHeight="1" x14ac:dyDescent="0.2">
      <c r="A833" s="163" t="str">
        <f t="shared" si="203"/>
        <v/>
      </c>
      <c r="B833" s="170">
        <v>0</v>
      </c>
      <c r="D833" s="179" t="s">
        <v>252</v>
      </c>
      <c r="E833" s="378" t="s">
        <v>352</v>
      </c>
      <c r="F833" s="378"/>
      <c r="G833" s="378"/>
      <c r="H833" s="378"/>
      <c r="I833" s="378"/>
      <c r="J833" s="378"/>
      <c r="K833" s="378"/>
      <c r="L833" s="378"/>
      <c r="M833" s="378"/>
      <c r="N833" s="378"/>
      <c r="O833" s="378"/>
      <c r="P833" s="378"/>
      <c r="Q833" s="378"/>
      <c r="R833" s="378"/>
      <c r="S833" s="378"/>
      <c r="T833" s="378"/>
      <c r="U833" s="378"/>
      <c r="V833" s="378"/>
      <c r="W833" s="378"/>
      <c r="X833" s="378"/>
      <c r="Y833" s="378"/>
      <c r="Z833" s="378"/>
      <c r="AB833" s="159" t="s">
        <v>248</v>
      </c>
      <c r="AD833" s="172" t="s">
        <v>249</v>
      </c>
      <c r="AE833" s="167"/>
      <c r="AF833" s="164">
        <f t="shared" si="194"/>
        <v>1</v>
      </c>
      <c r="AG833" s="164">
        <f t="shared" si="204"/>
        <v>0</v>
      </c>
      <c r="AI833" s="190">
        <v>1</v>
      </c>
    </row>
    <row r="834" spans="1:35" ht="18" hidden="1" customHeight="1" x14ac:dyDescent="0.2">
      <c r="A834" s="163" t="str">
        <f t="shared" ref="A834" si="205">IF(AG834=1,"X","")</f>
        <v/>
      </c>
      <c r="B834" s="170">
        <v>0</v>
      </c>
      <c r="D834" s="179" t="s">
        <v>252</v>
      </c>
      <c r="E834" s="378" t="s">
        <v>437</v>
      </c>
      <c r="F834" s="378"/>
      <c r="G834" s="378"/>
      <c r="H834" s="378"/>
      <c r="I834" s="378"/>
      <c r="J834" s="378"/>
      <c r="K834" s="378"/>
      <c r="L834" s="378"/>
      <c r="M834" s="378"/>
      <c r="N834" s="378"/>
      <c r="O834" s="378"/>
      <c r="P834" s="378"/>
      <c r="Q834" s="378"/>
      <c r="R834" s="378"/>
      <c r="S834" s="378"/>
      <c r="T834" s="378"/>
      <c r="U834" s="378"/>
      <c r="V834" s="378"/>
      <c r="W834" s="378"/>
      <c r="X834" s="378"/>
      <c r="Y834" s="378"/>
      <c r="Z834" s="378"/>
      <c r="AB834" s="159" t="s">
        <v>248</v>
      </c>
      <c r="AD834" s="172" t="s">
        <v>249</v>
      </c>
      <c r="AE834" s="167"/>
      <c r="AF834" s="164">
        <f t="shared" ref="AF834" si="206">IF(B834&lt;&gt;"",1,0)</f>
        <v>1</v>
      </c>
      <c r="AG834" s="164">
        <f t="shared" si="204"/>
        <v>0</v>
      </c>
      <c r="AI834" s="190">
        <v>1</v>
      </c>
    </row>
    <row r="835" spans="1:35" ht="18" hidden="1" customHeight="1" x14ac:dyDescent="0.2">
      <c r="A835" s="163" t="str">
        <f t="shared" si="203"/>
        <v/>
      </c>
      <c r="B835" s="170">
        <v>0</v>
      </c>
      <c r="D835" s="179" t="s">
        <v>252</v>
      </c>
      <c r="E835" s="378" t="s">
        <v>353</v>
      </c>
      <c r="F835" s="378"/>
      <c r="G835" s="378"/>
      <c r="H835" s="378"/>
      <c r="I835" s="378"/>
      <c r="J835" s="378"/>
      <c r="K835" s="378"/>
      <c r="L835" s="378"/>
      <c r="M835" s="378"/>
      <c r="N835" s="378"/>
      <c r="O835" s="378"/>
      <c r="P835" s="378"/>
      <c r="Q835" s="378"/>
      <c r="R835" s="378"/>
      <c r="S835" s="378"/>
      <c r="T835" s="378"/>
      <c r="U835" s="378"/>
      <c r="V835" s="378"/>
      <c r="W835" s="378"/>
      <c r="X835" s="378"/>
      <c r="Y835" s="378"/>
      <c r="Z835" s="378"/>
      <c r="AB835" s="159" t="s">
        <v>248</v>
      </c>
      <c r="AD835" s="172" t="s">
        <v>249</v>
      </c>
      <c r="AE835" s="167"/>
      <c r="AF835" s="164">
        <f t="shared" si="194"/>
        <v>1</v>
      </c>
      <c r="AG835" s="164">
        <f t="shared" si="204"/>
        <v>0</v>
      </c>
      <c r="AI835" s="190">
        <v>1</v>
      </c>
    </row>
    <row r="836" spans="1:35" ht="18" hidden="1" customHeight="1" x14ac:dyDescent="0.2">
      <c r="A836" s="163" t="str">
        <f t="shared" si="201"/>
        <v/>
      </c>
      <c r="B836" s="170">
        <v>0</v>
      </c>
      <c r="D836" s="179" t="s">
        <v>252</v>
      </c>
      <c r="E836" s="378" t="s">
        <v>354</v>
      </c>
      <c r="F836" s="378"/>
      <c r="G836" s="378"/>
      <c r="H836" s="378"/>
      <c r="I836" s="378"/>
      <c r="J836" s="378"/>
      <c r="K836" s="378"/>
      <c r="L836" s="378"/>
      <c r="M836" s="378"/>
      <c r="N836" s="378"/>
      <c r="O836" s="378"/>
      <c r="P836" s="378"/>
      <c r="Q836" s="378"/>
      <c r="R836" s="378"/>
      <c r="S836" s="378"/>
      <c r="T836" s="378"/>
      <c r="U836" s="378"/>
      <c r="V836" s="378"/>
      <c r="W836" s="378"/>
      <c r="X836" s="378"/>
      <c r="Y836" s="378"/>
      <c r="Z836" s="378"/>
      <c r="AB836" s="159" t="s">
        <v>248</v>
      </c>
      <c r="AD836" s="172" t="s">
        <v>249</v>
      </c>
      <c r="AE836" s="167"/>
      <c r="AF836" s="164">
        <f t="shared" si="194"/>
        <v>1</v>
      </c>
      <c r="AG836" s="164">
        <f t="shared" si="204"/>
        <v>0</v>
      </c>
      <c r="AI836" s="190">
        <v>1</v>
      </c>
    </row>
    <row r="837" spans="1:35" ht="18" hidden="1" customHeight="1" x14ac:dyDescent="0.2">
      <c r="A837" s="163" t="str">
        <f t="shared" si="201"/>
        <v/>
      </c>
      <c r="B837" s="170">
        <v>0</v>
      </c>
      <c r="D837" s="179" t="s">
        <v>252</v>
      </c>
      <c r="E837" s="378" t="s">
        <v>355</v>
      </c>
      <c r="F837" s="378"/>
      <c r="G837" s="378"/>
      <c r="H837" s="378"/>
      <c r="I837" s="378"/>
      <c r="J837" s="378"/>
      <c r="K837" s="378"/>
      <c r="L837" s="378"/>
      <c r="M837" s="378"/>
      <c r="N837" s="378"/>
      <c r="O837" s="378"/>
      <c r="P837" s="378"/>
      <c r="Q837" s="378"/>
      <c r="R837" s="378"/>
      <c r="S837" s="378"/>
      <c r="T837" s="378"/>
      <c r="U837" s="378"/>
      <c r="V837" s="378"/>
      <c r="W837" s="378"/>
      <c r="X837" s="378"/>
      <c r="Y837" s="378"/>
      <c r="Z837" s="378"/>
      <c r="AB837" s="159" t="s">
        <v>248</v>
      </c>
      <c r="AD837" s="172" t="s">
        <v>249</v>
      </c>
      <c r="AE837" s="167"/>
      <c r="AF837" s="164">
        <f t="shared" si="194"/>
        <v>1</v>
      </c>
      <c r="AG837" s="164">
        <f t="shared" si="204"/>
        <v>0</v>
      </c>
      <c r="AI837" s="190">
        <v>1</v>
      </c>
    </row>
    <row r="838" spans="1:35" ht="18" hidden="1" customHeight="1" x14ac:dyDescent="0.2">
      <c r="A838" s="163" t="str">
        <f t="shared" si="201"/>
        <v/>
      </c>
      <c r="B838" s="170">
        <v>0</v>
      </c>
      <c r="D838" s="179" t="s">
        <v>252</v>
      </c>
      <c r="E838" s="378" t="s">
        <v>340</v>
      </c>
      <c r="F838" s="378"/>
      <c r="G838" s="378"/>
      <c r="H838" s="378"/>
      <c r="I838" s="378"/>
      <c r="J838" s="378"/>
      <c r="K838" s="378"/>
      <c r="L838" s="378"/>
      <c r="M838" s="378"/>
      <c r="N838" s="378"/>
      <c r="O838" s="378"/>
      <c r="P838" s="378"/>
      <c r="Q838" s="378"/>
      <c r="R838" s="378"/>
      <c r="S838" s="378"/>
      <c r="T838" s="378"/>
      <c r="U838" s="378"/>
      <c r="V838" s="378"/>
      <c r="W838" s="378"/>
      <c r="X838" s="378"/>
      <c r="Y838" s="378"/>
      <c r="Z838" s="378"/>
      <c r="AB838" s="159" t="s">
        <v>248</v>
      </c>
      <c r="AD838" s="172" t="s">
        <v>249</v>
      </c>
      <c r="AE838" s="167"/>
      <c r="AF838" s="164">
        <f t="shared" si="194"/>
        <v>1</v>
      </c>
      <c r="AG838" s="164">
        <f t="shared" si="204"/>
        <v>0</v>
      </c>
      <c r="AI838" s="190">
        <v>1</v>
      </c>
    </row>
    <row r="839" spans="1:35" ht="21" hidden="1" customHeight="1" x14ac:dyDescent="0.15">
      <c r="A839" s="163" t="str">
        <f t="shared" si="201"/>
        <v/>
      </c>
      <c r="B839" s="170">
        <v>0</v>
      </c>
      <c r="D839" s="380" t="s">
        <v>335</v>
      </c>
      <c r="E839" s="380"/>
      <c r="F839" s="380"/>
      <c r="G839" s="380"/>
      <c r="H839" s="380"/>
      <c r="I839" s="380"/>
      <c r="J839" s="380"/>
      <c r="K839" s="380"/>
      <c r="L839" s="380"/>
      <c r="M839" s="380"/>
      <c r="N839" s="380"/>
      <c r="O839" s="380"/>
      <c r="P839" s="380"/>
      <c r="Q839" s="380"/>
      <c r="R839" s="380"/>
      <c r="S839" s="380"/>
      <c r="T839" s="380"/>
      <c r="U839" s="380"/>
      <c r="V839" s="380"/>
      <c r="W839" s="380"/>
      <c r="X839" s="380"/>
      <c r="Y839" s="380"/>
      <c r="Z839" s="380"/>
      <c r="AB839" s="159" t="s">
        <v>248</v>
      </c>
      <c r="AD839" s="172" t="s">
        <v>249</v>
      </c>
      <c r="AE839" s="156"/>
      <c r="AF839" s="164">
        <f t="shared" si="194"/>
        <v>1</v>
      </c>
      <c r="AG839" s="164">
        <f t="shared" si="204"/>
        <v>0</v>
      </c>
      <c r="AI839" s="190">
        <v>1</v>
      </c>
    </row>
    <row r="840" spans="1:35" ht="18" hidden="1" customHeight="1" x14ac:dyDescent="0.2">
      <c r="A840" s="163" t="str">
        <f t="shared" ref="A840" si="207">IF(AG840=1,"X","")</f>
        <v/>
      </c>
      <c r="B840" s="170">
        <v>0</v>
      </c>
      <c r="D840" s="179" t="s">
        <v>252</v>
      </c>
      <c r="E840" s="378" t="s">
        <v>341</v>
      </c>
      <c r="F840" s="378"/>
      <c r="G840" s="378"/>
      <c r="H840" s="378"/>
      <c r="I840" s="378"/>
      <c r="J840" s="378"/>
      <c r="K840" s="378"/>
      <c r="L840" s="378"/>
      <c r="M840" s="378"/>
      <c r="N840" s="378"/>
      <c r="O840" s="378"/>
      <c r="P840" s="378"/>
      <c r="Q840" s="378"/>
      <c r="R840" s="378"/>
      <c r="S840" s="378"/>
      <c r="T840" s="378"/>
      <c r="U840" s="378"/>
      <c r="V840" s="378"/>
      <c r="W840" s="378"/>
      <c r="X840" s="378"/>
      <c r="Y840" s="378"/>
      <c r="Z840" s="378"/>
      <c r="AB840" s="159" t="s">
        <v>248</v>
      </c>
      <c r="AD840" s="172" t="s">
        <v>249</v>
      </c>
      <c r="AE840" s="167"/>
      <c r="AF840" s="164">
        <f t="shared" si="194"/>
        <v>1</v>
      </c>
      <c r="AG840" s="164">
        <f t="shared" si="204"/>
        <v>0</v>
      </c>
      <c r="AI840" s="190">
        <v>1</v>
      </c>
    </row>
    <row r="841" spans="1:35" ht="18" hidden="1" customHeight="1" x14ac:dyDescent="0.2">
      <c r="A841" s="163" t="str">
        <f t="shared" si="201"/>
        <v/>
      </c>
      <c r="B841" s="170">
        <v>0</v>
      </c>
      <c r="D841" s="179" t="s">
        <v>252</v>
      </c>
      <c r="E841" s="378" t="s">
        <v>344</v>
      </c>
      <c r="F841" s="378"/>
      <c r="G841" s="378"/>
      <c r="H841" s="378"/>
      <c r="I841" s="378"/>
      <c r="J841" s="378"/>
      <c r="K841" s="378"/>
      <c r="L841" s="378"/>
      <c r="M841" s="378"/>
      <c r="N841" s="378"/>
      <c r="O841" s="378"/>
      <c r="P841" s="378"/>
      <c r="Q841" s="378"/>
      <c r="R841" s="378"/>
      <c r="S841" s="378"/>
      <c r="T841" s="378"/>
      <c r="U841" s="378"/>
      <c r="V841" s="378"/>
      <c r="W841" s="378"/>
      <c r="X841" s="378"/>
      <c r="Y841" s="378"/>
      <c r="Z841" s="378"/>
      <c r="AB841" s="159" t="s">
        <v>248</v>
      </c>
      <c r="AD841" s="172" t="s">
        <v>249</v>
      </c>
      <c r="AE841" s="167"/>
      <c r="AF841" s="164">
        <f t="shared" si="194"/>
        <v>1</v>
      </c>
      <c r="AG841" s="164">
        <f t="shared" si="204"/>
        <v>0</v>
      </c>
      <c r="AI841" s="190">
        <v>1</v>
      </c>
    </row>
    <row r="842" spans="1:35" ht="18" hidden="1" customHeight="1" x14ac:dyDescent="0.2">
      <c r="A842" s="163" t="str">
        <f t="shared" si="201"/>
        <v/>
      </c>
      <c r="B842" s="170">
        <v>0</v>
      </c>
      <c r="D842" s="179" t="s">
        <v>252</v>
      </c>
      <c r="E842" s="378" t="s">
        <v>346</v>
      </c>
      <c r="F842" s="378"/>
      <c r="G842" s="378"/>
      <c r="H842" s="378"/>
      <c r="I842" s="378"/>
      <c r="J842" s="378"/>
      <c r="K842" s="378"/>
      <c r="L842" s="378"/>
      <c r="M842" s="378"/>
      <c r="N842" s="378"/>
      <c r="O842" s="378"/>
      <c r="P842" s="378"/>
      <c r="Q842" s="378"/>
      <c r="R842" s="378"/>
      <c r="S842" s="378"/>
      <c r="T842" s="378"/>
      <c r="U842" s="378"/>
      <c r="V842" s="378"/>
      <c r="W842" s="378"/>
      <c r="X842" s="378"/>
      <c r="Y842" s="378"/>
      <c r="Z842" s="378"/>
      <c r="AB842" s="159" t="s">
        <v>248</v>
      </c>
      <c r="AD842" s="172" t="s">
        <v>249</v>
      </c>
      <c r="AE842" s="167"/>
      <c r="AF842" s="164">
        <f t="shared" si="194"/>
        <v>1</v>
      </c>
      <c r="AG842" s="164">
        <f t="shared" si="204"/>
        <v>0</v>
      </c>
      <c r="AI842" s="190">
        <v>1</v>
      </c>
    </row>
    <row r="843" spans="1:35" ht="18" hidden="1" customHeight="1" x14ac:dyDescent="0.2">
      <c r="A843" s="163" t="str">
        <f t="shared" si="201"/>
        <v/>
      </c>
      <c r="B843" s="170">
        <v>0</v>
      </c>
      <c r="D843" s="179" t="s">
        <v>252</v>
      </c>
      <c r="E843" s="378" t="s">
        <v>345</v>
      </c>
      <c r="F843" s="378"/>
      <c r="G843" s="378"/>
      <c r="H843" s="378"/>
      <c r="I843" s="378"/>
      <c r="J843" s="378"/>
      <c r="K843" s="378"/>
      <c r="L843" s="378"/>
      <c r="M843" s="378"/>
      <c r="N843" s="378"/>
      <c r="O843" s="378"/>
      <c r="P843" s="378"/>
      <c r="Q843" s="378"/>
      <c r="R843" s="378"/>
      <c r="S843" s="378"/>
      <c r="T843" s="378"/>
      <c r="U843" s="378"/>
      <c r="V843" s="378"/>
      <c r="W843" s="378"/>
      <c r="X843" s="378"/>
      <c r="Y843" s="378"/>
      <c r="Z843" s="378"/>
      <c r="AB843" s="159" t="s">
        <v>248</v>
      </c>
      <c r="AD843" s="172" t="s">
        <v>249</v>
      </c>
      <c r="AE843" s="167"/>
      <c r="AF843" s="164">
        <f t="shared" si="194"/>
        <v>1</v>
      </c>
      <c r="AG843" s="164">
        <f t="shared" si="204"/>
        <v>0</v>
      </c>
      <c r="AI843" s="190">
        <v>1</v>
      </c>
    </row>
    <row r="844" spans="1:35" ht="18" hidden="1" customHeight="1" x14ac:dyDescent="0.2">
      <c r="A844" s="163" t="str">
        <f t="shared" si="201"/>
        <v/>
      </c>
      <c r="B844" s="170">
        <v>0</v>
      </c>
      <c r="D844" s="179" t="s">
        <v>252</v>
      </c>
      <c r="E844" s="378" t="s">
        <v>339</v>
      </c>
      <c r="F844" s="378"/>
      <c r="G844" s="378"/>
      <c r="H844" s="378"/>
      <c r="I844" s="378"/>
      <c r="J844" s="378"/>
      <c r="K844" s="378"/>
      <c r="L844" s="378"/>
      <c r="M844" s="378"/>
      <c r="N844" s="378"/>
      <c r="O844" s="378"/>
      <c r="P844" s="378"/>
      <c r="Q844" s="378"/>
      <c r="R844" s="378"/>
      <c r="S844" s="378"/>
      <c r="T844" s="378"/>
      <c r="U844" s="378"/>
      <c r="V844" s="378"/>
      <c r="W844" s="378"/>
      <c r="X844" s="378"/>
      <c r="Y844" s="378"/>
      <c r="Z844" s="378"/>
      <c r="AB844" s="159" t="s">
        <v>248</v>
      </c>
      <c r="AD844" s="172" t="s">
        <v>249</v>
      </c>
      <c r="AE844" s="167"/>
      <c r="AF844" s="164">
        <f t="shared" si="194"/>
        <v>1</v>
      </c>
      <c r="AG844" s="164">
        <f t="shared" si="204"/>
        <v>0</v>
      </c>
      <c r="AI844" s="190">
        <v>1</v>
      </c>
    </row>
    <row r="845" spans="1:35" ht="18" hidden="1" customHeight="1" x14ac:dyDescent="0.2">
      <c r="A845" s="163" t="str">
        <f t="shared" ref="A845:A849" si="208">IF(AG845=1,"X","")</f>
        <v/>
      </c>
      <c r="B845" s="170">
        <v>0</v>
      </c>
      <c r="D845" s="179" t="s">
        <v>252</v>
      </c>
      <c r="E845" s="378" t="s">
        <v>347</v>
      </c>
      <c r="F845" s="378"/>
      <c r="G845" s="378"/>
      <c r="H845" s="378"/>
      <c r="I845" s="378"/>
      <c r="J845" s="378"/>
      <c r="K845" s="378"/>
      <c r="L845" s="378"/>
      <c r="M845" s="378"/>
      <c r="N845" s="378"/>
      <c r="O845" s="378"/>
      <c r="P845" s="378"/>
      <c r="Q845" s="378"/>
      <c r="R845" s="378"/>
      <c r="S845" s="378"/>
      <c r="T845" s="378"/>
      <c r="U845" s="378"/>
      <c r="V845" s="378"/>
      <c r="W845" s="378"/>
      <c r="X845" s="378"/>
      <c r="Y845" s="378"/>
      <c r="Z845" s="378"/>
      <c r="AB845" s="159" t="s">
        <v>248</v>
      </c>
      <c r="AD845" s="172" t="s">
        <v>249</v>
      </c>
      <c r="AE845" s="167"/>
      <c r="AF845" s="164">
        <f t="shared" si="194"/>
        <v>1</v>
      </c>
      <c r="AG845" s="164">
        <f t="shared" si="204"/>
        <v>0</v>
      </c>
      <c r="AI845" s="190">
        <v>1</v>
      </c>
    </row>
    <row r="846" spans="1:35" ht="18" hidden="1" customHeight="1" x14ac:dyDescent="0.2">
      <c r="A846" s="163" t="str">
        <f t="shared" si="208"/>
        <v/>
      </c>
      <c r="B846" s="170">
        <v>0</v>
      </c>
      <c r="D846" s="179" t="s">
        <v>252</v>
      </c>
      <c r="E846" s="378" t="s">
        <v>348</v>
      </c>
      <c r="F846" s="378"/>
      <c r="G846" s="378"/>
      <c r="H846" s="378"/>
      <c r="I846" s="378"/>
      <c r="J846" s="378"/>
      <c r="K846" s="378"/>
      <c r="L846" s="378"/>
      <c r="M846" s="378"/>
      <c r="N846" s="378"/>
      <c r="O846" s="378"/>
      <c r="P846" s="378"/>
      <c r="Q846" s="378"/>
      <c r="R846" s="378"/>
      <c r="S846" s="378"/>
      <c r="T846" s="378"/>
      <c r="U846" s="378"/>
      <c r="V846" s="378"/>
      <c r="W846" s="378"/>
      <c r="X846" s="378"/>
      <c r="Y846" s="378"/>
      <c r="Z846" s="378"/>
      <c r="AB846" s="159" t="s">
        <v>248</v>
      </c>
      <c r="AD846" s="172" t="s">
        <v>249</v>
      </c>
      <c r="AE846" s="167"/>
      <c r="AF846" s="164">
        <f t="shared" si="194"/>
        <v>1</v>
      </c>
      <c r="AG846" s="164">
        <f t="shared" si="204"/>
        <v>0</v>
      </c>
      <c r="AI846" s="190">
        <v>1</v>
      </c>
    </row>
    <row r="847" spans="1:35" ht="18" hidden="1" customHeight="1" x14ac:dyDescent="0.2">
      <c r="A847" s="163" t="str">
        <f t="shared" si="208"/>
        <v/>
      </c>
      <c r="B847" s="170">
        <v>0</v>
      </c>
      <c r="D847" s="179" t="s">
        <v>252</v>
      </c>
      <c r="E847" s="378" t="s">
        <v>349</v>
      </c>
      <c r="F847" s="378"/>
      <c r="G847" s="378"/>
      <c r="H847" s="378"/>
      <c r="I847" s="378"/>
      <c r="J847" s="378"/>
      <c r="K847" s="378"/>
      <c r="L847" s="378"/>
      <c r="M847" s="378"/>
      <c r="N847" s="378"/>
      <c r="O847" s="378"/>
      <c r="P847" s="378"/>
      <c r="Q847" s="378"/>
      <c r="R847" s="378"/>
      <c r="S847" s="378"/>
      <c r="T847" s="378"/>
      <c r="U847" s="378"/>
      <c r="V847" s="378"/>
      <c r="W847" s="378"/>
      <c r="X847" s="378"/>
      <c r="Y847" s="378"/>
      <c r="Z847" s="378"/>
      <c r="AB847" s="159" t="s">
        <v>248</v>
      </c>
      <c r="AD847" s="172" t="s">
        <v>249</v>
      </c>
      <c r="AE847" s="167"/>
      <c r="AF847" s="164">
        <f t="shared" si="194"/>
        <v>1</v>
      </c>
      <c r="AG847" s="164">
        <f t="shared" si="204"/>
        <v>0</v>
      </c>
      <c r="AI847" s="190">
        <v>1</v>
      </c>
    </row>
    <row r="848" spans="1:35" ht="18" hidden="1" customHeight="1" x14ac:dyDescent="0.2">
      <c r="A848" s="163" t="str">
        <f t="shared" si="208"/>
        <v/>
      </c>
      <c r="B848" s="170">
        <v>0</v>
      </c>
      <c r="D848" s="179" t="s">
        <v>252</v>
      </c>
      <c r="E848" s="378" t="s">
        <v>352</v>
      </c>
      <c r="F848" s="378"/>
      <c r="G848" s="378"/>
      <c r="H848" s="378"/>
      <c r="I848" s="378"/>
      <c r="J848" s="378"/>
      <c r="K848" s="378"/>
      <c r="L848" s="378"/>
      <c r="M848" s="378"/>
      <c r="N848" s="378"/>
      <c r="O848" s="378"/>
      <c r="P848" s="378"/>
      <c r="Q848" s="378"/>
      <c r="R848" s="378"/>
      <c r="S848" s="378"/>
      <c r="T848" s="378"/>
      <c r="U848" s="378"/>
      <c r="V848" s="378"/>
      <c r="W848" s="378"/>
      <c r="X848" s="378"/>
      <c r="Y848" s="378"/>
      <c r="Z848" s="378"/>
      <c r="AB848" s="159" t="s">
        <v>248</v>
      </c>
      <c r="AD848" s="172" t="s">
        <v>249</v>
      </c>
      <c r="AE848" s="167"/>
      <c r="AF848" s="164">
        <f t="shared" si="194"/>
        <v>1</v>
      </c>
      <c r="AG848" s="164">
        <f t="shared" si="204"/>
        <v>0</v>
      </c>
      <c r="AI848" s="190">
        <v>1</v>
      </c>
    </row>
    <row r="849" spans="1:35" ht="18" hidden="1" customHeight="1" x14ac:dyDescent="0.2">
      <c r="A849" s="163" t="str">
        <f t="shared" si="208"/>
        <v/>
      </c>
      <c r="B849" s="170">
        <v>0</v>
      </c>
      <c r="D849" s="179" t="s">
        <v>252</v>
      </c>
      <c r="E849" s="378" t="s">
        <v>437</v>
      </c>
      <c r="F849" s="378"/>
      <c r="G849" s="378"/>
      <c r="H849" s="378"/>
      <c r="I849" s="378"/>
      <c r="J849" s="378"/>
      <c r="K849" s="378"/>
      <c r="L849" s="378"/>
      <c r="M849" s="378"/>
      <c r="N849" s="378"/>
      <c r="O849" s="378"/>
      <c r="P849" s="378"/>
      <c r="Q849" s="378"/>
      <c r="R849" s="378"/>
      <c r="S849" s="378"/>
      <c r="T849" s="378"/>
      <c r="U849" s="378"/>
      <c r="V849" s="378"/>
      <c r="W849" s="378"/>
      <c r="X849" s="378"/>
      <c r="Y849" s="378"/>
      <c r="Z849" s="378"/>
      <c r="AB849" s="159" t="s">
        <v>248</v>
      </c>
      <c r="AD849" s="172" t="s">
        <v>249</v>
      </c>
      <c r="AE849" s="167"/>
      <c r="AF849" s="164">
        <f t="shared" si="194"/>
        <v>1</v>
      </c>
      <c r="AG849" s="164">
        <f t="shared" si="204"/>
        <v>0</v>
      </c>
      <c r="AI849" s="190">
        <v>1</v>
      </c>
    </row>
    <row r="850" spans="1:35" ht="18" hidden="1" customHeight="1" x14ac:dyDescent="0.2">
      <c r="A850" s="163" t="str">
        <f t="shared" si="201"/>
        <v/>
      </c>
      <c r="B850" s="170">
        <v>0</v>
      </c>
      <c r="D850" s="179" t="s">
        <v>252</v>
      </c>
      <c r="E850" s="378" t="s">
        <v>353</v>
      </c>
      <c r="F850" s="378"/>
      <c r="G850" s="378"/>
      <c r="H850" s="378"/>
      <c r="I850" s="378"/>
      <c r="J850" s="378"/>
      <c r="K850" s="378"/>
      <c r="L850" s="378"/>
      <c r="M850" s="378"/>
      <c r="N850" s="378"/>
      <c r="O850" s="378"/>
      <c r="P850" s="378"/>
      <c r="Q850" s="378"/>
      <c r="R850" s="378"/>
      <c r="S850" s="378"/>
      <c r="T850" s="378"/>
      <c r="U850" s="378"/>
      <c r="V850" s="378"/>
      <c r="W850" s="378"/>
      <c r="X850" s="378"/>
      <c r="Y850" s="378"/>
      <c r="Z850" s="378"/>
      <c r="AB850" s="159" t="s">
        <v>248</v>
      </c>
      <c r="AD850" s="172" t="s">
        <v>249</v>
      </c>
      <c r="AE850" s="167"/>
      <c r="AF850" s="164">
        <f t="shared" si="194"/>
        <v>1</v>
      </c>
      <c r="AG850" s="164">
        <f t="shared" si="204"/>
        <v>0</v>
      </c>
      <c r="AI850" s="190">
        <v>1</v>
      </c>
    </row>
    <row r="851" spans="1:35" ht="18" hidden="1" customHeight="1" x14ac:dyDescent="0.2">
      <c r="A851" s="163" t="str">
        <f t="shared" si="201"/>
        <v/>
      </c>
      <c r="B851" s="170">
        <v>0</v>
      </c>
      <c r="D851" s="179" t="s">
        <v>252</v>
      </c>
      <c r="E851" s="378" t="s">
        <v>354</v>
      </c>
      <c r="F851" s="378"/>
      <c r="G851" s="378"/>
      <c r="H851" s="378"/>
      <c r="I851" s="378"/>
      <c r="J851" s="378"/>
      <c r="K851" s="378"/>
      <c r="L851" s="378"/>
      <c r="M851" s="378"/>
      <c r="N851" s="378"/>
      <c r="O851" s="378"/>
      <c r="P851" s="378"/>
      <c r="Q851" s="378"/>
      <c r="R851" s="378"/>
      <c r="S851" s="378"/>
      <c r="T851" s="378"/>
      <c r="U851" s="378"/>
      <c r="V851" s="378"/>
      <c r="W851" s="378"/>
      <c r="X851" s="378"/>
      <c r="Y851" s="378"/>
      <c r="Z851" s="378"/>
      <c r="AB851" s="159" t="s">
        <v>248</v>
      </c>
      <c r="AD851" s="172" t="s">
        <v>249</v>
      </c>
      <c r="AE851" s="167"/>
      <c r="AF851" s="164">
        <f t="shared" si="194"/>
        <v>1</v>
      </c>
      <c r="AG851" s="164">
        <f t="shared" si="204"/>
        <v>0</v>
      </c>
      <c r="AI851" s="190">
        <v>1</v>
      </c>
    </row>
    <row r="852" spans="1:35" ht="18" hidden="1" customHeight="1" x14ac:dyDescent="0.2">
      <c r="A852" s="163" t="str">
        <f t="shared" si="201"/>
        <v/>
      </c>
      <c r="B852" s="170">
        <v>0</v>
      </c>
      <c r="D852" s="179" t="s">
        <v>252</v>
      </c>
      <c r="E852" s="378" t="s">
        <v>356</v>
      </c>
      <c r="F852" s="378"/>
      <c r="G852" s="378"/>
      <c r="H852" s="378"/>
      <c r="I852" s="378"/>
      <c r="J852" s="378"/>
      <c r="K852" s="378"/>
      <c r="L852" s="378"/>
      <c r="M852" s="378"/>
      <c r="N852" s="378"/>
      <c r="O852" s="378"/>
      <c r="P852" s="378"/>
      <c r="Q852" s="378"/>
      <c r="R852" s="378"/>
      <c r="S852" s="378"/>
      <c r="T852" s="378"/>
      <c r="U852" s="378"/>
      <c r="V852" s="378"/>
      <c r="W852" s="378"/>
      <c r="X852" s="378"/>
      <c r="Y852" s="378"/>
      <c r="Z852" s="378"/>
      <c r="AB852" s="159" t="s">
        <v>248</v>
      </c>
      <c r="AD852" s="172" t="s">
        <v>249</v>
      </c>
      <c r="AE852" s="167"/>
      <c r="AF852" s="164">
        <f t="shared" si="194"/>
        <v>1</v>
      </c>
      <c r="AG852" s="164">
        <f t="shared" si="204"/>
        <v>0</v>
      </c>
      <c r="AI852" s="190">
        <v>1</v>
      </c>
    </row>
    <row r="853" spans="1:35" ht="18" hidden="1" customHeight="1" x14ac:dyDescent="0.2">
      <c r="A853" s="163" t="str">
        <f t="shared" si="201"/>
        <v/>
      </c>
      <c r="B853" s="170">
        <v>0</v>
      </c>
      <c r="D853" s="179" t="s">
        <v>252</v>
      </c>
      <c r="E853" s="378" t="s">
        <v>340</v>
      </c>
      <c r="F853" s="378"/>
      <c r="G853" s="378"/>
      <c r="H853" s="378"/>
      <c r="I853" s="378"/>
      <c r="J853" s="378"/>
      <c r="K853" s="378"/>
      <c r="L853" s="378"/>
      <c r="M853" s="378"/>
      <c r="N853" s="378"/>
      <c r="O853" s="378"/>
      <c r="P853" s="378"/>
      <c r="Q853" s="378"/>
      <c r="R853" s="378"/>
      <c r="S853" s="378"/>
      <c r="T853" s="378"/>
      <c r="U853" s="378"/>
      <c r="V853" s="378"/>
      <c r="W853" s="378"/>
      <c r="X853" s="378"/>
      <c r="Y853" s="378"/>
      <c r="Z853" s="378"/>
      <c r="AB853" s="159" t="s">
        <v>248</v>
      </c>
      <c r="AD853" s="172" t="s">
        <v>249</v>
      </c>
      <c r="AE853" s="167"/>
      <c r="AF853" s="164">
        <f t="shared" si="194"/>
        <v>1</v>
      </c>
      <c r="AG853" s="164">
        <f t="shared" si="204"/>
        <v>0</v>
      </c>
      <c r="AI853" s="190">
        <v>1</v>
      </c>
    </row>
    <row r="854" spans="1:35" ht="21" customHeight="1" x14ac:dyDescent="0.15">
      <c r="A854" s="163" t="str">
        <f t="shared" ref="A854:A870" si="209">IF(AG854=1,"X","")</f>
        <v/>
      </c>
      <c r="B854" s="170">
        <v>1</v>
      </c>
      <c r="D854" s="380" t="s">
        <v>336</v>
      </c>
      <c r="E854" s="380"/>
      <c r="F854" s="380"/>
      <c r="G854" s="380"/>
      <c r="H854" s="380"/>
      <c r="I854" s="380"/>
      <c r="J854" s="380"/>
      <c r="K854" s="380"/>
      <c r="L854" s="380"/>
      <c r="M854" s="380"/>
      <c r="N854" s="380"/>
      <c r="O854" s="380"/>
      <c r="P854" s="380"/>
      <c r="Q854" s="380"/>
      <c r="R854" s="380"/>
      <c r="S854" s="380"/>
      <c r="T854" s="380"/>
      <c r="U854" s="380"/>
      <c r="V854" s="380"/>
      <c r="W854" s="380"/>
      <c r="X854" s="380"/>
      <c r="Y854" s="380"/>
      <c r="Z854" s="380"/>
      <c r="AB854" s="159" t="s">
        <v>248</v>
      </c>
      <c r="AD854" s="172" t="s">
        <v>249</v>
      </c>
      <c r="AE854" s="156"/>
      <c r="AF854" s="164">
        <f t="shared" si="194"/>
        <v>1</v>
      </c>
      <c r="AG854" s="164">
        <f t="shared" si="204"/>
        <v>0</v>
      </c>
      <c r="AI854" s="190">
        <v>1</v>
      </c>
    </row>
    <row r="855" spans="1:35" ht="18" customHeight="1" x14ac:dyDescent="0.2">
      <c r="A855" s="163" t="str">
        <f t="shared" si="209"/>
        <v/>
      </c>
      <c r="B855" s="170">
        <v>1</v>
      </c>
      <c r="D855" s="179" t="s">
        <v>252</v>
      </c>
      <c r="E855" s="378" t="s">
        <v>341</v>
      </c>
      <c r="F855" s="378"/>
      <c r="G855" s="378"/>
      <c r="H855" s="378"/>
      <c r="I855" s="378"/>
      <c r="J855" s="378"/>
      <c r="K855" s="378"/>
      <c r="L855" s="378"/>
      <c r="M855" s="378"/>
      <c r="N855" s="378"/>
      <c r="O855" s="378"/>
      <c r="P855" s="378"/>
      <c r="Q855" s="378"/>
      <c r="R855" s="378"/>
      <c r="S855" s="378"/>
      <c r="T855" s="378"/>
      <c r="U855" s="378"/>
      <c r="V855" s="378"/>
      <c r="W855" s="378"/>
      <c r="X855" s="378"/>
      <c r="Y855" s="378"/>
      <c r="Z855" s="378"/>
      <c r="AB855" s="159" t="s">
        <v>248</v>
      </c>
      <c r="AD855" s="172" t="s">
        <v>249</v>
      </c>
      <c r="AE855" s="167"/>
      <c r="AF855" s="164">
        <f t="shared" si="194"/>
        <v>1</v>
      </c>
      <c r="AG855" s="164">
        <f t="shared" si="204"/>
        <v>0</v>
      </c>
      <c r="AI855" s="190">
        <v>1</v>
      </c>
    </row>
    <row r="856" spans="1:35" ht="18" hidden="1" customHeight="1" x14ac:dyDescent="0.2">
      <c r="A856" s="163" t="str">
        <f t="shared" si="209"/>
        <v/>
      </c>
      <c r="B856" s="170">
        <v>0</v>
      </c>
      <c r="D856" s="179" t="s">
        <v>252</v>
      </c>
      <c r="E856" s="378" t="s">
        <v>344</v>
      </c>
      <c r="F856" s="378"/>
      <c r="G856" s="378"/>
      <c r="H856" s="378"/>
      <c r="I856" s="378"/>
      <c r="J856" s="378"/>
      <c r="K856" s="378"/>
      <c r="L856" s="378"/>
      <c r="M856" s="378"/>
      <c r="N856" s="378"/>
      <c r="O856" s="378"/>
      <c r="P856" s="378"/>
      <c r="Q856" s="378"/>
      <c r="R856" s="378"/>
      <c r="S856" s="378"/>
      <c r="T856" s="378"/>
      <c r="U856" s="378"/>
      <c r="V856" s="378"/>
      <c r="W856" s="378"/>
      <c r="X856" s="378"/>
      <c r="Y856" s="378"/>
      <c r="Z856" s="378"/>
      <c r="AB856" s="159" t="s">
        <v>248</v>
      </c>
      <c r="AD856" s="172" t="s">
        <v>249</v>
      </c>
      <c r="AE856" s="167"/>
      <c r="AF856" s="164">
        <f t="shared" si="194"/>
        <v>1</v>
      </c>
      <c r="AG856" s="164">
        <f t="shared" si="204"/>
        <v>0</v>
      </c>
      <c r="AI856" s="190">
        <v>1</v>
      </c>
    </row>
    <row r="857" spans="1:35" ht="18" customHeight="1" x14ac:dyDescent="0.2">
      <c r="A857" s="163" t="str">
        <f t="shared" si="209"/>
        <v/>
      </c>
      <c r="B857" s="170">
        <v>1</v>
      </c>
      <c r="D857" s="179" t="s">
        <v>252</v>
      </c>
      <c r="E857" s="378" t="s">
        <v>346</v>
      </c>
      <c r="F857" s="378"/>
      <c r="G857" s="378"/>
      <c r="H857" s="378"/>
      <c r="I857" s="378"/>
      <c r="J857" s="378"/>
      <c r="K857" s="378"/>
      <c r="L857" s="378"/>
      <c r="M857" s="378"/>
      <c r="N857" s="378"/>
      <c r="O857" s="378"/>
      <c r="P857" s="378"/>
      <c r="Q857" s="378"/>
      <c r="R857" s="378"/>
      <c r="S857" s="378"/>
      <c r="T857" s="378"/>
      <c r="U857" s="378"/>
      <c r="V857" s="378"/>
      <c r="W857" s="378"/>
      <c r="X857" s="378"/>
      <c r="Y857" s="378"/>
      <c r="Z857" s="378"/>
      <c r="AB857" s="159" t="s">
        <v>248</v>
      </c>
      <c r="AD857" s="172" t="s">
        <v>249</v>
      </c>
      <c r="AE857" s="167"/>
      <c r="AF857" s="164">
        <f t="shared" si="194"/>
        <v>1</v>
      </c>
      <c r="AG857" s="164">
        <f t="shared" si="204"/>
        <v>0</v>
      </c>
      <c r="AI857" s="190">
        <v>1</v>
      </c>
    </row>
    <row r="858" spans="1:35" ht="18" customHeight="1" x14ac:dyDescent="0.2">
      <c r="A858" s="163" t="str">
        <f t="shared" si="209"/>
        <v/>
      </c>
      <c r="B858" s="170">
        <v>1</v>
      </c>
      <c r="D858" s="179" t="s">
        <v>252</v>
      </c>
      <c r="E858" s="378" t="s">
        <v>345</v>
      </c>
      <c r="F858" s="378"/>
      <c r="G858" s="378"/>
      <c r="H858" s="378"/>
      <c r="I858" s="378"/>
      <c r="J858" s="378"/>
      <c r="K858" s="378"/>
      <c r="L858" s="378"/>
      <c r="M858" s="378"/>
      <c r="N858" s="378"/>
      <c r="O858" s="378"/>
      <c r="P858" s="378"/>
      <c r="Q858" s="378"/>
      <c r="R858" s="378"/>
      <c r="S858" s="378"/>
      <c r="T858" s="378"/>
      <c r="U858" s="378"/>
      <c r="V858" s="378"/>
      <c r="W858" s="378"/>
      <c r="X858" s="378"/>
      <c r="Y858" s="378"/>
      <c r="Z858" s="378"/>
      <c r="AB858" s="159" t="s">
        <v>248</v>
      </c>
      <c r="AD858" s="172" t="s">
        <v>249</v>
      </c>
      <c r="AE858" s="167"/>
      <c r="AF858" s="164">
        <f t="shared" si="194"/>
        <v>1</v>
      </c>
      <c r="AG858" s="164">
        <f t="shared" si="204"/>
        <v>0</v>
      </c>
      <c r="AI858" s="190">
        <v>1</v>
      </c>
    </row>
    <row r="859" spans="1:35" ht="18" hidden="1" customHeight="1" x14ac:dyDescent="0.2">
      <c r="A859" s="163" t="str">
        <f t="shared" si="209"/>
        <v/>
      </c>
      <c r="B859" s="170">
        <v>0</v>
      </c>
      <c r="D859" s="179" t="s">
        <v>252</v>
      </c>
      <c r="E859" s="378" t="s">
        <v>339</v>
      </c>
      <c r="F859" s="378"/>
      <c r="G859" s="378"/>
      <c r="H859" s="378"/>
      <c r="I859" s="378"/>
      <c r="J859" s="378"/>
      <c r="K859" s="378"/>
      <c r="L859" s="378"/>
      <c r="M859" s="378"/>
      <c r="N859" s="378"/>
      <c r="O859" s="378"/>
      <c r="P859" s="378"/>
      <c r="Q859" s="378"/>
      <c r="R859" s="378"/>
      <c r="S859" s="378"/>
      <c r="T859" s="378"/>
      <c r="U859" s="378"/>
      <c r="V859" s="378"/>
      <c r="W859" s="378"/>
      <c r="X859" s="378"/>
      <c r="Y859" s="378"/>
      <c r="Z859" s="378"/>
      <c r="AB859" s="159" t="s">
        <v>248</v>
      </c>
      <c r="AD859" s="172" t="s">
        <v>249</v>
      </c>
      <c r="AE859" s="167"/>
      <c r="AF859" s="164">
        <f t="shared" si="194"/>
        <v>1</v>
      </c>
      <c r="AG859" s="164">
        <f t="shared" si="204"/>
        <v>0</v>
      </c>
      <c r="AI859" s="190">
        <v>1</v>
      </c>
    </row>
    <row r="860" spans="1:35" ht="18" hidden="1" customHeight="1" x14ac:dyDescent="0.2">
      <c r="A860" s="163" t="str">
        <f t="shared" si="209"/>
        <v/>
      </c>
      <c r="B860" s="170">
        <v>0</v>
      </c>
      <c r="D860" s="179" t="s">
        <v>252</v>
      </c>
      <c r="E860" s="378" t="s">
        <v>347</v>
      </c>
      <c r="F860" s="378"/>
      <c r="G860" s="378"/>
      <c r="H860" s="378"/>
      <c r="I860" s="378"/>
      <c r="J860" s="378"/>
      <c r="K860" s="378"/>
      <c r="L860" s="378"/>
      <c r="M860" s="378"/>
      <c r="N860" s="378"/>
      <c r="O860" s="378"/>
      <c r="P860" s="378"/>
      <c r="Q860" s="378"/>
      <c r="R860" s="378"/>
      <c r="S860" s="378"/>
      <c r="T860" s="378"/>
      <c r="U860" s="378"/>
      <c r="V860" s="378"/>
      <c r="W860" s="378"/>
      <c r="X860" s="378"/>
      <c r="Y860" s="378"/>
      <c r="Z860" s="378"/>
      <c r="AB860" s="159" t="s">
        <v>248</v>
      </c>
      <c r="AD860" s="172" t="s">
        <v>249</v>
      </c>
      <c r="AE860" s="167"/>
      <c r="AF860" s="164">
        <f t="shared" si="194"/>
        <v>1</v>
      </c>
      <c r="AG860" s="164">
        <f t="shared" si="204"/>
        <v>0</v>
      </c>
      <c r="AI860" s="190">
        <v>1</v>
      </c>
    </row>
    <row r="861" spans="1:35" ht="18" customHeight="1" x14ac:dyDescent="0.2">
      <c r="A861" s="163" t="str">
        <f t="shared" si="209"/>
        <v/>
      </c>
      <c r="B861" s="170">
        <v>1</v>
      </c>
      <c r="D861" s="179" t="s">
        <v>252</v>
      </c>
      <c r="E861" s="378" t="s">
        <v>348</v>
      </c>
      <c r="F861" s="378"/>
      <c r="G861" s="378"/>
      <c r="H861" s="378"/>
      <c r="I861" s="378"/>
      <c r="J861" s="378"/>
      <c r="K861" s="378"/>
      <c r="L861" s="378"/>
      <c r="M861" s="378"/>
      <c r="N861" s="378"/>
      <c r="O861" s="378"/>
      <c r="P861" s="378"/>
      <c r="Q861" s="378"/>
      <c r="R861" s="378"/>
      <c r="S861" s="378"/>
      <c r="T861" s="378"/>
      <c r="U861" s="378"/>
      <c r="V861" s="378"/>
      <c r="W861" s="378"/>
      <c r="X861" s="378"/>
      <c r="Y861" s="378"/>
      <c r="Z861" s="378"/>
      <c r="AB861" s="159" t="s">
        <v>248</v>
      </c>
      <c r="AD861" s="172" t="s">
        <v>249</v>
      </c>
      <c r="AE861" s="167"/>
      <c r="AF861" s="164">
        <f t="shared" si="194"/>
        <v>1</v>
      </c>
      <c r="AG861" s="164">
        <f t="shared" si="204"/>
        <v>0</v>
      </c>
      <c r="AI861" s="190">
        <v>1</v>
      </c>
    </row>
    <row r="862" spans="1:35" ht="18" customHeight="1" x14ac:dyDescent="0.2">
      <c r="A862" s="163" t="str">
        <f t="shared" si="209"/>
        <v/>
      </c>
      <c r="B862" s="170">
        <v>1</v>
      </c>
      <c r="D862" s="179" t="s">
        <v>252</v>
      </c>
      <c r="E862" s="378" t="s">
        <v>349</v>
      </c>
      <c r="F862" s="378"/>
      <c r="G862" s="378"/>
      <c r="H862" s="378"/>
      <c r="I862" s="378"/>
      <c r="J862" s="378"/>
      <c r="K862" s="378"/>
      <c r="L862" s="378"/>
      <c r="M862" s="378"/>
      <c r="N862" s="378"/>
      <c r="O862" s="378"/>
      <c r="P862" s="378"/>
      <c r="Q862" s="378"/>
      <c r="R862" s="378"/>
      <c r="S862" s="378"/>
      <c r="T862" s="378"/>
      <c r="U862" s="378"/>
      <c r="V862" s="378"/>
      <c r="W862" s="378"/>
      <c r="X862" s="378"/>
      <c r="Y862" s="378"/>
      <c r="Z862" s="378"/>
      <c r="AB862" s="159" t="s">
        <v>248</v>
      </c>
      <c r="AD862" s="172" t="s">
        <v>249</v>
      </c>
      <c r="AE862" s="167"/>
      <c r="AF862" s="164">
        <f t="shared" si="194"/>
        <v>1</v>
      </c>
      <c r="AG862" s="164">
        <f t="shared" si="204"/>
        <v>0</v>
      </c>
      <c r="AI862" s="190">
        <v>1</v>
      </c>
    </row>
    <row r="863" spans="1:35" ht="18" customHeight="1" x14ac:dyDescent="0.2">
      <c r="A863" s="163" t="str">
        <f t="shared" si="209"/>
        <v/>
      </c>
      <c r="B863" s="170">
        <v>1</v>
      </c>
      <c r="D863" s="179" t="s">
        <v>252</v>
      </c>
      <c r="E863" s="378" t="s">
        <v>357</v>
      </c>
      <c r="F863" s="378"/>
      <c r="G863" s="378"/>
      <c r="H863" s="378"/>
      <c r="I863" s="378"/>
      <c r="J863" s="378"/>
      <c r="K863" s="378"/>
      <c r="L863" s="378"/>
      <c r="M863" s="378"/>
      <c r="N863" s="378"/>
      <c r="O863" s="378"/>
      <c r="P863" s="378"/>
      <c r="Q863" s="378"/>
      <c r="R863" s="378"/>
      <c r="S863" s="378"/>
      <c r="T863" s="378"/>
      <c r="U863" s="378"/>
      <c r="V863" s="378"/>
      <c r="W863" s="378"/>
      <c r="X863" s="378"/>
      <c r="Y863" s="378"/>
      <c r="Z863" s="378"/>
      <c r="AB863" s="159" t="s">
        <v>248</v>
      </c>
      <c r="AD863" s="172" t="s">
        <v>249</v>
      </c>
      <c r="AE863" s="167"/>
      <c r="AF863" s="164">
        <f t="shared" si="194"/>
        <v>1</v>
      </c>
      <c r="AG863" s="164">
        <f t="shared" si="204"/>
        <v>0</v>
      </c>
      <c r="AI863" s="190">
        <v>1</v>
      </c>
    </row>
    <row r="864" spans="1:35" ht="18" hidden="1" customHeight="1" x14ac:dyDescent="0.2">
      <c r="A864" s="163" t="str">
        <f t="shared" si="209"/>
        <v/>
      </c>
      <c r="B864" s="170">
        <v>0</v>
      </c>
      <c r="D864" s="179" t="s">
        <v>252</v>
      </c>
      <c r="E864" s="378" t="s">
        <v>437</v>
      </c>
      <c r="F864" s="378"/>
      <c r="G864" s="378"/>
      <c r="H864" s="378"/>
      <c r="I864" s="378"/>
      <c r="J864" s="378"/>
      <c r="K864" s="378"/>
      <c r="L864" s="378"/>
      <c r="M864" s="378"/>
      <c r="N864" s="378"/>
      <c r="O864" s="378"/>
      <c r="P864" s="378"/>
      <c r="Q864" s="378"/>
      <c r="R864" s="378"/>
      <c r="S864" s="378"/>
      <c r="T864" s="378"/>
      <c r="U864" s="378"/>
      <c r="V864" s="378"/>
      <c r="W864" s="378"/>
      <c r="X864" s="378"/>
      <c r="Y864" s="378"/>
      <c r="Z864" s="378"/>
      <c r="AB864" s="159" t="s">
        <v>248</v>
      </c>
      <c r="AD864" s="172" t="s">
        <v>249</v>
      </c>
      <c r="AE864" s="167"/>
      <c r="AF864" s="164">
        <f t="shared" ref="AF864" si="210">IF(B864&lt;&gt;"",1,0)</f>
        <v>1</v>
      </c>
      <c r="AG864" s="164">
        <f t="shared" ref="AG864:AG869" si="211">IF(AND(SUM(AF:AF)&gt;0,B864=""),1,0)</f>
        <v>0</v>
      </c>
      <c r="AI864" s="190">
        <v>1</v>
      </c>
    </row>
    <row r="865" spans="1:35" ht="18" customHeight="1" x14ac:dyDescent="0.2">
      <c r="A865" s="163" t="str">
        <f t="shared" si="209"/>
        <v/>
      </c>
      <c r="B865" s="170">
        <v>1</v>
      </c>
      <c r="D865" s="179" t="s">
        <v>252</v>
      </c>
      <c r="E865" s="378" t="s">
        <v>353</v>
      </c>
      <c r="F865" s="378"/>
      <c r="G865" s="378"/>
      <c r="H865" s="378"/>
      <c r="I865" s="378"/>
      <c r="J865" s="378"/>
      <c r="K865" s="378"/>
      <c r="L865" s="378"/>
      <c r="M865" s="378"/>
      <c r="N865" s="378"/>
      <c r="O865" s="378"/>
      <c r="P865" s="378"/>
      <c r="Q865" s="378"/>
      <c r="R865" s="378"/>
      <c r="S865" s="378"/>
      <c r="T865" s="378"/>
      <c r="U865" s="378"/>
      <c r="V865" s="378"/>
      <c r="W865" s="378"/>
      <c r="X865" s="378"/>
      <c r="Y865" s="378"/>
      <c r="Z865" s="378"/>
      <c r="AB865" s="159" t="s">
        <v>248</v>
      </c>
      <c r="AD865" s="172" t="s">
        <v>249</v>
      </c>
      <c r="AE865" s="167"/>
      <c r="AF865" s="164">
        <f t="shared" si="194"/>
        <v>1</v>
      </c>
      <c r="AG865" s="164">
        <f t="shared" si="211"/>
        <v>0</v>
      </c>
      <c r="AI865" s="190">
        <v>1</v>
      </c>
    </row>
    <row r="866" spans="1:35" ht="18" customHeight="1" x14ac:dyDescent="0.2">
      <c r="A866" s="163" t="str">
        <f t="shared" si="209"/>
        <v/>
      </c>
      <c r="B866" s="170">
        <v>1</v>
      </c>
      <c r="D866" s="179" t="s">
        <v>252</v>
      </c>
      <c r="E866" s="378" t="s">
        <v>354</v>
      </c>
      <c r="F866" s="378"/>
      <c r="G866" s="378"/>
      <c r="H866" s="378"/>
      <c r="I866" s="378"/>
      <c r="J866" s="378"/>
      <c r="K866" s="378"/>
      <c r="L866" s="378"/>
      <c r="M866" s="378"/>
      <c r="N866" s="378"/>
      <c r="O866" s="378"/>
      <c r="P866" s="378"/>
      <c r="Q866" s="378"/>
      <c r="R866" s="378"/>
      <c r="S866" s="378"/>
      <c r="T866" s="378"/>
      <c r="U866" s="378"/>
      <c r="V866" s="378"/>
      <c r="W866" s="378"/>
      <c r="X866" s="378"/>
      <c r="Y866" s="378"/>
      <c r="Z866" s="378"/>
      <c r="AB866" s="159" t="s">
        <v>248</v>
      </c>
      <c r="AD866" s="172" t="s">
        <v>249</v>
      </c>
      <c r="AE866" s="167"/>
      <c r="AF866" s="164">
        <f t="shared" si="194"/>
        <v>1</v>
      </c>
      <c r="AG866" s="164">
        <f t="shared" si="211"/>
        <v>0</v>
      </c>
      <c r="AI866" s="190">
        <v>1</v>
      </c>
    </row>
    <row r="867" spans="1:35" ht="18" customHeight="1" x14ac:dyDescent="0.2">
      <c r="A867" s="163" t="str">
        <f t="shared" si="209"/>
        <v/>
      </c>
      <c r="B867" s="170">
        <v>1</v>
      </c>
      <c r="D867" s="179" t="s">
        <v>252</v>
      </c>
      <c r="E867" s="378" t="s">
        <v>356</v>
      </c>
      <c r="F867" s="378"/>
      <c r="G867" s="378"/>
      <c r="H867" s="378"/>
      <c r="I867" s="378"/>
      <c r="J867" s="378"/>
      <c r="K867" s="378"/>
      <c r="L867" s="378"/>
      <c r="M867" s="378"/>
      <c r="N867" s="378"/>
      <c r="O867" s="378"/>
      <c r="P867" s="378"/>
      <c r="Q867" s="378"/>
      <c r="R867" s="378"/>
      <c r="S867" s="378"/>
      <c r="T867" s="378"/>
      <c r="U867" s="378"/>
      <c r="V867" s="378"/>
      <c r="W867" s="378"/>
      <c r="X867" s="378"/>
      <c r="Y867" s="378"/>
      <c r="Z867" s="378"/>
      <c r="AB867" s="159" t="s">
        <v>248</v>
      </c>
      <c r="AD867" s="172" t="s">
        <v>249</v>
      </c>
      <c r="AE867" s="167"/>
      <c r="AF867" s="164">
        <f t="shared" si="194"/>
        <v>1</v>
      </c>
      <c r="AG867" s="164">
        <f t="shared" si="211"/>
        <v>0</v>
      </c>
      <c r="AI867" s="190">
        <v>1</v>
      </c>
    </row>
    <row r="868" spans="1:35" ht="18" customHeight="1" x14ac:dyDescent="0.2">
      <c r="A868" s="163" t="str">
        <f t="shared" si="209"/>
        <v/>
      </c>
      <c r="B868" s="170">
        <v>1</v>
      </c>
      <c r="D868" s="179" t="s">
        <v>252</v>
      </c>
      <c r="E868" s="378" t="s">
        <v>340</v>
      </c>
      <c r="F868" s="378"/>
      <c r="G868" s="378"/>
      <c r="H868" s="378"/>
      <c r="I868" s="378"/>
      <c r="J868" s="378"/>
      <c r="K868" s="378"/>
      <c r="L868" s="378"/>
      <c r="M868" s="378"/>
      <c r="N868" s="378"/>
      <c r="O868" s="378"/>
      <c r="P868" s="378"/>
      <c r="Q868" s="378"/>
      <c r="R868" s="378"/>
      <c r="S868" s="378"/>
      <c r="T868" s="378"/>
      <c r="U868" s="378"/>
      <c r="V868" s="378"/>
      <c r="W868" s="378"/>
      <c r="X868" s="378"/>
      <c r="Y868" s="378"/>
      <c r="Z868" s="378"/>
      <c r="AB868" s="159" t="s">
        <v>248</v>
      </c>
      <c r="AD868" s="172" t="s">
        <v>249</v>
      </c>
      <c r="AE868" s="167"/>
      <c r="AF868" s="164">
        <f t="shared" si="194"/>
        <v>1</v>
      </c>
      <c r="AG868" s="164">
        <f t="shared" si="211"/>
        <v>0</v>
      </c>
      <c r="AI868" s="190">
        <v>1</v>
      </c>
    </row>
    <row r="869" spans="1:35" ht="15" customHeight="1" x14ac:dyDescent="0.15">
      <c r="A869" s="163" t="str">
        <f t="shared" si="209"/>
        <v/>
      </c>
      <c r="B869" s="164">
        <f>B870</f>
        <v>1</v>
      </c>
      <c r="D869" s="399" t="s">
        <v>477</v>
      </c>
      <c r="E869" s="399"/>
      <c r="F869" s="399"/>
      <c r="G869" s="399"/>
      <c r="H869" s="399"/>
      <c r="I869" s="399"/>
      <c r="J869" s="399"/>
      <c r="K869" s="399"/>
      <c r="L869" s="399"/>
      <c r="M869" s="399"/>
      <c r="N869" s="399"/>
      <c r="O869" s="399"/>
      <c r="P869" s="399"/>
      <c r="Q869" s="399"/>
      <c r="R869" s="399"/>
      <c r="S869" s="399"/>
      <c r="T869" s="399"/>
      <c r="U869" s="399"/>
      <c r="V869" s="399"/>
      <c r="W869" s="399"/>
      <c r="X869" s="399"/>
      <c r="Y869" s="399"/>
      <c r="Z869" s="399"/>
      <c r="AA869" s="171"/>
      <c r="AB869" s="159" t="s">
        <v>248</v>
      </c>
      <c r="AD869" s="172" t="s">
        <v>249</v>
      </c>
      <c r="AE869" s="167"/>
      <c r="AF869" s="164">
        <f t="shared" si="194"/>
        <v>1</v>
      </c>
      <c r="AG869" s="164">
        <f t="shared" si="211"/>
        <v>0</v>
      </c>
      <c r="AI869" s="190">
        <v>1</v>
      </c>
    </row>
    <row r="870" spans="1:35" s="180" customFormat="1" ht="75" customHeight="1" x14ac:dyDescent="0.2">
      <c r="A870" s="163" t="str">
        <f t="shared" si="209"/>
        <v/>
      </c>
      <c r="B870" s="170">
        <v>1</v>
      </c>
      <c r="C870" s="152"/>
      <c r="D870" s="373" t="s">
        <v>595</v>
      </c>
      <c r="E870" s="373"/>
      <c r="F870" s="373"/>
      <c r="G870" s="373"/>
      <c r="H870" s="373"/>
      <c r="I870" s="373"/>
      <c r="J870" s="373"/>
      <c r="K870" s="373"/>
      <c r="L870" s="373"/>
      <c r="M870" s="373"/>
      <c r="N870" s="373"/>
      <c r="O870" s="373"/>
      <c r="P870" s="373"/>
      <c r="Q870" s="373"/>
      <c r="R870" s="373"/>
      <c r="S870" s="373"/>
      <c r="T870" s="373"/>
      <c r="U870" s="373"/>
      <c r="V870" s="373"/>
      <c r="W870" s="373"/>
      <c r="X870" s="373"/>
      <c r="Y870" s="373"/>
      <c r="Z870" s="373"/>
      <c r="AA870" s="169"/>
      <c r="AB870" s="159" t="s">
        <v>248</v>
      </c>
      <c r="AC870" s="151"/>
      <c r="AD870" s="172" t="s">
        <v>249</v>
      </c>
      <c r="AE870" s="167"/>
      <c r="AF870" s="164">
        <f t="shared" si="194"/>
        <v>1</v>
      </c>
      <c r="AG870" s="164">
        <f>IF(AND(SUM(AF:AF)&gt;0,OR(AND(B870=1,D870=""),AND(B870="",D870=""),AND(B870="",D870&lt;&gt;""),AND(B870=0,D870&lt;&gt;""))),1,0)</f>
        <v>0</v>
      </c>
      <c r="AI870" s="190">
        <v>1</v>
      </c>
    </row>
    <row r="871" spans="1:35" ht="1.5" customHeight="1" x14ac:dyDescent="0.15">
      <c r="A871" s="163" t="str">
        <f t="shared" si="184"/>
        <v/>
      </c>
      <c r="B871" s="164">
        <v>1</v>
      </c>
      <c r="D871" s="368"/>
      <c r="E871" s="368"/>
      <c r="F871" s="368"/>
      <c r="G871" s="368"/>
      <c r="H871" s="368"/>
      <c r="I871" s="368"/>
      <c r="J871" s="368"/>
      <c r="K871" s="368"/>
      <c r="L871" s="368"/>
      <c r="M871" s="368"/>
      <c r="N871" s="368"/>
      <c r="O871" s="368"/>
      <c r="P871" s="368"/>
      <c r="Q871" s="368"/>
      <c r="R871" s="368"/>
      <c r="S871" s="368"/>
      <c r="T871" s="368"/>
      <c r="U871" s="368"/>
      <c r="V871" s="368"/>
      <c r="W871" s="368"/>
      <c r="X871" s="368"/>
      <c r="Y871" s="368"/>
      <c r="Z871" s="368"/>
      <c r="AD871" s="165" t="s">
        <v>227</v>
      </c>
      <c r="AE871" s="156"/>
      <c r="AF871" s="22"/>
      <c r="AG871" s="22"/>
      <c r="AI871" s="190">
        <v>1</v>
      </c>
    </row>
    <row r="872" spans="1:35" ht="28.5" customHeight="1" x14ac:dyDescent="0.15">
      <c r="A872" s="163" t="str">
        <f t="shared" si="184"/>
        <v/>
      </c>
      <c r="B872" s="164">
        <v>1</v>
      </c>
      <c r="D872" s="406" t="s">
        <v>282</v>
      </c>
      <c r="E872" s="406"/>
      <c r="F872" s="406"/>
      <c r="G872" s="406"/>
      <c r="H872" s="406"/>
      <c r="I872" s="406"/>
      <c r="J872" s="406"/>
      <c r="K872" s="406"/>
      <c r="L872" s="406"/>
      <c r="M872" s="406"/>
      <c r="N872" s="406"/>
      <c r="O872" s="406"/>
      <c r="P872" s="406"/>
      <c r="Q872" s="406"/>
      <c r="R872" s="406"/>
      <c r="S872" s="406"/>
      <c r="T872" s="406"/>
      <c r="U872" s="406"/>
      <c r="V872" s="406"/>
      <c r="W872" s="406"/>
      <c r="X872" s="406"/>
      <c r="Y872" s="406"/>
      <c r="Z872" s="406"/>
      <c r="AD872" s="165" t="s">
        <v>227</v>
      </c>
      <c r="AE872" s="156"/>
      <c r="AF872" s="22"/>
      <c r="AG872" s="22"/>
      <c r="AI872" s="190">
        <v>1</v>
      </c>
    </row>
    <row r="873" spans="1:35" ht="8.5" customHeight="1" x14ac:dyDescent="0.15">
      <c r="A873" s="163" t="str">
        <f t="shared" si="184"/>
        <v/>
      </c>
      <c r="B873" s="164">
        <v>1</v>
      </c>
      <c r="D873" s="368"/>
      <c r="E873" s="368"/>
      <c r="F873" s="368"/>
      <c r="G873" s="368"/>
      <c r="H873" s="368"/>
      <c r="I873" s="368"/>
      <c r="J873" s="368"/>
      <c r="K873" s="368"/>
      <c r="L873" s="368"/>
      <c r="M873" s="368"/>
      <c r="N873" s="368"/>
      <c r="O873" s="368"/>
      <c r="P873" s="368"/>
      <c r="Q873" s="368"/>
      <c r="R873" s="368"/>
      <c r="S873" s="368"/>
      <c r="T873" s="368"/>
      <c r="U873" s="368"/>
      <c r="V873" s="368"/>
      <c r="W873" s="368"/>
      <c r="X873" s="368"/>
      <c r="Y873" s="368"/>
      <c r="Z873" s="368"/>
      <c r="AD873" s="165" t="s">
        <v>227</v>
      </c>
      <c r="AE873" s="156"/>
      <c r="AF873" s="22"/>
      <c r="AG873" s="22"/>
      <c r="AI873" s="190">
        <v>1</v>
      </c>
    </row>
    <row r="874" spans="1:35" ht="27" x14ac:dyDescent="0.2">
      <c r="A874" s="163" t="str">
        <f>IF(AG874=1,"X","")</f>
        <v/>
      </c>
      <c r="B874" s="164">
        <f>IF(Costing!E14="Steven Robinson",1,0)</f>
        <v>1</v>
      </c>
      <c r="D874" s="408" t="s">
        <v>283</v>
      </c>
      <c r="E874" s="409"/>
      <c r="F874" s="409"/>
      <c r="G874" s="409"/>
      <c r="H874" s="409"/>
      <c r="I874" s="409"/>
      <c r="J874" s="409"/>
      <c r="K874" s="409"/>
      <c r="L874" s="409"/>
      <c r="M874" s="409"/>
      <c r="N874" s="181"/>
      <c r="O874" s="181"/>
      <c r="P874" s="181"/>
      <c r="Q874" s="181"/>
      <c r="R874" s="181"/>
      <c r="S874" s="181"/>
      <c r="T874" s="181"/>
      <c r="U874" s="181"/>
      <c r="V874" s="181"/>
      <c r="W874" s="181"/>
      <c r="X874" s="181"/>
      <c r="Y874" s="181"/>
      <c r="Z874" s="181"/>
      <c r="AD874" s="165" t="s">
        <v>284</v>
      </c>
      <c r="AE874" s="182"/>
      <c r="AF874" s="22"/>
      <c r="AG874" s="22"/>
      <c r="AI874" s="190">
        <v>1</v>
      </c>
    </row>
    <row r="875" spans="1:35" x14ac:dyDescent="0.2">
      <c r="A875" s="163" t="str">
        <f>IF(AG875=1,"X","")</f>
        <v/>
      </c>
      <c r="B875" s="164">
        <f>B874</f>
        <v>1</v>
      </c>
      <c r="D875" s="410" t="s">
        <v>285</v>
      </c>
      <c r="E875" s="410"/>
      <c r="F875" s="410"/>
      <c r="G875" s="410"/>
      <c r="H875" s="410"/>
      <c r="I875" s="410"/>
      <c r="J875" s="410"/>
      <c r="K875" s="181"/>
      <c r="L875" s="181"/>
      <c r="M875" s="181"/>
      <c r="N875" s="181"/>
      <c r="O875" s="181"/>
      <c r="P875" s="181"/>
      <c r="Q875" s="181"/>
      <c r="R875" s="181"/>
      <c r="S875" s="181"/>
      <c r="T875" s="181"/>
      <c r="U875" s="181"/>
      <c r="V875" s="181"/>
      <c r="W875" s="181"/>
      <c r="X875" s="181"/>
      <c r="Y875" s="181"/>
      <c r="Z875" s="181"/>
      <c r="AD875" s="165" t="s">
        <v>284</v>
      </c>
      <c r="AE875" s="182"/>
      <c r="AF875" s="22"/>
      <c r="AG875" s="22"/>
      <c r="AI875" s="190">
        <v>1</v>
      </c>
    </row>
    <row r="876" spans="1:35" x14ac:dyDescent="0.2">
      <c r="A876" s="163" t="str">
        <f>IF(AG876=1,"X","")</f>
        <v/>
      </c>
      <c r="B876" s="164">
        <f>B875</f>
        <v>1</v>
      </c>
      <c r="D876" s="410" t="s">
        <v>286</v>
      </c>
      <c r="E876" s="410"/>
      <c r="F876" s="410"/>
      <c r="G876" s="410"/>
      <c r="H876" s="410"/>
      <c r="I876" s="410"/>
      <c r="J876" s="410"/>
      <c r="K876" s="410"/>
      <c r="L876" s="410"/>
      <c r="M876" s="410"/>
      <c r="N876" s="181"/>
      <c r="O876" s="181"/>
      <c r="P876" s="181"/>
      <c r="Q876" s="181"/>
      <c r="R876" s="181"/>
      <c r="S876" s="181"/>
      <c r="T876" s="181"/>
      <c r="U876" s="181"/>
      <c r="V876" s="181"/>
      <c r="W876" s="181"/>
      <c r="X876" s="181"/>
      <c r="Y876" s="181"/>
      <c r="Z876" s="181"/>
      <c r="AD876" s="165" t="s">
        <v>284</v>
      </c>
      <c r="AE876" s="182"/>
      <c r="AF876" s="22"/>
      <c r="AG876" s="22"/>
      <c r="AI876" s="190">
        <v>1</v>
      </c>
    </row>
    <row r="877" spans="1:35" ht="27" hidden="1" x14ac:dyDescent="0.2">
      <c r="A877" s="163" t="str">
        <f t="shared" si="184"/>
        <v/>
      </c>
      <c r="B877" s="164">
        <f>IF(Costing!E14="Graeme Hazel",1,0)</f>
        <v>0</v>
      </c>
      <c r="D877" s="408" t="s">
        <v>287</v>
      </c>
      <c r="E877" s="409"/>
      <c r="F877" s="409"/>
      <c r="G877" s="409"/>
      <c r="H877" s="409"/>
      <c r="I877" s="409"/>
      <c r="J877" s="409"/>
      <c r="K877" s="409"/>
      <c r="L877" s="409"/>
      <c r="M877" s="409"/>
      <c r="N877" s="181"/>
      <c r="O877" s="181"/>
      <c r="P877" s="181"/>
      <c r="Q877" s="181"/>
      <c r="R877" s="181"/>
      <c r="S877" s="181"/>
      <c r="T877" s="181"/>
      <c r="U877" s="181"/>
      <c r="V877" s="181"/>
      <c r="W877" s="181"/>
      <c r="X877" s="181"/>
      <c r="Y877" s="181"/>
      <c r="Z877" s="181"/>
      <c r="AD877" s="165" t="s">
        <v>284</v>
      </c>
      <c r="AE877" s="182"/>
      <c r="AF877" s="22"/>
      <c r="AG877" s="22"/>
      <c r="AI877" s="190">
        <v>1</v>
      </c>
    </row>
    <row r="878" spans="1:35" hidden="1" x14ac:dyDescent="0.2">
      <c r="A878" s="163" t="str">
        <f t="shared" si="184"/>
        <v/>
      </c>
      <c r="B878" s="164">
        <f>B877</f>
        <v>0</v>
      </c>
      <c r="D878" s="410" t="s">
        <v>287</v>
      </c>
      <c r="E878" s="410"/>
      <c r="F878" s="410"/>
      <c r="G878" s="410"/>
      <c r="H878" s="410"/>
      <c r="I878" s="410"/>
      <c r="J878" s="410"/>
      <c r="K878" s="410"/>
      <c r="L878" s="410"/>
      <c r="M878" s="410"/>
      <c r="N878" s="181"/>
      <c r="O878" s="181"/>
      <c r="P878" s="181"/>
      <c r="Q878" s="181"/>
      <c r="R878" s="181"/>
      <c r="S878" s="181"/>
      <c r="T878" s="181"/>
      <c r="U878" s="181"/>
      <c r="V878" s="181"/>
      <c r="W878" s="181"/>
      <c r="X878" s="181"/>
      <c r="Y878" s="181"/>
      <c r="Z878" s="181"/>
      <c r="AD878" s="165" t="s">
        <v>284</v>
      </c>
      <c r="AE878" s="182"/>
      <c r="AF878" s="22"/>
      <c r="AG878" s="22"/>
      <c r="AI878" s="190">
        <v>1</v>
      </c>
    </row>
    <row r="879" spans="1:35" hidden="1" x14ac:dyDescent="0.2">
      <c r="A879" s="163" t="str">
        <f t="shared" si="184"/>
        <v/>
      </c>
      <c r="B879" s="164">
        <f>B878</f>
        <v>0</v>
      </c>
      <c r="D879" s="410" t="s">
        <v>286</v>
      </c>
      <c r="E879" s="410"/>
      <c r="F879" s="410"/>
      <c r="G879" s="410"/>
      <c r="H879" s="410"/>
      <c r="I879" s="410"/>
      <c r="J879" s="410"/>
      <c r="K879" s="410"/>
      <c r="L879" s="410"/>
      <c r="M879" s="410"/>
      <c r="N879" s="181"/>
      <c r="O879" s="181"/>
      <c r="P879" s="181"/>
      <c r="Q879" s="181"/>
      <c r="R879" s="181"/>
      <c r="S879" s="181"/>
      <c r="T879" s="181"/>
      <c r="U879" s="181"/>
      <c r="V879" s="181"/>
      <c r="W879" s="181"/>
      <c r="X879" s="181"/>
      <c r="Y879" s="181"/>
      <c r="Z879" s="181"/>
      <c r="AD879" s="165" t="s">
        <v>284</v>
      </c>
      <c r="AE879" s="182"/>
      <c r="AF879" s="22"/>
      <c r="AG879" s="22"/>
      <c r="AI879" s="190">
        <v>1</v>
      </c>
    </row>
    <row r="880" spans="1:35" ht="30" hidden="1" x14ac:dyDescent="0.2">
      <c r="A880" s="163" t="str">
        <f t="shared" si="184"/>
        <v/>
      </c>
      <c r="B880" s="164">
        <f>IF(Costing!E14="Mike Davison",1,0)</f>
        <v>0</v>
      </c>
      <c r="D880" s="183" t="s">
        <v>288</v>
      </c>
      <c r="E880" s="181"/>
      <c r="F880" s="181"/>
      <c r="G880" s="181"/>
      <c r="H880" s="181"/>
      <c r="I880" s="181"/>
      <c r="J880" s="181"/>
      <c r="K880" s="181"/>
      <c r="L880" s="181"/>
      <c r="M880" s="181"/>
      <c r="N880" s="181"/>
      <c r="O880" s="181"/>
      <c r="P880" s="181"/>
      <c r="Q880" s="181"/>
      <c r="R880" s="181"/>
      <c r="S880" s="181"/>
      <c r="T880" s="181"/>
      <c r="U880" s="181"/>
      <c r="V880" s="181"/>
      <c r="W880" s="181"/>
      <c r="X880" s="181"/>
      <c r="Y880" s="181"/>
      <c r="Z880" s="181"/>
      <c r="AD880" s="165" t="s">
        <v>284</v>
      </c>
      <c r="AE880" s="182"/>
      <c r="AF880" s="22"/>
      <c r="AG880" s="22"/>
      <c r="AI880" s="190">
        <v>1</v>
      </c>
    </row>
    <row r="881" spans="1:35" hidden="1" x14ac:dyDescent="0.2">
      <c r="A881" s="163" t="str">
        <f t="shared" si="184"/>
        <v/>
      </c>
      <c r="B881" s="164">
        <f>B880</f>
        <v>0</v>
      </c>
      <c r="D881" s="410" t="s">
        <v>289</v>
      </c>
      <c r="E881" s="412"/>
      <c r="F881" s="412"/>
      <c r="G881" s="412"/>
      <c r="H881" s="412"/>
      <c r="I881" s="412"/>
      <c r="J881" s="412"/>
      <c r="K881" s="412"/>
      <c r="L881" s="412"/>
      <c r="M881" s="412"/>
      <c r="N881" s="181"/>
      <c r="O881" s="181"/>
      <c r="P881" s="181"/>
      <c r="Q881" s="181"/>
      <c r="R881" s="181"/>
      <c r="S881" s="181"/>
      <c r="T881" s="181"/>
      <c r="U881" s="181"/>
      <c r="V881" s="181"/>
      <c r="W881" s="181"/>
      <c r="X881" s="181"/>
      <c r="Y881" s="181"/>
      <c r="Z881" s="181"/>
      <c r="AD881" s="165" t="s">
        <v>284</v>
      </c>
      <c r="AE881" s="182"/>
      <c r="AF881" s="22"/>
      <c r="AG881" s="22"/>
      <c r="AI881" s="190">
        <v>1</v>
      </c>
    </row>
    <row r="882" spans="1:35" hidden="1" x14ac:dyDescent="0.2">
      <c r="A882" s="163" t="str">
        <f t="shared" si="184"/>
        <v/>
      </c>
      <c r="B882" s="164">
        <f>B881</f>
        <v>0</v>
      </c>
      <c r="D882" s="181" t="s">
        <v>290</v>
      </c>
      <c r="E882" s="181"/>
      <c r="F882" s="181"/>
      <c r="G882" s="181"/>
      <c r="H882" s="181"/>
      <c r="I882" s="181"/>
      <c r="J882" s="181"/>
      <c r="K882" s="181"/>
      <c r="L882" s="181"/>
      <c r="M882" s="181"/>
      <c r="N882" s="181"/>
      <c r="O882" s="181"/>
      <c r="P882" s="181"/>
      <c r="Q882" s="181"/>
      <c r="R882" s="181"/>
      <c r="S882" s="181"/>
      <c r="T882" s="181"/>
      <c r="U882" s="181"/>
      <c r="V882" s="181"/>
      <c r="W882" s="181"/>
      <c r="X882" s="181"/>
      <c r="Y882" s="181"/>
      <c r="Z882" s="181"/>
      <c r="AD882" s="165" t="s">
        <v>284</v>
      </c>
      <c r="AE882" s="182"/>
      <c r="AF882" s="22"/>
      <c r="AG882" s="22"/>
      <c r="AI882" s="190">
        <v>1</v>
      </c>
    </row>
    <row r="883" spans="1:35" s="180" customFormat="1" ht="31" customHeight="1" x14ac:dyDescent="0.15">
      <c r="A883" s="163" t="str">
        <f t="shared" ref="A883" si="212">IF(AG883=1,"X","")</f>
        <v/>
      </c>
      <c r="B883" s="170">
        <v>1</v>
      </c>
      <c r="C883" s="152"/>
      <c r="D883" s="399" t="s">
        <v>291</v>
      </c>
      <c r="E883" s="399"/>
      <c r="F883" s="399"/>
      <c r="G883" s="399"/>
      <c r="H883" s="399"/>
      <c r="I883" s="399"/>
      <c r="J883" s="399"/>
      <c r="K883" s="399"/>
      <c r="L883" s="399"/>
      <c r="M883" s="399"/>
      <c r="N883" s="399"/>
      <c r="O883" s="399"/>
      <c r="P883" s="399"/>
      <c r="Q883" s="399"/>
      <c r="R883" s="399"/>
      <c r="S883" s="399"/>
      <c r="T883" s="399"/>
      <c r="U883" s="399"/>
      <c r="V883" s="399"/>
      <c r="W883" s="399"/>
      <c r="X883" s="399"/>
      <c r="Y883" s="399"/>
      <c r="Z883" s="399"/>
      <c r="AB883" s="166" t="s">
        <v>465</v>
      </c>
      <c r="AC883" s="151"/>
      <c r="AD883" s="172" t="s">
        <v>466</v>
      </c>
      <c r="AE883" s="156"/>
      <c r="AF883" s="22"/>
      <c r="AG883" s="22"/>
      <c r="AI883" s="190">
        <v>1</v>
      </c>
    </row>
    <row r="884" spans="1:35" x14ac:dyDescent="0.15">
      <c r="B884" s="164">
        <f>B883</f>
        <v>1</v>
      </c>
      <c r="D884" s="368"/>
      <c r="E884" s="368"/>
      <c r="F884" s="368"/>
      <c r="G884" s="368"/>
      <c r="H884" s="368"/>
      <c r="I884" s="368"/>
      <c r="J884" s="368"/>
      <c r="K884" s="368"/>
      <c r="L884" s="368"/>
      <c r="M884" s="368"/>
      <c r="N884" s="368"/>
      <c r="O884" s="368"/>
      <c r="P884" s="368"/>
      <c r="Q884" s="368"/>
      <c r="R884" s="368"/>
      <c r="S884" s="368"/>
      <c r="T884" s="368"/>
      <c r="U884" s="368"/>
      <c r="V884" s="368"/>
      <c r="W884" s="368"/>
      <c r="X884" s="368"/>
      <c r="Y884" s="368"/>
      <c r="Z884" s="368"/>
      <c r="AB884" s="166" t="s">
        <v>229</v>
      </c>
      <c r="AD884" s="165" t="s">
        <v>227</v>
      </c>
      <c r="AE884" s="156"/>
      <c r="AF884" s="22"/>
      <c r="AG884" s="22"/>
      <c r="AI884" s="190">
        <v>1</v>
      </c>
    </row>
    <row r="885" spans="1:35" x14ac:dyDescent="0.15">
      <c r="B885" s="164">
        <f t="shared" ref="B885:B926" si="213">B884</f>
        <v>1</v>
      </c>
      <c r="D885" s="368"/>
      <c r="E885" s="368"/>
      <c r="F885" s="368"/>
      <c r="G885" s="368"/>
      <c r="H885" s="368"/>
      <c r="I885" s="368"/>
      <c r="J885" s="368"/>
      <c r="K885" s="368"/>
      <c r="L885" s="368"/>
      <c r="M885" s="368"/>
      <c r="N885" s="368"/>
      <c r="O885" s="368"/>
      <c r="P885" s="368"/>
      <c r="Q885" s="368"/>
      <c r="R885" s="368"/>
      <c r="S885" s="368"/>
      <c r="T885" s="368"/>
      <c r="U885" s="368"/>
      <c r="V885" s="368"/>
      <c r="W885" s="368"/>
      <c r="X885" s="368"/>
      <c r="Y885" s="368"/>
      <c r="Z885" s="368"/>
      <c r="AB885" s="166" t="s">
        <v>229</v>
      </c>
      <c r="AD885" s="165" t="s">
        <v>227</v>
      </c>
      <c r="AE885" s="156"/>
      <c r="AF885" s="22"/>
      <c r="AG885" s="22"/>
      <c r="AI885" s="190">
        <v>1</v>
      </c>
    </row>
    <row r="886" spans="1:35" x14ac:dyDescent="0.15">
      <c r="B886" s="164">
        <f t="shared" si="213"/>
        <v>1</v>
      </c>
      <c r="D886" s="368"/>
      <c r="E886" s="368"/>
      <c r="F886" s="368"/>
      <c r="G886" s="368"/>
      <c r="H886" s="368"/>
      <c r="I886" s="368"/>
      <c r="J886" s="368"/>
      <c r="K886" s="368"/>
      <c r="L886" s="368"/>
      <c r="M886" s="368"/>
      <c r="N886" s="368"/>
      <c r="O886" s="368"/>
      <c r="P886" s="368"/>
      <c r="Q886" s="368"/>
      <c r="R886" s="368"/>
      <c r="S886" s="368"/>
      <c r="T886" s="368"/>
      <c r="U886" s="368"/>
      <c r="V886" s="368"/>
      <c r="W886" s="368"/>
      <c r="X886" s="368"/>
      <c r="Y886" s="368"/>
      <c r="Z886" s="368"/>
      <c r="AB886" s="166" t="s">
        <v>229</v>
      </c>
      <c r="AD886" s="165" t="s">
        <v>227</v>
      </c>
      <c r="AE886" s="156"/>
      <c r="AF886" s="22"/>
      <c r="AG886" s="22"/>
      <c r="AI886" s="190">
        <v>1</v>
      </c>
    </row>
    <row r="887" spans="1:35" x14ac:dyDescent="0.15">
      <c r="B887" s="164">
        <f t="shared" si="213"/>
        <v>1</v>
      </c>
      <c r="D887" s="368"/>
      <c r="E887" s="368"/>
      <c r="F887" s="368"/>
      <c r="G887" s="368"/>
      <c r="H887" s="368"/>
      <c r="I887" s="368"/>
      <c r="J887" s="368"/>
      <c r="K887" s="368"/>
      <c r="L887" s="368"/>
      <c r="M887" s="368"/>
      <c r="N887" s="368"/>
      <c r="O887" s="368"/>
      <c r="P887" s="368"/>
      <c r="Q887" s="368"/>
      <c r="R887" s="368"/>
      <c r="S887" s="368"/>
      <c r="T887" s="368"/>
      <c r="U887" s="368"/>
      <c r="V887" s="368"/>
      <c r="W887" s="368"/>
      <c r="X887" s="368"/>
      <c r="Y887" s="368"/>
      <c r="Z887" s="368"/>
      <c r="AB887" s="166" t="s">
        <v>229</v>
      </c>
      <c r="AD887" s="165" t="s">
        <v>227</v>
      </c>
      <c r="AE887" s="156"/>
      <c r="AF887" s="22"/>
      <c r="AG887" s="22"/>
      <c r="AI887" s="190">
        <v>1</v>
      </c>
    </row>
    <row r="888" spans="1:35" x14ac:dyDescent="0.15">
      <c r="B888" s="164">
        <f t="shared" si="213"/>
        <v>1</v>
      </c>
      <c r="D888" s="368"/>
      <c r="E888" s="368"/>
      <c r="F888" s="368"/>
      <c r="G888" s="368"/>
      <c r="H888" s="368"/>
      <c r="I888" s="368"/>
      <c r="J888" s="368"/>
      <c r="K888" s="368"/>
      <c r="L888" s="368"/>
      <c r="M888" s="368"/>
      <c r="N888" s="368"/>
      <c r="O888" s="368"/>
      <c r="P888" s="368"/>
      <c r="Q888" s="368"/>
      <c r="R888" s="368"/>
      <c r="S888" s="368"/>
      <c r="T888" s="368"/>
      <c r="U888" s="368"/>
      <c r="V888" s="368"/>
      <c r="W888" s="368"/>
      <c r="X888" s="368"/>
      <c r="Y888" s="368"/>
      <c r="Z888" s="368"/>
      <c r="AB888" s="166" t="s">
        <v>229</v>
      </c>
      <c r="AD888" s="165" t="s">
        <v>227</v>
      </c>
      <c r="AE888" s="156"/>
      <c r="AF888" s="22"/>
      <c r="AG888" s="22"/>
      <c r="AI888" s="190">
        <v>1</v>
      </c>
    </row>
    <row r="889" spans="1:35" x14ac:dyDescent="0.15">
      <c r="B889" s="164">
        <f t="shared" si="213"/>
        <v>1</v>
      </c>
      <c r="D889" s="368"/>
      <c r="E889" s="368"/>
      <c r="F889" s="368"/>
      <c r="G889" s="368"/>
      <c r="H889" s="368"/>
      <c r="I889" s="368"/>
      <c r="J889" s="368"/>
      <c r="K889" s="368"/>
      <c r="L889" s="368"/>
      <c r="M889" s="368"/>
      <c r="N889" s="368"/>
      <c r="O889" s="368"/>
      <c r="P889" s="368"/>
      <c r="Q889" s="368"/>
      <c r="R889" s="368"/>
      <c r="S889" s="368"/>
      <c r="T889" s="368"/>
      <c r="U889" s="368"/>
      <c r="V889" s="368"/>
      <c r="W889" s="368"/>
      <c r="X889" s="368"/>
      <c r="Y889" s="368"/>
      <c r="Z889" s="368"/>
      <c r="AB889" s="166" t="s">
        <v>229</v>
      </c>
      <c r="AD889" s="165" t="s">
        <v>227</v>
      </c>
      <c r="AE889" s="156"/>
      <c r="AF889" s="22"/>
      <c r="AG889" s="22"/>
      <c r="AI889" s="190">
        <v>1</v>
      </c>
    </row>
    <row r="890" spans="1:35" x14ac:dyDescent="0.15">
      <c r="B890" s="164">
        <f t="shared" si="213"/>
        <v>1</v>
      </c>
      <c r="D890" s="368"/>
      <c r="E890" s="368"/>
      <c r="F890" s="368"/>
      <c r="G890" s="368"/>
      <c r="H890" s="368"/>
      <c r="I890" s="368"/>
      <c r="J890" s="368"/>
      <c r="K890" s="368"/>
      <c r="L890" s="368"/>
      <c r="M890" s="368"/>
      <c r="N890" s="368"/>
      <c r="O890" s="368"/>
      <c r="P890" s="368"/>
      <c r="Q890" s="368"/>
      <c r="R890" s="368"/>
      <c r="S890" s="368"/>
      <c r="T890" s="368"/>
      <c r="U890" s="368"/>
      <c r="V890" s="368"/>
      <c r="W890" s="368"/>
      <c r="X890" s="368"/>
      <c r="Y890" s="368"/>
      <c r="Z890" s="368"/>
      <c r="AB890" s="166" t="s">
        <v>229</v>
      </c>
      <c r="AD890" s="165" t="s">
        <v>227</v>
      </c>
      <c r="AE890" s="156"/>
      <c r="AF890" s="22"/>
      <c r="AG890" s="22"/>
      <c r="AI890" s="190">
        <v>1</v>
      </c>
    </row>
    <row r="891" spans="1:35" x14ac:dyDescent="0.15">
      <c r="B891" s="164">
        <f t="shared" si="213"/>
        <v>1</v>
      </c>
      <c r="D891" s="368"/>
      <c r="E891" s="368"/>
      <c r="F891" s="368"/>
      <c r="G891" s="368"/>
      <c r="H891" s="368"/>
      <c r="I891" s="368"/>
      <c r="J891" s="368"/>
      <c r="K891" s="368"/>
      <c r="L891" s="368"/>
      <c r="M891" s="368"/>
      <c r="N891" s="368"/>
      <c r="O891" s="368"/>
      <c r="P891" s="368"/>
      <c r="Q891" s="368"/>
      <c r="R891" s="368"/>
      <c r="S891" s="368"/>
      <c r="T891" s="368"/>
      <c r="U891" s="368"/>
      <c r="V891" s="368"/>
      <c r="W891" s="368"/>
      <c r="X891" s="368"/>
      <c r="Y891" s="368"/>
      <c r="Z891" s="368"/>
      <c r="AB891" s="166" t="s">
        <v>229</v>
      </c>
      <c r="AD891" s="165" t="s">
        <v>227</v>
      </c>
      <c r="AE891" s="156"/>
      <c r="AF891" s="22"/>
      <c r="AG891" s="22"/>
      <c r="AI891" s="190">
        <v>1</v>
      </c>
    </row>
    <row r="892" spans="1:35" x14ac:dyDescent="0.15">
      <c r="B892" s="164">
        <f t="shared" si="213"/>
        <v>1</v>
      </c>
      <c r="D892" s="368"/>
      <c r="E892" s="368"/>
      <c r="F892" s="368"/>
      <c r="G892" s="368"/>
      <c r="H892" s="368"/>
      <c r="I892" s="368"/>
      <c r="J892" s="368"/>
      <c r="K892" s="368"/>
      <c r="L892" s="368"/>
      <c r="M892" s="368"/>
      <c r="N892" s="368"/>
      <c r="O892" s="368"/>
      <c r="P892" s="368"/>
      <c r="Q892" s="368"/>
      <c r="R892" s="368"/>
      <c r="S892" s="368"/>
      <c r="T892" s="368"/>
      <c r="U892" s="368"/>
      <c r="V892" s="368"/>
      <c r="W892" s="368"/>
      <c r="X892" s="368"/>
      <c r="Y892" s="368"/>
      <c r="Z892" s="368"/>
      <c r="AB892" s="166" t="s">
        <v>229</v>
      </c>
      <c r="AD892" s="165" t="s">
        <v>227</v>
      </c>
      <c r="AE892" s="156"/>
      <c r="AF892" s="22"/>
      <c r="AG892" s="22"/>
      <c r="AI892" s="190">
        <v>1</v>
      </c>
    </row>
    <row r="893" spans="1:35" x14ac:dyDescent="0.15">
      <c r="B893" s="164">
        <f t="shared" si="213"/>
        <v>1</v>
      </c>
      <c r="D893" s="368"/>
      <c r="E893" s="368"/>
      <c r="F893" s="368"/>
      <c r="G893" s="368"/>
      <c r="H893" s="368"/>
      <c r="I893" s="368"/>
      <c r="J893" s="368"/>
      <c r="K893" s="368"/>
      <c r="L893" s="368"/>
      <c r="M893" s="368"/>
      <c r="N893" s="368"/>
      <c r="O893" s="368"/>
      <c r="P893" s="368"/>
      <c r="Q893" s="368"/>
      <c r="R893" s="368"/>
      <c r="S893" s="368"/>
      <c r="T893" s="368"/>
      <c r="U893" s="368"/>
      <c r="V893" s="368"/>
      <c r="W893" s="368"/>
      <c r="X893" s="368"/>
      <c r="Y893" s="368"/>
      <c r="Z893" s="368"/>
      <c r="AB893" s="166" t="s">
        <v>229</v>
      </c>
      <c r="AD893" s="165" t="s">
        <v>227</v>
      </c>
      <c r="AE893" s="156"/>
      <c r="AF893" s="22"/>
      <c r="AG893" s="22"/>
      <c r="AI893" s="190">
        <v>1</v>
      </c>
    </row>
    <row r="894" spans="1:35" x14ac:dyDescent="0.15">
      <c r="B894" s="164">
        <f t="shared" si="213"/>
        <v>1</v>
      </c>
      <c r="D894" s="368"/>
      <c r="E894" s="368"/>
      <c r="F894" s="368"/>
      <c r="G894" s="368"/>
      <c r="H894" s="368"/>
      <c r="I894" s="368"/>
      <c r="J894" s="368"/>
      <c r="K894" s="368"/>
      <c r="L894" s="368"/>
      <c r="M894" s="368"/>
      <c r="N894" s="368"/>
      <c r="O894" s="368"/>
      <c r="P894" s="368"/>
      <c r="Q894" s="368"/>
      <c r="R894" s="368"/>
      <c r="S894" s="368"/>
      <c r="T894" s="368"/>
      <c r="U894" s="368"/>
      <c r="V894" s="368"/>
      <c r="W894" s="368"/>
      <c r="X894" s="368"/>
      <c r="Y894" s="368"/>
      <c r="Z894" s="368"/>
      <c r="AB894" s="166" t="s">
        <v>229</v>
      </c>
      <c r="AD894" s="165" t="s">
        <v>227</v>
      </c>
      <c r="AE894" s="156"/>
      <c r="AF894" s="22"/>
      <c r="AG894" s="22"/>
      <c r="AI894" s="190">
        <v>1</v>
      </c>
    </row>
    <row r="895" spans="1:35" x14ac:dyDescent="0.15">
      <c r="B895" s="164">
        <f t="shared" si="213"/>
        <v>1</v>
      </c>
      <c r="D895" s="368"/>
      <c r="E895" s="368"/>
      <c r="F895" s="368"/>
      <c r="G895" s="368"/>
      <c r="H895" s="368"/>
      <c r="I895" s="368"/>
      <c r="J895" s="368"/>
      <c r="K895" s="368"/>
      <c r="L895" s="368"/>
      <c r="M895" s="368"/>
      <c r="N895" s="368"/>
      <c r="O895" s="368"/>
      <c r="P895" s="368"/>
      <c r="Q895" s="368"/>
      <c r="R895" s="368"/>
      <c r="S895" s="368"/>
      <c r="T895" s="368"/>
      <c r="U895" s="368"/>
      <c r="V895" s="368"/>
      <c r="W895" s="368"/>
      <c r="X895" s="368"/>
      <c r="Y895" s="368"/>
      <c r="Z895" s="368"/>
      <c r="AB895" s="166" t="s">
        <v>229</v>
      </c>
      <c r="AD895" s="165" t="s">
        <v>227</v>
      </c>
      <c r="AE895" s="156"/>
      <c r="AF895" s="22"/>
      <c r="AG895" s="22"/>
      <c r="AI895" s="190">
        <v>1</v>
      </c>
    </row>
    <row r="896" spans="1:35" x14ac:dyDescent="0.15">
      <c r="B896" s="164">
        <f t="shared" si="213"/>
        <v>1</v>
      </c>
      <c r="D896" s="368"/>
      <c r="E896" s="368"/>
      <c r="F896" s="368"/>
      <c r="G896" s="368"/>
      <c r="H896" s="368"/>
      <c r="I896" s="368"/>
      <c r="J896" s="368"/>
      <c r="K896" s="368"/>
      <c r="L896" s="368"/>
      <c r="M896" s="368"/>
      <c r="N896" s="368"/>
      <c r="O896" s="368"/>
      <c r="P896" s="368"/>
      <c r="Q896" s="368"/>
      <c r="R896" s="368"/>
      <c r="S896" s="368"/>
      <c r="T896" s="368"/>
      <c r="U896" s="368"/>
      <c r="V896" s="368"/>
      <c r="W896" s="368"/>
      <c r="X896" s="368"/>
      <c r="Y896" s="368"/>
      <c r="Z896" s="368"/>
      <c r="AB896" s="166" t="s">
        <v>229</v>
      </c>
      <c r="AD896" s="165" t="s">
        <v>227</v>
      </c>
      <c r="AE896" s="156"/>
      <c r="AF896" s="22"/>
      <c r="AG896" s="22"/>
      <c r="AI896" s="190">
        <v>1</v>
      </c>
    </row>
    <row r="897" spans="2:35" x14ac:dyDescent="0.15">
      <c r="B897" s="164">
        <f t="shared" si="213"/>
        <v>1</v>
      </c>
      <c r="D897" s="368"/>
      <c r="E897" s="368"/>
      <c r="F897" s="368"/>
      <c r="G897" s="368"/>
      <c r="H897" s="368"/>
      <c r="I897" s="368"/>
      <c r="J897" s="368"/>
      <c r="K897" s="368"/>
      <c r="L897" s="368"/>
      <c r="M897" s="368"/>
      <c r="N897" s="368"/>
      <c r="O897" s="368"/>
      <c r="P897" s="368"/>
      <c r="Q897" s="368"/>
      <c r="R897" s="368"/>
      <c r="S897" s="368"/>
      <c r="T897" s="368"/>
      <c r="U897" s="368"/>
      <c r="V897" s="368"/>
      <c r="W897" s="368"/>
      <c r="X897" s="368"/>
      <c r="Y897" s="368"/>
      <c r="Z897" s="368"/>
      <c r="AB897" s="166" t="s">
        <v>229</v>
      </c>
      <c r="AD897" s="165" t="s">
        <v>227</v>
      </c>
      <c r="AE897" s="156"/>
      <c r="AF897" s="22"/>
      <c r="AG897" s="22"/>
      <c r="AI897" s="190">
        <v>1</v>
      </c>
    </row>
    <row r="898" spans="2:35" x14ac:dyDescent="0.15">
      <c r="B898" s="164">
        <f t="shared" si="213"/>
        <v>1</v>
      </c>
      <c r="D898" s="368"/>
      <c r="E898" s="368"/>
      <c r="F898" s="368"/>
      <c r="G898" s="368"/>
      <c r="H898" s="368"/>
      <c r="I898" s="368"/>
      <c r="J898" s="368"/>
      <c r="K898" s="368"/>
      <c r="L898" s="368"/>
      <c r="M898" s="368"/>
      <c r="N898" s="368"/>
      <c r="O898" s="368"/>
      <c r="P898" s="368"/>
      <c r="Q898" s="368"/>
      <c r="R898" s="368"/>
      <c r="S898" s="368"/>
      <c r="T898" s="368"/>
      <c r="U898" s="368"/>
      <c r="V898" s="368"/>
      <c r="W898" s="368"/>
      <c r="X898" s="368"/>
      <c r="Y898" s="368"/>
      <c r="Z898" s="368"/>
      <c r="AB898" s="166" t="s">
        <v>229</v>
      </c>
      <c r="AD898" s="165" t="s">
        <v>227</v>
      </c>
      <c r="AE898" s="156"/>
      <c r="AF898" s="22"/>
      <c r="AG898" s="22"/>
      <c r="AI898" s="190">
        <v>1</v>
      </c>
    </row>
    <row r="899" spans="2:35" x14ac:dyDescent="0.15">
      <c r="B899" s="164">
        <f t="shared" si="213"/>
        <v>1</v>
      </c>
      <c r="D899" s="368"/>
      <c r="E899" s="368"/>
      <c r="F899" s="368"/>
      <c r="G899" s="368"/>
      <c r="H899" s="368"/>
      <c r="I899" s="368"/>
      <c r="J899" s="368"/>
      <c r="K899" s="368"/>
      <c r="L899" s="368"/>
      <c r="M899" s="368"/>
      <c r="N899" s="368"/>
      <c r="O899" s="368"/>
      <c r="P899" s="368"/>
      <c r="Q899" s="368"/>
      <c r="R899" s="368"/>
      <c r="S899" s="368"/>
      <c r="T899" s="368"/>
      <c r="U899" s="368"/>
      <c r="V899" s="368"/>
      <c r="W899" s="368"/>
      <c r="X899" s="368"/>
      <c r="Y899" s="368"/>
      <c r="Z899" s="368"/>
      <c r="AB899" s="166" t="s">
        <v>229</v>
      </c>
      <c r="AD899" s="165" t="s">
        <v>227</v>
      </c>
      <c r="AE899" s="156"/>
      <c r="AF899" s="22"/>
      <c r="AG899" s="22"/>
      <c r="AI899" s="190">
        <v>1</v>
      </c>
    </row>
    <row r="900" spans="2:35" x14ac:dyDescent="0.15">
      <c r="B900" s="164">
        <f t="shared" si="213"/>
        <v>1</v>
      </c>
      <c r="D900" s="368"/>
      <c r="E900" s="368"/>
      <c r="F900" s="368"/>
      <c r="G900" s="368"/>
      <c r="H900" s="368"/>
      <c r="I900" s="368"/>
      <c r="J900" s="368"/>
      <c r="K900" s="368"/>
      <c r="L900" s="368"/>
      <c r="M900" s="368"/>
      <c r="N900" s="368"/>
      <c r="O900" s="368"/>
      <c r="P900" s="368"/>
      <c r="Q900" s="368"/>
      <c r="R900" s="368"/>
      <c r="S900" s="368"/>
      <c r="T900" s="368"/>
      <c r="U900" s="368"/>
      <c r="V900" s="368"/>
      <c r="W900" s="368"/>
      <c r="X900" s="368"/>
      <c r="Y900" s="368"/>
      <c r="Z900" s="368"/>
      <c r="AB900" s="166" t="s">
        <v>229</v>
      </c>
      <c r="AD900" s="165" t="s">
        <v>227</v>
      </c>
      <c r="AE900" s="156"/>
      <c r="AF900" s="22"/>
      <c r="AG900" s="22"/>
      <c r="AI900" s="190">
        <v>1</v>
      </c>
    </row>
    <row r="901" spans="2:35" x14ac:dyDescent="0.15">
      <c r="B901" s="164">
        <f t="shared" si="213"/>
        <v>1</v>
      </c>
      <c r="D901" s="368"/>
      <c r="E901" s="368"/>
      <c r="F901" s="368"/>
      <c r="G901" s="368"/>
      <c r="H901" s="368"/>
      <c r="I901" s="368"/>
      <c r="J901" s="368"/>
      <c r="K901" s="368"/>
      <c r="L901" s="368"/>
      <c r="M901" s="368"/>
      <c r="N901" s="368"/>
      <c r="O901" s="368"/>
      <c r="P901" s="368"/>
      <c r="Q901" s="368"/>
      <c r="R901" s="368"/>
      <c r="S901" s="368"/>
      <c r="T901" s="368"/>
      <c r="U901" s="368"/>
      <c r="V901" s="368"/>
      <c r="W901" s="368"/>
      <c r="X901" s="368"/>
      <c r="Y901" s="368"/>
      <c r="Z901" s="368"/>
      <c r="AB901" s="166" t="s">
        <v>229</v>
      </c>
      <c r="AD901" s="165" t="s">
        <v>227</v>
      </c>
      <c r="AE901" s="156"/>
      <c r="AF901" s="22"/>
      <c r="AG901" s="22"/>
      <c r="AI901" s="190">
        <v>1</v>
      </c>
    </row>
    <row r="902" spans="2:35" x14ac:dyDescent="0.15">
      <c r="B902" s="164">
        <f t="shared" si="213"/>
        <v>1</v>
      </c>
      <c r="D902" s="368"/>
      <c r="E902" s="368"/>
      <c r="F902" s="368"/>
      <c r="G902" s="368"/>
      <c r="H902" s="368"/>
      <c r="I902" s="368"/>
      <c r="J902" s="368"/>
      <c r="K902" s="368"/>
      <c r="L902" s="368"/>
      <c r="M902" s="368"/>
      <c r="N902" s="368"/>
      <c r="O902" s="368"/>
      <c r="P902" s="368"/>
      <c r="Q902" s="368"/>
      <c r="R902" s="368"/>
      <c r="S902" s="368"/>
      <c r="T902" s="368"/>
      <c r="U902" s="368"/>
      <c r="V902" s="368"/>
      <c r="W902" s="368"/>
      <c r="X902" s="368"/>
      <c r="Y902" s="368"/>
      <c r="Z902" s="368"/>
      <c r="AB902" s="166" t="s">
        <v>229</v>
      </c>
      <c r="AD902" s="165" t="s">
        <v>227</v>
      </c>
      <c r="AE902" s="156"/>
      <c r="AF902" s="22"/>
      <c r="AG902" s="22"/>
      <c r="AI902" s="190">
        <v>1</v>
      </c>
    </row>
    <row r="903" spans="2:35" x14ac:dyDescent="0.15">
      <c r="B903" s="164">
        <f t="shared" si="213"/>
        <v>1</v>
      </c>
      <c r="D903" s="368"/>
      <c r="E903" s="368"/>
      <c r="F903" s="368"/>
      <c r="G903" s="368"/>
      <c r="H903" s="368"/>
      <c r="I903" s="368"/>
      <c r="J903" s="368"/>
      <c r="K903" s="368"/>
      <c r="L903" s="368"/>
      <c r="M903" s="368"/>
      <c r="N903" s="368"/>
      <c r="O903" s="368"/>
      <c r="P903" s="368"/>
      <c r="Q903" s="368"/>
      <c r="R903" s="368"/>
      <c r="S903" s="368"/>
      <c r="T903" s="368"/>
      <c r="U903" s="368"/>
      <c r="V903" s="368"/>
      <c r="W903" s="368"/>
      <c r="X903" s="368"/>
      <c r="Y903" s="368"/>
      <c r="Z903" s="368"/>
      <c r="AB903" s="166" t="s">
        <v>229</v>
      </c>
      <c r="AD903" s="165" t="s">
        <v>227</v>
      </c>
      <c r="AE903" s="156"/>
      <c r="AF903" s="22"/>
      <c r="AG903" s="22"/>
      <c r="AI903" s="190">
        <v>1</v>
      </c>
    </row>
    <row r="904" spans="2:35" x14ac:dyDescent="0.15">
      <c r="B904" s="164">
        <f t="shared" si="213"/>
        <v>1</v>
      </c>
      <c r="D904" s="368"/>
      <c r="E904" s="368"/>
      <c r="F904" s="368"/>
      <c r="G904" s="368"/>
      <c r="H904" s="368"/>
      <c r="I904" s="368"/>
      <c r="J904" s="368"/>
      <c r="K904" s="368"/>
      <c r="L904" s="368"/>
      <c r="M904" s="368"/>
      <c r="N904" s="368"/>
      <c r="O904" s="368"/>
      <c r="P904" s="368"/>
      <c r="Q904" s="368"/>
      <c r="R904" s="368"/>
      <c r="S904" s="368"/>
      <c r="T904" s="368"/>
      <c r="U904" s="368"/>
      <c r="V904" s="368"/>
      <c r="W904" s="368"/>
      <c r="X904" s="368"/>
      <c r="Y904" s="368"/>
      <c r="Z904" s="368"/>
      <c r="AB904" s="166" t="s">
        <v>229</v>
      </c>
      <c r="AD904" s="165" t="s">
        <v>227</v>
      </c>
      <c r="AE904" s="156"/>
      <c r="AF904" s="22"/>
      <c r="AG904" s="22"/>
      <c r="AI904" s="190">
        <v>1</v>
      </c>
    </row>
    <row r="905" spans="2:35" x14ac:dyDescent="0.15">
      <c r="B905" s="164">
        <f t="shared" si="213"/>
        <v>1</v>
      </c>
      <c r="D905" s="368"/>
      <c r="E905" s="368"/>
      <c r="F905" s="368"/>
      <c r="G905" s="368"/>
      <c r="H905" s="368"/>
      <c r="I905" s="368"/>
      <c r="J905" s="368"/>
      <c r="K905" s="368"/>
      <c r="L905" s="368"/>
      <c r="M905" s="368"/>
      <c r="N905" s="368"/>
      <c r="O905" s="368"/>
      <c r="P905" s="368"/>
      <c r="Q905" s="368"/>
      <c r="R905" s="368"/>
      <c r="S905" s="368"/>
      <c r="T905" s="368"/>
      <c r="U905" s="368"/>
      <c r="V905" s="368"/>
      <c r="W905" s="368"/>
      <c r="X905" s="368"/>
      <c r="Y905" s="368"/>
      <c r="Z905" s="368"/>
      <c r="AB905" s="166" t="s">
        <v>229</v>
      </c>
      <c r="AD905" s="165" t="s">
        <v>227</v>
      </c>
      <c r="AE905" s="156"/>
      <c r="AF905" s="22"/>
      <c r="AG905" s="22"/>
      <c r="AI905" s="190">
        <v>1</v>
      </c>
    </row>
    <row r="906" spans="2:35" x14ac:dyDescent="0.15">
      <c r="B906" s="164">
        <f t="shared" si="213"/>
        <v>1</v>
      </c>
      <c r="D906" s="368"/>
      <c r="E906" s="368"/>
      <c r="F906" s="368"/>
      <c r="G906" s="368"/>
      <c r="H906" s="368"/>
      <c r="I906" s="368"/>
      <c r="J906" s="368"/>
      <c r="K906" s="368"/>
      <c r="L906" s="368"/>
      <c r="M906" s="368"/>
      <c r="N906" s="368"/>
      <c r="O906" s="368"/>
      <c r="P906" s="368"/>
      <c r="Q906" s="368"/>
      <c r="R906" s="368"/>
      <c r="S906" s="368"/>
      <c r="T906" s="368"/>
      <c r="U906" s="368"/>
      <c r="V906" s="368"/>
      <c r="W906" s="368"/>
      <c r="X906" s="368"/>
      <c r="Y906" s="368"/>
      <c r="Z906" s="368"/>
      <c r="AB906" s="166" t="s">
        <v>229</v>
      </c>
      <c r="AD906" s="165" t="s">
        <v>227</v>
      </c>
      <c r="AE906" s="156"/>
      <c r="AF906" s="22"/>
      <c r="AG906" s="22"/>
      <c r="AI906" s="190">
        <v>1</v>
      </c>
    </row>
    <row r="907" spans="2:35" x14ac:dyDescent="0.15">
      <c r="B907" s="164">
        <f t="shared" si="213"/>
        <v>1</v>
      </c>
      <c r="D907" s="368"/>
      <c r="E907" s="368"/>
      <c r="F907" s="368"/>
      <c r="G907" s="368"/>
      <c r="H907" s="368"/>
      <c r="I907" s="368"/>
      <c r="J907" s="368"/>
      <c r="K907" s="368"/>
      <c r="L907" s="368"/>
      <c r="M907" s="368"/>
      <c r="N907" s="368"/>
      <c r="O907" s="368"/>
      <c r="P907" s="368"/>
      <c r="Q907" s="368"/>
      <c r="R907" s="368"/>
      <c r="S907" s="368"/>
      <c r="T907" s="368"/>
      <c r="U907" s="368"/>
      <c r="V907" s="368"/>
      <c r="W907" s="368"/>
      <c r="X907" s="368"/>
      <c r="Y907" s="368"/>
      <c r="Z907" s="368"/>
      <c r="AB907" s="166" t="s">
        <v>229</v>
      </c>
      <c r="AD907" s="165" t="s">
        <v>227</v>
      </c>
      <c r="AE907" s="156"/>
      <c r="AF907" s="22"/>
      <c r="AG907" s="22"/>
      <c r="AI907" s="190">
        <v>1</v>
      </c>
    </row>
    <row r="908" spans="2:35" x14ac:dyDescent="0.15">
      <c r="B908" s="164">
        <f t="shared" si="213"/>
        <v>1</v>
      </c>
      <c r="D908" s="368"/>
      <c r="E908" s="368"/>
      <c r="F908" s="368"/>
      <c r="G908" s="368"/>
      <c r="H908" s="368"/>
      <c r="I908" s="368"/>
      <c r="J908" s="368"/>
      <c r="K908" s="368"/>
      <c r="L908" s="368"/>
      <c r="M908" s="368"/>
      <c r="N908" s="368"/>
      <c r="O908" s="368"/>
      <c r="P908" s="368"/>
      <c r="Q908" s="368"/>
      <c r="R908" s="368"/>
      <c r="S908" s="368"/>
      <c r="T908" s="368"/>
      <c r="U908" s="368"/>
      <c r="V908" s="368"/>
      <c r="W908" s="368"/>
      <c r="X908" s="368"/>
      <c r="Y908" s="368"/>
      <c r="Z908" s="368"/>
      <c r="AB908" s="166" t="s">
        <v>229</v>
      </c>
      <c r="AD908" s="165" t="s">
        <v>227</v>
      </c>
      <c r="AE908" s="156"/>
      <c r="AF908" s="22"/>
      <c r="AG908" s="22"/>
      <c r="AI908" s="190">
        <v>1</v>
      </c>
    </row>
    <row r="909" spans="2:35" x14ac:dyDescent="0.15">
      <c r="B909" s="164">
        <f t="shared" si="213"/>
        <v>1</v>
      </c>
      <c r="D909" s="368"/>
      <c r="E909" s="368"/>
      <c r="F909" s="368"/>
      <c r="G909" s="368"/>
      <c r="H909" s="368"/>
      <c r="I909" s="368"/>
      <c r="J909" s="368"/>
      <c r="K909" s="368"/>
      <c r="L909" s="368"/>
      <c r="M909" s="368"/>
      <c r="N909" s="368"/>
      <c r="O909" s="368"/>
      <c r="P909" s="368"/>
      <c r="Q909" s="368"/>
      <c r="R909" s="368"/>
      <c r="S909" s="368"/>
      <c r="T909" s="368"/>
      <c r="U909" s="368"/>
      <c r="V909" s="368"/>
      <c r="W909" s="368"/>
      <c r="X909" s="368"/>
      <c r="Y909" s="368"/>
      <c r="Z909" s="368"/>
      <c r="AB909" s="166" t="s">
        <v>229</v>
      </c>
      <c r="AD909" s="165" t="s">
        <v>227</v>
      </c>
      <c r="AE909" s="156"/>
      <c r="AF909" s="22"/>
      <c r="AG909" s="22"/>
      <c r="AI909" s="190">
        <v>1</v>
      </c>
    </row>
    <row r="910" spans="2:35" x14ac:dyDescent="0.15">
      <c r="B910" s="164">
        <f t="shared" si="213"/>
        <v>1</v>
      </c>
      <c r="D910" s="368"/>
      <c r="E910" s="368"/>
      <c r="F910" s="368"/>
      <c r="G910" s="368"/>
      <c r="H910" s="368"/>
      <c r="I910" s="368"/>
      <c r="J910" s="368"/>
      <c r="K910" s="368"/>
      <c r="L910" s="368"/>
      <c r="M910" s="368"/>
      <c r="N910" s="368"/>
      <c r="O910" s="368"/>
      <c r="P910" s="368"/>
      <c r="Q910" s="368"/>
      <c r="R910" s="368"/>
      <c r="S910" s="368"/>
      <c r="T910" s="368"/>
      <c r="U910" s="368"/>
      <c r="V910" s="368"/>
      <c r="W910" s="368"/>
      <c r="X910" s="368"/>
      <c r="Y910" s="368"/>
      <c r="Z910" s="368"/>
      <c r="AB910" s="166" t="s">
        <v>229</v>
      </c>
      <c r="AD910" s="165" t="s">
        <v>227</v>
      </c>
      <c r="AE910" s="156"/>
      <c r="AF910" s="22"/>
      <c r="AG910" s="22"/>
      <c r="AI910" s="190">
        <v>1</v>
      </c>
    </row>
    <row r="911" spans="2:35" x14ac:dyDescent="0.15">
      <c r="B911" s="164">
        <f t="shared" si="213"/>
        <v>1</v>
      </c>
      <c r="D911" s="368"/>
      <c r="E911" s="368"/>
      <c r="F911" s="368"/>
      <c r="G911" s="368"/>
      <c r="H911" s="368"/>
      <c r="I911" s="368"/>
      <c r="J911" s="368"/>
      <c r="K911" s="368"/>
      <c r="L911" s="368"/>
      <c r="M911" s="368"/>
      <c r="N911" s="368"/>
      <c r="O911" s="368"/>
      <c r="P911" s="368"/>
      <c r="Q911" s="368"/>
      <c r="R911" s="368"/>
      <c r="S911" s="368"/>
      <c r="T911" s="368"/>
      <c r="U911" s="368"/>
      <c r="V911" s="368"/>
      <c r="W911" s="368"/>
      <c r="X911" s="368"/>
      <c r="Y911" s="368"/>
      <c r="Z911" s="368"/>
      <c r="AB911" s="166" t="s">
        <v>229</v>
      </c>
      <c r="AD911" s="165" t="s">
        <v>227</v>
      </c>
      <c r="AE911" s="156"/>
      <c r="AF911" s="22"/>
      <c r="AG911" s="22"/>
      <c r="AI911" s="190">
        <v>1</v>
      </c>
    </row>
    <row r="912" spans="2:35" x14ac:dyDescent="0.15">
      <c r="B912" s="164">
        <f t="shared" si="213"/>
        <v>1</v>
      </c>
      <c r="D912" s="368"/>
      <c r="E912" s="368"/>
      <c r="F912" s="368"/>
      <c r="G912" s="368"/>
      <c r="H912" s="368"/>
      <c r="I912" s="368"/>
      <c r="J912" s="368"/>
      <c r="K912" s="368"/>
      <c r="L912" s="368"/>
      <c r="M912" s="368"/>
      <c r="N912" s="368"/>
      <c r="O912" s="368"/>
      <c r="P912" s="368"/>
      <c r="Q912" s="368"/>
      <c r="R912" s="368"/>
      <c r="S912" s="368"/>
      <c r="T912" s="368"/>
      <c r="U912" s="368"/>
      <c r="V912" s="368"/>
      <c r="W912" s="368"/>
      <c r="X912" s="368"/>
      <c r="Y912" s="368"/>
      <c r="Z912" s="368"/>
      <c r="AB912" s="166" t="s">
        <v>229</v>
      </c>
      <c r="AD912" s="165" t="s">
        <v>227</v>
      </c>
      <c r="AE912" s="156"/>
      <c r="AF912" s="22"/>
      <c r="AG912" s="22"/>
      <c r="AI912" s="190">
        <v>1</v>
      </c>
    </row>
    <row r="913" spans="2:35" x14ac:dyDescent="0.15">
      <c r="B913" s="164">
        <f t="shared" si="213"/>
        <v>1</v>
      </c>
      <c r="D913" s="368"/>
      <c r="E913" s="368"/>
      <c r="F913" s="368"/>
      <c r="G913" s="368"/>
      <c r="H913" s="368"/>
      <c r="I913" s="368"/>
      <c r="J913" s="368"/>
      <c r="K913" s="368"/>
      <c r="L913" s="368"/>
      <c r="M913" s="368"/>
      <c r="N913" s="368"/>
      <c r="O913" s="368"/>
      <c r="P913" s="368"/>
      <c r="Q913" s="368"/>
      <c r="R913" s="368"/>
      <c r="S913" s="368"/>
      <c r="T913" s="368"/>
      <c r="U913" s="368"/>
      <c r="V913" s="368"/>
      <c r="W913" s="368"/>
      <c r="X913" s="368"/>
      <c r="Y913" s="368"/>
      <c r="Z913" s="368"/>
      <c r="AB913" s="166" t="s">
        <v>229</v>
      </c>
      <c r="AD913" s="165" t="s">
        <v>227</v>
      </c>
      <c r="AE913" s="156"/>
      <c r="AF913" s="22"/>
      <c r="AG913" s="22"/>
      <c r="AI913" s="190">
        <v>1</v>
      </c>
    </row>
    <row r="914" spans="2:35" x14ac:dyDescent="0.15">
      <c r="B914" s="164">
        <f t="shared" si="213"/>
        <v>1</v>
      </c>
      <c r="D914" s="368"/>
      <c r="E914" s="368"/>
      <c r="F914" s="368"/>
      <c r="G914" s="368"/>
      <c r="H914" s="368"/>
      <c r="I914" s="368"/>
      <c r="J914" s="368"/>
      <c r="K914" s="368"/>
      <c r="L914" s="368"/>
      <c r="M914" s="368"/>
      <c r="N914" s="368"/>
      <c r="O914" s="368"/>
      <c r="P914" s="368"/>
      <c r="Q914" s="368"/>
      <c r="R914" s="368"/>
      <c r="S914" s="368"/>
      <c r="T914" s="368"/>
      <c r="U914" s="368"/>
      <c r="V914" s="368"/>
      <c r="W914" s="368"/>
      <c r="X914" s="368"/>
      <c r="Y914" s="368"/>
      <c r="Z914" s="368"/>
      <c r="AB914" s="166" t="s">
        <v>229</v>
      </c>
      <c r="AD914" s="165" t="s">
        <v>227</v>
      </c>
      <c r="AE914" s="156"/>
      <c r="AF914" s="22"/>
      <c r="AG914" s="22"/>
      <c r="AI914" s="190">
        <v>1</v>
      </c>
    </row>
    <row r="915" spans="2:35" x14ac:dyDescent="0.15">
      <c r="B915" s="164">
        <f t="shared" si="213"/>
        <v>1</v>
      </c>
      <c r="D915" s="368"/>
      <c r="E915" s="368"/>
      <c r="F915" s="368"/>
      <c r="G915" s="368"/>
      <c r="H915" s="368"/>
      <c r="I915" s="368"/>
      <c r="J915" s="368"/>
      <c r="K915" s="368"/>
      <c r="L915" s="368"/>
      <c r="M915" s="368"/>
      <c r="N915" s="368"/>
      <c r="O915" s="368"/>
      <c r="P915" s="368"/>
      <c r="Q915" s="368"/>
      <c r="R915" s="368"/>
      <c r="S915" s="368"/>
      <c r="T915" s="368"/>
      <c r="U915" s="368"/>
      <c r="V915" s="368"/>
      <c r="W915" s="368"/>
      <c r="X915" s="368"/>
      <c r="Y915" s="368"/>
      <c r="Z915" s="368"/>
      <c r="AB915" s="166" t="s">
        <v>229</v>
      </c>
      <c r="AD915" s="165" t="s">
        <v>227</v>
      </c>
      <c r="AE915" s="156"/>
      <c r="AF915" s="22"/>
      <c r="AG915" s="22"/>
      <c r="AI915" s="190">
        <v>1</v>
      </c>
    </row>
    <row r="916" spans="2:35" x14ac:dyDescent="0.15">
      <c r="B916" s="164">
        <f t="shared" si="213"/>
        <v>1</v>
      </c>
      <c r="D916" s="368"/>
      <c r="E916" s="368"/>
      <c r="F916" s="368"/>
      <c r="G916" s="368"/>
      <c r="H916" s="368"/>
      <c r="I916" s="368"/>
      <c r="J916" s="368"/>
      <c r="K916" s="368"/>
      <c r="L916" s="368"/>
      <c r="M916" s="368"/>
      <c r="N916" s="368"/>
      <c r="O916" s="368"/>
      <c r="P916" s="368"/>
      <c r="Q916" s="368"/>
      <c r="R916" s="368"/>
      <c r="S916" s="368"/>
      <c r="T916" s="368"/>
      <c r="U916" s="368"/>
      <c r="V916" s="368"/>
      <c r="W916" s="368"/>
      <c r="X916" s="368"/>
      <c r="Y916" s="368"/>
      <c r="Z916" s="368"/>
      <c r="AB916" s="166" t="s">
        <v>229</v>
      </c>
      <c r="AD916" s="165" t="s">
        <v>227</v>
      </c>
      <c r="AE916" s="156"/>
      <c r="AF916" s="22"/>
      <c r="AG916" s="22"/>
      <c r="AI916" s="190">
        <v>1</v>
      </c>
    </row>
    <row r="917" spans="2:35" x14ac:dyDescent="0.15">
      <c r="B917" s="164">
        <f t="shared" si="213"/>
        <v>1</v>
      </c>
      <c r="D917" s="368"/>
      <c r="E917" s="368"/>
      <c r="F917" s="368"/>
      <c r="G917" s="368"/>
      <c r="H917" s="368"/>
      <c r="I917" s="368"/>
      <c r="J917" s="368"/>
      <c r="K917" s="368"/>
      <c r="L917" s="368"/>
      <c r="M917" s="368"/>
      <c r="N917" s="368"/>
      <c r="O917" s="368"/>
      <c r="P917" s="368"/>
      <c r="Q917" s="368"/>
      <c r="R917" s="368"/>
      <c r="S917" s="368"/>
      <c r="T917" s="368"/>
      <c r="U917" s="368"/>
      <c r="V917" s="368"/>
      <c r="W917" s="368"/>
      <c r="X917" s="368"/>
      <c r="Y917" s="368"/>
      <c r="Z917" s="368"/>
      <c r="AB917" s="166" t="s">
        <v>229</v>
      </c>
      <c r="AD917" s="165" t="s">
        <v>227</v>
      </c>
      <c r="AE917" s="156"/>
      <c r="AF917" s="22"/>
      <c r="AG917" s="22"/>
      <c r="AI917" s="190">
        <v>1</v>
      </c>
    </row>
    <row r="918" spans="2:35" x14ac:dyDescent="0.15">
      <c r="B918" s="164">
        <f t="shared" si="213"/>
        <v>1</v>
      </c>
      <c r="D918" s="368"/>
      <c r="E918" s="368"/>
      <c r="F918" s="368"/>
      <c r="G918" s="368"/>
      <c r="H918" s="368"/>
      <c r="I918" s="368"/>
      <c r="J918" s="368"/>
      <c r="K918" s="368"/>
      <c r="L918" s="368"/>
      <c r="M918" s="368"/>
      <c r="N918" s="368"/>
      <c r="O918" s="368"/>
      <c r="P918" s="368"/>
      <c r="Q918" s="368"/>
      <c r="R918" s="368"/>
      <c r="S918" s="368"/>
      <c r="T918" s="368"/>
      <c r="U918" s="368"/>
      <c r="V918" s="368"/>
      <c r="W918" s="368"/>
      <c r="X918" s="368"/>
      <c r="Y918" s="368"/>
      <c r="Z918" s="368"/>
      <c r="AB918" s="166" t="s">
        <v>229</v>
      </c>
      <c r="AD918" s="165" t="s">
        <v>227</v>
      </c>
      <c r="AE918" s="156"/>
      <c r="AF918" s="22"/>
      <c r="AG918" s="22"/>
      <c r="AI918" s="190">
        <v>1</v>
      </c>
    </row>
    <row r="919" spans="2:35" x14ac:dyDescent="0.15">
      <c r="B919" s="164">
        <f t="shared" si="213"/>
        <v>1</v>
      </c>
      <c r="D919" s="368"/>
      <c r="E919" s="368"/>
      <c r="F919" s="368"/>
      <c r="G919" s="368"/>
      <c r="H919" s="368"/>
      <c r="I919" s="368"/>
      <c r="J919" s="368"/>
      <c r="K919" s="368"/>
      <c r="L919" s="368"/>
      <c r="M919" s="368"/>
      <c r="N919" s="368"/>
      <c r="O919" s="368"/>
      <c r="P919" s="368"/>
      <c r="Q919" s="368"/>
      <c r="R919" s="368"/>
      <c r="S919" s="368"/>
      <c r="T919" s="368"/>
      <c r="U919" s="368"/>
      <c r="V919" s="368"/>
      <c r="W919" s="368"/>
      <c r="X919" s="368"/>
      <c r="Y919" s="368"/>
      <c r="Z919" s="368"/>
      <c r="AB919" s="166" t="s">
        <v>229</v>
      </c>
      <c r="AD919" s="165" t="s">
        <v>227</v>
      </c>
      <c r="AE919" s="156"/>
      <c r="AF919" s="22"/>
      <c r="AG919" s="22"/>
      <c r="AI919" s="190">
        <v>1</v>
      </c>
    </row>
    <row r="920" spans="2:35" x14ac:dyDescent="0.15">
      <c r="B920" s="164">
        <f t="shared" si="213"/>
        <v>1</v>
      </c>
      <c r="D920" s="368"/>
      <c r="E920" s="368"/>
      <c r="F920" s="368"/>
      <c r="G920" s="368"/>
      <c r="H920" s="368"/>
      <c r="I920" s="368"/>
      <c r="J920" s="368"/>
      <c r="K920" s="368"/>
      <c r="L920" s="368"/>
      <c r="M920" s="368"/>
      <c r="N920" s="368"/>
      <c r="O920" s="368"/>
      <c r="P920" s="368"/>
      <c r="Q920" s="368"/>
      <c r="R920" s="368"/>
      <c r="S920" s="368"/>
      <c r="T920" s="368"/>
      <c r="U920" s="368"/>
      <c r="V920" s="368"/>
      <c r="W920" s="368"/>
      <c r="X920" s="368"/>
      <c r="Y920" s="368"/>
      <c r="Z920" s="368"/>
      <c r="AB920" s="166" t="s">
        <v>229</v>
      </c>
      <c r="AD920" s="165" t="s">
        <v>227</v>
      </c>
      <c r="AE920" s="156"/>
      <c r="AF920" s="22"/>
      <c r="AG920" s="22"/>
      <c r="AI920" s="190">
        <v>1</v>
      </c>
    </row>
    <row r="921" spans="2:35" x14ac:dyDescent="0.15">
      <c r="B921" s="164">
        <f t="shared" si="213"/>
        <v>1</v>
      </c>
      <c r="D921" s="368"/>
      <c r="E921" s="368"/>
      <c r="F921" s="368"/>
      <c r="G921" s="368"/>
      <c r="H921" s="368"/>
      <c r="I921" s="368"/>
      <c r="J921" s="368"/>
      <c r="K921" s="368"/>
      <c r="L921" s="368"/>
      <c r="M921" s="368"/>
      <c r="N921" s="368"/>
      <c r="O921" s="368"/>
      <c r="P921" s="368"/>
      <c r="Q921" s="368"/>
      <c r="R921" s="368"/>
      <c r="S921" s="368"/>
      <c r="T921" s="368"/>
      <c r="U921" s="368"/>
      <c r="V921" s="368"/>
      <c r="W921" s="368"/>
      <c r="X921" s="368"/>
      <c r="Y921" s="368"/>
      <c r="Z921" s="368"/>
      <c r="AB921" s="166" t="s">
        <v>229</v>
      </c>
      <c r="AD921" s="165" t="s">
        <v>227</v>
      </c>
      <c r="AE921" s="156"/>
      <c r="AF921" s="22"/>
      <c r="AG921" s="22"/>
      <c r="AI921" s="190">
        <v>1</v>
      </c>
    </row>
    <row r="922" spans="2:35" x14ac:dyDescent="0.15">
      <c r="B922" s="164">
        <f t="shared" si="213"/>
        <v>1</v>
      </c>
      <c r="D922" s="368"/>
      <c r="E922" s="368"/>
      <c r="F922" s="368"/>
      <c r="G922" s="368"/>
      <c r="H922" s="368"/>
      <c r="I922" s="368"/>
      <c r="J922" s="368"/>
      <c r="K922" s="368"/>
      <c r="L922" s="368"/>
      <c r="M922" s="368"/>
      <c r="N922" s="368"/>
      <c r="O922" s="368"/>
      <c r="P922" s="368"/>
      <c r="Q922" s="368"/>
      <c r="R922" s="368"/>
      <c r="S922" s="368"/>
      <c r="T922" s="368"/>
      <c r="U922" s="368"/>
      <c r="V922" s="368"/>
      <c r="W922" s="368"/>
      <c r="X922" s="368"/>
      <c r="Y922" s="368"/>
      <c r="Z922" s="368"/>
      <c r="AB922" s="166" t="s">
        <v>229</v>
      </c>
      <c r="AD922" s="165" t="s">
        <v>227</v>
      </c>
      <c r="AE922" s="156"/>
      <c r="AF922" s="22"/>
      <c r="AG922" s="22"/>
      <c r="AI922" s="190">
        <v>1</v>
      </c>
    </row>
    <row r="923" spans="2:35" x14ac:dyDescent="0.15">
      <c r="B923" s="164">
        <f t="shared" si="213"/>
        <v>1</v>
      </c>
      <c r="D923" s="368"/>
      <c r="E923" s="368"/>
      <c r="F923" s="368"/>
      <c r="G923" s="368"/>
      <c r="H923" s="368"/>
      <c r="I923" s="368"/>
      <c r="J923" s="368"/>
      <c r="K923" s="368"/>
      <c r="L923" s="368"/>
      <c r="M923" s="368"/>
      <c r="N923" s="368"/>
      <c r="O923" s="368"/>
      <c r="P923" s="368"/>
      <c r="Q923" s="368"/>
      <c r="R923" s="368"/>
      <c r="S923" s="368"/>
      <c r="T923" s="368"/>
      <c r="U923" s="368"/>
      <c r="V923" s="368"/>
      <c r="W923" s="368"/>
      <c r="X923" s="368"/>
      <c r="Y923" s="368"/>
      <c r="Z923" s="368"/>
      <c r="AB923" s="166" t="s">
        <v>229</v>
      </c>
      <c r="AD923" s="165" t="s">
        <v>227</v>
      </c>
      <c r="AE923" s="156"/>
      <c r="AF923" s="22"/>
      <c r="AG923" s="22"/>
      <c r="AI923" s="190">
        <v>1</v>
      </c>
    </row>
    <row r="924" spans="2:35" x14ac:dyDescent="0.15">
      <c r="B924" s="164">
        <f t="shared" si="213"/>
        <v>1</v>
      </c>
      <c r="D924" s="368"/>
      <c r="E924" s="368"/>
      <c r="F924" s="368"/>
      <c r="G924" s="368"/>
      <c r="H924" s="368"/>
      <c r="I924" s="368"/>
      <c r="J924" s="368"/>
      <c r="K924" s="368"/>
      <c r="L924" s="368"/>
      <c r="M924" s="368"/>
      <c r="N924" s="368"/>
      <c r="O924" s="368"/>
      <c r="P924" s="368"/>
      <c r="Q924" s="368"/>
      <c r="R924" s="368"/>
      <c r="S924" s="368"/>
      <c r="T924" s="368"/>
      <c r="U924" s="368"/>
      <c r="V924" s="368"/>
      <c r="W924" s="368"/>
      <c r="X924" s="368"/>
      <c r="Y924" s="368"/>
      <c r="Z924" s="368"/>
      <c r="AB924" s="166" t="s">
        <v>229</v>
      </c>
      <c r="AD924" s="165" t="s">
        <v>227</v>
      </c>
      <c r="AE924" s="156"/>
      <c r="AF924" s="22"/>
      <c r="AG924" s="22"/>
      <c r="AI924" s="190">
        <v>1</v>
      </c>
    </row>
    <row r="925" spans="2:35" x14ac:dyDescent="0.15">
      <c r="B925" s="164">
        <f t="shared" si="213"/>
        <v>1</v>
      </c>
      <c r="D925" s="368"/>
      <c r="E925" s="368"/>
      <c r="F925" s="368"/>
      <c r="G925" s="368"/>
      <c r="H925" s="368"/>
      <c r="I925" s="368"/>
      <c r="J925" s="368"/>
      <c r="K925" s="368"/>
      <c r="L925" s="368"/>
      <c r="M925" s="368"/>
      <c r="N925" s="368"/>
      <c r="O925" s="368"/>
      <c r="P925" s="368"/>
      <c r="Q925" s="368"/>
      <c r="R925" s="368"/>
      <c r="S925" s="368"/>
      <c r="T925" s="368"/>
      <c r="U925" s="368"/>
      <c r="V925" s="368"/>
      <c r="W925" s="368"/>
      <c r="X925" s="368"/>
      <c r="Y925" s="368"/>
      <c r="Z925" s="368"/>
      <c r="AB925" s="166" t="s">
        <v>229</v>
      </c>
      <c r="AD925" s="165" t="s">
        <v>227</v>
      </c>
      <c r="AE925" s="156"/>
      <c r="AF925" s="22"/>
      <c r="AG925" s="22"/>
      <c r="AI925" s="190">
        <v>1</v>
      </c>
    </row>
    <row r="926" spans="2:35" x14ac:dyDescent="0.15">
      <c r="B926" s="164">
        <f t="shared" si="213"/>
        <v>1</v>
      </c>
      <c r="D926" s="368"/>
      <c r="E926" s="368"/>
      <c r="F926" s="368"/>
      <c r="G926" s="368"/>
      <c r="H926" s="368"/>
      <c r="I926" s="368"/>
      <c r="J926" s="368"/>
      <c r="K926" s="368"/>
      <c r="L926" s="368"/>
      <c r="M926" s="368"/>
      <c r="N926" s="368"/>
      <c r="O926" s="368"/>
      <c r="P926" s="368"/>
      <c r="Q926" s="368"/>
      <c r="R926" s="368"/>
      <c r="S926" s="368"/>
      <c r="T926" s="368"/>
      <c r="U926" s="368"/>
      <c r="V926" s="368"/>
      <c r="W926" s="368"/>
      <c r="X926" s="368"/>
      <c r="Y926" s="368"/>
      <c r="Z926" s="368"/>
      <c r="AB926" s="166" t="s">
        <v>229</v>
      </c>
      <c r="AD926" s="165" t="s">
        <v>227</v>
      </c>
      <c r="AE926" s="156"/>
      <c r="AF926" s="22"/>
      <c r="AG926" s="22"/>
      <c r="AI926" s="190">
        <v>1</v>
      </c>
    </row>
    <row r="927" spans="2:35" x14ac:dyDescent="0.2">
      <c r="AI927" s="190">
        <f>SUBTOTAL(3,AI4:AI926)</f>
        <v>141</v>
      </c>
    </row>
    <row r="928" spans="2:35" ht="24.75" customHeight="1" x14ac:dyDescent="0.2">
      <c r="D928" s="417" t="s">
        <v>292</v>
      </c>
      <c r="E928" s="417"/>
      <c r="F928" s="417"/>
      <c r="G928" s="417"/>
      <c r="H928" s="417"/>
      <c r="I928" s="417"/>
      <c r="J928" s="417"/>
      <c r="K928" s="417"/>
      <c r="L928" s="417"/>
      <c r="M928" s="417"/>
      <c r="N928" s="417"/>
      <c r="O928" s="417"/>
      <c r="P928" s="417"/>
      <c r="Q928" s="417"/>
      <c r="R928" s="417"/>
      <c r="S928" s="417"/>
      <c r="T928" s="417"/>
      <c r="U928" s="417"/>
      <c r="V928" s="417"/>
      <c r="W928" s="417"/>
      <c r="X928" s="417"/>
      <c r="Y928" s="417"/>
      <c r="Z928" s="417"/>
    </row>
    <row r="929" spans="4:28" ht="20.25" customHeight="1" x14ac:dyDescent="0.2">
      <c r="D929" s="413" t="s">
        <v>293</v>
      </c>
      <c r="E929" s="413"/>
      <c r="F929" s="413"/>
      <c r="G929" s="413"/>
      <c r="H929" s="413"/>
      <c r="I929" s="413"/>
      <c r="J929" s="413"/>
      <c r="K929" s="413"/>
      <c r="L929" s="413"/>
      <c r="M929" s="413"/>
      <c r="N929" s="413"/>
      <c r="O929" s="413"/>
      <c r="P929" s="413"/>
      <c r="Q929" s="413"/>
      <c r="R929" s="413"/>
      <c r="S929" s="413"/>
      <c r="T929" s="413"/>
      <c r="U929" s="413"/>
      <c r="V929" s="413"/>
      <c r="W929" s="413"/>
      <c r="X929" s="413"/>
      <c r="Y929" s="413"/>
      <c r="Z929" s="413"/>
    </row>
    <row r="930" spans="4:28" ht="20.25" customHeight="1" x14ac:dyDescent="0.2">
      <c r="D930" s="416" t="s">
        <v>294</v>
      </c>
      <c r="E930" s="416"/>
      <c r="F930" s="416"/>
      <c r="G930" s="416"/>
      <c r="H930" s="416"/>
      <c r="I930" s="416"/>
      <c r="J930" s="416"/>
      <c r="K930" s="416"/>
      <c r="L930" s="416"/>
      <c r="M930" s="416"/>
      <c r="N930" s="416"/>
      <c r="O930" s="416"/>
      <c r="P930" s="416"/>
      <c r="Q930" s="416"/>
      <c r="R930" s="416"/>
      <c r="S930" s="416"/>
      <c r="T930" s="416"/>
      <c r="U930" s="416"/>
      <c r="V930" s="416"/>
      <c r="W930" s="416"/>
      <c r="X930" s="416"/>
      <c r="Y930" s="416"/>
      <c r="Z930" s="416"/>
    </row>
    <row r="931" spans="4:28" ht="20.25" customHeight="1" x14ac:dyDescent="0.2">
      <c r="D931" s="416" t="s">
        <v>295</v>
      </c>
      <c r="E931" s="416"/>
      <c r="F931" s="416"/>
      <c r="G931" s="416"/>
      <c r="H931" s="416"/>
      <c r="I931" s="416"/>
      <c r="J931" s="416"/>
      <c r="K931" s="416"/>
      <c r="L931" s="416"/>
      <c r="M931" s="416"/>
      <c r="N931" s="416"/>
      <c r="O931" s="416"/>
      <c r="P931" s="416"/>
      <c r="Q931" s="416"/>
      <c r="R931" s="416"/>
      <c r="S931" s="416"/>
      <c r="T931" s="416"/>
      <c r="U931" s="416"/>
      <c r="V931" s="416"/>
      <c r="W931" s="416"/>
      <c r="X931" s="416"/>
      <c r="Y931" s="416"/>
      <c r="Z931" s="416"/>
    </row>
    <row r="932" spans="4:28" ht="34.5" customHeight="1" x14ac:dyDescent="0.2">
      <c r="D932" s="416" t="s">
        <v>296</v>
      </c>
      <c r="E932" s="416"/>
      <c r="F932" s="416"/>
      <c r="G932" s="416"/>
      <c r="H932" s="416"/>
      <c r="I932" s="416"/>
      <c r="J932" s="416"/>
      <c r="K932" s="416"/>
      <c r="L932" s="416"/>
      <c r="M932" s="416"/>
      <c r="N932" s="416"/>
      <c r="O932" s="416"/>
      <c r="P932" s="416"/>
      <c r="Q932" s="416"/>
      <c r="R932" s="416"/>
      <c r="S932" s="416"/>
      <c r="T932" s="416"/>
      <c r="U932" s="416"/>
      <c r="V932" s="416"/>
      <c r="W932" s="416"/>
      <c r="X932" s="416"/>
      <c r="Y932" s="416"/>
      <c r="Z932" s="416"/>
    </row>
    <row r="933" spans="4:28" ht="30" customHeight="1" x14ac:dyDescent="0.2">
      <c r="D933" s="416" t="s">
        <v>297</v>
      </c>
      <c r="E933" s="416"/>
      <c r="F933" s="416"/>
      <c r="G933" s="416"/>
      <c r="H933" s="416"/>
      <c r="I933" s="416"/>
      <c r="J933" s="416"/>
      <c r="K933" s="416"/>
      <c r="L933" s="416"/>
      <c r="M933" s="416"/>
      <c r="N933" s="416"/>
      <c r="O933" s="416"/>
      <c r="P933" s="416"/>
      <c r="Q933" s="416"/>
      <c r="R933" s="416"/>
      <c r="S933" s="416"/>
      <c r="T933" s="416"/>
      <c r="U933" s="416"/>
      <c r="V933" s="416"/>
      <c r="W933" s="416"/>
      <c r="X933" s="416"/>
      <c r="Y933" s="416"/>
      <c r="Z933" s="416"/>
      <c r="AB933" s="186" t="s">
        <v>388</v>
      </c>
    </row>
    <row r="934" spans="4:28" ht="30" customHeight="1" x14ac:dyDescent="0.2">
      <c r="D934" s="416" t="s">
        <v>390</v>
      </c>
      <c r="E934" s="416"/>
      <c r="F934" s="416"/>
      <c r="G934" s="416"/>
      <c r="H934" s="416"/>
      <c r="I934" s="416"/>
      <c r="J934" s="416"/>
      <c r="K934" s="416"/>
      <c r="L934" s="416"/>
      <c r="M934" s="416"/>
      <c r="N934" s="416"/>
      <c r="O934" s="416"/>
      <c r="P934" s="416"/>
      <c r="Q934" s="416"/>
      <c r="R934" s="416"/>
      <c r="S934" s="416"/>
      <c r="T934" s="416"/>
      <c r="U934" s="416"/>
      <c r="V934" s="416"/>
      <c r="W934" s="416"/>
      <c r="X934" s="416"/>
      <c r="Y934" s="416"/>
      <c r="Z934" s="416"/>
      <c r="AB934" s="186" t="s">
        <v>389</v>
      </c>
    </row>
    <row r="937" spans="4:28" ht="23.25" customHeight="1" x14ac:dyDescent="0.2">
      <c r="D937" s="417" t="s">
        <v>298</v>
      </c>
      <c r="E937" s="417"/>
      <c r="F937" s="417"/>
      <c r="G937" s="417"/>
      <c r="H937" s="417"/>
      <c r="I937" s="417"/>
      <c r="J937" s="417"/>
      <c r="K937" s="417"/>
      <c r="L937" s="417"/>
      <c r="M937" s="417"/>
      <c r="N937" s="417"/>
      <c r="O937" s="417"/>
      <c r="P937" s="417"/>
      <c r="Q937" s="417"/>
      <c r="R937" s="417"/>
      <c r="S937" s="417"/>
      <c r="T937" s="417"/>
      <c r="U937" s="417"/>
      <c r="V937" s="417"/>
      <c r="W937" s="417"/>
      <c r="X937" s="417"/>
      <c r="Y937" s="417"/>
      <c r="Z937" s="417"/>
    </row>
    <row r="938" spans="4:28" ht="23.25" customHeight="1" x14ac:dyDescent="0.2">
      <c r="D938" s="415" t="s">
        <v>299</v>
      </c>
      <c r="E938" s="415"/>
      <c r="F938" s="415"/>
      <c r="G938" s="415"/>
      <c r="H938" s="415"/>
      <c r="I938" s="415"/>
      <c r="J938" s="415"/>
      <c r="K938" s="415"/>
      <c r="L938" s="415"/>
      <c r="M938" s="415"/>
      <c r="N938" s="415"/>
      <c r="O938" s="415"/>
      <c r="P938" s="415"/>
      <c r="Q938" s="415"/>
      <c r="R938" s="415"/>
      <c r="S938" s="415"/>
      <c r="T938" s="415"/>
      <c r="U938" s="415"/>
      <c r="V938" s="415"/>
      <c r="W938" s="415"/>
      <c r="X938" s="415"/>
      <c r="Y938" s="415"/>
      <c r="Z938" s="415"/>
    </row>
    <row r="939" spans="4:28" ht="23.25" customHeight="1" x14ac:dyDescent="0.2">
      <c r="D939" s="413" t="s">
        <v>300</v>
      </c>
      <c r="E939" s="413"/>
      <c r="F939" s="413"/>
      <c r="G939" s="413"/>
      <c r="H939" s="413"/>
      <c r="I939" s="413"/>
      <c r="J939" s="413"/>
      <c r="K939" s="413"/>
      <c r="L939" s="413"/>
      <c r="M939" s="413"/>
      <c r="N939" s="413"/>
      <c r="O939" s="413"/>
      <c r="P939" s="413"/>
      <c r="Q939" s="413"/>
      <c r="R939" s="413"/>
      <c r="S939" s="413"/>
      <c r="T939" s="413"/>
      <c r="U939" s="413"/>
      <c r="V939" s="413"/>
      <c r="W939" s="413"/>
      <c r="X939" s="413"/>
      <c r="Y939" s="413"/>
      <c r="Z939" s="413"/>
    </row>
    <row r="940" spans="4:28" ht="27" customHeight="1" x14ac:dyDescent="0.2">
      <c r="D940" s="414" t="s">
        <v>301</v>
      </c>
      <c r="E940" s="414"/>
      <c r="F940" s="414"/>
      <c r="G940" s="414"/>
      <c r="H940" s="414"/>
      <c r="I940" s="414"/>
      <c r="J940" s="414"/>
      <c r="K940" s="414"/>
      <c r="L940" s="414"/>
      <c r="M940" s="414"/>
      <c r="N940" s="414"/>
      <c r="O940" s="414"/>
      <c r="P940" s="414"/>
      <c r="Q940" s="414"/>
      <c r="R940" s="414"/>
      <c r="S940" s="414"/>
      <c r="T940" s="414"/>
      <c r="U940" s="414"/>
      <c r="V940" s="414"/>
      <c r="W940" s="414"/>
      <c r="X940" s="414"/>
      <c r="Y940" s="414"/>
      <c r="Z940" s="414"/>
    </row>
    <row r="941" spans="4:28" ht="23.25" customHeight="1" x14ac:dyDescent="0.2">
      <c r="D941" s="415" t="s">
        <v>302</v>
      </c>
      <c r="E941" s="415"/>
      <c r="F941" s="415"/>
      <c r="G941" s="415"/>
      <c r="H941" s="415"/>
      <c r="I941" s="415"/>
      <c r="J941" s="415"/>
      <c r="K941" s="415"/>
      <c r="L941" s="415"/>
      <c r="M941" s="415"/>
      <c r="N941" s="415"/>
      <c r="O941" s="415"/>
      <c r="P941" s="415"/>
      <c r="Q941" s="415"/>
      <c r="R941" s="415"/>
      <c r="S941" s="415"/>
      <c r="T941" s="415"/>
      <c r="U941" s="415"/>
      <c r="V941" s="415"/>
      <c r="W941" s="415"/>
      <c r="X941" s="415"/>
      <c r="Y941" s="415"/>
      <c r="Z941" s="415"/>
    </row>
    <row r="942" spans="4:28" ht="23.25" customHeight="1" x14ac:dyDescent="0.2">
      <c r="D942" s="413" t="s">
        <v>303</v>
      </c>
      <c r="E942" s="413"/>
      <c r="F942" s="413"/>
      <c r="G942" s="413"/>
      <c r="H942" s="413"/>
      <c r="I942" s="413"/>
      <c r="J942" s="413"/>
      <c r="K942" s="413"/>
      <c r="L942" s="413"/>
      <c r="M942" s="413"/>
      <c r="N942" s="413"/>
      <c r="O942" s="413"/>
      <c r="P942" s="413"/>
      <c r="Q942" s="413"/>
      <c r="R942" s="413"/>
      <c r="S942" s="413"/>
      <c r="T942" s="413"/>
      <c r="U942" s="413"/>
      <c r="V942" s="413"/>
      <c r="W942" s="413"/>
      <c r="X942" s="413"/>
      <c r="Y942" s="413"/>
      <c r="Z942" s="413"/>
    </row>
    <row r="943" spans="4:28" ht="23.25" customHeight="1" x14ac:dyDescent="0.2">
      <c r="D943" s="413" t="s">
        <v>304</v>
      </c>
      <c r="E943" s="413"/>
      <c r="F943" s="413"/>
      <c r="G943" s="413"/>
      <c r="H943" s="413"/>
      <c r="I943" s="413"/>
      <c r="J943" s="413"/>
      <c r="K943" s="413"/>
      <c r="L943" s="413"/>
      <c r="M943" s="413"/>
      <c r="N943" s="413"/>
      <c r="O943" s="413"/>
      <c r="P943" s="413"/>
      <c r="Q943" s="413"/>
      <c r="R943" s="413"/>
      <c r="S943" s="413"/>
      <c r="T943" s="413"/>
      <c r="U943" s="413"/>
      <c r="V943" s="413"/>
      <c r="W943" s="413"/>
      <c r="X943" s="413"/>
      <c r="Y943" s="413"/>
      <c r="Z943" s="413"/>
    </row>
    <row r="944" spans="4:28" ht="42.75" customHeight="1" x14ac:dyDescent="0.2">
      <c r="D944" s="416" t="s">
        <v>305</v>
      </c>
      <c r="E944" s="416"/>
      <c r="F944" s="416"/>
      <c r="G944" s="416"/>
      <c r="H944" s="416"/>
      <c r="I944" s="416"/>
      <c r="J944" s="416"/>
      <c r="K944" s="416"/>
      <c r="L944" s="416"/>
      <c r="M944" s="416"/>
      <c r="N944" s="416"/>
      <c r="O944" s="416"/>
      <c r="P944" s="416"/>
      <c r="Q944" s="416"/>
      <c r="R944" s="416"/>
      <c r="S944" s="416"/>
      <c r="T944" s="416"/>
      <c r="U944" s="416"/>
      <c r="V944" s="416"/>
      <c r="W944" s="416"/>
      <c r="X944" s="416"/>
      <c r="Y944" s="416"/>
      <c r="Z944" s="416"/>
    </row>
    <row r="945" spans="4:26" ht="39" customHeight="1" x14ac:dyDescent="0.2">
      <c r="D945" s="416" t="s">
        <v>306</v>
      </c>
      <c r="E945" s="416"/>
      <c r="F945" s="416"/>
      <c r="G945" s="416"/>
      <c r="H945" s="416"/>
      <c r="I945" s="416"/>
      <c r="J945" s="416"/>
      <c r="K945" s="416"/>
      <c r="L945" s="416"/>
      <c r="M945" s="416"/>
      <c r="N945" s="416"/>
      <c r="O945" s="416"/>
      <c r="P945" s="416"/>
      <c r="Q945" s="416"/>
      <c r="R945" s="416"/>
      <c r="S945" s="416"/>
      <c r="T945" s="416"/>
      <c r="U945" s="416"/>
      <c r="V945" s="416"/>
      <c r="W945" s="416"/>
      <c r="X945" s="416"/>
      <c r="Y945" s="416"/>
      <c r="Z945" s="416"/>
    </row>
    <row r="946" spans="4:26" ht="23.25" customHeight="1" x14ac:dyDescent="0.2">
      <c r="D946" s="413" t="s">
        <v>307</v>
      </c>
      <c r="E946" s="413"/>
      <c r="F946" s="413"/>
      <c r="G946" s="413"/>
      <c r="H946" s="413"/>
      <c r="I946" s="413"/>
      <c r="J946" s="413"/>
      <c r="K946" s="413"/>
      <c r="L946" s="413"/>
      <c r="M946" s="413"/>
      <c r="N946" s="413"/>
      <c r="O946" s="413"/>
      <c r="P946" s="413"/>
      <c r="Q946" s="413"/>
      <c r="R946" s="413"/>
      <c r="S946" s="413"/>
      <c r="T946" s="413"/>
      <c r="U946" s="413"/>
      <c r="V946" s="413"/>
      <c r="W946" s="413"/>
      <c r="X946" s="413"/>
      <c r="Y946" s="413"/>
      <c r="Z946" s="413"/>
    </row>
  </sheetData>
  <sheetProtection formatRows="0" autoFilter="0"/>
  <autoFilter ref="A3:AI926" xr:uid="{BFF35AAC-6F36-4375-BA1E-CC078B483A01}">
    <filterColumn colId="1">
      <filters>
        <filter val="1"/>
      </filters>
    </filterColumn>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filterColumn colId="24" showButton="0"/>
  </autoFilter>
  <mergeCells count="1144">
    <mergeCell ref="Q322:Z322"/>
    <mergeCell ref="D312:Z312"/>
    <mergeCell ref="D372:Z372"/>
    <mergeCell ref="D373:Z373"/>
    <mergeCell ref="D250:Z250"/>
    <mergeCell ref="E355:Z355"/>
    <mergeCell ref="D356:Q356"/>
    <mergeCell ref="E219:Z219"/>
    <mergeCell ref="G155:Z155"/>
    <mergeCell ref="D36:Z36"/>
    <mergeCell ref="D35:Z35"/>
    <mergeCell ref="D101:Z101"/>
    <mergeCell ref="D102:Z102"/>
    <mergeCell ref="D103:Z103"/>
    <mergeCell ref="D104:Z104"/>
    <mergeCell ref="D105:N105"/>
    <mergeCell ref="Q105:Z105"/>
    <mergeCell ref="D99:N99"/>
    <mergeCell ref="Q99:Z99"/>
    <mergeCell ref="D323:N323"/>
    <mergeCell ref="Q323:Z323"/>
    <mergeCell ref="D324:N324"/>
    <mergeCell ref="Q324:Z324"/>
    <mergeCell ref="D325:Z325"/>
    <mergeCell ref="D326:Z326"/>
    <mergeCell ref="D131:N131"/>
    <mergeCell ref="Q131:Z131"/>
    <mergeCell ref="D132:N132"/>
    <mergeCell ref="Q139:Z139"/>
    <mergeCell ref="D140:N140"/>
    <mergeCell ref="Q140:Z140"/>
    <mergeCell ref="D220:Q220"/>
    <mergeCell ref="S220:Z220"/>
    <mergeCell ref="E217:Z217"/>
    <mergeCell ref="E218:Z218"/>
    <mergeCell ref="D97:Z97"/>
    <mergeCell ref="D98:N98"/>
    <mergeCell ref="Q98:Z98"/>
    <mergeCell ref="D111:Z111"/>
    <mergeCell ref="E271:Z271"/>
    <mergeCell ref="E272:Z272"/>
    <mergeCell ref="E273:Z273"/>
    <mergeCell ref="E269:Z269"/>
    <mergeCell ref="D319:Z319"/>
    <mergeCell ref="D267:Z267"/>
    <mergeCell ref="D268:Z268"/>
    <mergeCell ref="E317:Z317"/>
    <mergeCell ref="E318:Z318"/>
    <mergeCell ref="I309:Z309"/>
    <mergeCell ref="D310:Z310"/>
    <mergeCell ref="Q132:Z132"/>
    <mergeCell ref="D133:N133"/>
    <mergeCell ref="Q133:Z133"/>
    <mergeCell ref="D134:Z134"/>
    <mergeCell ref="D221:Z221"/>
    <mergeCell ref="D222:Z222"/>
    <mergeCell ref="D223:Z223"/>
    <mergeCell ref="D224:N224"/>
    <mergeCell ref="Q224:Z224"/>
    <mergeCell ref="D225:N225"/>
    <mergeCell ref="D308:H308"/>
    <mergeCell ref="I308:Z308"/>
    <mergeCell ref="Q207:Z207"/>
    <mergeCell ref="D208:N208"/>
    <mergeCell ref="D21:Z21"/>
    <mergeCell ref="D22:Z22"/>
    <mergeCell ref="D23:Z23"/>
    <mergeCell ref="D24:N24"/>
    <mergeCell ref="Q24:Z24"/>
    <mergeCell ref="D25:N25"/>
    <mergeCell ref="Q25:Z25"/>
    <mergeCell ref="D26:N26"/>
    <mergeCell ref="Q26:Z26"/>
    <mergeCell ref="D27:Z27"/>
    <mergeCell ref="D28:Z28"/>
    <mergeCell ref="G152:Z152"/>
    <mergeCell ref="E153:F153"/>
    <mergeCell ref="G153:Z153"/>
    <mergeCell ref="E154:F154"/>
    <mergeCell ref="G154:Z154"/>
    <mergeCell ref="D136:Z136"/>
    <mergeCell ref="D137:Z137"/>
    <mergeCell ref="D138:N138"/>
    <mergeCell ref="Q138:Z138"/>
    <mergeCell ref="D139:N139"/>
    <mergeCell ref="D135:Z135"/>
    <mergeCell ref="D121:Z121"/>
    <mergeCell ref="D122:Z122"/>
    <mergeCell ref="D123:Z123"/>
    <mergeCell ref="E124:Z124"/>
    <mergeCell ref="E125:Z125"/>
    <mergeCell ref="E126:Z126"/>
    <mergeCell ref="E127:Z127"/>
    <mergeCell ref="D128:Z128"/>
    <mergeCell ref="D129:Z129"/>
    <mergeCell ref="D130:Z130"/>
    <mergeCell ref="D321:Z321"/>
    <mergeCell ref="D322:N322"/>
    <mergeCell ref="E844:Z844"/>
    <mergeCell ref="D348:Z348"/>
    <mergeCell ref="D349:Z349"/>
    <mergeCell ref="E354:Z354"/>
    <mergeCell ref="D869:Z869"/>
    <mergeCell ref="D870:Z870"/>
    <mergeCell ref="E834:Z834"/>
    <mergeCell ref="D347:Z347"/>
    <mergeCell ref="E350:Z350"/>
    <mergeCell ref="D387:Z387"/>
    <mergeCell ref="D407:Z407"/>
    <mergeCell ref="D370:H370"/>
    <mergeCell ref="D433:Z433"/>
    <mergeCell ref="D434:Z434"/>
    <mergeCell ref="D494:Z494"/>
    <mergeCell ref="D495:Z495"/>
    <mergeCell ref="D555:Z555"/>
    <mergeCell ref="D556:Z556"/>
    <mergeCell ref="D382:Z382"/>
    <mergeCell ref="D380:Z380"/>
    <mergeCell ref="D383:N383"/>
    <mergeCell ref="E375:Z375"/>
    <mergeCell ref="E376:Z376"/>
    <mergeCell ref="E377:Z377"/>
    <mergeCell ref="E378:Z378"/>
    <mergeCell ref="E379:Z379"/>
    <mergeCell ref="E415:Z415"/>
    <mergeCell ref="D385:N385"/>
    <mergeCell ref="D616:Z616"/>
    <mergeCell ref="E416:Z416"/>
    <mergeCell ref="D794:Z794"/>
    <mergeCell ref="E374:Z374"/>
    <mergeCell ref="D384:N384"/>
    <mergeCell ref="E413:Z413"/>
    <mergeCell ref="E414:Z414"/>
    <mergeCell ref="D365:Z365"/>
    <mergeCell ref="D344:N344"/>
    <mergeCell ref="Q344:Z344"/>
    <mergeCell ref="D357:Z357"/>
    <mergeCell ref="D358:Z358"/>
    <mergeCell ref="D359:Z359"/>
    <mergeCell ref="E333:Z333"/>
    <mergeCell ref="D371:Z371"/>
    <mergeCell ref="E353:Z353"/>
    <mergeCell ref="D327:Z327"/>
    <mergeCell ref="D417:Q417"/>
    <mergeCell ref="S417:Z417"/>
    <mergeCell ref="E395:Z395"/>
    <mergeCell ref="E396:Z396"/>
    <mergeCell ref="E397:Z397"/>
    <mergeCell ref="D389:Z389"/>
    <mergeCell ref="D390:Z390"/>
    <mergeCell ref="E336:Z336"/>
    <mergeCell ref="E337:Z337"/>
    <mergeCell ref="Y427:Z427"/>
    <mergeCell ref="D428:Z428"/>
    <mergeCell ref="D429:K429"/>
    <mergeCell ref="L429:M429"/>
    <mergeCell ref="N429:Z429"/>
    <mergeCell ref="D425:Z425"/>
    <mergeCell ref="E352:Z352"/>
    <mergeCell ref="Q385:Z385"/>
    <mergeCell ref="D946:Z946"/>
    <mergeCell ref="D940:Z940"/>
    <mergeCell ref="D941:Z941"/>
    <mergeCell ref="D942:Z942"/>
    <mergeCell ref="D943:Z943"/>
    <mergeCell ref="D944:Z944"/>
    <mergeCell ref="D945:Z945"/>
    <mergeCell ref="D931:Z931"/>
    <mergeCell ref="D932:Z932"/>
    <mergeCell ref="D934:Z934"/>
    <mergeCell ref="D937:Z937"/>
    <mergeCell ref="D938:Z938"/>
    <mergeCell ref="D939:Z939"/>
    <mergeCell ref="D933:Z933"/>
    <mergeCell ref="D917:Z917"/>
    <mergeCell ref="D906:Z906"/>
    <mergeCell ref="D915:Z915"/>
    <mergeCell ref="D916:Z916"/>
    <mergeCell ref="D907:Z907"/>
    <mergeCell ref="D908:Z908"/>
    <mergeCell ref="D909:Z909"/>
    <mergeCell ref="D910:Z910"/>
    <mergeCell ref="D911:Z911"/>
    <mergeCell ref="D924:Z924"/>
    <mergeCell ref="D925:Z925"/>
    <mergeCell ref="D926:Z926"/>
    <mergeCell ref="D928:Z928"/>
    <mergeCell ref="D929:Z929"/>
    <mergeCell ref="D930:Z930"/>
    <mergeCell ref="D918:Z918"/>
    <mergeCell ref="D919:Z919"/>
    <mergeCell ref="D920:Z920"/>
    <mergeCell ref="D921:Z921"/>
    <mergeCell ref="D922:Z922"/>
    <mergeCell ref="D923:Z923"/>
    <mergeCell ref="E255:Z255"/>
    <mergeCell ref="E256:Z256"/>
    <mergeCell ref="E257:Z257"/>
    <mergeCell ref="D258:Z258"/>
    <mergeCell ref="D259:Z259"/>
    <mergeCell ref="D260:Z260"/>
    <mergeCell ref="D261:N261"/>
    <mergeCell ref="Q261:Z261"/>
    <mergeCell ref="D262:N262"/>
    <mergeCell ref="Q262:Z262"/>
    <mergeCell ref="E277:Z277"/>
    <mergeCell ref="E290:Z290"/>
    <mergeCell ref="E291:Z291"/>
    <mergeCell ref="D263:N263"/>
    <mergeCell ref="Q263:Z263"/>
    <mergeCell ref="D264:Z264"/>
    <mergeCell ref="D265:Z265"/>
    <mergeCell ref="D266:Z266"/>
    <mergeCell ref="D311:Z311"/>
    <mergeCell ref="E338:Z338"/>
    <mergeCell ref="E857:Z857"/>
    <mergeCell ref="E858:Z858"/>
    <mergeCell ref="E804:Z804"/>
    <mergeCell ref="D807:Z807"/>
    <mergeCell ref="E805:Z805"/>
    <mergeCell ref="D806:Z806"/>
    <mergeCell ref="Q383:Z383"/>
    <mergeCell ref="S356:Z356"/>
    <mergeCell ref="D912:Z912"/>
    <mergeCell ref="D913:Z913"/>
    <mergeCell ref="D914:Z914"/>
    <mergeCell ref="E868:Z868"/>
    <mergeCell ref="D808:Z808"/>
    <mergeCell ref="D810:Z810"/>
    <mergeCell ref="D854:Z854"/>
    <mergeCell ref="E859:Z859"/>
    <mergeCell ref="E860:Z860"/>
    <mergeCell ref="E861:Z861"/>
    <mergeCell ref="E862:Z862"/>
    <mergeCell ref="E863:Z863"/>
    <mergeCell ref="E865:Z865"/>
    <mergeCell ref="E866:Z866"/>
    <mergeCell ref="E845:Z845"/>
    <mergeCell ref="E846:Z846"/>
    <mergeCell ref="D891:Z891"/>
    <mergeCell ref="D892:Z892"/>
    <mergeCell ref="D893:Z893"/>
    <mergeCell ref="D881:M881"/>
    <mergeCell ref="D883:Z883"/>
    <mergeCell ref="D884:Z884"/>
    <mergeCell ref="D885:Z885"/>
    <mergeCell ref="D898:Z898"/>
    <mergeCell ref="D899:Z899"/>
    <mergeCell ref="D886:Z886"/>
    <mergeCell ref="D887:Z887"/>
    <mergeCell ref="D902:Z902"/>
    <mergeCell ref="D903:Z903"/>
    <mergeCell ref="D904:Z904"/>
    <mergeCell ref="D905:Z905"/>
    <mergeCell ref="D894:Z894"/>
    <mergeCell ref="D900:Z900"/>
    <mergeCell ref="E813:Z813"/>
    <mergeCell ref="E814:Z814"/>
    <mergeCell ref="D817:Z817"/>
    <mergeCell ref="D809:Z809"/>
    <mergeCell ref="D443:Z443"/>
    <mergeCell ref="D444:N444"/>
    <mergeCell ref="D449:Z449"/>
    <mergeCell ref="E815:Z815"/>
    <mergeCell ref="E812:Z812"/>
    <mergeCell ref="E802:Z802"/>
    <mergeCell ref="E798:Z798"/>
    <mergeCell ref="E799:Z799"/>
    <mergeCell ref="E796:Z796"/>
    <mergeCell ref="E797:Z797"/>
    <mergeCell ref="D795:Z795"/>
    <mergeCell ref="E801:Z801"/>
    <mergeCell ref="D466:N466"/>
    <mergeCell ref="Q466:Z466"/>
    <mergeCell ref="D467:Z467"/>
    <mergeCell ref="D446:N446"/>
    <mergeCell ref="Q446:Z446"/>
    <mergeCell ref="D447:Z447"/>
    <mergeCell ref="D465:N465"/>
    <mergeCell ref="Q465:Z465"/>
    <mergeCell ref="E460:Z460"/>
    <mergeCell ref="D793:Z793"/>
    <mergeCell ref="D461:Z461"/>
    <mergeCell ref="D462:Z462"/>
    <mergeCell ref="D463:Z463"/>
    <mergeCell ref="D464:N464"/>
    <mergeCell ref="Q464:Z464"/>
    <mergeCell ref="D450:Z450"/>
    <mergeCell ref="E828:Z828"/>
    <mergeCell ref="E829:Z829"/>
    <mergeCell ref="E830:Z830"/>
    <mergeCell ref="D421:N421"/>
    <mergeCell ref="Q421:Z421"/>
    <mergeCell ref="D405:N405"/>
    <mergeCell ref="Q405:Z405"/>
    <mergeCell ref="D406:Z406"/>
    <mergeCell ref="D422:N422"/>
    <mergeCell ref="Q422:Z422"/>
    <mergeCell ref="D423:N423"/>
    <mergeCell ref="Q423:Z423"/>
    <mergeCell ref="D410:Z410"/>
    <mergeCell ref="D424:Z424"/>
    <mergeCell ref="D895:Z895"/>
    <mergeCell ref="D418:Z418"/>
    <mergeCell ref="D419:Z419"/>
    <mergeCell ref="D420:Z420"/>
    <mergeCell ref="D432:Z432"/>
    <mergeCell ref="E435:Z435"/>
    <mergeCell ref="E436:Z436"/>
    <mergeCell ref="E437:Z437"/>
    <mergeCell ref="E438:Z438"/>
    <mergeCell ref="D427:X427"/>
    <mergeCell ref="E843:Z843"/>
    <mergeCell ref="E835:Z835"/>
    <mergeCell ref="E823:Z823"/>
    <mergeCell ref="E824:Z824"/>
    <mergeCell ref="E825:Z825"/>
    <mergeCell ref="E826:Z826"/>
    <mergeCell ref="E816:Z816"/>
    <mergeCell ref="D426:Z426"/>
    <mergeCell ref="D386:Z386"/>
    <mergeCell ref="D364:Z364"/>
    <mergeCell ref="D339:Z339"/>
    <mergeCell ref="D340:Z340"/>
    <mergeCell ref="D341:Z341"/>
    <mergeCell ref="E351:Z351"/>
    <mergeCell ref="Q404:Z404"/>
    <mergeCell ref="E394:Z394"/>
    <mergeCell ref="Q384:Z384"/>
    <mergeCell ref="D381:Z381"/>
    <mergeCell ref="D368:K368"/>
    <mergeCell ref="L368:M368"/>
    <mergeCell ref="N368:Z368"/>
    <mergeCell ref="D369:H369"/>
    <mergeCell ref="I369:Z369"/>
    <mergeCell ref="D345:Z345"/>
    <mergeCell ref="D346:Z346"/>
    <mergeCell ref="I370:Z370"/>
    <mergeCell ref="D901:Z901"/>
    <mergeCell ref="E847:Z847"/>
    <mergeCell ref="E855:Z855"/>
    <mergeCell ref="E856:Z856"/>
    <mergeCell ref="D874:M874"/>
    <mergeCell ref="D875:J875"/>
    <mergeCell ref="D876:M876"/>
    <mergeCell ref="D877:M877"/>
    <mergeCell ref="D878:M878"/>
    <mergeCell ref="D879:M879"/>
    <mergeCell ref="D871:Z871"/>
    <mergeCell ref="E849:Z849"/>
    <mergeCell ref="E864:Z864"/>
    <mergeCell ref="E850:Z850"/>
    <mergeCell ref="D872:Z872"/>
    <mergeCell ref="D873:Z873"/>
    <mergeCell ref="D888:Z888"/>
    <mergeCell ref="D889:Z889"/>
    <mergeCell ref="D890:Z890"/>
    <mergeCell ref="D896:Z896"/>
    <mergeCell ref="E851:Z851"/>
    <mergeCell ref="E852:Z852"/>
    <mergeCell ref="E853:Z853"/>
    <mergeCell ref="E848:Z848"/>
    <mergeCell ref="E867:Z867"/>
    <mergeCell ref="D897:Z897"/>
    <mergeCell ref="Q208:Z208"/>
    <mergeCell ref="D209:Z209"/>
    <mergeCell ref="E215:Z215"/>
    <mergeCell ref="E202:Z202"/>
    <mergeCell ref="D203:Z203"/>
    <mergeCell ref="Q444:Z444"/>
    <mergeCell ref="D445:N445"/>
    <mergeCell ref="Q445:Z445"/>
    <mergeCell ref="E841:Z841"/>
    <mergeCell ref="E842:Z842"/>
    <mergeCell ref="E820:Z820"/>
    <mergeCell ref="E821:Z821"/>
    <mergeCell ref="E818:Z818"/>
    <mergeCell ref="E819:Z819"/>
    <mergeCell ref="D811:Z811"/>
    <mergeCell ref="E832:Z832"/>
    <mergeCell ref="E840:Z840"/>
    <mergeCell ref="D822:Z822"/>
    <mergeCell ref="E827:Z827"/>
    <mergeCell ref="E836:Z836"/>
    <mergeCell ref="E837:Z837"/>
    <mergeCell ref="E838:Z838"/>
    <mergeCell ref="D839:Z839"/>
    <mergeCell ref="E831:Z831"/>
    <mergeCell ref="E833:Z833"/>
    <mergeCell ref="E214:Z214"/>
    <mergeCell ref="D360:N360"/>
    <mergeCell ref="Q360:Z360"/>
    <mergeCell ref="D361:N361"/>
    <mergeCell ref="Q361:Z361"/>
    <mergeCell ref="Q206:Z206"/>
    <mergeCell ref="D211:Z211"/>
    <mergeCell ref="E200:Z200"/>
    <mergeCell ref="E201:Z201"/>
    <mergeCell ref="E196:Z196"/>
    <mergeCell ref="E197:Z197"/>
    <mergeCell ref="E198:Z198"/>
    <mergeCell ref="D212:Z212"/>
    <mergeCell ref="D213:Z213"/>
    <mergeCell ref="E253:Z253"/>
    <mergeCell ref="E254:Z254"/>
    <mergeCell ref="D244:X244"/>
    <mergeCell ref="Y244:Z244"/>
    <mergeCell ref="D304:Z304"/>
    <mergeCell ref="E313:Z313"/>
    <mergeCell ref="D246:K246"/>
    <mergeCell ref="L246:M246"/>
    <mergeCell ref="N246:Z246"/>
    <mergeCell ref="D307:K307"/>
    <mergeCell ref="L307:M307"/>
    <mergeCell ref="Q299:Z299"/>
    <mergeCell ref="Q225:Z225"/>
    <mergeCell ref="D226:N226"/>
    <mergeCell ref="D251:Z251"/>
    <mergeCell ref="Q226:Z226"/>
    <mergeCell ref="D227:Z227"/>
    <mergeCell ref="D228:Z228"/>
    <mergeCell ref="D245:Z245"/>
    <mergeCell ref="D243:Z243"/>
    <mergeCell ref="D287:Z287"/>
    <mergeCell ref="D288:Z288"/>
    <mergeCell ref="E270:Z270"/>
    <mergeCell ref="D284:Z284"/>
    <mergeCell ref="D279:Z279"/>
    <mergeCell ref="D302:Z302"/>
    <mergeCell ref="D303:Z303"/>
    <mergeCell ref="D342:N342"/>
    <mergeCell ref="Q342:Z342"/>
    <mergeCell ref="D343:N343"/>
    <mergeCell ref="Q343:Z343"/>
    <mergeCell ref="E314:Z314"/>
    <mergeCell ref="E315:Z315"/>
    <mergeCell ref="D305:X305"/>
    <mergeCell ref="Y305:Z305"/>
    <mergeCell ref="D306:Z306"/>
    <mergeCell ref="D278:Z278"/>
    <mergeCell ref="D301:N301"/>
    <mergeCell ref="Q301:Z301"/>
    <mergeCell ref="D280:Z280"/>
    <mergeCell ref="D281:N281"/>
    <mergeCell ref="Q281:Z281"/>
    <mergeCell ref="D282:N282"/>
    <mergeCell ref="Q282:Z282"/>
    <mergeCell ref="D283:N283"/>
    <mergeCell ref="Q283:Z283"/>
    <mergeCell ref="D299:N299"/>
    <mergeCell ref="D300:N300"/>
    <mergeCell ref="Q300:Z300"/>
    <mergeCell ref="E334:Z334"/>
    <mergeCell ref="E335:Z335"/>
    <mergeCell ref="N307:Z307"/>
    <mergeCell ref="D328:Z328"/>
    <mergeCell ref="E316:Z316"/>
    <mergeCell ref="D329:Z329"/>
    <mergeCell ref="D309:H309"/>
    <mergeCell ref="D320:Z320"/>
    <mergeCell ref="E216:Z216"/>
    <mergeCell ref="D210:Z210"/>
    <mergeCell ref="D207:N207"/>
    <mergeCell ref="E194:Z194"/>
    <mergeCell ref="E195:Z195"/>
    <mergeCell ref="E803:Z803"/>
    <mergeCell ref="E294:Z294"/>
    <mergeCell ref="D295:Q295"/>
    <mergeCell ref="S295:Z295"/>
    <mergeCell ref="D296:Z296"/>
    <mergeCell ref="D297:Z297"/>
    <mergeCell ref="D800:Z800"/>
    <mergeCell ref="E274:Z274"/>
    <mergeCell ref="E275:Z275"/>
    <mergeCell ref="E276:Z276"/>
    <mergeCell ref="D366:X366"/>
    <mergeCell ref="Y366:Z366"/>
    <mergeCell ref="E391:Z391"/>
    <mergeCell ref="E392:Z392"/>
    <mergeCell ref="D409:Z409"/>
    <mergeCell ref="E411:Z411"/>
    <mergeCell ref="E412:Z412"/>
    <mergeCell ref="E398:Z398"/>
    <mergeCell ref="E399:Z399"/>
    <mergeCell ref="D400:Z400"/>
    <mergeCell ref="D401:Z401"/>
    <mergeCell ref="D367:Z367"/>
    <mergeCell ref="D286:Z286"/>
    <mergeCell ref="E289:Z289"/>
    <mergeCell ref="E292:Z292"/>
    <mergeCell ref="E293:Z293"/>
    <mergeCell ref="D298:Z298"/>
    <mergeCell ref="D204:Z204"/>
    <mergeCell ref="D205:Z205"/>
    <mergeCell ref="D206:N206"/>
    <mergeCell ref="D175:Z175"/>
    <mergeCell ref="D176:Z176"/>
    <mergeCell ref="D192:Z192"/>
    <mergeCell ref="D193:Z193"/>
    <mergeCell ref="E199:Z199"/>
    <mergeCell ref="D171:K171"/>
    <mergeCell ref="L171:M171"/>
    <mergeCell ref="N171:Z171"/>
    <mergeCell ref="D190:Z190"/>
    <mergeCell ref="D120:Z120"/>
    <mergeCell ref="D172:H172"/>
    <mergeCell ref="I172:Z172"/>
    <mergeCell ref="D173:H173"/>
    <mergeCell ref="I173:Z173"/>
    <mergeCell ref="D191:Z191"/>
    <mergeCell ref="D156:Z156"/>
    <mergeCell ref="D157:F157"/>
    <mergeCell ref="H157:Z157"/>
    <mergeCell ref="D158:E158"/>
    <mergeCell ref="H158:Z158"/>
    <mergeCell ref="D159:Z159"/>
    <mergeCell ref="F160:Z160"/>
    <mergeCell ref="D161:Z161"/>
    <mergeCell ref="D162:Z162"/>
    <mergeCell ref="D141:Z141"/>
    <mergeCell ref="D142:Z142"/>
    <mergeCell ref="D143:Z143"/>
    <mergeCell ref="E178:Z178"/>
    <mergeCell ref="E179:Z179"/>
    <mergeCell ref="E155:F155"/>
    <mergeCell ref="D112:N112"/>
    <mergeCell ref="Q112:Z112"/>
    <mergeCell ref="D113:N113"/>
    <mergeCell ref="Q113:Z113"/>
    <mergeCell ref="D174:Z174"/>
    <mergeCell ref="D119:Z119"/>
    <mergeCell ref="D186:N186"/>
    <mergeCell ref="Q186:Z186"/>
    <mergeCell ref="D187:N187"/>
    <mergeCell ref="Q187:Z187"/>
    <mergeCell ref="D183:Z183"/>
    <mergeCell ref="D184:Z184"/>
    <mergeCell ref="D189:Z189"/>
    <mergeCell ref="D188:N188"/>
    <mergeCell ref="Q188:Z188"/>
    <mergeCell ref="D170:Z170"/>
    <mergeCell ref="E181:Z181"/>
    <mergeCell ref="E182:Z182"/>
    <mergeCell ref="D144:Z144"/>
    <mergeCell ref="D145:N145"/>
    <mergeCell ref="Q145:Z145"/>
    <mergeCell ref="D146:N146"/>
    <mergeCell ref="Q146:Z146"/>
    <mergeCell ref="D147:N147"/>
    <mergeCell ref="Q147:Z147"/>
    <mergeCell ref="D148:Z148"/>
    <mergeCell ref="D149:Z149"/>
    <mergeCell ref="D150:Z150"/>
    <mergeCell ref="E151:F151"/>
    <mergeCell ref="G151:Z151"/>
    <mergeCell ref="E152:F152"/>
    <mergeCell ref="E177:Z177"/>
    <mergeCell ref="D88:Z88"/>
    <mergeCell ref="D80:Z80"/>
    <mergeCell ref="D81:Z81"/>
    <mergeCell ref="D82:Z82"/>
    <mergeCell ref="D83:Z83"/>
    <mergeCell ref="D84:N84"/>
    <mergeCell ref="Q84:Z84"/>
    <mergeCell ref="D89:Z89"/>
    <mergeCell ref="D90:Z90"/>
    <mergeCell ref="D91:Z91"/>
    <mergeCell ref="D92:Z92"/>
    <mergeCell ref="D114:N114"/>
    <mergeCell ref="Q114:Z114"/>
    <mergeCell ref="D115:Z115"/>
    <mergeCell ref="D116:Z116"/>
    <mergeCell ref="D117:Z117"/>
    <mergeCell ref="D118:Z118"/>
    <mergeCell ref="D107:N107"/>
    <mergeCell ref="D100:N100"/>
    <mergeCell ref="D110:Z110"/>
    <mergeCell ref="Q100:Z100"/>
    <mergeCell ref="D93:O93"/>
    <mergeCell ref="P93:Z93"/>
    <mergeCell ref="D94:N94"/>
    <mergeCell ref="O94:Z94"/>
    <mergeCell ref="D95:Z95"/>
    <mergeCell ref="D96:Z96"/>
    <mergeCell ref="D106:N106"/>
    <mergeCell ref="Q106:Z106"/>
    <mergeCell ref="Q107:Z107"/>
    <mergeCell ref="D108:Z108"/>
    <mergeCell ref="D109:Z109"/>
    <mergeCell ref="D72:N72"/>
    <mergeCell ref="Q72:Z72"/>
    <mergeCell ref="D73:Z73"/>
    <mergeCell ref="D74:Z74"/>
    <mergeCell ref="D75:Z75"/>
    <mergeCell ref="D76:Z76"/>
    <mergeCell ref="D85:N85"/>
    <mergeCell ref="Q85:Z85"/>
    <mergeCell ref="D86:N86"/>
    <mergeCell ref="Q86:Z86"/>
    <mergeCell ref="D87:Z87"/>
    <mergeCell ref="E50:Z50"/>
    <mergeCell ref="E51:Z51"/>
    <mergeCell ref="E52:Z52"/>
    <mergeCell ref="E53:Z53"/>
    <mergeCell ref="E54:Z54"/>
    <mergeCell ref="E55:Z55"/>
    <mergeCell ref="D77:N77"/>
    <mergeCell ref="Q77:Z77"/>
    <mergeCell ref="D78:N78"/>
    <mergeCell ref="Q78:Z78"/>
    <mergeCell ref="D79:N79"/>
    <mergeCell ref="Q79:Z79"/>
    <mergeCell ref="D45:Z45"/>
    <mergeCell ref="D46:Z46"/>
    <mergeCell ref="D47:Z47"/>
    <mergeCell ref="E48:Z48"/>
    <mergeCell ref="E49:Z49"/>
    <mergeCell ref="D67:Z67"/>
    <mergeCell ref="D68:Z68"/>
    <mergeCell ref="D69:Z69"/>
    <mergeCell ref="D70:N70"/>
    <mergeCell ref="Q70:Z70"/>
    <mergeCell ref="D71:N71"/>
    <mergeCell ref="Q71:Z71"/>
    <mergeCell ref="E56:Z56"/>
    <mergeCell ref="E58:Z58"/>
    <mergeCell ref="E59:Z59"/>
    <mergeCell ref="E60:Z60"/>
    <mergeCell ref="E61:Z61"/>
    <mergeCell ref="E62:Z62"/>
    <mergeCell ref="E65:Z65"/>
    <mergeCell ref="E66:Z66"/>
    <mergeCell ref="D1:I1"/>
    <mergeCell ref="J1:Z1"/>
    <mergeCell ref="D3:Z3"/>
    <mergeCell ref="D4:Z4"/>
    <mergeCell ref="D5:Z5"/>
    <mergeCell ref="D6:Z6"/>
    <mergeCell ref="E57:Z57"/>
    <mergeCell ref="E63:Z63"/>
    <mergeCell ref="E64:Z64"/>
    <mergeCell ref="D13:H13"/>
    <mergeCell ref="I13:Z13"/>
    <mergeCell ref="D14:Z14"/>
    <mergeCell ref="D15:Z15"/>
    <mergeCell ref="D16:Z16"/>
    <mergeCell ref="D7:Z7"/>
    <mergeCell ref="D8:Z8"/>
    <mergeCell ref="D9:Z9"/>
    <mergeCell ref="D10:Z10"/>
    <mergeCell ref="D11:Z11"/>
    <mergeCell ref="D12:Z12"/>
    <mergeCell ref="D20:Z20"/>
    <mergeCell ref="D40:Z40"/>
    <mergeCell ref="D41:Z41"/>
    <mergeCell ref="D42:Z42"/>
    <mergeCell ref="D43:Z43"/>
    <mergeCell ref="D44:Z44"/>
    <mergeCell ref="D32:Z32"/>
    <mergeCell ref="D33:Z33"/>
    <mergeCell ref="D34:Z34"/>
    <mergeCell ref="D37:Z37"/>
    <mergeCell ref="D38:Z38"/>
    <mergeCell ref="D39:Z39"/>
    <mergeCell ref="D247:H247"/>
    <mergeCell ref="I247:Z247"/>
    <mergeCell ref="D248:H248"/>
    <mergeCell ref="I248:Z248"/>
    <mergeCell ref="D249:Z249"/>
    <mergeCell ref="D285:Z285"/>
    <mergeCell ref="E252:Z252"/>
    <mergeCell ref="D402:Z402"/>
    <mergeCell ref="D403:N403"/>
    <mergeCell ref="Q403:Z403"/>
    <mergeCell ref="D404:N404"/>
    <mergeCell ref="D430:H430"/>
    <mergeCell ref="I430:Z430"/>
    <mergeCell ref="D431:H431"/>
    <mergeCell ref="E457:Z457"/>
    <mergeCell ref="E458:Z458"/>
    <mergeCell ref="E459:Z459"/>
    <mergeCell ref="E393:Z393"/>
    <mergeCell ref="D408:Z408"/>
    <mergeCell ref="D388:Z388"/>
    <mergeCell ref="D441:Z441"/>
    <mergeCell ref="D362:N362"/>
    <mergeCell ref="Q362:Z362"/>
    <mergeCell ref="D363:Z363"/>
    <mergeCell ref="E330:Z330"/>
    <mergeCell ref="E331:Z331"/>
    <mergeCell ref="E332:Z332"/>
    <mergeCell ref="I431:Z431"/>
    <mergeCell ref="D448:Z448"/>
    <mergeCell ref="E439:Z439"/>
    <mergeCell ref="E440:Z440"/>
    <mergeCell ref="D442:Z442"/>
    <mergeCell ref="D451:Z451"/>
    <mergeCell ref="E452:Z452"/>
    <mergeCell ref="E453:Z453"/>
    <mergeCell ref="E454:Z454"/>
    <mergeCell ref="E455:Z455"/>
    <mergeCell ref="E456:Z456"/>
    <mergeCell ref="D481:Z481"/>
    <mergeCell ref="D482:N482"/>
    <mergeCell ref="Q482:Z482"/>
    <mergeCell ref="D483:N483"/>
    <mergeCell ref="Q483:Z483"/>
    <mergeCell ref="D484:N484"/>
    <mergeCell ref="Q484:Z484"/>
    <mergeCell ref="D485:Z485"/>
    <mergeCell ref="D470:Z470"/>
    <mergeCell ref="D471:Z471"/>
    <mergeCell ref="E472:Z472"/>
    <mergeCell ref="E473:Z473"/>
    <mergeCell ref="E474:Z474"/>
    <mergeCell ref="E475:Z475"/>
    <mergeCell ref="E476:Z476"/>
    <mergeCell ref="E477:Z477"/>
    <mergeCell ref="D478:Q478"/>
    <mergeCell ref="S478:Z478"/>
    <mergeCell ref="D479:Z479"/>
    <mergeCell ref="D480:Z480"/>
    <mergeCell ref="D468:Z468"/>
    <mergeCell ref="D469:Z469"/>
    <mergeCell ref="D492:H492"/>
    <mergeCell ref="I492:Z492"/>
    <mergeCell ref="D493:Z493"/>
    <mergeCell ref="E496:Z496"/>
    <mergeCell ref="E497:Z497"/>
    <mergeCell ref="E498:Z498"/>
    <mergeCell ref="E499:Z499"/>
    <mergeCell ref="E500:Z500"/>
    <mergeCell ref="D486:Z486"/>
    <mergeCell ref="D487:Z487"/>
    <mergeCell ref="D488:X488"/>
    <mergeCell ref="Y488:Z488"/>
    <mergeCell ref="D489:Z489"/>
    <mergeCell ref="D490:K490"/>
    <mergeCell ref="L490:M490"/>
    <mergeCell ref="N490:Z490"/>
    <mergeCell ref="D491:H491"/>
    <mergeCell ref="I491:Z491"/>
    <mergeCell ref="D508:Z508"/>
    <mergeCell ref="D509:Z509"/>
    <mergeCell ref="D510:Z510"/>
    <mergeCell ref="E513:Z513"/>
    <mergeCell ref="E514:Z514"/>
    <mergeCell ref="E515:Z515"/>
    <mergeCell ref="E516:Z516"/>
    <mergeCell ref="E501:Z501"/>
    <mergeCell ref="D502:Z502"/>
    <mergeCell ref="D503:Z503"/>
    <mergeCell ref="D504:Z504"/>
    <mergeCell ref="D505:N505"/>
    <mergeCell ref="Q505:Z505"/>
    <mergeCell ref="D506:N506"/>
    <mergeCell ref="Q506:Z506"/>
    <mergeCell ref="D507:N507"/>
    <mergeCell ref="Q507:Z507"/>
    <mergeCell ref="D511:Z511"/>
    <mergeCell ref="D512:Z512"/>
    <mergeCell ref="D526:N526"/>
    <mergeCell ref="Q526:Z526"/>
    <mergeCell ref="D527:N527"/>
    <mergeCell ref="Q527:Z527"/>
    <mergeCell ref="D528:Z528"/>
    <mergeCell ref="D529:Z529"/>
    <mergeCell ref="D530:Z530"/>
    <mergeCell ref="D531:Z531"/>
    <mergeCell ref="D532:Z532"/>
    <mergeCell ref="E517:Z517"/>
    <mergeCell ref="E518:Z518"/>
    <mergeCell ref="E519:Z519"/>
    <mergeCell ref="E520:Z520"/>
    <mergeCell ref="E521:Z521"/>
    <mergeCell ref="D522:Z522"/>
    <mergeCell ref="D523:Z523"/>
    <mergeCell ref="D524:Z524"/>
    <mergeCell ref="D525:N525"/>
    <mergeCell ref="Q525:Z525"/>
    <mergeCell ref="D541:Z541"/>
    <mergeCell ref="D542:Z542"/>
    <mergeCell ref="D543:N543"/>
    <mergeCell ref="Q543:Z543"/>
    <mergeCell ref="D544:N544"/>
    <mergeCell ref="Q544:Z544"/>
    <mergeCell ref="D545:N545"/>
    <mergeCell ref="Q545:Z545"/>
    <mergeCell ref="D546:Z546"/>
    <mergeCell ref="E533:Z533"/>
    <mergeCell ref="E534:Z534"/>
    <mergeCell ref="E535:Z535"/>
    <mergeCell ref="E536:Z536"/>
    <mergeCell ref="E537:Z537"/>
    <mergeCell ref="E538:Z538"/>
    <mergeCell ref="D539:Q539"/>
    <mergeCell ref="S539:Z539"/>
    <mergeCell ref="D540:Z540"/>
    <mergeCell ref="D553:H553"/>
    <mergeCell ref="I553:Z553"/>
    <mergeCell ref="D554:Z554"/>
    <mergeCell ref="E557:Z557"/>
    <mergeCell ref="E558:Z558"/>
    <mergeCell ref="E559:Z559"/>
    <mergeCell ref="E560:Z560"/>
    <mergeCell ref="E561:Z561"/>
    <mergeCell ref="D547:Z547"/>
    <mergeCell ref="D548:Z548"/>
    <mergeCell ref="D549:X549"/>
    <mergeCell ref="Y549:Z549"/>
    <mergeCell ref="D550:Z550"/>
    <mergeCell ref="D551:K551"/>
    <mergeCell ref="L551:M551"/>
    <mergeCell ref="N551:Z551"/>
    <mergeCell ref="D552:H552"/>
    <mergeCell ref="I552:Z552"/>
    <mergeCell ref="D569:Z569"/>
    <mergeCell ref="D570:Z570"/>
    <mergeCell ref="D571:Z571"/>
    <mergeCell ref="E574:Z574"/>
    <mergeCell ref="E575:Z575"/>
    <mergeCell ref="E576:Z576"/>
    <mergeCell ref="E577:Z577"/>
    <mergeCell ref="E562:Z562"/>
    <mergeCell ref="D563:Z563"/>
    <mergeCell ref="D564:Z564"/>
    <mergeCell ref="D565:Z565"/>
    <mergeCell ref="D566:N566"/>
    <mergeCell ref="Q566:Z566"/>
    <mergeCell ref="D567:N567"/>
    <mergeCell ref="Q567:Z567"/>
    <mergeCell ref="D568:N568"/>
    <mergeCell ref="Q568:Z568"/>
    <mergeCell ref="D572:Z572"/>
    <mergeCell ref="D573:Z573"/>
    <mergeCell ref="D587:N587"/>
    <mergeCell ref="Q587:Z587"/>
    <mergeCell ref="D588:N588"/>
    <mergeCell ref="Q588:Z588"/>
    <mergeCell ref="D589:Z589"/>
    <mergeCell ref="D590:Z590"/>
    <mergeCell ref="D591:Z591"/>
    <mergeCell ref="D592:Z592"/>
    <mergeCell ref="D593:Z593"/>
    <mergeCell ref="E578:Z578"/>
    <mergeCell ref="E579:Z579"/>
    <mergeCell ref="E580:Z580"/>
    <mergeCell ref="E581:Z581"/>
    <mergeCell ref="E582:Z582"/>
    <mergeCell ref="D583:Z583"/>
    <mergeCell ref="D584:Z584"/>
    <mergeCell ref="D585:Z585"/>
    <mergeCell ref="D586:N586"/>
    <mergeCell ref="Q586:Z586"/>
    <mergeCell ref="D602:Z602"/>
    <mergeCell ref="D603:Z603"/>
    <mergeCell ref="D604:N604"/>
    <mergeCell ref="Q604:Z604"/>
    <mergeCell ref="D605:N605"/>
    <mergeCell ref="Q605:Z605"/>
    <mergeCell ref="D606:N606"/>
    <mergeCell ref="Q606:Z606"/>
    <mergeCell ref="D607:Z607"/>
    <mergeCell ref="E594:Z594"/>
    <mergeCell ref="E595:Z595"/>
    <mergeCell ref="E596:Z596"/>
    <mergeCell ref="E597:Z597"/>
    <mergeCell ref="E598:Z598"/>
    <mergeCell ref="E599:Z599"/>
    <mergeCell ref="D600:Q600"/>
    <mergeCell ref="S600:Z600"/>
    <mergeCell ref="D601:Z601"/>
    <mergeCell ref="D614:H614"/>
    <mergeCell ref="I614:Z614"/>
    <mergeCell ref="D615:Z615"/>
    <mergeCell ref="E618:Z618"/>
    <mergeCell ref="E619:Z619"/>
    <mergeCell ref="E620:Z620"/>
    <mergeCell ref="E621:Z621"/>
    <mergeCell ref="E622:Z622"/>
    <mergeCell ref="D608:Z608"/>
    <mergeCell ref="D609:Z609"/>
    <mergeCell ref="D610:X610"/>
    <mergeCell ref="Y610:Z610"/>
    <mergeCell ref="D611:Z611"/>
    <mergeCell ref="D612:K612"/>
    <mergeCell ref="L612:M612"/>
    <mergeCell ref="N612:Z612"/>
    <mergeCell ref="D613:H613"/>
    <mergeCell ref="I613:Z613"/>
    <mergeCell ref="D617:Z617"/>
    <mergeCell ref="D630:Z630"/>
    <mergeCell ref="D631:Z631"/>
    <mergeCell ref="D632:Z632"/>
    <mergeCell ref="E635:Z635"/>
    <mergeCell ref="E636:Z636"/>
    <mergeCell ref="E637:Z637"/>
    <mergeCell ref="E638:Z638"/>
    <mergeCell ref="E623:Z623"/>
    <mergeCell ref="D624:Z624"/>
    <mergeCell ref="D625:Z625"/>
    <mergeCell ref="D626:Z626"/>
    <mergeCell ref="D627:N627"/>
    <mergeCell ref="Q627:Z627"/>
    <mergeCell ref="D628:N628"/>
    <mergeCell ref="Q628:Z628"/>
    <mergeCell ref="D629:N629"/>
    <mergeCell ref="Q629:Z629"/>
    <mergeCell ref="D633:Z633"/>
    <mergeCell ref="D634:Z634"/>
    <mergeCell ref="D648:N648"/>
    <mergeCell ref="Q648:Z648"/>
    <mergeCell ref="D649:N649"/>
    <mergeCell ref="Q649:Z649"/>
    <mergeCell ref="D650:Z650"/>
    <mergeCell ref="D651:Z651"/>
    <mergeCell ref="D652:Z652"/>
    <mergeCell ref="D653:Z653"/>
    <mergeCell ref="D654:Z654"/>
    <mergeCell ref="E639:Z639"/>
    <mergeCell ref="E640:Z640"/>
    <mergeCell ref="E641:Z641"/>
    <mergeCell ref="E642:Z642"/>
    <mergeCell ref="E643:Z643"/>
    <mergeCell ref="D644:Z644"/>
    <mergeCell ref="D645:Z645"/>
    <mergeCell ref="D646:Z646"/>
    <mergeCell ref="D647:N647"/>
    <mergeCell ref="Q647:Z647"/>
    <mergeCell ref="D663:Z663"/>
    <mergeCell ref="D664:Z664"/>
    <mergeCell ref="D665:N665"/>
    <mergeCell ref="Q665:Z665"/>
    <mergeCell ref="D666:N666"/>
    <mergeCell ref="Q666:Z666"/>
    <mergeCell ref="D667:N667"/>
    <mergeCell ref="Q667:Z667"/>
    <mergeCell ref="D668:Z668"/>
    <mergeCell ref="E655:Z655"/>
    <mergeCell ref="E656:Z656"/>
    <mergeCell ref="E657:Z657"/>
    <mergeCell ref="E658:Z658"/>
    <mergeCell ref="E659:Z659"/>
    <mergeCell ref="E660:Z660"/>
    <mergeCell ref="D661:Q661"/>
    <mergeCell ref="S661:Z661"/>
    <mergeCell ref="D662:Z662"/>
    <mergeCell ref="D675:H675"/>
    <mergeCell ref="I675:Z675"/>
    <mergeCell ref="D676:Z676"/>
    <mergeCell ref="E679:Z679"/>
    <mergeCell ref="E680:Z680"/>
    <mergeCell ref="E681:Z681"/>
    <mergeCell ref="E682:Z682"/>
    <mergeCell ref="E683:Z683"/>
    <mergeCell ref="D669:Z669"/>
    <mergeCell ref="D670:Z670"/>
    <mergeCell ref="D671:X671"/>
    <mergeCell ref="Y671:Z671"/>
    <mergeCell ref="D672:Z672"/>
    <mergeCell ref="D673:K673"/>
    <mergeCell ref="L673:M673"/>
    <mergeCell ref="N673:Z673"/>
    <mergeCell ref="D674:H674"/>
    <mergeCell ref="I674:Z674"/>
    <mergeCell ref="D677:Z677"/>
    <mergeCell ref="D678:Z678"/>
    <mergeCell ref="D691:Z691"/>
    <mergeCell ref="D692:Z692"/>
    <mergeCell ref="D693:Z693"/>
    <mergeCell ref="E696:Z696"/>
    <mergeCell ref="E697:Z697"/>
    <mergeCell ref="E698:Z698"/>
    <mergeCell ref="E699:Z699"/>
    <mergeCell ref="D695:Z695"/>
    <mergeCell ref="E684:Z684"/>
    <mergeCell ref="D685:Z685"/>
    <mergeCell ref="D686:Z686"/>
    <mergeCell ref="D687:Z687"/>
    <mergeCell ref="D688:N688"/>
    <mergeCell ref="Q688:Z688"/>
    <mergeCell ref="D689:N689"/>
    <mergeCell ref="Q689:Z689"/>
    <mergeCell ref="D690:N690"/>
    <mergeCell ref="Q690:Z690"/>
    <mergeCell ref="D694:Z694"/>
    <mergeCell ref="D709:N709"/>
    <mergeCell ref="Q709:Z709"/>
    <mergeCell ref="D710:N710"/>
    <mergeCell ref="Q710:Z710"/>
    <mergeCell ref="D711:Z711"/>
    <mergeCell ref="D712:Z712"/>
    <mergeCell ref="D713:Z713"/>
    <mergeCell ref="D714:Z714"/>
    <mergeCell ref="D715:Z715"/>
    <mergeCell ref="E700:Z700"/>
    <mergeCell ref="E701:Z701"/>
    <mergeCell ref="E702:Z702"/>
    <mergeCell ref="E703:Z703"/>
    <mergeCell ref="E704:Z704"/>
    <mergeCell ref="D705:Z705"/>
    <mergeCell ref="D706:Z706"/>
    <mergeCell ref="D707:Z707"/>
    <mergeCell ref="D708:N708"/>
    <mergeCell ref="Q708:Z708"/>
    <mergeCell ref="D724:Z724"/>
    <mergeCell ref="D725:Z725"/>
    <mergeCell ref="D726:N726"/>
    <mergeCell ref="Q726:Z726"/>
    <mergeCell ref="D727:N727"/>
    <mergeCell ref="Q727:Z727"/>
    <mergeCell ref="D728:N728"/>
    <mergeCell ref="Q728:Z728"/>
    <mergeCell ref="D729:Z729"/>
    <mergeCell ref="E716:Z716"/>
    <mergeCell ref="E717:Z717"/>
    <mergeCell ref="E718:Z718"/>
    <mergeCell ref="E719:Z719"/>
    <mergeCell ref="E720:Z720"/>
    <mergeCell ref="E721:Z721"/>
    <mergeCell ref="D722:Q722"/>
    <mergeCell ref="S722:Z722"/>
    <mergeCell ref="D723:Z723"/>
    <mergeCell ref="D736:H736"/>
    <mergeCell ref="I736:Z736"/>
    <mergeCell ref="D737:Z737"/>
    <mergeCell ref="E740:Z740"/>
    <mergeCell ref="E741:Z741"/>
    <mergeCell ref="E742:Z742"/>
    <mergeCell ref="E743:Z743"/>
    <mergeCell ref="D739:Z739"/>
    <mergeCell ref="E744:Z744"/>
    <mergeCell ref="D730:Z730"/>
    <mergeCell ref="D731:Z731"/>
    <mergeCell ref="D732:X732"/>
    <mergeCell ref="Y732:Z732"/>
    <mergeCell ref="D733:Z733"/>
    <mergeCell ref="D734:K734"/>
    <mergeCell ref="L734:M734"/>
    <mergeCell ref="N734:Z734"/>
    <mergeCell ref="D735:H735"/>
    <mergeCell ref="I735:Z735"/>
    <mergeCell ref="D738:Z738"/>
    <mergeCell ref="D752:Z752"/>
    <mergeCell ref="D753:Z753"/>
    <mergeCell ref="D754:Z754"/>
    <mergeCell ref="E757:Z757"/>
    <mergeCell ref="E758:Z758"/>
    <mergeCell ref="E759:Z759"/>
    <mergeCell ref="E760:Z760"/>
    <mergeCell ref="D755:Z755"/>
    <mergeCell ref="D756:Z756"/>
    <mergeCell ref="E745:Z745"/>
    <mergeCell ref="D746:Z746"/>
    <mergeCell ref="D747:Z747"/>
    <mergeCell ref="D748:Z748"/>
    <mergeCell ref="D749:N749"/>
    <mergeCell ref="Q749:Z749"/>
    <mergeCell ref="D750:N750"/>
    <mergeCell ref="Q750:Z750"/>
    <mergeCell ref="D751:N751"/>
    <mergeCell ref="Q751:Z751"/>
    <mergeCell ref="E779:Z779"/>
    <mergeCell ref="E780:Z780"/>
    <mergeCell ref="E781:Z781"/>
    <mergeCell ref="E782:Z782"/>
    <mergeCell ref="D783:Q783"/>
    <mergeCell ref="S783:Z783"/>
    <mergeCell ref="D784:Z784"/>
    <mergeCell ref="E763:Z763"/>
    <mergeCell ref="E764:Z764"/>
    <mergeCell ref="E765:Z765"/>
    <mergeCell ref="D766:Z766"/>
    <mergeCell ref="D767:Z767"/>
    <mergeCell ref="D768:Z768"/>
    <mergeCell ref="D769:N769"/>
    <mergeCell ref="Q769:Z769"/>
    <mergeCell ref="D776:Z776"/>
    <mergeCell ref="D775:Z775"/>
    <mergeCell ref="D774:Z774"/>
    <mergeCell ref="D791:Z791"/>
    <mergeCell ref="D792:Z792"/>
    <mergeCell ref="D785:Z785"/>
    <mergeCell ref="D786:Z786"/>
    <mergeCell ref="D787:N787"/>
    <mergeCell ref="Q787:Z787"/>
    <mergeCell ref="D788:N788"/>
    <mergeCell ref="Q788:Z788"/>
    <mergeCell ref="D789:N789"/>
    <mergeCell ref="D17:J17"/>
    <mergeCell ref="K17:Z17"/>
    <mergeCell ref="D18:J18"/>
    <mergeCell ref="D19:J19"/>
    <mergeCell ref="K18:Z18"/>
    <mergeCell ref="D31:L31"/>
    <mergeCell ref="D30:L30"/>
    <mergeCell ref="D29:L29"/>
    <mergeCell ref="M29:Z29"/>
    <mergeCell ref="M30:Z30"/>
    <mergeCell ref="M31:Z31"/>
    <mergeCell ref="D770:N770"/>
    <mergeCell ref="Q770:Z770"/>
    <mergeCell ref="D771:N771"/>
    <mergeCell ref="Q771:Z771"/>
    <mergeCell ref="D772:Z772"/>
    <mergeCell ref="D773:Z773"/>
    <mergeCell ref="E761:Z761"/>
    <mergeCell ref="E762:Z762"/>
    <mergeCell ref="Q789:Z789"/>
    <mergeCell ref="D790:Z790"/>
    <mergeCell ref="E777:Z777"/>
    <mergeCell ref="E778:Z778"/>
    <mergeCell ref="D234:Z234"/>
    <mergeCell ref="D235:Z235"/>
    <mergeCell ref="D236:Z236"/>
    <mergeCell ref="D237:Z237"/>
    <mergeCell ref="D238:N238"/>
    <mergeCell ref="Q238:Z238"/>
    <mergeCell ref="D239:N239"/>
    <mergeCell ref="Q239:Z239"/>
    <mergeCell ref="D240:N240"/>
    <mergeCell ref="Q240:Z240"/>
    <mergeCell ref="D241:Z241"/>
    <mergeCell ref="D242:Z242"/>
    <mergeCell ref="D163:Z163"/>
    <mergeCell ref="D164:Z164"/>
    <mergeCell ref="D165:N165"/>
    <mergeCell ref="Q165:Z165"/>
    <mergeCell ref="D166:N166"/>
    <mergeCell ref="Q166:Z166"/>
    <mergeCell ref="D167:N167"/>
    <mergeCell ref="Q167:Z167"/>
    <mergeCell ref="D168:Z168"/>
    <mergeCell ref="D169:Z169"/>
    <mergeCell ref="D229:Z229"/>
    <mergeCell ref="D230:Z230"/>
    <mergeCell ref="D231:N231"/>
    <mergeCell ref="Q231:Z231"/>
    <mergeCell ref="D232:N232"/>
    <mergeCell ref="Q232:Z232"/>
    <mergeCell ref="D233:N233"/>
    <mergeCell ref="Q233:Z233"/>
    <mergeCell ref="E180:Z180"/>
    <mergeCell ref="D185:Z185"/>
  </mergeCells>
  <conditionalFormatting sqref="J1">
    <cfRule type="cellIs" dxfId="908" priority="1253" operator="equal">
      <formula>"SHEET COMPLETE"</formula>
    </cfRule>
    <cfRule type="cellIs" dxfId="907" priority="1254" operator="equal">
      <formula>"SHEET NOT COMPLETE"</formula>
    </cfRule>
  </conditionalFormatting>
  <conditionalFormatting sqref="D175:D176 E194:Z198 D192:D193 E214:Z215 D212:D213 K17:K19 M29:M31 B810:B868">
    <cfRule type="containsBlanks" dxfId="906" priority="1252">
      <formula>LEN(TRIM(B17))=0</formula>
    </cfRule>
  </conditionalFormatting>
  <conditionalFormatting sqref="D34 D36">
    <cfRule type="containsBlanks" dxfId="905" priority="1248">
      <formula>LEN(TRIM(D34))=0</formula>
    </cfRule>
  </conditionalFormatting>
  <conditionalFormatting sqref="B91:B94">
    <cfRule type="containsBlanks" dxfId="904" priority="1245">
      <formula>LEN(TRIM(B91))=0</formula>
    </cfRule>
  </conditionalFormatting>
  <conditionalFormatting sqref="P93">
    <cfRule type="containsBlanks" dxfId="903" priority="1244">
      <formula>LEN(TRIM(P93))=0</formula>
    </cfRule>
  </conditionalFormatting>
  <conditionalFormatting sqref="O94">
    <cfRule type="containsBlanks" dxfId="902" priority="1243">
      <formula>LEN(TRIM(O94))=0</formula>
    </cfRule>
  </conditionalFormatting>
  <conditionalFormatting sqref="B117:B119">
    <cfRule type="containsBlanks" dxfId="901" priority="1242">
      <formula>LEN(TRIM(B117))=0</formula>
    </cfRule>
  </conditionalFormatting>
  <conditionalFormatting sqref="B70">
    <cfRule type="containsBlanks" dxfId="900" priority="1229">
      <formula>LEN(TRIM(B70))=0</formula>
    </cfRule>
  </conditionalFormatting>
  <conditionalFormatting sqref="D70:N70 Q70:Z70">
    <cfRule type="cellIs" dxfId="899" priority="1224" operator="equal">
      <formula>"Show"</formula>
    </cfRule>
    <cfRule type="cellIs" dxfId="898" priority="1226" operator="equal">
      <formula>"Hide"</formula>
    </cfRule>
    <cfRule type="containsBlanks" dxfId="897" priority="1228">
      <formula>LEN(TRIM(D70))=0</formula>
    </cfRule>
  </conditionalFormatting>
  <conditionalFormatting sqref="D72:N73">
    <cfRule type="expression" dxfId="896" priority="1227">
      <formula>AND(D70="Show",D72="")</formula>
    </cfRule>
  </conditionalFormatting>
  <conditionalFormatting sqref="Q72:Z73">
    <cfRule type="expression" dxfId="895" priority="1225">
      <formula>AND(Q70="Show",Q72="")</formula>
    </cfRule>
  </conditionalFormatting>
  <conditionalFormatting sqref="D70:N70">
    <cfRule type="expression" dxfId="894" priority="1223">
      <formula>OR(D70="Show",D70="Hide")</formula>
    </cfRule>
  </conditionalFormatting>
  <conditionalFormatting sqref="D71:N71">
    <cfRule type="expression" dxfId="893" priority="1222">
      <formula>OR(D70="Show",D70="Hide")</formula>
    </cfRule>
  </conditionalFormatting>
  <conditionalFormatting sqref="D72:N72">
    <cfRule type="expression" dxfId="892" priority="1221">
      <formula>OR(D70="Show",D70="Hide")</formula>
    </cfRule>
  </conditionalFormatting>
  <conditionalFormatting sqref="Q70:Z70">
    <cfRule type="expression" dxfId="891" priority="1220">
      <formula>OR(Q70="Show",Q70="Hide")</formula>
    </cfRule>
  </conditionalFormatting>
  <conditionalFormatting sqref="Q71:Z71">
    <cfRule type="expression" dxfId="890" priority="1219">
      <formula>OR(Q70="Show",Q70="Hide")</formula>
    </cfRule>
  </conditionalFormatting>
  <conditionalFormatting sqref="Q72:Z72">
    <cfRule type="expression" dxfId="889" priority="1218">
      <formula>OR(Q70="Show",Q70="Hide")</formula>
    </cfRule>
  </conditionalFormatting>
  <conditionalFormatting sqref="D80:N80">
    <cfRule type="expression" dxfId="888" priority="1217">
      <formula>AND(D78="Show",D80="")</formula>
    </cfRule>
  </conditionalFormatting>
  <conditionalFormatting sqref="Q80:Z80">
    <cfRule type="expression" dxfId="887" priority="1216">
      <formula>AND(Q78="Show",Q80="")</formula>
    </cfRule>
  </conditionalFormatting>
  <conditionalFormatting sqref="D77:N77 Q77:Z77">
    <cfRule type="cellIs" dxfId="886" priority="1210" operator="equal">
      <formula>"Show"</formula>
    </cfRule>
    <cfRule type="cellIs" dxfId="885" priority="1212" operator="equal">
      <formula>"Hide"</formula>
    </cfRule>
    <cfRule type="containsBlanks" dxfId="884" priority="1214">
      <formula>LEN(TRIM(D77))=0</formula>
    </cfRule>
  </conditionalFormatting>
  <conditionalFormatting sqref="D79:N79">
    <cfRule type="expression" dxfId="883" priority="1213">
      <formula>AND(D77="Show",D79="")</formula>
    </cfRule>
  </conditionalFormatting>
  <conditionalFormatting sqref="Q79:Z79">
    <cfRule type="expression" dxfId="882" priority="1211">
      <formula>AND(Q77="Show",Q79="")</formula>
    </cfRule>
  </conditionalFormatting>
  <conditionalFormatting sqref="D77:N77">
    <cfRule type="expression" dxfId="881" priority="1209">
      <formula>OR(D77="Show",D77="Hide")</formula>
    </cfRule>
  </conditionalFormatting>
  <conditionalFormatting sqref="D78:N78">
    <cfRule type="expression" dxfId="880" priority="1208">
      <formula>OR(D77="Show",D77="Hide")</formula>
    </cfRule>
  </conditionalFormatting>
  <conditionalFormatting sqref="D79:N79">
    <cfRule type="expression" dxfId="879" priority="1207">
      <formula>OR(D77="Show",D77="Hide")</formula>
    </cfRule>
  </conditionalFormatting>
  <conditionalFormatting sqref="Q77:Z77">
    <cfRule type="expression" dxfId="878" priority="1206">
      <formula>OR(Q77="Show",Q77="Hide")</formula>
    </cfRule>
  </conditionalFormatting>
  <conditionalFormatting sqref="Q78:Z78">
    <cfRule type="expression" dxfId="877" priority="1205">
      <formula>OR(Q77="Show",Q77="Hide")</formula>
    </cfRule>
  </conditionalFormatting>
  <conditionalFormatting sqref="Q79:Z79">
    <cfRule type="expression" dxfId="876" priority="1204">
      <formula>OR(Q77="Show",Q77="Hide")</formula>
    </cfRule>
  </conditionalFormatting>
  <conditionalFormatting sqref="D87:N87">
    <cfRule type="expression" dxfId="875" priority="1203">
      <formula>AND(D85="Show",D87="")</formula>
    </cfRule>
  </conditionalFormatting>
  <conditionalFormatting sqref="Q87:Z87">
    <cfRule type="expression" dxfId="874" priority="1202">
      <formula>AND(Q85="Show",Q87="")</formula>
    </cfRule>
  </conditionalFormatting>
  <conditionalFormatting sqref="D84:N84 Q84:Z84">
    <cfRule type="cellIs" dxfId="873" priority="1196" operator="equal">
      <formula>"Show"</formula>
    </cfRule>
    <cfRule type="cellIs" dxfId="872" priority="1198" operator="equal">
      <formula>"Hide"</formula>
    </cfRule>
    <cfRule type="containsBlanks" dxfId="871" priority="1200">
      <formula>LEN(TRIM(D84))=0</formula>
    </cfRule>
  </conditionalFormatting>
  <conditionalFormatting sqref="D86:N86">
    <cfRule type="expression" dxfId="870" priority="1199">
      <formula>AND(D84="Show",D86="")</formula>
    </cfRule>
  </conditionalFormatting>
  <conditionalFormatting sqref="Q86:Z86">
    <cfRule type="expression" dxfId="869" priority="1197">
      <formula>AND(Q84="Show",Q86="")</formula>
    </cfRule>
  </conditionalFormatting>
  <conditionalFormatting sqref="D84:N84">
    <cfRule type="expression" dxfId="868" priority="1195">
      <formula>OR(D84="Show",D84="Hide")</formula>
    </cfRule>
  </conditionalFormatting>
  <conditionalFormatting sqref="D85:N85">
    <cfRule type="expression" dxfId="867" priority="1194">
      <formula>OR(D84="Show",D84="Hide")</formula>
    </cfRule>
  </conditionalFormatting>
  <conditionalFormatting sqref="D86:N86">
    <cfRule type="expression" dxfId="866" priority="1193">
      <formula>OR(D84="Show",D84="Hide")</formula>
    </cfRule>
  </conditionalFormatting>
  <conditionalFormatting sqref="Q84:Z84">
    <cfRule type="expression" dxfId="865" priority="1192">
      <formula>OR(Q84="Show",Q84="Hide")</formula>
    </cfRule>
  </conditionalFormatting>
  <conditionalFormatting sqref="Q85:Z85">
    <cfRule type="expression" dxfId="864" priority="1191">
      <formula>OR(Q84="Show",Q84="Hide")</formula>
    </cfRule>
  </conditionalFormatting>
  <conditionalFormatting sqref="Q86:Z86">
    <cfRule type="expression" dxfId="863" priority="1190">
      <formula>OR(Q84="Show",Q84="Hide")</formula>
    </cfRule>
  </conditionalFormatting>
  <conditionalFormatting sqref="D101:N101">
    <cfRule type="expression" dxfId="862" priority="1105">
      <formula>AND(D99="Show",D101="")</formula>
    </cfRule>
  </conditionalFormatting>
  <conditionalFormatting sqref="Q101:Z101">
    <cfRule type="expression" dxfId="861" priority="1104">
      <formula>AND(Q99="Show",Q101="")</formula>
    </cfRule>
  </conditionalFormatting>
  <conditionalFormatting sqref="D98:N98 Q98:Z98">
    <cfRule type="cellIs" dxfId="860" priority="1098" operator="equal">
      <formula>"Show"</formula>
    </cfRule>
    <cfRule type="cellIs" dxfId="859" priority="1100" operator="equal">
      <formula>"Hide"</formula>
    </cfRule>
    <cfRule type="containsBlanks" dxfId="858" priority="1102">
      <formula>LEN(TRIM(D98))=0</formula>
    </cfRule>
  </conditionalFormatting>
  <conditionalFormatting sqref="D100:N100">
    <cfRule type="expression" dxfId="857" priority="1101">
      <formula>AND(D98="Show",D100="")</formula>
    </cfRule>
  </conditionalFormatting>
  <conditionalFormatting sqref="Q100:Z100">
    <cfRule type="expression" dxfId="856" priority="1099">
      <formula>AND(Q98="Show",Q100="")</formula>
    </cfRule>
  </conditionalFormatting>
  <conditionalFormatting sqref="D98:N98">
    <cfRule type="expression" dxfId="855" priority="1097">
      <formula>OR(D98="Show",D98="Hide")</formula>
    </cfRule>
  </conditionalFormatting>
  <conditionalFormatting sqref="D99:N99">
    <cfRule type="expression" dxfId="854" priority="1096">
      <formula>OR(D98="Show",D98="Hide")</formula>
    </cfRule>
  </conditionalFormatting>
  <conditionalFormatting sqref="D100:N100">
    <cfRule type="expression" dxfId="853" priority="1095">
      <formula>OR(D98="Show",D98="Hide")</formula>
    </cfRule>
  </conditionalFormatting>
  <conditionalFormatting sqref="Q98:Z98">
    <cfRule type="expression" dxfId="852" priority="1094">
      <formula>OR(Q98="Show",Q98="Hide")</formula>
    </cfRule>
  </conditionalFormatting>
  <conditionalFormatting sqref="Q99:Z99">
    <cfRule type="expression" dxfId="851" priority="1093">
      <formula>OR(Q98="Show",Q98="Hide")</formula>
    </cfRule>
  </conditionalFormatting>
  <conditionalFormatting sqref="Q100:Z100">
    <cfRule type="expression" dxfId="850" priority="1092">
      <formula>OR(Q98="Show",Q98="Hide")</formula>
    </cfRule>
  </conditionalFormatting>
  <conditionalFormatting sqref="D108:N108">
    <cfRule type="expression" dxfId="849" priority="1091">
      <formula>AND(D106="Show",D108="")</formula>
    </cfRule>
  </conditionalFormatting>
  <conditionalFormatting sqref="Q108:Z108">
    <cfRule type="expression" dxfId="848" priority="1090">
      <formula>AND(Q106="Show",Q108="")</formula>
    </cfRule>
  </conditionalFormatting>
  <conditionalFormatting sqref="D105:N105 Q105:Z105">
    <cfRule type="cellIs" dxfId="847" priority="1084" operator="equal">
      <formula>"Show"</formula>
    </cfRule>
    <cfRule type="cellIs" dxfId="846" priority="1086" operator="equal">
      <formula>"Hide"</formula>
    </cfRule>
    <cfRule type="containsBlanks" dxfId="845" priority="1088">
      <formula>LEN(TRIM(D105))=0</formula>
    </cfRule>
  </conditionalFormatting>
  <conditionalFormatting sqref="D107:N107">
    <cfRule type="expression" dxfId="844" priority="1087">
      <formula>AND(D105="Show",D107="")</formula>
    </cfRule>
  </conditionalFormatting>
  <conditionalFormatting sqref="Q107:Z107">
    <cfRule type="expression" dxfId="843" priority="1085">
      <formula>AND(Q105="Show",Q107="")</formula>
    </cfRule>
  </conditionalFormatting>
  <conditionalFormatting sqref="D105:N105">
    <cfRule type="expression" dxfId="842" priority="1083">
      <formula>OR(D105="Show",D105="Hide")</formula>
    </cfRule>
  </conditionalFormatting>
  <conditionalFormatting sqref="D106:N106">
    <cfRule type="expression" dxfId="841" priority="1082">
      <formula>OR(D105="Show",D105="Hide")</formula>
    </cfRule>
  </conditionalFormatting>
  <conditionalFormatting sqref="D107:N107">
    <cfRule type="expression" dxfId="840" priority="1081">
      <formula>OR(D105="Show",D105="Hide")</formula>
    </cfRule>
  </conditionalFormatting>
  <conditionalFormatting sqref="Q105:Z105">
    <cfRule type="expression" dxfId="839" priority="1080">
      <formula>OR(Q105="Show",Q105="Hide")</formula>
    </cfRule>
  </conditionalFormatting>
  <conditionalFormatting sqref="Q106:Z106">
    <cfRule type="expression" dxfId="838" priority="1079">
      <formula>OR(Q105="Show",Q105="Hide")</formula>
    </cfRule>
  </conditionalFormatting>
  <conditionalFormatting sqref="Q107:Z107">
    <cfRule type="expression" dxfId="837" priority="1078">
      <formula>OR(Q105="Show",Q105="Hide")</formula>
    </cfRule>
  </conditionalFormatting>
  <conditionalFormatting sqref="D115:N115">
    <cfRule type="expression" dxfId="836" priority="1077">
      <formula>AND(D113="Show",D115="")</formula>
    </cfRule>
  </conditionalFormatting>
  <conditionalFormatting sqref="Q115:Z115">
    <cfRule type="expression" dxfId="835" priority="1076">
      <formula>AND(Q113="Show",Q115="")</formula>
    </cfRule>
  </conditionalFormatting>
  <conditionalFormatting sqref="D112:N112 Q112:Z112">
    <cfRule type="cellIs" dxfId="834" priority="1070" operator="equal">
      <formula>"Show"</formula>
    </cfRule>
    <cfRule type="cellIs" dxfId="833" priority="1072" operator="equal">
      <formula>"Hide"</formula>
    </cfRule>
    <cfRule type="containsBlanks" dxfId="832" priority="1074">
      <formula>LEN(TRIM(D112))=0</formula>
    </cfRule>
  </conditionalFormatting>
  <conditionalFormatting sqref="D114:N114">
    <cfRule type="expression" dxfId="831" priority="1073">
      <formula>AND(D112="Show",D114="")</formula>
    </cfRule>
  </conditionalFormatting>
  <conditionalFormatting sqref="Q114:Z114">
    <cfRule type="expression" dxfId="830" priority="1071">
      <formula>AND(Q112="Show",Q114="")</formula>
    </cfRule>
  </conditionalFormatting>
  <conditionalFormatting sqref="D112:N112">
    <cfRule type="expression" dxfId="829" priority="1069">
      <formula>OR(D112="Show",D112="Hide")</formula>
    </cfRule>
  </conditionalFormatting>
  <conditionalFormatting sqref="D113:N113">
    <cfRule type="expression" dxfId="828" priority="1068">
      <formula>OR(D112="Show",D112="Hide")</formula>
    </cfRule>
  </conditionalFormatting>
  <conditionalFormatting sqref="D114:N114">
    <cfRule type="expression" dxfId="827" priority="1067">
      <formula>OR(D112="Show",D112="Hide")</formula>
    </cfRule>
  </conditionalFormatting>
  <conditionalFormatting sqref="Q112:Z112">
    <cfRule type="expression" dxfId="826" priority="1066">
      <formula>OR(Q112="Show",Q112="Hide")</formula>
    </cfRule>
  </conditionalFormatting>
  <conditionalFormatting sqref="Q113:Z113">
    <cfRule type="expression" dxfId="825" priority="1065">
      <formula>OR(Q112="Show",Q112="Hide")</formula>
    </cfRule>
  </conditionalFormatting>
  <conditionalFormatting sqref="Q114:Z114">
    <cfRule type="expression" dxfId="824" priority="1064">
      <formula>OR(Q112="Show",Q112="Hide")</formula>
    </cfRule>
  </conditionalFormatting>
  <conditionalFormatting sqref="B89:B90">
    <cfRule type="containsBlanks" dxfId="823" priority="979">
      <formula>LEN(TRIM(B89))=0</formula>
    </cfRule>
  </conditionalFormatting>
  <conditionalFormatting sqref="B807:B809">
    <cfRule type="containsBlanks" dxfId="822" priority="891">
      <formula>LEN(TRIM(B807))=0</formula>
    </cfRule>
  </conditionalFormatting>
  <conditionalFormatting sqref="E64:Z66">
    <cfRule type="containsBlanks" dxfId="821" priority="889">
      <formula>LEN(TRIM(E64))=0</formula>
    </cfRule>
  </conditionalFormatting>
  <conditionalFormatting sqref="I172:I173">
    <cfRule type="containsBlanks" dxfId="820" priority="887">
      <formula>LEN(TRIM(I172))=0</formula>
    </cfRule>
  </conditionalFormatting>
  <conditionalFormatting sqref="D120:N120">
    <cfRule type="expression" dxfId="819" priority="885">
      <formula>AND(D119="Show",D120="")</formula>
    </cfRule>
  </conditionalFormatting>
  <conditionalFormatting sqref="Q120:Z120">
    <cfRule type="expression" dxfId="818" priority="884">
      <formula>AND(Q119="Show",Q120="")</formula>
    </cfRule>
  </conditionalFormatting>
  <conditionalFormatting sqref="E177:Z178">
    <cfRule type="containsBlanks" dxfId="817" priority="881">
      <formula>LEN(TRIM(E177))=0</formula>
    </cfRule>
  </conditionalFormatting>
  <conditionalFormatting sqref="B175 B177:B178">
    <cfRule type="containsBlanks" dxfId="816" priority="880">
      <formula>LEN(TRIM(B175))=0</formula>
    </cfRule>
  </conditionalFormatting>
  <conditionalFormatting sqref="B192:B198">
    <cfRule type="containsBlanks" dxfId="815" priority="878">
      <formula>LEN(TRIM(B192))=0</formula>
    </cfRule>
  </conditionalFormatting>
  <conditionalFormatting sqref="B212:B215">
    <cfRule type="containsBlanks" dxfId="814" priority="876">
      <formula>LEN(TRIM(B212))=0</formula>
    </cfRule>
  </conditionalFormatting>
  <conditionalFormatting sqref="E180:Z182">
    <cfRule type="containsBlanks" dxfId="813" priority="875">
      <formula>LEN(TRIM(E180))=0</formula>
    </cfRule>
  </conditionalFormatting>
  <conditionalFormatting sqref="B180:B182">
    <cfRule type="containsBlanks" dxfId="812" priority="874">
      <formula>LEN(TRIM(B180))=0</formula>
    </cfRule>
  </conditionalFormatting>
  <conditionalFormatting sqref="E200:Z202">
    <cfRule type="containsBlanks" dxfId="811" priority="871">
      <formula>LEN(TRIM(E200))=0</formula>
    </cfRule>
  </conditionalFormatting>
  <conditionalFormatting sqref="B200:B202">
    <cfRule type="containsBlanks" dxfId="810" priority="870">
      <formula>LEN(TRIM(B200))=0</formula>
    </cfRule>
  </conditionalFormatting>
  <conditionalFormatting sqref="E217:Z219 R220">
    <cfRule type="containsBlanks" dxfId="809" priority="868">
      <formula>LEN(TRIM(E217))=0</formula>
    </cfRule>
  </conditionalFormatting>
  <conditionalFormatting sqref="B217:B220">
    <cfRule type="containsBlanks" dxfId="808" priority="867">
      <formula>LEN(TRIM(B217))=0</formula>
    </cfRule>
  </conditionalFormatting>
  <conditionalFormatting sqref="D189:N189">
    <cfRule type="expression" dxfId="807" priority="866">
      <formula>AND(D187="Show",D189="")</formula>
    </cfRule>
  </conditionalFormatting>
  <conditionalFormatting sqref="Q189:Z189">
    <cfRule type="expression" dxfId="806" priority="865">
      <formula>AND(Q187="Show",Q189="")</formula>
    </cfRule>
  </conditionalFormatting>
  <conditionalFormatting sqref="D186:N186 Q186:Z186">
    <cfRule type="cellIs" dxfId="805" priority="859" operator="equal">
      <formula>"Show"</formula>
    </cfRule>
    <cfRule type="cellIs" dxfId="804" priority="861" operator="equal">
      <formula>"Hide"</formula>
    </cfRule>
    <cfRule type="containsBlanks" dxfId="803" priority="863">
      <formula>LEN(TRIM(D186))=0</formula>
    </cfRule>
  </conditionalFormatting>
  <conditionalFormatting sqref="D188:N188">
    <cfRule type="expression" dxfId="802" priority="862">
      <formula>AND(D186="Show",D188="")</formula>
    </cfRule>
  </conditionalFormatting>
  <conditionalFormatting sqref="Q188:Z188">
    <cfRule type="expression" dxfId="801" priority="860">
      <formula>AND(Q186="Show",Q188="")</formula>
    </cfRule>
  </conditionalFormatting>
  <conditionalFormatting sqref="D186:N186">
    <cfRule type="expression" dxfId="800" priority="858">
      <formula>OR(D186="Show",D186="Hide")</formula>
    </cfRule>
  </conditionalFormatting>
  <conditionalFormatting sqref="D187:N187">
    <cfRule type="expression" dxfId="799" priority="857">
      <formula>OR(D186="Show",D186="Hide")</formula>
    </cfRule>
  </conditionalFormatting>
  <conditionalFormatting sqref="D188:N188">
    <cfRule type="expression" dxfId="798" priority="856">
      <formula>OR(D186="Show",D186="Hide")</formula>
    </cfRule>
  </conditionalFormatting>
  <conditionalFormatting sqref="Q186:Z186">
    <cfRule type="expression" dxfId="797" priority="855">
      <formula>OR(Q186="Show",Q186="Hide")</formula>
    </cfRule>
  </conditionalFormatting>
  <conditionalFormatting sqref="Q187:Z187">
    <cfRule type="expression" dxfId="796" priority="854">
      <formula>OR(Q186="Show",Q186="Hide")</formula>
    </cfRule>
  </conditionalFormatting>
  <conditionalFormatting sqref="Q188:Z188">
    <cfRule type="expression" dxfId="795" priority="853">
      <formula>OR(Q186="Show",Q186="Hide")</formula>
    </cfRule>
  </conditionalFormatting>
  <conditionalFormatting sqref="D209:N209">
    <cfRule type="expression" dxfId="794" priority="824">
      <formula>AND(D207="Show",D209="")</formula>
    </cfRule>
  </conditionalFormatting>
  <conditionalFormatting sqref="Q209:Z209">
    <cfRule type="expression" dxfId="793" priority="823">
      <formula>AND(Q207="Show",Q209="")</formula>
    </cfRule>
  </conditionalFormatting>
  <conditionalFormatting sqref="D206:N206 Q206:Z206">
    <cfRule type="cellIs" dxfId="792" priority="817" operator="equal">
      <formula>"Show"</formula>
    </cfRule>
    <cfRule type="cellIs" dxfId="791" priority="819" operator="equal">
      <formula>"Hide"</formula>
    </cfRule>
    <cfRule type="containsBlanks" dxfId="790" priority="821">
      <formula>LEN(TRIM(D206))=0</formula>
    </cfRule>
  </conditionalFormatting>
  <conditionalFormatting sqref="D208:N208">
    <cfRule type="expression" dxfId="789" priority="820">
      <formula>AND(D206="Show",D208="")</formula>
    </cfRule>
  </conditionalFormatting>
  <conditionalFormatting sqref="Q208:Z208">
    <cfRule type="expression" dxfId="788" priority="818">
      <formula>AND(Q206="Show",Q208="")</formula>
    </cfRule>
  </conditionalFormatting>
  <conditionalFormatting sqref="D206:N206">
    <cfRule type="expression" dxfId="787" priority="816">
      <formula>OR(D206="Show",D206="Hide")</formula>
    </cfRule>
  </conditionalFormatting>
  <conditionalFormatting sqref="D207:N207">
    <cfRule type="expression" dxfId="786" priority="815">
      <formula>OR(D206="Show",D206="Hide")</formula>
    </cfRule>
  </conditionalFormatting>
  <conditionalFormatting sqref="D208:N208">
    <cfRule type="expression" dxfId="785" priority="814">
      <formula>OR(D206="Show",D206="Hide")</formula>
    </cfRule>
  </conditionalFormatting>
  <conditionalFormatting sqref="Q206:Z206">
    <cfRule type="expression" dxfId="784" priority="813">
      <formula>OR(Q206="Show",Q206="Hide")</formula>
    </cfRule>
  </conditionalFormatting>
  <conditionalFormatting sqref="Q207:Z207">
    <cfRule type="expression" dxfId="783" priority="812">
      <formula>OR(Q206="Show",Q206="Hide")</formula>
    </cfRule>
  </conditionalFormatting>
  <conditionalFormatting sqref="Q208:Z208">
    <cfRule type="expression" dxfId="782" priority="811">
      <formula>OR(Q206="Show",Q206="Hide")</formula>
    </cfRule>
  </conditionalFormatting>
  <conditionalFormatting sqref="D227:N227">
    <cfRule type="expression" dxfId="781" priority="810">
      <formula>AND(D225="Show",D227="")</formula>
    </cfRule>
  </conditionalFormatting>
  <conditionalFormatting sqref="Q227:Z227">
    <cfRule type="expression" dxfId="780" priority="809">
      <formula>AND(Q225="Show",Q227="")</formula>
    </cfRule>
  </conditionalFormatting>
  <conditionalFormatting sqref="D224:N224 Q224:Z224">
    <cfRule type="cellIs" dxfId="779" priority="803" operator="equal">
      <formula>"Show"</formula>
    </cfRule>
    <cfRule type="cellIs" dxfId="778" priority="805" operator="equal">
      <formula>"Hide"</formula>
    </cfRule>
    <cfRule type="containsBlanks" dxfId="777" priority="807">
      <formula>LEN(TRIM(D224))=0</formula>
    </cfRule>
  </conditionalFormatting>
  <conditionalFormatting sqref="D226:N226">
    <cfRule type="expression" dxfId="776" priority="806">
      <formula>AND(D224="Show",D226="")</formula>
    </cfRule>
  </conditionalFormatting>
  <conditionalFormatting sqref="Q226:Z226">
    <cfRule type="expression" dxfId="775" priority="804">
      <formula>AND(Q224="Show",Q226="")</formula>
    </cfRule>
  </conditionalFormatting>
  <conditionalFormatting sqref="D224:N224">
    <cfRule type="expression" dxfId="774" priority="802">
      <formula>OR(D224="Show",D224="Hide")</formula>
    </cfRule>
  </conditionalFormatting>
  <conditionalFormatting sqref="D225:N225">
    <cfRule type="expression" dxfId="773" priority="801">
      <formula>OR(D224="Show",D224="Hide")</formula>
    </cfRule>
  </conditionalFormatting>
  <conditionalFormatting sqref="D226:N226">
    <cfRule type="expression" dxfId="772" priority="800">
      <formula>OR(D224="Show",D224="Hide")</formula>
    </cfRule>
  </conditionalFormatting>
  <conditionalFormatting sqref="Q224:Z224">
    <cfRule type="expression" dxfId="771" priority="799">
      <formula>OR(Q224="Show",Q224="Hide")</formula>
    </cfRule>
  </conditionalFormatting>
  <conditionalFormatting sqref="Q225:Z225">
    <cfRule type="expression" dxfId="770" priority="798">
      <formula>OR(Q224="Show",Q224="Hide")</formula>
    </cfRule>
  </conditionalFormatting>
  <conditionalFormatting sqref="Q226:Z226">
    <cfRule type="expression" dxfId="769" priority="797">
      <formula>OR(Q224="Show",Q224="Hide")</formula>
    </cfRule>
  </conditionalFormatting>
  <conditionalFormatting sqref="E801:Z805">
    <cfRule type="containsBlanks" dxfId="768" priority="795">
      <formula>LEN(TRIM(E801))=0</formula>
    </cfRule>
  </conditionalFormatting>
  <conditionalFormatting sqref="B801:B805">
    <cfRule type="containsBlanks" dxfId="767" priority="794">
      <formula>LEN(TRIM(B801))=0</formula>
    </cfRule>
  </conditionalFormatting>
  <conditionalFormatting sqref="B800 B794">
    <cfRule type="containsBlanks" dxfId="766" priority="793">
      <formula>LEN(TRIM(B794))=0</formula>
    </cfRule>
  </conditionalFormatting>
  <conditionalFormatting sqref="E798:Z799">
    <cfRule type="containsBlanks" dxfId="765" priority="792">
      <formula>LEN(TRIM(E798))=0</formula>
    </cfRule>
  </conditionalFormatting>
  <conditionalFormatting sqref="B796:B799">
    <cfRule type="containsBlanks" dxfId="764" priority="791">
      <formula>LEN(TRIM(B796))=0</formula>
    </cfRule>
  </conditionalFormatting>
  <conditionalFormatting sqref="E796:Z797">
    <cfRule type="containsBlanks" dxfId="763" priority="790">
      <formula>LEN(TRIM(E796))=0</formula>
    </cfRule>
  </conditionalFormatting>
  <conditionalFormatting sqref="B806">
    <cfRule type="containsBlanks" dxfId="762" priority="789">
      <formula>LEN(TRIM(B806))=0</formula>
    </cfRule>
  </conditionalFormatting>
  <conditionalFormatting sqref="D933:Z933">
    <cfRule type="expression" dxfId="761" priority="787">
      <formula>$B$816=0</formula>
    </cfRule>
  </conditionalFormatting>
  <conditionalFormatting sqref="D934:Z934">
    <cfRule type="expression" dxfId="760" priority="786">
      <formula>$B$808=0</formula>
    </cfRule>
  </conditionalFormatting>
  <conditionalFormatting sqref="I247:I248">
    <cfRule type="containsBlanks" dxfId="759" priority="785">
      <formula>LEN(TRIM(I247))=0</formula>
    </cfRule>
  </conditionalFormatting>
  <conditionalFormatting sqref="B246:B249">
    <cfRule type="containsBlanks" dxfId="758" priority="783">
      <formula>LEN(TRIM(B246))=0</formula>
    </cfRule>
  </conditionalFormatting>
  <conditionalFormatting sqref="E252:Z253">
    <cfRule type="containsBlanks" dxfId="757" priority="781">
      <formula>LEN(TRIM(E252))=0</formula>
    </cfRule>
  </conditionalFormatting>
  <conditionalFormatting sqref="B252:B253">
    <cfRule type="containsBlanks" dxfId="756" priority="780">
      <formula>LEN(TRIM(B252))=0</formula>
    </cfRule>
  </conditionalFormatting>
  <conditionalFormatting sqref="B269:B273">
    <cfRule type="containsBlanks" dxfId="755" priority="779">
      <formula>LEN(TRIM(B269))=0</formula>
    </cfRule>
  </conditionalFormatting>
  <conditionalFormatting sqref="B289:B290">
    <cfRule type="containsBlanks" dxfId="754" priority="778">
      <formula>LEN(TRIM(B289))=0</formula>
    </cfRule>
  </conditionalFormatting>
  <conditionalFormatting sqref="E255:Z257">
    <cfRule type="containsBlanks" dxfId="753" priority="777">
      <formula>LEN(TRIM(E255))=0</formula>
    </cfRule>
  </conditionalFormatting>
  <conditionalFormatting sqref="B255:B257">
    <cfRule type="containsBlanks" dxfId="752" priority="776">
      <formula>LEN(TRIM(B255))=0</formula>
    </cfRule>
  </conditionalFormatting>
  <conditionalFormatting sqref="E269:Z273">
    <cfRule type="containsBlanks" dxfId="751" priority="775">
      <formula>LEN(TRIM(E269))=0</formula>
    </cfRule>
  </conditionalFormatting>
  <conditionalFormatting sqref="E275:Z277">
    <cfRule type="containsBlanks" dxfId="750" priority="773">
      <formula>LEN(TRIM(E275))=0</formula>
    </cfRule>
  </conditionalFormatting>
  <conditionalFormatting sqref="B275:B277">
    <cfRule type="containsBlanks" dxfId="749" priority="772">
      <formula>LEN(TRIM(B275))=0</formula>
    </cfRule>
  </conditionalFormatting>
  <conditionalFormatting sqref="E289:Z290">
    <cfRule type="containsBlanks" dxfId="748" priority="771">
      <formula>LEN(TRIM(E289))=0</formula>
    </cfRule>
  </conditionalFormatting>
  <conditionalFormatting sqref="E292:Z294 R295">
    <cfRule type="containsBlanks" dxfId="747" priority="770">
      <formula>LEN(TRIM(E292))=0</formula>
    </cfRule>
  </conditionalFormatting>
  <conditionalFormatting sqref="B292:B295">
    <cfRule type="containsBlanks" dxfId="746" priority="769">
      <formula>LEN(TRIM(B292))=0</formula>
    </cfRule>
  </conditionalFormatting>
  <conditionalFormatting sqref="D264:N264">
    <cfRule type="expression" dxfId="745" priority="768">
      <formula>AND(D262="Show",D264="")</formula>
    </cfRule>
  </conditionalFormatting>
  <conditionalFormatting sqref="Q264:Z264">
    <cfRule type="expression" dxfId="744" priority="767">
      <formula>AND(Q262="Show",Q264="")</formula>
    </cfRule>
  </conditionalFormatting>
  <conditionalFormatting sqref="D261:N261 Q261:Z261">
    <cfRule type="cellIs" dxfId="743" priority="761" operator="equal">
      <formula>"Show"</formula>
    </cfRule>
    <cfRule type="cellIs" dxfId="742" priority="763" operator="equal">
      <formula>"Hide"</formula>
    </cfRule>
    <cfRule type="containsBlanks" dxfId="741" priority="765">
      <formula>LEN(TRIM(D261))=0</formula>
    </cfRule>
  </conditionalFormatting>
  <conditionalFormatting sqref="D263:N263">
    <cfRule type="expression" dxfId="740" priority="764">
      <formula>AND(D261="Show",D263="")</formula>
    </cfRule>
  </conditionalFormatting>
  <conditionalFormatting sqref="Q263:Z263">
    <cfRule type="expression" dxfId="739" priority="762">
      <formula>AND(Q261="Show",Q263="")</formula>
    </cfRule>
  </conditionalFormatting>
  <conditionalFormatting sqref="D261:N261">
    <cfRule type="expression" dxfId="738" priority="760">
      <formula>OR(D261="Show",D261="Hide")</formula>
    </cfRule>
  </conditionalFormatting>
  <conditionalFormatting sqref="D262:N262">
    <cfRule type="expression" dxfId="737" priority="759">
      <formula>OR(D261="Show",D261="Hide")</formula>
    </cfRule>
  </conditionalFormatting>
  <conditionalFormatting sqref="D263:N263">
    <cfRule type="expression" dxfId="736" priority="758">
      <formula>OR(D261="Show",D261="Hide")</formula>
    </cfRule>
  </conditionalFormatting>
  <conditionalFormatting sqref="Q261:Z261">
    <cfRule type="expression" dxfId="735" priority="757">
      <formula>OR(Q261="Show",Q261="Hide")</formula>
    </cfRule>
  </conditionalFormatting>
  <conditionalFormatting sqref="Q262:Z262">
    <cfRule type="expression" dxfId="734" priority="756">
      <formula>OR(Q261="Show",Q261="Hide")</formula>
    </cfRule>
  </conditionalFormatting>
  <conditionalFormatting sqref="Q263:Z263">
    <cfRule type="expression" dxfId="733" priority="755">
      <formula>OR(Q261="Show",Q261="Hide")</formula>
    </cfRule>
  </conditionalFormatting>
  <conditionalFormatting sqref="D284:N284">
    <cfRule type="expression" dxfId="732" priority="754">
      <formula>AND(D282="Show",D284="")</formula>
    </cfRule>
  </conditionalFormatting>
  <conditionalFormatting sqref="Q284:Z284">
    <cfRule type="expression" dxfId="731" priority="753">
      <formula>AND(Q282="Show",Q284="")</formula>
    </cfRule>
  </conditionalFormatting>
  <conditionalFormatting sqref="D281:N281 Q281:Z281">
    <cfRule type="cellIs" dxfId="730" priority="747" operator="equal">
      <formula>"Show"</formula>
    </cfRule>
    <cfRule type="cellIs" dxfId="729" priority="749" operator="equal">
      <formula>"Hide"</formula>
    </cfRule>
    <cfRule type="containsBlanks" dxfId="728" priority="751">
      <formula>LEN(TRIM(D281))=0</formula>
    </cfRule>
  </conditionalFormatting>
  <conditionalFormatting sqref="D283:N283">
    <cfRule type="expression" dxfId="727" priority="750">
      <formula>AND(D281="Show",D283="")</formula>
    </cfRule>
  </conditionalFormatting>
  <conditionalFormatting sqref="Q283:Z283">
    <cfRule type="expression" dxfId="726" priority="748">
      <formula>AND(Q281="Show",Q283="")</formula>
    </cfRule>
  </conditionalFormatting>
  <conditionalFormatting sqref="D281:N281">
    <cfRule type="expression" dxfId="725" priority="746">
      <formula>OR(D281="Show",D281="Hide")</formula>
    </cfRule>
  </conditionalFormatting>
  <conditionalFormatting sqref="D282:N282">
    <cfRule type="expression" dxfId="724" priority="745">
      <formula>OR(D281="Show",D281="Hide")</formula>
    </cfRule>
  </conditionalFormatting>
  <conditionalFormatting sqref="D283:N283">
    <cfRule type="expression" dxfId="723" priority="744">
      <formula>OR(D281="Show",D281="Hide")</formula>
    </cfRule>
  </conditionalFormatting>
  <conditionalFormatting sqref="Q281:Z281">
    <cfRule type="expression" dxfId="722" priority="743">
      <formula>OR(Q281="Show",Q281="Hide")</formula>
    </cfRule>
  </conditionalFormatting>
  <conditionalFormatting sqref="Q282:Z282">
    <cfRule type="expression" dxfId="721" priority="742">
      <formula>OR(Q281="Show",Q281="Hide")</formula>
    </cfRule>
  </conditionalFormatting>
  <conditionalFormatting sqref="Q283:Z283">
    <cfRule type="expression" dxfId="720" priority="741">
      <formula>OR(Q281="Show",Q281="Hide")</formula>
    </cfRule>
  </conditionalFormatting>
  <conditionalFormatting sqref="D302:N302">
    <cfRule type="expression" dxfId="719" priority="740">
      <formula>AND(D300="Show",D302="")</formula>
    </cfRule>
  </conditionalFormatting>
  <conditionalFormatting sqref="Q302:Z302">
    <cfRule type="expression" dxfId="718" priority="739">
      <formula>AND(Q300="Show",Q302="")</formula>
    </cfRule>
  </conditionalFormatting>
  <conditionalFormatting sqref="D299:N299 Q299:Z299">
    <cfRule type="cellIs" dxfId="717" priority="733" operator="equal">
      <formula>"Show"</formula>
    </cfRule>
    <cfRule type="cellIs" dxfId="716" priority="735" operator="equal">
      <formula>"Hide"</formula>
    </cfRule>
    <cfRule type="containsBlanks" dxfId="715" priority="737">
      <formula>LEN(TRIM(D299))=0</formula>
    </cfRule>
  </conditionalFormatting>
  <conditionalFormatting sqref="D301:N301">
    <cfRule type="expression" dxfId="714" priority="736">
      <formula>AND(D299="Show",D301="")</formula>
    </cfRule>
  </conditionalFormatting>
  <conditionalFormatting sqref="Q301:Z301">
    <cfRule type="expression" dxfId="713" priority="734">
      <formula>AND(Q299="Show",Q301="")</formula>
    </cfRule>
  </conditionalFormatting>
  <conditionalFormatting sqref="D299:N299">
    <cfRule type="expression" dxfId="712" priority="732">
      <formula>OR(D299="Show",D299="Hide")</formula>
    </cfRule>
  </conditionalFormatting>
  <conditionalFormatting sqref="D300:N300">
    <cfRule type="expression" dxfId="711" priority="731">
      <formula>OR(D299="Show",D299="Hide")</formula>
    </cfRule>
  </conditionalFormatting>
  <conditionalFormatting sqref="D301:N301">
    <cfRule type="expression" dxfId="710" priority="730">
      <formula>OR(D299="Show",D299="Hide")</formula>
    </cfRule>
  </conditionalFormatting>
  <conditionalFormatting sqref="Q299:Z299">
    <cfRule type="expression" dxfId="709" priority="729">
      <formula>OR(Q299="Show",Q299="Hide")</formula>
    </cfRule>
  </conditionalFormatting>
  <conditionalFormatting sqref="Q300:Z300">
    <cfRule type="expression" dxfId="708" priority="728">
      <formula>OR(Q299="Show",Q299="Hide")</formula>
    </cfRule>
  </conditionalFormatting>
  <conditionalFormatting sqref="Q301:Z301">
    <cfRule type="expression" dxfId="707" priority="727">
      <formula>OR(Q299="Show",Q299="Hide")</formula>
    </cfRule>
  </conditionalFormatting>
  <conditionalFormatting sqref="Y244">
    <cfRule type="containsBlanks" dxfId="706" priority="726">
      <formula>LEN(TRIM(Y244))=0</formula>
    </cfRule>
  </conditionalFormatting>
  <conditionalFormatting sqref="I308:I309">
    <cfRule type="containsBlanks" dxfId="705" priority="724">
      <formula>LEN(TRIM(I308))=0</formula>
    </cfRule>
  </conditionalFormatting>
  <conditionalFormatting sqref="E313:Z314">
    <cfRule type="containsBlanks" dxfId="704" priority="720">
      <formula>LEN(TRIM(E313))=0</formula>
    </cfRule>
  </conditionalFormatting>
  <conditionalFormatting sqref="B313:B314">
    <cfRule type="containsBlanks" dxfId="703" priority="719">
      <formula>LEN(TRIM(B313))=0</formula>
    </cfRule>
  </conditionalFormatting>
  <conditionalFormatting sqref="B330:B334">
    <cfRule type="containsBlanks" dxfId="702" priority="718">
      <formula>LEN(TRIM(B330))=0</formula>
    </cfRule>
  </conditionalFormatting>
  <conditionalFormatting sqref="B350:B351">
    <cfRule type="containsBlanks" dxfId="701" priority="717">
      <formula>LEN(TRIM(B350))=0</formula>
    </cfRule>
  </conditionalFormatting>
  <conditionalFormatting sqref="E316:Z318">
    <cfRule type="containsBlanks" dxfId="700" priority="716">
      <formula>LEN(TRIM(E316))=0</formula>
    </cfRule>
  </conditionalFormatting>
  <conditionalFormatting sqref="B316:B318">
    <cfRule type="containsBlanks" dxfId="699" priority="715">
      <formula>LEN(TRIM(B316))=0</formula>
    </cfRule>
  </conditionalFormatting>
  <conditionalFormatting sqref="E330:Z334">
    <cfRule type="containsBlanks" dxfId="698" priority="714">
      <formula>LEN(TRIM(E330))=0</formula>
    </cfRule>
  </conditionalFormatting>
  <conditionalFormatting sqref="E336:Z338">
    <cfRule type="containsBlanks" dxfId="697" priority="712">
      <formula>LEN(TRIM(E336))=0</formula>
    </cfRule>
  </conditionalFormatting>
  <conditionalFormatting sqref="B336:B338">
    <cfRule type="containsBlanks" dxfId="696" priority="711">
      <formula>LEN(TRIM(B336))=0</formula>
    </cfRule>
  </conditionalFormatting>
  <conditionalFormatting sqref="E350:Z351">
    <cfRule type="containsBlanks" dxfId="695" priority="710">
      <formula>LEN(TRIM(E350))=0</formula>
    </cfRule>
  </conditionalFormatting>
  <conditionalFormatting sqref="E353:Z355 R356">
    <cfRule type="containsBlanks" dxfId="694" priority="709">
      <formula>LEN(TRIM(E353))=0</formula>
    </cfRule>
  </conditionalFormatting>
  <conditionalFormatting sqref="B353:B356">
    <cfRule type="containsBlanks" dxfId="693" priority="708">
      <formula>LEN(TRIM(B353))=0</formula>
    </cfRule>
  </conditionalFormatting>
  <conditionalFormatting sqref="D325:N325">
    <cfRule type="expression" dxfId="692" priority="707">
      <formula>AND(D323="Show",D325="")</formula>
    </cfRule>
  </conditionalFormatting>
  <conditionalFormatting sqref="Q325:Z325">
    <cfRule type="expression" dxfId="691" priority="706">
      <formula>AND(Q323="Show",Q325="")</formula>
    </cfRule>
  </conditionalFormatting>
  <conditionalFormatting sqref="D322:N322 Q322:Z322">
    <cfRule type="cellIs" dxfId="690" priority="700" operator="equal">
      <formula>"Show"</formula>
    </cfRule>
    <cfRule type="cellIs" dxfId="689" priority="702" operator="equal">
      <formula>"Hide"</formula>
    </cfRule>
    <cfRule type="containsBlanks" dxfId="688" priority="704">
      <formula>LEN(TRIM(D322))=0</formula>
    </cfRule>
  </conditionalFormatting>
  <conditionalFormatting sqref="D324:N324">
    <cfRule type="expression" dxfId="687" priority="703">
      <formula>AND(D322="Show",D324="")</formula>
    </cfRule>
  </conditionalFormatting>
  <conditionalFormatting sqref="Q324:Z324">
    <cfRule type="expression" dxfId="686" priority="701">
      <formula>AND(Q322="Show",Q324="")</formula>
    </cfRule>
  </conditionalFormatting>
  <conditionalFormatting sqref="D322:N322">
    <cfRule type="expression" dxfId="685" priority="699">
      <formula>OR(D322="Show",D322="Hide")</formula>
    </cfRule>
  </conditionalFormatting>
  <conditionalFormatting sqref="D323:N323">
    <cfRule type="expression" dxfId="684" priority="698">
      <formula>OR(D322="Show",D322="Hide")</formula>
    </cfRule>
  </conditionalFormatting>
  <conditionalFormatting sqref="D324:N324">
    <cfRule type="expression" dxfId="683" priority="697">
      <formula>OR(D322="Show",D322="Hide")</formula>
    </cfRule>
  </conditionalFormatting>
  <conditionalFormatting sqref="Q322:Z322">
    <cfRule type="expression" dxfId="682" priority="696">
      <formula>OR(Q322="Show",Q322="Hide")</formula>
    </cfRule>
  </conditionalFormatting>
  <conditionalFormatting sqref="Q323:Z323">
    <cfRule type="expression" dxfId="681" priority="695">
      <formula>OR(Q322="Show",Q322="Hide")</formula>
    </cfRule>
  </conditionalFormatting>
  <conditionalFormatting sqref="Q324:Z324">
    <cfRule type="expression" dxfId="680" priority="694">
      <formula>OR(Q322="Show",Q322="Hide")</formula>
    </cfRule>
  </conditionalFormatting>
  <conditionalFormatting sqref="D345:N345">
    <cfRule type="expression" dxfId="679" priority="693">
      <formula>AND(D343="Show",D345="")</formula>
    </cfRule>
  </conditionalFormatting>
  <conditionalFormatting sqref="Q345:Z345">
    <cfRule type="expression" dxfId="678" priority="692">
      <formula>AND(Q343="Show",Q345="")</formula>
    </cfRule>
  </conditionalFormatting>
  <conditionalFormatting sqref="D342:N342 Q342:Z342">
    <cfRule type="cellIs" dxfId="677" priority="686" operator="equal">
      <formula>"Show"</formula>
    </cfRule>
    <cfRule type="cellIs" dxfId="676" priority="688" operator="equal">
      <formula>"Hide"</formula>
    </cfRule>
    <cfRule type="containsBlanks" dxfId="675" priority="690">
      <formula>LEN(TRIM(D342))=0</formula>
    </cfRule>
  </conditionalFormatting>
  <conditionalFormatting sqref="D344:N344">
    <cfRule type="expression" dxfId="674" priority="689">
      <formula>AND(D342="Show",D344="")</formula>
    </cfRule>
  </conditionalFormatting>
  <conditionalFormatting sqref="Q344:Z344">
    <cfRule type="expression" dxfId="673" priority="687">
      <formula>AND(Q342="Show",Q344="")</formula>
    </cfRule>
  </conditionalFormatting>
  <conditionalFormatting sqref="D342:N342">
    <cfRule type="expression" dxfId="672" priority="685">
      <formula>OR(D342="Show",D342="Hide")</formula>
    </cfRule>
  </conditionalFormatting>
  <conditionalFormatting sqref="D343:N343">
    <cfRule type="expression" dxfId="671" priority="684">
      <formula>OR(D342="Show",D342="Hide")</formula>
    </cfRule>
  </conditionalFormatting>
  <conditionalFormatting sqref="D344:N344">
    <cfRule type="expression" dxfId="670" priority="683">
      <formula>OR(D342="Show",D342="Hide")</formula>
    </cfRule>
  </conditionalFormatting>
  <conditionalFormatting sqref="Q342:Z342">
    <cfRule type="expression" dxfId="669" priority="682">
      <formula>OR(Q342="Show",Q342="Hide")</formula>
    </cfRule>
  </conditionalFormatting>
  <conditionalFormatting sqref="Q343:Z343">
    <cfRule type="expression" dxfId="668" priority="681">
      <formula>OR(Q342="Show",Q342="Hide")</formula>
    </cfRule>
  </conditionalFormatting>
  <conditionalFormatting sqref="Q344:Z344">
    <cfRule type="expression" dxfId="667" priority="680">
      <formula>OR(Q342="Show",Q342="Hide")</formula>
    </cfRule>
  </conditionalFormatting>
  <conditionalFormatting sqref="D363:N363">
    <cfRule type="expression" dxfId="666" priority="679">
      <formula>AND(D361="Show",D363="")</formula>
    </cfRule>
  </conditionalFormatting>
  <conditionalFormatting sqref="Q363:Z363">
    <cfRule type="expression" dxfId="665" priority="678">
      <formula>AND(Q361="Show",Q363="")</formula>
    </cfRule>
  </conditionalFormatting>
  <conditionalFormatting sqref="D360:N360 Q360:Z360">
    <cfRule type="cellIs" dxfId="664" priority="672" operator="equal">
      <formula>"Show"</formula>
    </cfRule>
    <cfRule type="cellIs" dxfId="663" priority="674" operator="equal">
      <formula>"Hide"</formula>
    </cfRule>
    <cfRule type="containsBlanks" dxfId="662" priority="676">
      <formula>LEN(TRIM(D360))=0</formula>
    </cfRule>
  </conditionalFormatting>
  <conditionalFormatting sqref="D362:N362">
    <cfRule type="expression" dxfId="661" priority="675">
      <formula>AND(D360="Show",D362="")</formula>
    </cfRule>
  </conditionalFormatting>
  <conditionalFormatting sqref="Q362:Z362">
    <cfRule type="expression" dxfId="660" priority="673">
      <formula>AND(Q360="Show",Q362="")</formula>
    </cfRule>
  </conditionalFormatting>
  <conditionalFormatting sqref="D360:N360">
    <cfRule type="expression" dxfId="659" priority="671">
      <formula>OR(D360="Show",D360="Hide")</formula>
    </cfRule>
  </conditionalFormatting>
  <conditionalFormatting sqref="D361:N361">
    <cfRule type="expression" dxfId="658" priority="670">
      <formula>OR(D360="Show",D360="Hide")</formula>
    </cfRule>
  </conditionalFormatting>
  <conditionalFormatting sqref="D362:N362">
    <cfRule type="expression" dxfId="657" priority="669">
      <formula>OR(D360="Show",D360="Hide")</formula>
    </cfRule>
  </conditionalFormatting>
  <conditionalFormatting sqref="Q360:Z360">
    <cfRule type="expression" dxfId="656" priority="668">
      <formula>OR(Q360="Show",Q360="Hide")</formula>
    </cfRule>
  </conditionalFormatting>
  <conditionalFormatting sqref="Q361:Z361">
    <cfRule type="expression" dxfId="655" priority="667">
      <formula>OR(Q360="Show",Q360="Hide")</formula>
    </cfRule>
  </conditionalFormatting>
  <conditionalFormatting sqref="Q362:Z362">
    <cfRule type="expression" dxfId="654" priority="666">
      <formula>OR(Q360="Show",Q360="Hide")</formula>
    </cfRule>
  </conditionalFormatting>
  <conditionalFormatting sqref="Y305">
    <cfRule type="containsBlanks" dxfId="653" priority="664">
      <formula>LEN(TRIM(Y305))=0</formula>
    </cfRule>
  </conditionalFormatting>
  <conditionalFormatting sqref="I369:I370">
    <cfRule type="containsBlanks" dxfId="652" priority="663">
      <formula>LEN(TRIM(I369))=0</formula>
    </cfRule>
  </conditionalFormatting>
  <conditionalFormatting sqref="E374:Z375">
    <cfRule type="containsBlanks" dxfId="651" priority="660">
      <formula>LEN(TRIM(E374))=0</formula>
    </cfRule>
  </conditionalFormatting>
  <conditionalFormatting sqref="B374:B375">
    <cfRule type="containsBlanks" dxfId="650" priority="659">
      <formula>LEN(TRIM(B374))=0</formula>
    </cfRule>
  </conditionalFormatting>
  <conditionalFormatting sqref="B391:B395">
    <cfRule type="containsBlanks" dxfId="649" priority="658">
      <formula>LEN(TRIM(B391))=0</formula>
    </cfRule>
  </conditionalFormatting>
  <conditionalFormatting sqref="B411:B412">
    <cfRule type="containsBlanks" dxfId="648" priority="657">
      <formula>LEN(TRIM(B411))=0</formula>
    </cfRule>
  </conditionalFormatting>
  <conditionalFormatting sqref="E377:Z379">
    <cfRule type="containsBlanks" dxfId="647" priority="656">
      <formula>LEN(TRIM(E377))=0</formula>
    </cfRule>
  </conditionalFormatting>
  <conditionalFormatting sqref="B377:B379">
    <cfRule type="containsBlanks" dxfId="646" priority="655">
      <formula>LEN(TRIM(B377))=0</formula>
    </cfRule>
  </conditionalFormatting>
  <conditionalFormatting sqref="E391:Z395">
    <cfRule type="containsBlanks" dxfId="645" priority="654">
      <formula>LEN(TRIM(E391))=0</formula>
    </cfRule>
  </conditionalFormatting>
  <conditionalFormatting sqref="E397:Z399">
    <cfRule type="containsBlanks" dxfId="644" priority="652">
      <formula>LEN(TRIM(E397))=0</formula>
    </cfRule>
  </conditionalFormatting>
  <conditionalFormatting sqref="B397:B399">
    <cfRule type="containsBlanks" dxfId="643" priority="651">
      <formula>LEN(TRIM(B397))=0</formula>
    </cfRule>
  </conditionalFormatting>
  <conditionalFormatting sqref="E411:Z412">
    <cfRule type="containsBlanks" dxfId="642" priority="650">
      <formula>LEN(TRIM(E411))=0</formula>
    </cfRule>
  </conditionalFormatting>
  <conditionalFormatting sqref="E414:Z416 R417">
    <cfRule type="containsBlanks" dxfId="641" priority="649">
      <formula>LEN(TRIM(E414))=0</formula>
    </cfRule>
  </conditionalFormatting>
  <conditionalFormatting sqref="B414:B417">
    <cfRule type="containsBlanks" dxfId="640" priority="648">
      <formula>LEN(TRIM(B414))=0</formula>
    </cfRule>
  </conditionalFormatting>
  <conditionalFormatting sqref="D386:N386">
    <cfRule type="expression" dxfId="639" priority="647">
      <formula>AND(D384="Show",D386="")</formula>
    </cfRule>
  </conditionalFormatting>
  <conditionalFormatting sqref="Q386:Z386">
    <cfRule type="expression" dxfId="638" priority="646">
      <formula>AND(Q384="Show",Q386="")</formula>
    </cfRule>
  </conditionalFormatting>
  <conditionalFormatting sqref="D383:N383 Q383:Z383">
    <cfRule type="cellIs" dxfId="637" priority="640" operator="equal">
      <formula>"Show"</formula>
    </cfRule>
    <cfRule type="cellIs" dxfId="636" priority="642" operator="equal">
      <formula>"Hide"</formula>
    </cfRule>
    <cfRule type="containsBlanks" dxfId="635" priority="644">
      <formula>LEN(TRIM(D383))=0</formula>
    </cfRule>
  </conditionalFormatting>
  <conditionalFormatting sqref="D385:N385">
    <cfRule type="expression" dxfId="634" priority="643">
      <formula>AND(D383="Show",D385="")</formula>
    </cfRule>
  </conditionalFormatting>
  <conditionalFormatting sqref="Q385:Z385">
    <cfRule type="expression" dxfId="633" priority="641">
      <formula>AND(Q383="Show",Q385="")</formula>
    </cfRule>
  </conditionalFormatting>
  <conditionalFormatting sqref="D383:N383">
    <cfRule type="expression" dxfId="632" priority="639">
      <formula>OR(D383="Show",D383="Hide")</formula>
    </cfRule>
  </conditionalFormatting>
  <conditionalFormatting sqref="D384:N384">
    <cfRule type="expression" dxfId="631" priority="638">
      <formula>OR(D383="Show",D383="Hide")</formula>
    </cfRule>
  </conditionalFormatting>
  <conditionalFormatting sqref="D385:N385">
    <cfRule type="expression" dxfId="630" priority="637">
      <formula>OR(D383="Show",D383="Hide")</formula>
    </cfRule>
  </conditionalFormatting>
  <conditionalFormatting sqref="Q383:Z383">
    <cfRule type="expression" dxfId="629" priority="636">
      <formula>OR(Q383="Show",Q383="Hide")</formula>
    </cfRule>
  </conditionalFormatting>
  <conditionalFormatting sqref="Q384:Z384">
    <cfRule type="expression" dxfId="628" priority="635">
      <formula>OR(Q383="Show",Q383="Hide")</formula>
    </cfRule>
  </conditionalFormatting>
  <conditionalFormatting sqref="Q385:Z385">
    <cfRule type="expression" dxfId="627" priority="634">
      <formula>OR(Q383="Show",Q383="Hide")</formula>
    </cfRule>
  </conditionalFormatting>
  <conditionalFormatting sqref="D406:N406">
    <cfRule type="expression" dxfId="626" priority="633">
      <formula>AND(D404="Show",D406="")</formula>
    </cfRule>
  </conditionalFormatting>
  <conditionalFormatting sqref="Q406:Z406">
    <cfRule type="expression" dxfId="625" priority="632">
      <formula>AND(Q404="Show",Q406="")</formula>
    </cfRule>
  </conditionalFormatting>
  <conditionalFormatting sqref="D403:N403 Q403:Z403">
    <cfRule type="cellIs" dxfId="624" priority="626" operator="equal">
      <formula>"Show"</formula>
    </cfRule>
    <cfRule type="cellIs" dxfId="623" priority="628" operator="equal">
      <formula>"Hide"</formula>
    </cfRule>
    <cfRule type="containsBlanks" dxfId="622" priority="630">
      <formula>LEN(TRIM(D403))=0</formula>
    </cfRule>
  </conditionalFormatting>
  <conditionalFormatting sqref="D405:N405">
    <cfRule type="expression" dxfId="621" priority="629">
      <formula>AND(D403="Show",D405="")</formula>
    </cfRule>
  </conditionalFormatting>
  <conditionalFormatting sqref="Q405:Z405">
    <cfRule type="expression" dxfId="620" priority="627">
      <formula>AND(Q403="Show",Q405="")</formula>
    </cfRule>
  </conditionalFormatting>
  <conditionalFormatting sqref="D403:N403">
    <cfRule type="expression" dxfId="619" priority="625">
      <formula>OR(D403="Show",D403="Hide")</formula>
    </cfRule>
  </conditionalFormatting>
  <conditionalFormatting sqref="D404:N404">
    <cfRule type="expression" dxfId="618" priority="624">
      <formula>OR(D403="Show",D403="Hide")</formula>
    </cfRule>
  </conditionalFormatting>
  <conditionalFormatting sqref="D405:N405">
    <cfRule type="expression" dxfId="617" priority="623">
      <formula>OR(D403="Show",D403="Hide")</formula>
    </cfRule>
  </conditionalFormatting>
  <conditionalFormatting sqref="Q403:Z403">
    <cfRule type="expression" dxfId="616" priority="622">
      <formula>OR(Q403="Show",Q403="Hide")</formula>
    </cfRule>
  </conditionalFormatting>
  <conditionalFormatting sqref="Q404:Z404">
    <cfRule type="expression" dxfId="615" priority="621">
      <formula>OR(Q403="Show",Q403="Hide")</formula>
    </cfRule>
  </conditionalFormatting>
  <conditionalFormatting sqref="Q405:Z405">
    <cfRule type="expression" dxfId="614" priority="620">
      <formula>OR(Q403="Show",Q403="Hide")</formula>
    </cfRule>
  </conditionalFormatting>
  <conditionalFormatting sqref="D424:N424">
    <cfRule type="expression" dxfId="613" priority="619">
      <formula>AND(D422="Show",D424="")</formula>
    </cfRule>
  </conditionalFormatting>
  <conditionalFormatting sqref="Q424:Z424">
    <cfRule type="expression" dxfId="612" priority="618">
      <formula>AND(Q422="Show",Q424="")</formula>
    </cfRule>
  </conditionalFormatting>
  <conditionalFormatting sqref="D421:N421 Q421:Z421">
    <cfRule type="cellIs" dxfId="611" priority="612" operator="equal">
      <formula>"Show"</formula>
    </cfRule>
    <cfRule type="cellIs" dxfId="610" priority="614" operator="equal">
      <formula>"Hide"</formula>
    </cfRule>
    <cfRule type="containsBlanks" dxfId="609" priority="616">
      <formula>LEN(TRIM(D421))=0</formula>
    </cfRule>
  </conditionalFormatting>
  <conditionalFormatting sqref="D423:N423">
    <cfRule type="expression" dxfId="608" priority="615">
      <formula>AND(D421="Show",D423="")</formula>
    </cfRule>
  </conditionalFormatting>
  <conditionalFormatting sqref="Q423:Z423">
    <cfRule type="expression" dxfId="607" priority="613">
      <formula>AND(Q421="Show",Q423="")</formula>
    </cfRule>
  </conditionalFormatting>
  <conditionalFormatting sqref="D421:N421">
    <cfRule type="expression" dxfId="606" priority="611">
      <formula>OR(D421="Show",D421="Hide")</formula>
    </cfRule>
  </conditionalFormatting>
  <conditionalFormatting sqref="D422:N422">
    <cfRule type="expression" dxfId="605" priority="610">
      <formula>OR(D421="Show",D421="Hide")</formula>
    </cfRule>
  </conditionalFormatting>
  <conditionalFormatting sqref="D423:N423">
    <cfRule type="expression" dxfId="604" priority="609">
      <formula>OR(D421="Show",D421="Hide")</formula>
    </cfRule>
  </conditionalFormatting>
  <conditionalFormatting sqref="Q421:Z421">
    <cfRule type="expression" dxfId="603" priority="608">
      <formula>OR(Q421="Show",Q421="Hide")</formula>
    </cfRule>
  </conditionalFormatting>
  <conditionalFormatting sqref="Q422:Z422">
    <cfRule type="expression" dxfId="602" priority="607">
      <formula>OR(Q421="Show",Q421="Hide")</formula>
    </cfRule>
  </conditionalFormatting>
  <conditionalFormatting sqref="Q423:Z423">
    <cfRule type="expression" dxfId="601" priority="606">
      <formula>OR(Q421="Show",Q421="Hide")</formula>
    </cfRule>
  </conditionalFormatting>
  <conditionalFormatting sqref="Y366">
    <cfRule type="containsBlanks" dxfId="600" priority="604">
      <formula>LEN(TRIM(Y366))=0</formula>
    </cfRule>
  </conditionalFormatting>
  <conditionalFormatting sqref="I430:I431">
    <cfRule type="containsBlanks" dxfId="599" priority="603">
      <formula>LEN(TRIM(I430))=0</formula>
    </cfRule>
  </conditionalFormatting>
  <conditionalFormatting sqref="E435:Z436">
    <cfRule type="containsBlanks" dxfId="598" priority="600">
      <formula>LEN(TRIM(E435))=0</formula>
    </cfRule>
  </conditionalFormatting>
  <conditionalFormatting sqref="B435:B436">
    <cfRule type="containsBlanks" dxfId="597" priority="599">
      <formula>LEN(TRIM(B435))=0</formula>
    </cfRule>
  </conditionalFormatting>
  <conditionalFormatting sqref="B452:B456">
    <cfRule type="containsBlanks" dxfId="596" priority="598">
      <formula>LEN(TRIM(B452))=0</formula>
    </cfRule>
  </conditionalFormatting>
  <conditionalFormatting sqref="B472:B473">
    <cfRule type="containsBlanks" dxfId="595" priority="597">
      <formula>LEN(TRIM(B472))=0</formula>
    </cfRule>
  </conditionalFormatting>
  <conditionalFormatting sqref="E438:Z440">
    <cfRule type="containsBlanks" dxfId="594" priority="596">
      <formula>LEN(TRIM(E438))=0</formula>
    </cfRule>
  </conditionalFormatting>
  <conditionalFormatting sqref="B438:B440">
    <cfRule type="containsBlanks" dxfId="593" priority="595">
      <formula>LEN(TRIM(B438))=0</formula>
    </cfRule>
  </conditionalFormatting>
  <conditionalFormatting sqref="E452:Z456">
    <cfRule type="containsBlanks" dxfId="592" priority="594">
      <formula>LEN(TRIM(E452))=0</formula>
    </cfRule>
  </conditionalFormatting>
  <conditionalFormatting sqref="E458:Z460">
    <cfRule type="containsBlanks" dxfId="591" priority="592">
      <formula>LEN(TRIM(E458))=0</formula>
    </cfRule>
  </conditionalFormatting>
  <conditionalFormatting sqref="B458:B460">
    <cfRule type="containsBlanks" dxfId="590" priority="591">
      <formula>LEN(TRIM(B458))=0</formula>
    </cfRule>
  </conditionalFormatting>
  <conditionalFormatting sqref="E472:Z473">
    <cfRule type="containsBlanks" dxfId="589" priority="590">
      <formula>LEN(TRIM(E472))=0</formula>
    </cfRule>
  </conditionalFormatting>
  <conditionalFormatting sqref="E475:Z477 R478">
    <cfRule type="containsBlanks" dxfId="588" priority="589">
      <formula>LEN(TRIM(E475))=0</formula>
    </cfRule>
  </conditionalFormatting>
  <conditionalFormatting sqref="B475:B478">
    <cfRule type="containsBlanks" dxfId="587" priority="588">
      <formula>LEN(TRIM(B475))=0</formula>
    </cfRule>
  </conditionalFormatting>
  <conditionalFormatting sqref="D447:N447">
    <cfRule type="expression" dxfId="586" priority="587">
      <formula>AND(D445="Show",D447="")</formula>
    </cfRule>
  </conditionalFormatting>
  <conditionalFormatting sqref="Q447:Z447">
    <cfRule type="expression" dxfId="585" priority="586">
      <formula>AND(Q445="Show",Q447="")</formula>
    </cfRule>
  </conditionalFormatting>
  <conditionalFormatting sqref="D444:N444 Q444:Z444">
    <cfRule type="cellIs" dxfId="584" priority="580" operator="equal">
      <formula>"Show"</formula>
    </cfRule>
    <cfRule type="cellIs" dxfId="583" priority="582" operator="equal">
      <formula>"Hide"</formula>
    </cfRule>
    <cfRule type="containsBlanks" dxfId="582" priority="584">
      <formula>LEN(TRIM(D444))=0</formula>
    </cfRule>
  </conditionalFormatting>
  <conditionalFormatting sqref="D446:N446">
    <cfRule type="expression" dxfId="581" priority="583">
      <formula>AND(D444="Show",D446="")</formula>
    </cfRule>
  </conditionalFormatting>
  <conditionalFormatting sqref="Q446:Z446">
    <cfRule type="expression" dxfId="580" priority="581">
      <formula>AND(Q444="Show",Q446="")</formula>
    </cfRule>
  </conditionalFormatting>
  <conditionalFormatting sqref="D444:N444">
    <cfRule type="expression" dxfId="579" priority="579">
      <formula>OR(D444="Show",D444="Hide")</formula>
    </cfRule>
  </conditionalFormatting>
  <conditionalFormatting sqref="D445:N445">
    <cfRule type="expression" dxfId="578" priority="578">
      <formula>OR(D444="Show",D444="Hide")</formula>
    </cfRule>
  </conditionalFormatting>
  <conditionalFormatting sqref="D446:N446">
    <cfRule type="expression" dxfId="577" priority="577">
      <formula>OR(D444="Show",D444="Hide")</formula>
    </cfRule>
  </conditionalFormatting>
  <conditionalFormatting sqref="Q444:Z444">
    <cfRule type="expression" dxfId="576" priority="576">
      <formula>OR(Q444="Show",Q444="Hide")</formula>
    </cfRule>
  </conditionalFormatting>
  <conditionalFormatting sqref="Q445:Z445">
    <cfRule type="expression" dxfId="575" priority="575">
      <formula>OR(Q444="Show",Q444="Hide")</formula>
    </cfRule>
  </conditionalFormatting>
  <conditionalFormatting sqref="Q446:Z446">
    <cfRule type="expression" dxfId="574" priority="574">
      <formula>OR(Q444="Show",Q444="Hide")</formula>
    </cfRule>
  </conditionalFormatting>
  <conditionalFormatting sqref="D467:N467">
    <cfRule type="expression" dxfId="573" priority="573">
      <formula>AND(D465="Show",D467="")</formula>
    </cfRule>
  </conditionalFormatting>
  <conditionalFormatting sqref="Q467:Z467">
    <cfRule type="expression" dxfId="572" priority="572">
      <formula>AND(Q465="Show",Q467="")</formula>
    </cfRule>
  </conditionalFormatting>
  <conditionalFormatting sqref="D464:N464 Q464:Z464">
    <cfRule type="cellIs" dxfId="571" priority="566" operator="equal">
      <formula>"Show"</formula>
    </cfRule>
    <cfRule type="cellIs" dxfId="570" priority="568" operator="equal">
      <formula>"Hide"</formula>
    </cfRule>
    <cfRule type="containsBlanks" dxfId="569" priority="570">
      <formula>LEN(TRIM(D464))=0</formula>
    </cfRule>
  </conditionalFormatting>
  <conditionalFormatting sqref="D466:N466">
    <cfRule type="expression" dxfId="568" priority="569">
      <formula>AND(D464="Show",D466="")</formula>
    </cfRule>
  </conditionalFormatting>
  <conditionalFormatting sqref="Q466:Z466">
    <cfRule type="expression" dxfId="567" priority="567">
      <formula>AND(Q464="Show",Q466="")</formula>
    </cfRule>
  </conditionalFormatting>
  <conditionalFormatting sqref="D464:N464">
    <cfRule type="expression" dxfId="566" priority="565">
      <formula>OR(D464="Show",D464="Hide")</formula>
    </cfRule>
  </conditionalFormatting>
  <conditionalFormatting sqref="D465:N465">
    <cfRule type="expression" dxfId="565" priority="564">
      <formula>OR(D464="Show",D464="Hide")</formula>
    </cfRule>
  </conditionalFormatting>
  <conditionalFormatting sqref="D466:N466">
    <cfRule type="expression" dxfId="564" priority="563">
      <formula>OR(D464="Show",D464="Hide")</formula>
    </cfRule>
  </conditionalFormatting>
  <conditionalFormatting sqref="Q464:Z464">
    <cfRule type="expression" dxfId="563" priority="562">
      <formula>OR(Q464="Show",Q464="Hide")</formula>
    </cfRule>
  </conditionalFormatting>
  <conditionalFormatting sqref="Q465:Z465">
    <cfRule type="expression" dxfId="562" priority="561">
      <formula>OR(Q464="Show",Q464="Hide")</formula>
    </cfRule>
  </conditionalFormatting>
  <conditionalFormatting sqref="Q466:Z466">
    <cfRule type="expression" dxfId="561" priority="560">
      <formula>OR(Q464="Show",Q464="Hide")</formula>
    </cfRule>
  </conditionalFormatting>
  <conditionalFormatting sqref="D485:N485">
    <cfRule type="expression" dxfId="560" priority="559">
      <formula>AND(D483="Show",D485="")</formula>
    </cfRule>
  </conditionalFormatting>
  <conditionalFormatting sqref="Q485:Z485">
    <cfRule type="expression" dxfId="559" priority="558">
      <formula>AND(Q483="Show",Q485="")</formula>
    </cfRule>
  </conditionalFormatting>
  <conditionalFormatting sqref="D482:N482 Q482:Z482">
    <cfRule type="cellIs" dxfId="558" priority="552" operator="equal">
      <formula>"Show"</formula>
    </cfRule>
    <cfRule type="cellIs" dxfId="557" priority="554" operator="equal">
      <formula>"Hide"</formula>
    </cfRule>
    <cfRule type="containsBlanks" dxfId="556" priority="556">
      <formula>LEN(TRIM(D482))=0</formula>
    </cfRule>
  </conditionalFormatting>
  <conditionalFormatting sqref="D484:N484">
    <cfRule type="expression" dxfId="555" priority="555">
      <formula>AND(D482="Show",D484="")</formula>
    </cfRule>
  </conditionalFormatting>
  <conditionalFormatting sqref="Q484:Z484">
    <cfRule type="expression" dxfId="554" priority="553">
      <formula>AND(Q482="Show",Q484="")</formula>
    </cfRule>
  </conditionalFormatting>
  <conditionalFormatting sqref="D482:N482">
    <cfRule type="expression" dxfId="553" priority="551">
      <formula>OR(D482="Show",D482="Hide")</formula>
    </cfRule>
  </conditionalFormatting>
  <conditionalFormatting sqref="D483:N483">
    <cfRule type="expression" dxfId="552" priority="550">
      <formula>OR(D482="Show",D482="Hide")</formula>
    </cfRule>
  </conditionalFormatting>
  <conditionalFormatting sqref="D484:N484">
    <cfRule type="expression" dxfId="551" priority="549">
      <formula>OR(D482="Show",D482="Hide")</formula>
    </cfRule>
  </conditionalFormatting>
  <conditionalFormatting sqref="Q482:Z482">
    <cfRule type="expression" dxfId="550" priority="548">
      <formula>OR(Q482="Show",Q482="Hide")</formula>
    </cfRule>
  </conditionalFormatting>
  <conditionalFormatting sqref="Q483:Z483">
    <cfRule type="expression" dxfId="549" priority="547">
      <formula>OR(Q482="Show",Q482="Hide")</formula>
    </cfRule>
  </conditionalFormatting>
  <conditionalFormatting sqref="Q484:Z484">
    <cfRule type="expression" dxfId="548" priority="546">
      <formula>OR(Q482="Show",Q482="Hide")</formula>
    </cfRule>
  </conditionalFormatting>
  <conditionalFormatting sqref="Y427">
    <cfRule type="containsBlanks" dxfId="547" priority="544">
      <formula>LEN(TRIM(Y427))=0</formula>
    </cfRule>
  </conditionalFormatting>
  <conditionalFormatting sqref="I491:I492">
    <cfRule type="containsBlanks" dxfId="546" priority="543">
      <formula>LEN(TRIM(I491))=0</formula>
    </cfRule>
  </conditionalFormatting>
  <conditionalFormatting sqref="E496:Z497">
    <cfRule type="containsBlanks" dxfId="545" priority="540">
      <formula>LEN(TRIM(E496))=0</formula>
    </cfRule>
  </conditionalFormatting>
  <conditionalFormatting sqref="B496:B497">
    <cfRule type="containsBlanks" dxfId="544" priority="539">
      <formula>LEN(TRIM(B496))=0</formula>
    </cfRule>
  </conditionalFormatting>
  <conditionalFormatting sqref="B513:B517">
    <cfRule type="containsBlanks" dxfId="543" priority="538">
      <formula>LEN(TRIM(B513))=0</formula>
    </cfRule>
  </conditionalFormatting>
  <conditionalFormatting sqref="B533:B534">
    <cfRule type="containsBlanks" dxfId="542" priority="537">
      <formula>LEN(TRIM(B533))=0</formula>
    </cfRule>
  </conditionalFormatting>
  <conditionalFormatting sqref="E499:Z501">
    <cfRule type="containsBlanks" dxfId="541" priority="536">
      <formula>LEN(TRIM(E499))=0</formula>
    </cfRule>
  </conditionalFormatting>
  <conditionalFormatting sqref="B499:B501">
    <cfRule type="containsBlanks" dxfId="540" priority="535">
      <formula>LEN(TRIM(B499))=0</formula>
    </cfRule>
  </conditionalFormatting>
  <conditionalFormatting sqref="E513:Z517">
    <cfRule type="containsBlanks" dxfId="539" priority="534">
      <formula>LEN(TRIM(E513))=0</formula>
    </cfRule>
  </conditionalFormatting>
  <conditionalFormatting sqref="E519:Z521">
    <cfRule type="containsBlanks" dxfId="538" priority="532">
      <formula>LEN(TRIM(E519))=0</formula>
    </cfRule>
  </conditionalFormatting>
  <conditionalFormatting sqref="B519:B521">
    <cfRule type="containsBlanks" dxfId="537" priority="531">
      <formula>LEN(TRIM(B519))=0</formula>
    </cfRule>
  </conditionalFormatting>
  <conditionalFormatting sqref="E533:Z534">
    <cfRule type="containsBlanks" dxfId="536" priority="530">
      <formula>LEN(TRIM(E533))=0</formula>
    </cfRule>
  </conditionalFormatting>
  <conditionalFormatting sqref="E536:Z538 R539">
    <cfRule type="containsBlanks" dxfId="535" priority="529">
      <formula>LEN(TRIM(E536))=0</formula>
    </cfRule>
  </conditionalFormatting>
  <conditionalFormatting sqref="B536:B539">
    <cfRule type="containsBlanks" dxfId="534" priority="528">
      <formula>LEN(TRIM(B536))=0</formula>
    </cfRule>
  </conditionalFormatting>
  <conditionalFormatting sqref="D508:N508">
    <cfRule type="expression" dxfId="533" priority="527">
      <formula>AND(D506="Show",D508="")</formula>
    </cfRule>
  </conditionalFormatting>
  <conditionalFormatting sqref="Q508:Z508">
    <cfRule type="expression" dxfId="532" priority="526">
      <formula>AND(Q506="Show",Q508="")</formula>
    </cfRule>
  </conditionalFormatting>
  <conditionalFormatting sqref="D505:N505 Q505:Z505">
    <cfRule type="cellIs" dxfId="531" priority="520" operator="equal">
      <formula>"Show"</formula>
    </cfRule>
    <cfRule type="cellIs" dxfId="530" priority="522" operator="equal">
      <formula>"Hide"</formula>
    </cfRule>
    <cfRule type="containsBlanks" dxfId="529" priority="524">
      <formula>LEN(TRIM(D505))=0</formula>
    </cfRule>
  </conditionalFormatting>
  <conditionalFormatting sqref="D507:N507">
    <cfRule type="expression" dxfId="528" priority="523">
      <formula>AND(D505="Show",D507="")</formula>
    </cfRule>
  </conditionalFormatting>
  <conditionalFormatting sqref="Q507:Z507">
    <cfRule type="expression" dxfId="527" priority="521">
      <formula>AND(Q505="Show",Q507="")</formula>
    </cfRule>
  </conditionalFormatting>
  <conditionalFormatting sqref="D505:N505">
    <cfRule type="expression" dxfId="526" priority="519">
      <formula>OR(D505="Show",D505="Hide")</formula>
    </cfRule>
  </conditionalFormatting>
  <conditionalFormatting sqref="D506:N506">
    <cfRule type="expression" dxfId="525" priority="518">
      <formula>OR(D505="Show",D505="Hide")</formula>
    </cfRule>
  </conditionalFormatting>
  <conditionalFormatting sqref="D507:N507">
    <cfRule type="expression" dxfId="524" priority="517">
      <formula>OR(D505="Show",D505="Hide")</formula>
    </cfRule>
  </conditionalFormatting>
  <conditionalFormatting sqref="Q505:Z505">
    <cfRule type="expression" dxfId="523" priority="516">
      <formula>OR(Q505="Show",Q505="Hide")</formula>
    </cfRule>
  </conditionalFormatting>
  <conditionalFormatting sqref="Q506:Z506">
    <cfRule type="expression" dxfId="522" priority="515">
      <formula>OR(Q505="Show",Q505="Hide")</formula>
    </cfRule>
  </conditionalFormatting>
  <conditionalFormatting sqref="Q507:Z507">
    <cfRule type="expression" dxfId="521" priority="514">
      <formula>OR(Q505="Show",Q505="Hide")</formula>
    </cfRule>
  </conditionalFormatting>
  <conditionalFormatting sqref="D528:N528">
    <cfRule type="expression" dxfId="520" priority="513">
      <formula>AND(D526="Show",D528="")</formula>
    </cfRule>
  </conditionalFormatting>
  <conditionalFormatting sqref="Q528:Z528">
    <cfRule type="expression" dxfId="519" priority="512">
      <formula>AND(Q526="Show",Q528="")</formula>
    </cfRule>
  </conditionalFormatting>
  <conditionalFormatting sqref="D525:N525 Q525:Z525">
    <cfRule type="cellIs" dxfId="518" priority="506" operator="equal">
      <formula>"Show"</formula>
    </cfRule>
    <cfRule type="cellIs" dxfId="517" priority="508" operator="equal">
      <formula>"Hide"</formula>
    </cfRule>
    <cfRule type="containsBlanks" dxfId="516" priority="510">
      <formula>LEN(TRIM(D525))=0</formula>
    </cfRule>
  </conditionalFormatting>
  <conditionalFormatting sqref="D527:N527">
    <cfRule type="expression" dxfId="515" priority="509">
      <formula>AND(D525="Show",D527="")</formula>
    </cfRule>
  </conditionalFormatting>
  <conditionalFormatting sqref="Q527:Z527">
    <cfRule type="expression" dxfId="514" priority="507">
      <formula>AND(Q525="Show",Q527="")</formula>
    </cfRule>
  </conditionalFormatting>
  <conditionalFormatting sqref="D525:N525">
    <cfRule type="expression" dxfId="513" priority="505">
      <formula>OR(D525="Show",D525="Hide")</formula>
    </cfRule>
  </conditionalFormatting>
  <conditionalFormatting sqref="D526:N526">
    <cfRule type="expression" dxfId="512" priority="504">
      <formula>OR(D525="Show",D525="Hide")</formula>
    </cfRule>
  </conditionalFormatting>
  <conditionalFormatting sqref="D527:N527">
    <cfRule type="expression" dxfId="511" priority="503">
      <formula>OR(D525="Show",D525="Hide")</formula>
    </cfRule>
  </conditionalFormatting>
  <conditionalFormatting sqref="Q525:Z525">
    <cfRule type="expression" dxfId="510" priority="502">
      <formula>OR(Q525="Show",Q525="Hide")</formula>
    </cfRule>
  </conditionalFormatting>
  <conditionalFormatting sqref="Q526:Z526">
    <cfRule type="expression" dxfId="509" priority="501">
      <formula>OR(Q525="Show",Q525="Hide")</formula>
    </cfRule>
  </conditionalFormatting>
  <conditionalFormatting sqref="Q527:Z527">
    <cfRule type="expression" dxfId="508" priority="500">
      <formula>OR(Q525="Show",Q525="Hide")</formula>
    </cfRule>
  </conditionalFormatting>
  <conditionalFormatting sqref="D546:N546">
    <cfRule type="expression" dxfId="507" priority="499">
      <formula>AND(D544="Show",D546="")</formula>
    </cfRule>
  </conditionalFormatting>
  <conditionalFormatting sqref="Q546:Z546">
    <cfRule type="expression" dxfId="506" priority="498">
      <formula>AND(Q544="Show",Q546="")</formula>
    </cfRule>
  </conditionalFormatting>
  <conditionalFormatting sqref="D543:N543 Q543:Z543">
    <cfRule type="cellIs" dxfId="505" priority="492" operator="equal">
      <formula>"Show"</formula>
    </cfRule>
    <cfRule type="cellIs" dxfId="504" priority="494" operator="equal">
      <formula>"Hide"</formula>
    </cfRule>
    <cfRule type="containsBlanks" dxfId="503" priority="496">
      <formula>LEN(TRIM(D543))=0</formula>
    </cfRule>
  </conditionalFormatting>
  <conditionalFormatting sqref="D545:N545">
    <cfRule type="expression" dxfId="502" priority="495">
      <formula>AND(D543="Show",D545="")</formula>
    </cfRule>
  </conditionalFormatting>
  <conditionalFormatting sqref="Q545:Z545">
    <cfRule type="expression" dxfId="501" priority="493">
      <formula>AND(Q543="Show",Q545="")</formula>
    </cfRule>
  </conditionalFormatting>
  <conditionalFormatting sqref="D543:N543">
    <cfRule type="expression" dxfId="500" priority="491">
      <formula>OR(D543="Show",D543="Hide")</formula>
    </cfRule>
  </conditionalFormatting>
  <conditionalFormatting sqref="D544:N544">
    <cfRule type="expression" dxfId="499" priority="490">
      <formula>OR(D543="Show",D543="Hide")</formula>
    </cfRule>
  </conditionalFormatting>
  <conditionalFormatting sqref="D545:N545">
    <cfRule type="expression" dxfId="498" priority="489">
      <formula>OR(D543="Show",D543="Hide")</formula>
    </cfRule>
  </conditionalFormatting>
  <conditionalFormatting sqref="Q543:Z543">
    <cfRule type="expression" dxfId="497" priority="488">
      <formula>OR(Q543="Show",Q543="Hide")</formula>
    </cfRule>
  </conditionalFormatting>
  <conditionalFormatting sqref="Q544:Z544">
    <cfRule type="expression" dxfId="496" priority="487">
      <formula>OR(Q543="Show",Q543="Hide")</formula>
    </cfRule>
  </conditionalFormatting>
  <conditionalFormatting sqref="Q545:Z545">
    <cfRule type="expression" dxfId="495" priority="486">
      <formula>OR(Q543="Show",Q543="Hide")</formula>
    </cfRule>
  </conditionalFormatting>
  <conditionalFormatting sqref="Y488">
    <cfRule type="containsBlanks" dxfId="494" priority="484">
      <formula>LEN(TRIM(Y488))=0</formula>
    </cfRule>
  </conditionalFormatting>
  <conditionalFormatting sqref="I552:I553">
    <cfRule type="containsBlanks" dxfId="493" priority="483">
      <formula>LEN(TRIM(I552))=0</formula>
    </cfRule>
  </conditionalFormatting>
  <conditionalFormatting sqref="E557:Z558">
    <cfRule type="containsBlanks" dxfId="492" priority="480">
      <formula>LEN(TRIM(E557))=0</formula>
    </cfRule>
  </conditionalFormatting>
  <conditionalFormatting sqref="B557:B558">
    <cfRule type="containsBlanks" dxfId="491" priority="479">
      <formula>LEN(TRIM(B557))=0</formula>
    </cfRule>
  </conditionalFormatting>
  <conditionalFormatting sqref="B574:B578">
    <cfRule type="containsBlanks" dxfId="490" priority="478">
      <formula>LEN(TRIM(B574))=0</formula>
    </cfRule>
  </conditionalFormatting>
  <conditionalFormatting sqref="B594:B595">
    <cfRule type="containsBlanks" dxfId="489" priority="477">
      <formula>LEN(TRIM(B594))=0</formula>
    </cfRule>
  </conditionalFormatting>
  <conditionalFormatting sqref="E560:Z562">
    <cfRule type="containsBlanks" dxfId="488" priority="476">
      <formula>LEN(TRIM(E560))=0</formula>
    </cfRule>
  </conditionalFormatting>
  <conditionalFormatting sqref="B560:B562">
    <cfRule type="containsBlanks" dxfId="487" priority="475">
      <formula>LEN(TRIM(B560))=0</formula>
    </cfRule>
  </conditionalFormatting>
  <conditionalFormatting sqref="E574:Z578">
    <cfRule type="containsBlanks" dxfId="486" priority="474">
      <formula>LEN(TRIM(E574))=0</formula>
    </cfRule>
  </conditionalFormatting>
  <conditionalFormatting sqref="E580:Z582">
    <cfRule type="containsBlanks" dxfId="485" priority="472">
      <formula>LEN(TRIM(E580))=0</formula>
    </cfRule>
  </conditionalFormatting>
  <conditionalFormatting sqref="B580:B582">
    <cfRule type="containsBlanks" dxfId="484" priority="471">
      <formula>LEN(TRIM(B580))=0</formula>
    </cfRule>
  </conditionalFormatting>
  <conditionalFormatting sqref="E594:Z595">
    <cfRule type="containsBlanks" dxfId="483" priority="470">
      <formula>LEN(TRIM(E594))=0</formula>
    </cfRule>
  </conditionalFormatting>
  <conditionalFormatting sqref="E597:Z599 R600">
    <cfRule type="containsBlanks" dxfId="482" priority="469">
      <formula>LEN(TRIM(E597))=0</formula>
    </cfRule>
  </conditionalFormatting>
  <conditionalFormatting sqref="B597:B600">
    <cfRule type="containsBlanks" dxfId="481" priority="468">
      <formula>LEN(TRIM(B597))=0</formula>
    </cfRule>
  </conditionalFormatting>
  <conditionalFormatting sqref="D569:N569">
    <cfRule type="expression" dxfId="480" priority="467">
      <formula>AND(D567="Show",D569="")</formula>
    </cfRule>
  </conditionalFormatting>
  <conditionalFormatting sqref="Q569:Z569">
    <cfRule type="expression" dxfId="479" priority="466">
      <formula>AND(Q567="Show",Q569="")</formula>
    </cfRule>
  </conditionalFormatting>
  <conditionalFormatting sqref="D566:N566 Q566:Z566">
    <cfRule type="cellIs" dxfId="478" priority="460" operator="equal">
      <formula>"Show"</formula>
    </cfRule>
    <cfRule type="cellIs" dxfId="477" priority="462" operator="equal">
      <formula>"Hide"</formula>
    </cfRule>
    <cfRule type="containsBlanks" dxfId="476" priority="464">
      <formula>LEN(TRIM(D566))=0</formula>
    </cfRule>
  </conditionalFormatting>
  <conditionalFormatting sqref="D568:N568">
    <cfRule type="expression" dxfId="475" priority="463">
      <formula>AND(D566="Show",D568="")</formula>
    </cfRule>
  </conditionalFormatting>
  <conditionalFormatting sqref="Q568:Z568">
    <cfRule type="expression" dxfId="474" priority="461">
      <formula>AND(Q566="Show",Q568="")</formula>
    </cfRule>
  </conditionalFormatting>
  <conditionalFormatting sqref="D566:N566">
    <cfRule type="expression" dxfId="473" priority="459">
      <formula>OR(D566="Show",D566="Hide")</formula>
    </cfRule>
  </conditionalFormatting>
  <conditionalFormatting sqref="D567:N567">
    <cfRule type="expression" dxfId="472" priority="458">
      <formula>OR(D566="Show",D566="Hide")</formula>
    </cfRule>
  </conditionalFormatting>
  <conditionalFormatting sqref="D568:N568">
    <cfRule type="expression" dxfId="471" priority="457">
      <formula>OR(D566="Show",D566="Hide")</formula>
    </cfRule>
  </conditionalFormatting>
  <conditionalFormatting sqref="Q566:Z566">
    <cfRule type="expression" dxfId="470" priority="456">
      <formula>OR(Q566="Show",Q566="Hide")</formula>
    </cfRule>
  </conditionalFormatting>
  <conditionalFormatting sqref="Q567:Z567">
    <cfRule type="expression" dxfId="469" priority="455">
      <formula>OR(Q566="Show",Q566="Hide")</formula>
    </cfRule>
  </conditionalFormatting>
  <conditionalFormatting sqref="Q568:Z568">
    <cfRule type="expression" dxfId="468" priority="454">
      <formula>OR(Q566="Show",Q566="Hide")</formula>
    </cfRule>
  </conditionalFormatting>
  <conditionalFormatting sqref="D589:N589">
    <cfRule type="expression" dxfId="467" priority="453">
      <formula>AND(D587="Show",D589="")</formula>
    </cfRule>
  </conditionalFormatting>
  <conditionalFormatting sqref="Q589:Z589">
    <cfRule type="expression" dxfId="466" priority="452">
      <formula>AND(Q587="Show",Q589="")</formula>
    </cfRule>
  </conditionalFormatting>
  <conditionalFormatting sqref="D586:N586 Q586:Z586">
    <cfRule type="cellIs" dxfId="465" priority="446" operator="equal">
      <formula>"Show"</formula>
    </cfRule>
    <cfRule type="cellIs" dxfId="464" priority="448" operator="equal">
      <formula>"Hide"</formula>
    </cfRule>
    <cfRule type="containsBlanks" dxfId="463" priority="450">
      <formula>LEN(TRIM(D586))=0</formula>
    </cfRule>
  </conditionalFormatting>
  <conditionalFormatting sqref="D588:N588">
    <cfRule type="expression" dxfId="462" priority="449">
      <formula>AND(D586="Show",D588="")</formula>
    </cfRule>
  </conditionalFormatting>
  <conditionalFormatting sqref="Q588:Z588">
    <cfRule type="expression" dxfId="461" priority="447">
      <formula>AND(Q586="Show",Q588="")</formula>
    </cfRule>
  </conditionalFormatting>
  <conditionalFormatting sqref="D586:N586">
    <cfRule type="expression" dxfId="460" priority="445">
      <formula>OR(D586="Show",D586="Hide")</formula>
    </cfRule>
  </conditionalFormatting>
  <conditionalFormatting sqref="D587:N587">
    <cfRule type="expression" dxfId="459" priority="444">
      <formula>OR(D586="Show",D586="Hide")</formula>
    </cfRule>
  </conditionalFormatting>
  <conditionalFormatting sqref="D588:N588">
    <cfRule type="expression" dxfId="458" priority="443">
      <formula>OR(D586="Show",D586="Hide")</formula>
    </cfRule>
  </conditionalFormatting>
  <conditionalFormatting sqref="Q586:Z586">
    <cfRule type="expression" dxfId="457" priority="442">
      <formula>OR(Q586="Show",Q586="Hide")</formula>
    </cfRule>
  </conditionalFormatting>
  <conditionalFormatting sqref="Q587:Z587">
    <cfRule type="expression" dxfId="456" priority="441">
      <formula>OR(Q586="Show",Q586="Hide")</formula>
    </cfRule>
  </conditionalFormatting>
  <conditionalFormatting sqref="Q588:Z588">
    <cfRule type="expression" dxfId="455" priority="440">
      <formula>OR(Q586="Show",Q586="Hide")</formula>
    </cfRule>
  </conditionalFormatting>
  <conditionalFormatting sqref="D607:N607">
    <cfRule type="expression" dxfId="454" priority="439">
      <formula>AND(D605="Show",D607="")</formula>
    </cfRule>
  </conditionalFormatting>
  <conditionalFormatting sqref="Q607:Z607">
    <cfRule type="expression" dxfId="453" priority="438">
      <formula>AND(Q605="Show",Q607="")</formula>
    </cfRule>
  </conditionalFormatting>
  <conditionalFormatting sqref="D604:N604 Q604:Z604">
    <cfRule type="cellIs" dxfId="452" priority="432" operator="equal">
      <formula>"Show"</formula>
    </cfRule>
    <cfRule type="cellIs" dxfId="451" priority="434" operator="equal">
      <formula>"Hide"</formula>
    </cfRule>
    <cfRule type="containsBlanks" dxfId="450" priority="436">
      <formula>LEN(TRIM(D604))=0</formula>
    </cfRule>
  </conditionalFormatting>
  <conditionalFormatting sqref="D606:N606">
    <cfRule type="expression" dxfId="449" priority="435">
      <formula>AND(D604="Show",D606="")</formula>
    </cfRule>
  </conditionalFormatting>
  <conditionalFormatting sqref="Q606:Z606">
    <cfRule type="expression" dxfId="448" priority="433">
      <formula>AND(Q604="Show",Q606="")</formula>
    </cfRule>
  </conditionalFormatting>
  <conditionalFormatting sqref="D604:N604">
    <cfRule type="expression" dxfId="447" priority="431">
      <formula>OR(D604="Show",D604="Hide")</formula>
    </cfRule>
  </conditionalFormatting>
  <conditionalFormatting sqref="D605:N605">
    <cfRule type="expression" dxfId="446" priority="430">
      <formula>OR(D604="Show",D604="Hide")</formula>
    </cfRule>
  </conditionalFormatting>
  <conditionalFormatting sqref="D606:N606">
    <cfRule type="expression" dxfId="445" priority="429">
      <formula>OR(D604="Show",D604="Hide")</formula>
    </cfRule>
  </conditionalFormatting>
  <conditionalFormatting sqref="Q604:Z604">
    <cfRule type="expression" dxfId="444" priority="428">
      <formula>OR(Q604="Show",Q604="Hide")</formula>
    </cfRule>
  </conditionalFormatting>
  <conditionalFormatting sqref="Q605:Z605">
    <cfRule type="expression" dxfId="443" priority="427">
      <formula>OR(Q604="Show",Q604="Hide")</formula>
    </cfRule>
  </conditionalFormatting>
  <conditionalFormatting sqref="Q606:Z606">
    <cfRule type="expression" dxfId="442" priority="426">
      <formula>OR(Q604="Show",Q604="Hide")</formula>
    </cfRule>
  </conditionalFormatting>
  <conditionalFormatting sqref="Y549">
    <cfRule type="containsBlanks" dxfId="441" priority="424">
      <formula>LEN(TRIM(Y549))=0</formula>
    </cfRule>
  </conditionalFormatting>
  <conditionalFormatting sqref="I613:I614">
    <cfRule type="containsBlanks" dxfId="440" priority="423">
      <formula>LEN(TRIM(I613))=0</formula>
    </cfRule>
  </conditionalFormatting>
  <conditionalFormatting sqref="E618:Z619">
    <cfRule type="containsBlanks" dxfId="439" priority="420">
      <formula>LEN(TRIM(E618))=0</formula>
    </cfRule>
  </conditionalFormatting>
  <conditionalFormatting sqref="B618:B619">
    <cfRule type="containsBlanks" dxfId="438" priority="419">
      <formula>LEN(TRIM(B618))=0</formula>
    </cfRule>
  </conditionalFormatting>
  <conditionalFormatting sqref="B635:B639">
    <cfRule type="containsBlanks" dxfId="437" priority="418">
      <formula>LEN(TRIM(B635))=0</formula>
    </cfRule>
  </conditionalFormatting>
  <conditionalFormatting sqref="B655:B656">
    <cfRule type="containsBlanks" dxfId="436" priority="417">
      <formula>LEN(TRIM(B655))=0</formula>
    </cfRule>
  </conditionalFormatting>
  <conditionalFormatting sqref="E621:Z623">
    <cfRule type="containsBlanks" dxfId="435" priority="416">
      <formula>LEN(TRIM(E621))=0</formula>
    </cfRule>
  </conditionalFormatting>
  <conditionalFormatting sqref="B621:B623">
    <cfRule type="containsBlanks" dxfId="434" priority="415">
      <formula>LEN(TRIM(B621))=0</formula>
    </cfRule>
  </conditionalFormatting>
  <conditionalFormatting sqref="E635:Z639">
    <cfRule type="containsBlanks" dxfId="433" priority="414">
      <formula>LEN(TRIM(E635))=0</formula>
    </cfRule>
  </conditionalFormatting>
  <conditionalFormatting sqref="E641:Z643">
    <cfRule type="containsBlanks" dxfId="432" priority="412">
      <formula>LEN(TRIM(E641))=0</formula>
    </cfRule>
  </conditionalFormatting>
  <conditionalFormatting sqref="B641:B643">
    <cfRule type="containsBlanks" dxfId="431" priority="411">
      <formula>LEN(TRIM(B641))=0</formula>
    </cfRule>
  </conditionalFormatting>
  <conditionalFormatting sqref="E655:Z656">
    <cfRule type="containsBlanks" dxfId="430" priority="410">
      <formula>LEN(TRIM(E655))=0</formula>
    </cfRule>
  </conditionalFormatting>
  <conditionalFormatting sqref="E658:Z660 R661">
    <cfRule type="containsBlanks" dxfId="429" priority="409">
      <formula>LEN(TRIM(E658))=0</formula>
    </cfRule>
  </conditionalFormatting>
  <conditionalFormatting sqref="B658:B661">
    <cfRule type="containsBlanks" dxfId="428" priority="408">
      <formula>LEN(TRIM(B658))=0</formula>
    </cfRule>
  </conditionalFormatting>
  <conditionalFormatting sqref="D630:N630">
    <cfRule type="expression" dxfId="427" priority="407">
      <formula>AND(D628="Show",D630="")</formula>
    </cfRule>
  </conditionalFormatting>
  <conditionalFormatting sqref="Q630:Z630">
    <cfRule type="expression" dxfId="426" priority="406">
      <formula>AND(Q628="Show",Q630="")</formula>
    </cfRule>
  </conditionalFormatting>
  <conditionalFormatting sqref="D627:N627 Q627:Z627">
    <cfRule type="cellIs" dxfId="425" priority="400" operator="equal">
      <formula>"Show"</formula>
    </cfRule>
    <cfRule type="cellIs" dxfId="424" priority="402" operator="equal">
      <formula>"Hide"</formula>
    </cfRule>
    <cfRule type="containsBlanks" dxfId="423" priority="404">
      <formula>LEN(TRIM(D627))=0</formula>
    </cfRule>
  </conditionalFormatting>
  <conditionalFormatting sqref="D629:N629">
    <cfRule type="expression" dxfId="422" priority="403">
      <formula>AND(D627="Show",D629="")</formula>
    </cfRule>
  </conditionalFormatting>
  <conditionalFormatting sqref="Q629:Z629">
    <cfRule type="expression" dxfId="421" priority="401">
      <formula>AND(Q627="Show",Q629="")</formula>
    </cfRule>
  </conditionalFormatting>
  <conditionalFormatting sqref="D627:N627">
    <cfRule type="expression" dxfId="420" priority="399">
      <formula>OR(D627="Show",D627="Hide")</formula>
    </cfRule>
  </conditionalFormatting>
  <conditionalFormatting sqref="D628:N628">
    <cfRule type="expression" dxfId="419" priority="398">
      <formula>OR(D627="Show",D627="Hide")</formula>
    </cfRule>
  </conditionalFormatting>
  <conditionalFormatting sqref="D629:N629">
    <cfRule type="expression" dxfId="418" priority="397">
      <formula>OR(D627="Show",D627="Hide")</formula>
    </cfRule>
  </conditionalFormatting>
  <conditionalFormatting sqref="Q627:Z627">
    <cfRule type="expression" dxfId="417" priority="396">
      <formula>OR(Q627="Show",Q627="Hide")</formula>
    </cfRule>
  </conditionalFormatting>
  <conditionalFormatting sqref="Q628:Z628">
    <cfRule type="expression" dxfId="416" priority="395">
      <formula>OR(Q627="Show",Q627="Hide")</formula>
    </cfRule>
  </conditionalFormatting>
  <conditionalFormatting sqref="Q629:Z629">
    <cfRule type="expression" dxfId="415" priority="394">
      <formula>OR(Q627="Show",Q627="Hide")</formula>
    </cfRule>
  </conditionalFormatting>
  <conditionalFormatting sqref="D650:N650">
    <cfRule type="expression" dxfId="414" priority="393">
      <formula>AND(D648="Show",D650="")</formula>
    </cfRule>
  </conditionalFormatting>
  <conditionalFormatting sqref="Q650:Z650">
    <cfRule type="expression" dxfId="413" priority="392">
      <formula>AND(Q648="Show",Q650="")</formula>
    </cfRule>
  </conditionalFormatting>
  <conditionalFormatting sqref="D647:N647 Q647:Z647">
    <cfRule type="cellIs" dxfId="412" priority="386" operator="equal">
      <formula>"Show"</formula>
    </cfRule>
    <cfRule type="cellIs" dxfId="411" priority="388" operator="equal">
      <formula>"Hide"</formula>
    </cfRule>
    <cfRule type="containsBlanks" dxfId="410" priority="390">
      <formula>LEN(TRIM(D647))=0</formula>
    </cfRule>
  </conditionalFormatting>
  <conditionalFormatting sqref="D649:N649">
    <cfRule type="expression" dxfId="409" priority="389">
      <formula>AND(D647="Show",D649="")</formula>
    </cfRule>
  </conditionalFormatting>
  <conditionalFormatting sqref="Q649:Z649">
    <cfRule type="expression" dxfId="408" priority="387">
      <formula>AND(Q647="Show",Q649="")</formula>
    </cfRule>
  </conditionalFormatting>
  <conditionalFormatting sqref="D647:N647">
    <cfRule type="expression" dxfId="407" priority="385">
      <formula>OR(D647="Show",D647="Hide")</formula>
    </cfRule>
  </conditionalFormatting>
  <conditionalFormatting sqref="D648:N648">
    <cfRule type="expression" dxfId="406" priority="384">
      <formula>OR(D647="Show",D647="Hide")</formula>
    </cfRule>
  </conditionalFormatting>
  <conditionalFormatting sqref="D649:N649">
    <cfRule type="expression" dxfId="405" priority="383">
      <formula>OR(D647="Show",D647="Hide")</formula>
    </cfRule>
  </conditionalFormatting>
  <conditionalFormatting sqref="Q647:Z647">
    <cfRule type="expression" dxfId="404" priority="382">
      <formula>OR(Q647="Show",Q647="Hide")</formula>
    </cfRule>
  </conditionalFormatting>
  <conditionalFormatting sqref="Q648:Z648">
    <cfRule type="expression" dxfId="403" priority="381">
      <formula>OR(Q647="Show",Q647="Hide")</formula>
    </cfRule>
  </conditionalFormatting>
  <conditionalFormatting sqref="Q649:Z649">
    <cfRule type="expression" dxfId="402" priority="380">
      <formula>OR(Q647="Show",Q647="Hide")</formula>
    </cfRule>
  </conditionalFormatting>
  <conditionalFormatting sqref="D668:N668">
    <cfRule type="expression" dxfId="401" priority="379">
      <formula>AND(D666="Show",D668="")</formula>
    </cfRule>
  </conditionalFormatting>
  <conditionalFormatting sqref="Q668:Z668">
    <cfRule type="expression" dxfId="400" priority="378">
      <formula>AND(Q666="Show",Q668="")</formula>
    </cfRule>
  </conditionalFormatting>
  <conditionalFormatting sqref="D665:N665 Q665:Z665">
    <cfRule type="cellIs" dxfId="399" priority="372" operator="equal">
      <formula>"Show"</formula>
    </cfRule>
    <cfRule type="cellIs" dxfId="398" priority="374" operator="equal">
      <formula>"Hide"</formula>
    </cfRule>
    <cfRule type="containsBlanks" dxfId="397" priority="376">
      <formula>LEN(TRIM(D665))=0</formula>
    </cfRule>
  </conditionalFormatting>
  <conditionalFormatting sqref="D667:N667">
    <cfRule type="expression" dxfId="396" priority="375">
      <formula>AND(D665="Show",D667="")</formula>
    </cfRule>
  </conditionalFormatting>
  <conditionalFormatting sqref="Q667:Z667">
    <cfRule type="expression" dxfId="395" priority="373">
      <formula>AND(Q665="Show",Q667="")</formula>
    </cfRule>
  </conditionalFormatting>
  <conditionalFormatting sqref="D665:N665">
    <cfRule type="expression" dxfId="394" priority="371">
      <formula>OR(D665="Show",D665="Hide")</formula>
    </cfRule>
  </conditionalFormatting>
  <conditionalFormatting sqref="D666:N666">
    <cfRule type="expression" dxfId="393" priority="370">
      <formula>OR(D665="Show",D665="Hide")</formula>
    </cfRule>
  </conditionalFormatting>
  <conditionalFormatting sqref="D667:N667">
    <cfRule type="expression" dxfId="392" priority="369">
      <formula>OR(D665="Show",D665="Hide")</formula>
    </cfRule>
  </conditionalFormatting>
  <conditionalFormatting sqref="Q665:Z665">
    <cfRule type="expression" dxfId="391" priority="368">
      <formula>OR(Q665="Show",Q665="Hide")</formula>
    </cfRule>
  </conditionalFormatting>
  <conditionalFormatting sqref="Q666:Z666">
    <cfRule type="expression" dxfId="390" priority="367">
      <formula>OR(Q665="Show",Q665="Hide")</formula>
    </cfRule>
  </conditionalFormatting>
  <conditionalFormatting sqref="Q667:Z667">
    <cfRule type="expression" dxfId="389" priority="366">
      <formula>OR(Q665="Show",Q665="Hide")</formula>
    </cfRule>
  </conditionalFormatting>
  <conditionalFormatting sqref="Y610">
    <cfRule type="containsBlanks" dxfId="388" priority="364">
      <formula>LEN(TRIM(Y610))=0</formula>
    </cfRule>
  </conditionalFormatting>
  <conditionalFormatting sqref="I674:I675">
    <cfRule type="containsBlanks" dxfId="387" priority="363">
      <formula>LEN(TRIM(I674))=0</formula>
    </cfRule>
  </conditionalFormatting>
  <conditionalFormatting sqref="E679:Z680">
    <cfRule type="containsBlanks" dxfId="386" priority="360">
      <formula>LEN(TRIM(E679))=0</formula>
    </cfRule>
  </conditionalFormatting>
  <conditionalFormatting sqref="B679:B680">
    <cfRule type="containsBlanks" dxfId="385" priority="359">
      <formula>LEN(TRIM(B679))=0</formula>
    </cfRule>
  </conditionalFormatting>
  <conditionalFormatting sqref="B696:B700">
    <cfRule type="containsBlanks" dxfId="384" priority="358">
      <formula>LEN(TRIM(B696))=0</formula>
    </cfRule>
  </conditionalFormatting>
  <conditionalFormatting sqref="B716:B717">
    <cfRule type="containsBlanks" dxfId="383" priority="357">
      <formula>LEN(TRIM(B716))=0</formula>
    </cfRule>
  </conditionalFormatting>
  <conditionalFormatting sqref="E682:Z684">
    <cfRule type="containsBlanks" dxfId="382" priority="356">
      <formula>LEN(TRIM(E682))=0</formula>
    </cfRule>
  </conditionalFormatting>
  <conditionalFormatting sqref="B682:B684">
    <cfRule type="containsBlanks" dxfId="381" priority="355">
      <formula>LEN(TRIM(B682))=0</formula>
    </cfRule>
  </conditionalFormatting>
  <conditionalFormatting sqref="E696:Z700">
    <cfRule type="containsBlanks" dxfId="380" priority="354">
      <formula>LEN(TRIM(E696))=0</formula>
    </cfRule>
  </conditionalFormatting>
  <conditionalFormatting sqref="E702:Z704">
    <cfRule type="containsBlanks" dxfId="379" priority="352">
      <formula>LEN(TRIM(E702))=0</formula>
    </cfRule>
  </conditionalFormatting>
  <conditionalFormatting sqref="B702:B704">
    <cfRule type="containsBlanks" dxfId="378" priority="351">
      <formula>LEN(TRIM(B702))=0</formula>
    </cfRule>
  </conditionalFormatting>
  <conditionalFormatting sqref="E716:Z717">
    <cfRule type="containsBlanks" dxfId="377" priority="350">
      <formula>LEN(TRIM(E716))=0</formula>
    </cfRule>
  </conditionalFormatting>
  <conditionalFormatting sqref="E719:Z721 R722">
    <cfRule type="containsBlanks" dxfId="376" priority="349">
      <formula>LEN(TRIM(E719))=0</formula>
    </cfRule>
  </conditionalFormatting>
  <conditionalFormatting sqref="B719:B722">
    <cfRule type="containsBlanks" dxfId="375" priority="348">
      <formula>LEN(TRIM(B719))=0</formula>
    </cfRule>
  </conditionalFormatting>
  <conditionalFormatting sqref="D691:N691">
    <cfRule type="expression" dxfId="374" priority="347">
      <formula>AND(D689="Show",D691="")</formula>
    </cfRule>
  </conditionalFormatting>
  <conditionalFormatting sqref="Q691:Z691">
    <cfRule type="expression" dxfId="373" priority="346">
      <formula>AND(Q689="Show",Q691="")</formula>
    </cfRule>
  </conditionalFormatting>
  <conditionalFormatting sqref="D688:N688 Q688:Z688">
    <cfRule type="cellIs" dxfId="372" priority="340" operator="equal">
      <formula>"Show"</formula>
    </cfRule>
    <cfRule type="cellIs" dxfId="371" priority="342" operator="equal">
      <formula>"Hide"</formula>
    </cfRule>
    <cfRule type="containsBlanks" dxfId="370" priority="344">
      <formula>LEN(TRIM(D688))=0</formula>
    </cfRule>
  </conditionalFormatting>
  <conditionalFormatting sqref="D690:N690">
    <cfRule type="expression" dxfId="369" priority="343">
      <formula>AND(D688="Show",D690="")</formula>
    </cfRule>
  </conditionalFormatting>
  <conditionalFormatting sqref="Q690:Z690">
    <cfRule type="expression" dxfId="368" priority="341">
      <formula>AND(Q688="Show",Q690="")</formula>
    </cfRule>
  </conditionalFormatting>
  <conditionalFormatting sqref="D688:N688">
    <cfRule type="expression" dxfId="367" priority="339">
      <formula>OR(D688="Show",D688="Hide")</formula>
    </cfRule>
  </conditionalFormatting>
  <conditionalFormatting sqref="D689:N689">
    <cfRule type="expression" dxfId="366" priority="338">
      <formula>OR(D688="Show",D688="Hide")</formula>
    </cfRule>
  </conditionalFormatting>
  <conditionalFormatting sqref="D690:N690">
    <cfRule type="expression" dxfId="365" priority="337">
      <formula>OR(D688="Show",D688="Hide")</formula>
    </cfRule>
  </conditionalFormatting>
  <conditionalFormatting sqref="Q688:Z688">
    <cfRule type="expression" dxfId="364" priority="336">
      <formula>OR(Q688="Show",Q688="Hide")</formula>
    </cfRule>
  </conditionalFormatting>
  <conditionalFormatting sqref="Q689:Z689">
    <cfRule type="expression" dxfId="363" priority="335">
      <formula>OR(Q688="Show",Q688="Hide")</formula>
    </cfRule>
  </conditionalFormatting>
  <conditionalFormatting sqref="Q690:Z690">
    <cfRule type="expression" dxfId="362" priority="334">
      <formula>OR(Q688="Show",Q688="Hide")</formula>
    </cfRule>
  </conditionalFormatting>
  <conditionalFormatting sqref="D711:N711">
    <cfRule type="expression" dxfId="361" priority="333">
      <formula>AND(D709="Show",D711="")</formula>
    </cfRule>
  </conditionalFormatting>
  <conditionalFormatting sqref="Q711:Z711">
    <cfRule type="expression" dxfId="360" priority="332">
      <formula>AND(Q709="Show",Q711="")</formula>
    </cfRule>
  </conditionalFormatting>
  <conditionalFormatting sqref="D708:N708 Q708:Z708">
    <cfRule type="cellIs" dxfId="359" priority="326" operator="equal">
      <formula>"Show"</formula>
    </cfRule>
    <cfRule type="cellIs" dxfId="358" priority="328" operator="equal">
      <formula>"Hide"</formula>
    </cfRule>
    <cfRule type="containsBlanks" dxfId="357" priority="330">
      <formula>LEN(TRIM(D708))=0</formula>
    </cfRule>
  </conditionalFormatting>
  <conditionalFormatting sqref="D710:N710">
    <cfRule type="expression" dxfId="356" priority="329">
      <formula>AND(D708="Show",D710="")</formula>
    </cfRule>
  </conditionalFormatting>
  <conditionalFormatting sqref="Q710:Z710">
    <cfRule type="expression" dxfId="355" priority="327">
      <formula>AND(Q708="Show",Q710="")</formula>
    </cfRule>
  </conditionalFormatting>
  <conditionalFormatting sqref="D708:N708">
    <cfRule type="expression" dxfId="354" priority="325">
      <formula>OR(D708="Show",D708="Hide")</formula>
    </cfRule>
  </conditionalFormatting>
  <conditionalFormatting sqref="D709:N709">
    <cfRule type="expression" dxfId="353" priority="324">
      <formula>OR(D708="Show",D708="Hide")</formula>
    </cfRule>
  </conditionalFormatting>
  <conditionalFormatting sqref="D710:N710">
    <cfRule type="expression" dxfId="352" priority="323">
      <formula>OR(D708="Show",D708="Hide")</formula>
    </cfRule>
  </conditionalFormatting>
  <conditionalFormatting sqref="Q708:Z708">
    <cfRule type="expression" dxfId="351" priority="322">
      <formula>OR(Q708="Show",Q708="Hide")</formula>
    </cfRule>
  </conditionalFormatting>
  <conditionalFormatting sqref="Q709:Z709">
    <cfRule type="expression" dxfId="350" priority="321">
      <formula>OR(Q708="Show",Q708="Hide")</formula>
    </cfRule>
  </conditionalFormatting>
  <conditionalFormatting sqref="Q710:Z710">
    <cfRule type="expression" dxfId="349" priority="320">
      <formula>OR(Q708="Show",Q708="Hide")</formula>
    </cfRule>
  </conditionalFormatting>
  <conditionalFormatting sqref="D729:N729">
    <cfRule type="expression" dxfId="348" priority="319">
      <formula>AND(D727="Show",D729="")</formula>
    </cfRule>
  </conditionalFormatting>
  <conditionalFormatting sqref="Q729:Z729">
    <cfRule type="expression" dxfId="347" priority="318">
      <formula>AND(Q727="Show",Q729="")</formula>
    </cfRule>
  </conditionalFormatting>
  <conditionalFormatting sqref="D726:N726 Q726:Z726">
    <cfRule type="cellIs" dxfId="346" priority="312" operator="equal">
      <formula>"Show"</formula>
    </cfRule>
    <cfRule type="cellIs" dxfId="345" priority="314" operator="equal">
      <formula>"Hide"</formula>
    </cfRule>
    <cfRule type="containsBlanks" dxfId="344" priority="316">
      <formula>LEN(TRIM(D726))=0</formula>
    </cfRule>
  </conditionalFormatting>
  <conditionalFormatting sqref="D728:N728">
    <cfRule type="expression" dxfId="343" priority="315">
      <formula>AND(D726="Show",D728="")</formula>
    </cfRule>
  </conditionalFormatting>
  <conditionalFormatting sqref="Q728:Z728">
    <cfRule type="expression" dxfId="342" priority="313">
      <formula>AND(Q726="Show",Q728="")</formula>
    </cfRule>
  </conditionalFormatting>
  <conditionalFormatting sqref="D726:N726">
    <cfRule type="expression" dxfId="341" priority="311">
      <formula>OR(D726="Show",D726="Hide")</formula>
    </cfRule>
  </conditionalFormatting>
  <conditionalFormatting sqref="D727:N727">
    <cfRule type="expression" dxfId="340" priority="310">
      <formula>OR(D726="Show",D726="Hide")</formula>
    </cfRule>
  </conditionalFormatting>
  <conditionalFormatting sqref="D728:N728">
    <cfRule type="expression" dxfId="339" priority="309">
      <formula>OR(D726="Show",D726="Hide")</formula>
    </cfRule>
  </conditionalFormatting>
  <conditionalFormatting sqref="Q726:Z726">
    <cfRule type="expression" dxfId="338" priority="308">
      <formula>OR(Q726="Show",Q726="Hide")</formula>
    </cfRule>
  </conditionalFormatting>
  <conditionalFormatting sqref="Q727:Z727">
    <cfRule type="expression" dxfId="337" priority="307">
      <formula>OR(Q726="Show",Q726="Hide")</formula>
    </cfRule>
  </conditionalFormatting>
  <conditionalFormatting sqref="Q728:Z728">
    <cfRule type="expression" dxfId="336" priority="306">
      <formula>OR(Q726="Show",Q726="Hide")</formula>
    </cfRule>
  </conditionalFormatting>
  <conditionalFormatting sqref="Y671">
    <cfRule type="containsBlanks" dxfId="335" priority="304">
      <formula>LEN(TRIM(Y671))=0</formula>
    </cfRule>
  </conditionalFormatting>
  <conditionalFormatting sqref="I735:I736">
    <cfRule type="containsBlanks" dxfId="334" priority="303">
      <formula>LEN(TRIM(I735))=0</formula>
    </cfRule>
  </conditionalFormatting>
  <conditionalFormatting sqref="E740:Z741">
    <cfRule type="containsBlanks" dxfId="333" priority="300">
      <formula>LEN(TRIM(E740))=0</formula>
    </cfRule>
  </conditionalFormatting>
  <conditionalFormatting sqref="B740:B741">
    <cfRule type="containsBlanks" dxfId="332" priority="299">
      <formula>LEN(TRIM(B740))=0</formula>
    </cfRule>
  </conditionalFormatting>
  <conditionalFormatting sqref="B757:B761">
    <cfRule type="containsBlanks" dxfId="331" priority="298">
      <formula>LEN(TRIM(B757))=0</formula>
    </cfRule>
  </conditionalFormatting>
  <conditionalFormatting sqref="B777:B778">
    <cfRule type="containsBlanks" dxfId="330" priority="297">
      <formula>LEN(TRIM(B777))=0</formula>
    </cfRule>
  </conditionalFormatting>
  <conditionalFormatting sqref="E743:Z745">
    <cfRule type="containsBlanks" dxfId="329" priority="296">
      <formula>LEN(TRIM(E743))=0</formula>
    </cfRule>
  </conditionalFormatting>
  <conditionalFormatting sqref="B743:B745">
    <cfRule type="containsBlanks" dxfId="328" priority="295">
      <formula>LEN(TRIM(B743))=0</formula>
    </cfRule>
  </conditionalFormatting>
  <conditionalFormatting sqref="E757:Z761">
    <cfRule type="containsBlanks" dxfId="327" priority="294">
      <formula>LEN(TRIM(E757))=0</formula>
    </cfRule>
  </conditionalFormatting>
  <conditionalFormatting sqref="E763:Z765">
    <cfRule type="containsBlanks" dxfId="326" priority="292">
      <formula>LEN(TRIM(E763))=0</formula>
    </cfRule>
  </conditionalFormatting>
  <conditionalFormatting sqref="B763:B765">
    <cfRule type="containsBlanks" dxfId="325" priority="291">
      <formula>LEN(TRIM(B763))=0</formula>
    </cfRule>
  </conditionalFormatting>
  <conditionalFormatting sqref="E777:Z778">
    <cfRule type="containsBlanks" dxfId="324" priority="290">
      <formula>LEN(TRIM(E777))=0</formula>
    </cfRule>
  </conditionalFormatting>
  <conditionalFormatting sqref="E780:Z782 R783">
    <cfRule type="containsBlanks" dxfId="323" priority="289">
      <formula>LEN(TRIM(E780))=0</formula>
    </cfRule>
  </conditionalFormatting>
  <conditionalFormatting sqref="B780:B783">
    <cfRule type="containsBlanks" dxfId="322" priority="288">
      <formula>LEN(TRIM(B780))=0</formula>
    </cfRule>
  </conditionalFormatting>
  <conditionalFormatting sqref="D752:N752">
    <cfRule type="expression" dxfId="321" priority="287">
      <formula>AND(D750="Show",D752="")</formula>
    </cfRule>
  </conditionalFormatting>
  <conditionalFormatting sqref="Q752:Z752">
    <cfRule type="expression" dxfId="320" priority="286">
      <formula>AND(Q750="Show",Q752="")</formula>
    </cfRule>
  </conditionalFormatting>
  <conditionalFormatting sqref="D749:N749 Q749:Z749">
    <cfRule type="cellIs" dxfId="319" priority="280" operator="equal">
      <formula>"Show"</formula>
    </cfRule>
    <cfRule type="cellIs" dxfId="318" priority="282" operator="equal">
      <formula>"Hide"</formula>
    </cfRule>
    <cfRule type="containsBlanks" dxfId="317" priority="284">
      <formula>LEN(TRIM(D749))=0</formula>
    </cfRule>
  </conditionalFormatting>
  <conditionalFormatting sqref="D751:N751">
    <cfRule type="expression" dxfId="316" priority="283">
      <formula>AND(D749="Show",D751="")</formula>
    </cfRule>
  </conditionalFormatting>
  <conditionalFormatting sqref="Q751:Z751">
    <cfRule type="expression" dxfId="315" priority="281">
      <formula>AND(Q749="Show",Q751="")</formula>
    </cfRule>
  </conditionalFormatting>
  <conditionalFormatting sqref="D749:N749">
    <cfRule type="expression" dxfId="314" priority="279">
      <formula>OR(D749="Show",D749="Hide")</formula>
    </cfRule>
  </conditionalFormatting>
  <conditionalFormatting sqref="D750:N750">
    <cfRule type="expression" dxfId="313" priority="278">
      <formula>OR(D749="Show",D749="Hide")</formula>
    </cfRule>
  </conditionalFormatting>
  <conditionalFormatting sqref="D751:N751">
    <cfRule type="expression" dxfId="312" priority="277">
      <formula>OR(D749="Show",D749="Hide")</formula>
    </cfRule>
  </conditionalFormatting>
  <conditionalFormatting sqref="Q749:Z749">
    <cfRule type="expression" dxfId="311" priority="276">
      <formula>OR(Q749="Show",Q749="Hide")</formula>
    </cfRule>
  </conditionalFormatting>
  <conditionalFormatting sqref="Q750:Z750">
    <cfRule type="expression" dxfId="310" priority="275">
      <formula>OR(Q749="Show",Q749="Hide")</formula>
    </cfRule>
  </conditionalFormatting>
  <conditionalFormatting sqref="Q751:Z751">
    <cfRule type="expression" dxfId="309" priority="274">
      <formula>OR(Q749="Show",Q749="Hide")</formula>
    </cfRule>
  </conditionalFormatting>
  <conditionalFormatting sqref="D772:N772">
    <cfRule type="expression" dxfId="308" priority="273">
      <formula>AND(D770="Show",D772="")</formula>
    </cfRule>
  </conditionalFormatting>
  <conditionalFormatting sqref="Q772:Z772">
    <cfRule type="expression" dxfId="307" priority="272">
      <formula>AND(Q770="Show",Q772="")</formula>
    </cfRule>
  </conditionalFormatting>
  <conditionalFormatting sqref="D769:N769 Q769:Z769">
    <cfRule type="cellIs" dxfId="306" priority="266" operator="equal">
      <formula>"Show"</formula>
    </cfRule>
    <cfRule type="cellIs" dxfId="305" priority="268" operator="equal">
      <formula>"Hide"</formula>
    </cfRule>
    <cfRule type="containsBlanks" dxfId="304" priority="270">
      <formula>LEN(TRIM(D769))=0</formula>
    </cfRule>
  </conditionalFormatting>
  <conditionalFormatting sqref="D771:N771">
    <cfRule type="expression" dxfId="303" priority="269">
      <formula>AND(D769="Show",D771="")</formula>
    </cfRule>
  </conditionalFormatting>
  <conditionalFormatting sqref="Q771:Z771">
    <cfRule type="expression" dxfId="302" priority="267">
      <formula>AND(Q769="Show",Q771="")</formula>
    </cfRule>
  </conditionalFormatting>
  <conditionalFormatting sqref="D769:N769">
    <cfRule type="expression" dxfId="301" priority="265">
      <formula>OR(D769="Show",D769="Hide")</formula>
    </cfRule>
  </conditionalFormatting>
  <conditionalFormatting sqref="D770:N770">
    <cfRule type="expression" dxfId="300" priority="264">
      <formula>OR(D769="Show",D769="Hide")</formula>
    </cfRule>
  </conditionalFormatting>
  <conditionalFormatting sqref="D771:N771">
    <cfRule type="expression" dxfId="299" priority="263">
      <formula>OR(D769="Show",D769="Hide")</formula>
    </cfRule>
  </conditionalFormatting>
  <conditionalFormatting sqref="Q769:Z769">
    <cfRule type="expression" dxfId="298" priority="262">
      <formula>OR(Q769="Show",Q769="Hide")</formula>
    </cfRule>
  </conditionalFormatting>
  <conditionalFormatting sqref="Q770:Z770">
    <cfRule type="expression" dxfId="297" priority="261">
      <formula>OR(Q769="Show",Q769="Hide")</formula>
    </cfRule>
  </conditionalFormatting>
  <conditionalFormatting sqref="Q771:Z771">
    <cfRule type="expression" dxfId="296" priority="260">
      <formula>OR(Q769="Show",Q769="Hide")</formula>
    </cfRule>
  </conditionalFormatting>
  <conditionalFormatting sqref="D790:N790">
    <cfRule type="expression" dxfId="295" priority="259">
      <formula>AND(D788="Show",D790="")</formula>
    </cfRule>
  </conditionalFormatting>
  <conditionalFormatting sqref="Q790:Z790">
    <cfRule type="expression" dxfId="294" priority="258">
      <formula>AND(Q788="Show",Q790="")</formula>
    </cfRule>
  </conditionalFormatting>
  <conditionalFormatting sqref="D787:N787 Q787:Z787">
    <cfRule type="cellIs" dxfId="293" priority="252" operator="equal">
      <formula>"Show"</formula>
    </cfRule>
    <cfRule type="cellIs" dxfId="292" priority="254" operator="equal">
      <formula>"Hide"</formula>
    </cfRule>
    <cfRule type="containsBlanks" dxfId="291" priority="256">
      <formula>LEN(TRIM(D787))=0</formula>
    </cfRule>
  </conditionalFormatting>
  <conditionalFormatting sqref="D789:N789">
    <cfRule type="expression" dxfId="290" priority="255">
      <formula>AND(D787="Show",D789="")</formula>
    </cfRule>
  </conditionalFormatting>
  <conditionalFormatting sqref="Q789:Z789">
    <cfRule type="expression" dxfId="289" priority="253">
      <formula>AND(Q787="Show",Q789="")</formula>
    </cfRule>
  </conditionalFormatting>
  <conditionalFormatting sqref="D787:N787">
    <cfRule type="expression" dxfId="288" priority="251">
      <formula>OR(D787="Show",D787="Hide")</formula>
    </cfRule>
  </conditionalFormatting>
  <conditionalFormatting sqref="D788:N788">
    <cfRule type="expression" dxfId="287" priority="250">
      <formula>OR(D787="Show",D787="Hide")</formula>
    </cfRule>
  </conditionalFormatting>
  <conditionalFormatting sqref="D789:N789">
    <cfRule type="expression" dxfId="286" priority="249">
      <formula>OR(D787="Show",D787="Hide")</formula>
    </cfRule>
  </conditionalFormatting>
  <conditionalFormatting sqref="Q787:Z787">
    <cfRule type="expression" dxfId="285" priority="248">
      <formula>OR(Q787="Show",Q787="Hide")</formula>
    </cfRule>
  </conditionalFormatting>
  <conditionalFormatting sqref="Q788:Z788">
    <cfRule type="expression" dxfId="284" priority="247">
      <formula>OR(Q787="Show",Q787="Hide")</formula>
    </cfRule>
  </conditionalFormatting>
  <conditionalFormatting sqref="Q789:Z789">
    <cfRule type="expression" dxfId="283" priority="246">
      <formula>OR(Q787="Show",Q787="Hide")</formula>
    </cfRule>
  </conditionalFormatting>
  <conditionalFormatting sqref="Y732">
    <cfRule type="containsBlanks" dxfId="282" priority="244">
      <formula>LEN(TRIM(Y732))=0</formula>
    </cfRule>
  </conditionalFormatting>
  <conditionalFormatting sqref="B176">
    <cfRule type="containsBlanks" dxfId="281" priority="243">
      <formula>LEN(TRIM(B176))=0</formula>
    </cfRule>
  </conditionalFormatting>
  <conditionalFormatting sqref="D250:D251">
    <cfRule type="containsBlanks" dxfId="280" priority="238">
      <formula>LEN(TRIM(D250))=0</formula>
    </cfRule>
  </conditionalFormatting>
  <conditionalFormatting sqref="B250">
    <cfRule type="containsBlanks" dxfId="279" priority="237">
      <formula>LEN(TRIM(B250))=0</formula>
    </cfRule>
  </conditionalFormatting>
  <conditionalFormatting sqref="B251">
    <cfRule type="containsBlanks" dxfId="278" priority="236">
      <formula>LEN(TRIM(B251))=0</formula>
    </cfRule>
  </conditionalFormatting>
  <conditionalFormatting sqref="D311:D312">
    <cfRule type="containsBlanks" dxfId="277" priority="235">
      <formula>LEN(TRIM(D311))=0</formula>
    </cfRule>
  </conditionalFormatting>
  <conditionalFormatting sqref="B311">
    <cfRule type="containsBlanks" dxfId="276" priority="234">
      <formula>LEN(TRIM(B311))=0</formula>
    </cfRule>
  </conditionalFormatting>
  <conditionalFormatting sqref="B312">
    <cfRule type="containsBlanks" dxfId="275" priority="233">
      <formula>LEN(TRIM(B312))=0</formula>
    </cfRule>
  </conditionalFormatting>
  <conditionalFormatting sqref="D372:D373">
    <cfRule type="containsBlanks" dxfId="274" priority="232">
      <formula>LEN(TRIM(D372))=0</formula>
    </cfRule>
  </conditionalFormatting>
  <conditionalFormatting sqref="B372">
    <cfRule type="containsBlanks" dxfId="273" priority="231">
      <formula>LEN(TRIM(B372))=0</formula>
    </cfRule>
  </conditionalFormatting>
  <conditionalFormatting sqref="B373">
    <cfRule type="containsBlanks" dxfId="272" priority="230">
      <formula>LEN(TRIM(B373))=0</formula>
    </cfRule>
  </conditionalFormatting>
  <conditionalFormatting sqref="D433:D434">
    <cfRule type="containsBlanks" dxfId="271" priority="229">
      <formula>LEN(TRIM(D433))=0</formula>
    </cfRule>
  </conditionalFormatting>
  <conditionalFormatting sqref="B433">
    <cfRule type="containsBlanks" dxfId="270" priority="228">
      <formula>LEN(TRIM(B433))=0</formula>
    </cfRule>
  </conditionalFormatting>
  <conditionalFormatting sqref="B434">
    <cfRule type="containsBlanks" dxfId="269" priority="227">
      <formula>LEN(TRIM(B434))=0</formula>
    </cfRule>
  </conditionalFormatting>
  <conditionalFormatting sqref="D494:D495">
    <cfRule type="containsBlanks" dxfId="268" priority="226">
      <formula>LEN(TRIM(D494))=0</formula>
    </cfRule>
  </conditionalFormatting>
  <conditionalFormatting sqref="B494">
    <cfRule type="containsBlanks" dxfId="267" priority="225">
      <formula>LEN(TRIM(B494))=0</formula>
    </cfRule>
  </conditionalFormatting>
  <conditionalFormatting sqref="B495">
    <cfRule type="containsBlanks" dxfId="266" priority="224">
      <formula>LEN(TRIM(B495))=0</formula>
    </cfRule>
  </conditionalFormatting>
  <conditionalFormatting sqref="D555:D556">
    <cfRule type="containsBlanks" dxfId="265" priority="223">
      <formula>LEN(TRIM(D555))=0</formula>
    </cfRule>
  </conditionalFormatting>
  <conditionalFormatting sqref="B555">
    <cfRule type="containsBlanks" dxfId="264" priority="222">
      <formula>LEN(TRIM(B555))=0</formula>
    </cfRule>
  </conditionalFormatting>
  <conditionalFormatting sqref="B556">
    <cfRule type="containsBlanks" dxfId="263" priority="221">
      <formula>LEN(TRIM(B556))=0</formula>
    </cfRule>
  </conditionalFormatting>
  <conditionalFormatting sqref="D616:D617">
    <cfRule type="containsBlanks" dxfId="262" priority="220">
      <formula>LEN(TRIM(D616))=0</formula>
    </cfRule>
  </conditionalFormatting>
  <conditionalFormatting sqref="B616">
    <cfRule type="containsBlanks" dxfId="261" priority="219">
      <formula>LEN(TRIM(B616))=0</formula>
    </cfRule>
  </conditionalFormatting>
  <conditionalFormatting sqref="B617">
    <cfRule type="containsBlanks" dxfId="260" priority="218">
      <formula>LEN(TRIM(B617))=0</formula>
    </cfRule>
  </conditionalFormatting>
  <conditionalFormatting sqref="D677:D678">
    <cfRule type="containsBlanks" dxfId="259" priority="217">
      <formula>LEN(TRIM(D677))=0</formula>
    </cfRule>
  </conditionalFormatting>
  <conditionalFormatting sqref="B677">
    <cfRule type="containsBlanks" dxfId="258" priority="216">
      <formula>LEN(TRIM(B677))=0</formula>
    </cfRule>
  </conditionalFormatting>
  <conditionalFormatting sqref="B678">
    <cfRule type="containsBlanks" dxfId="257" priority="215">
      <formula>LEN(TRIM(B678))=0</formula>
    </cfRule>
  </conditionalFormatting>
  <conditionalFormatting sqref="D738:D739">
    <cfRule type="containsBlanks" dxfId="256" priority="214">
      <formula>LEN(TRIM(D738))=0</formula>
    </cfRule>
  </conditionalFormatting>
  <conditionalFormatting sqref="B738">
    <cfRule type="containsBlanks" dxfId="255" priority="213">
      <formula>LEN(TRIM(B738))=0</formula>
    </cfRule>
  </conditionalFormatting>
  <conditionalFormatting sqref="B739">
    <cfRule type="containsBlanks" dxfId="254" priority="212">
      <formula>LEN(TRIM(B739))=0</formula>
    </cfRule>
  </conditionalFormatting>
  <conditionalFormatting sqref="D267:D268">
    <cfRule type="containsBlanks" dxfId="253" priority="211">
      <formula>LEN(TRIM(D267))=0</formula>
    </cfRule>
  </conditionalFormatting>
  <conditionalFormatting sqref="B267:B268">
    <cfRule type="containsBlanks" dxfId="252" priority="210">
      <formula>LEN(TRIM(B267))=0</formula>
    </cfRule>
  </conditionalFormatting>
  <conditionalFormatting sqref="D328:D329">
    <cfRule type="containsBlanks" dxfId="251" priority="209">
      <formula>LEN(TRIM(D328))=0</formula>
    </cfRule>
  </conditionalFormatting>
  <conditionalFormatting sqref="B328:B329">
    <cfRule type="containsBlanks" dxfId="250" priority="208">
      <formula>LEN(TRIM(B328))=0</formula>
    </cfRule>
  </conditionalFormatting>
  <conditionalFormatting sqref="D389:D390">
    <cfRule type="containsBlanks" dxfId="249" priority="207">
      <formula>LEN(TRIM(D389))=0</formula>
    </cfRule>
  </conditionalFormatting>
  <conditionalFormatting sqref="B389:B390">
    <cfRule type="containsBlanks" dxfId="248" priority="206">
      <formula>LEN(TRIM(B389))=0</formula>
    </cfRule>
  </conditionalFormatting>
  <conditionalFormatting sqref="D450:D451">
    <cfRule type="containsBlanks" dxfId="247" priority="205">
      <formula>LEN(TRIM(D450))=0</formula>
    </cfRule>
  </conditionalFormatting>
  <conditionalFormatting sqref="B450:B451">
    <cfRule type="containsBlanks" dxfId="246" priority="204">
      <formula>LEN(TRIM(B450))=0</formula>
    </cfRule>
  </conditionalFormatting>
  <conditionalFormatting sqref="D511:D512">
    <cfRule type="containsBlanks" dxfId="245" priority="203">
      <formula>LEN(TRIM(D511))=0</formula>
    </cfRule>
  </conditionalFormatting>
  <conditionalFormatting sqref="B511:B512">
    <cfRule type="containsBlanks" dxfId="244" priority="202">
      <formula>LEN(TRIM(B511))=0</formula>
    </cfRule>
  </conditionalFormatting>
  <conditionalFormatting sqref="D572:D573">
    <cfRule type="containsBlanks" dxfId="243" priority="201">
      <formula>LEN(TRIM(D572))=0</formula>
    </cfRule>
  </conditionalFormatting>
  <conditionalFormatting sqref="B572:B573">
    <cfRule type="containsBlanks" dxfId="242" priority="200">
      <formula>LEN(TRIM(B572))=0</formula>
    </cfRule>
  </conditionalFormatting>
  <conditionalFormatting sqref="D633:D634">
    <cfRule type="containsBlanks" dxfId="241" priority="199">
      <formula>LEN(TRIM(D633))=0</formula>
    </cfRule>
  </conditionalFormatting>
  <conditionalFormatting sqref="B633:B634">
    <cfRule type="containsBlanks" dxfId="240" priority="198">
      <formula>LEN(TRIM(B633))=0</formula>
    </cfRule>
  </conditionalFormatting>
  <conditionalFormatting sqref="D694:D695">
    <cfRule type="containsBlanks" dxfId="239" priority="197">
      <formula>LEN(TRIM(D694))=0</formula>
    </cfRule>
  </conditionalFormatting>
  <conditionalFormatting sqref="B694:B695">
    <cfRule type="containsBlanks" dxfId="238" priority="196">
      <formula>LEN(TRIM(B694))=0</formula>
    </cfRule>
  </conditionalFormatting>
  <conditionalFormatting sqref="D755:D756">
    <cfRule type="containsBlanks" dxfId="237" priority="195">
      <formula>LEN(TRIM(D755))=0</formula>
    </cfRule>
  </conditionalFormatting>
  <conditionalFormatting sqref="B755:B756">
    <cfRule type="containsBlanks" dxfId="236" priority="194">
      <formula>LEN(TRIM(B755))=0</formula>
    </cfRule>
  </conditionalFormatting>
  <conditionalFormatting sqref="D287:D288">
    <cfRule type="containsBlanks" dxfId="235" priority="193">
      <formula>LEN(TRIM(D287))=0</formula>
    </cfRule>
  </conditionalFormatting>
  <conditionalFormatting sqref="B287:B288">
    <cfRule type="containsBlanks" dxfId="234" priority="192">
      <formula>LEN(TRIM(B287))=0</formula>
    </cfRule>
  </conditionalFormatting>
  <conditionalFormatting sqref="D348:D349">
    <cfRule type="containsBlanks" dxfId="233" priority="191">
      <formula>LEN(TRIM(D348))=0</formula>
    </cfRule>
  </conditionalFormatting>
  <conditionalFormatting sqref="B348:B349">
    <cfRule type="containsBlanks" dxfId="232" priority="190">
      <formula>LEN(TRIM(B348))=0</formula>
    </cfRule>
  </conditionalFormatting>
  <conditionalFormatting sqref="D409:D410">
    <cfRule type="containsBlanks" dxfId="231" priority="189">
      <formula>LEN(TRIM(D409))=0</formula>
    </cfRule>
  </conditionalFormatting>
  <conditionalFormatting sqref="B409:B410">
    <cfRule type="containsBlanks" dxfId="230" priority="188">
      <formula>LEN(TRIM(B409))=0</formula>
    </cfRule>
  </conditionalFormatting>
  <conditionalFormatting sqref="D470:D471">
    <cfRule type="containsBlanks" dxfId="229" priority="187">
      <formula>LEN(TRIM(D470))=0</formula>
    </cfRule>
  </conditionalFormatting>
  <conditionalFormatting sqref="B470:B471">
    <cfRule type="containsBlanks" dxfId="228" priority="186">
      <formula>LEN(TRIM(B470))=0</formula>
    </cfRule>
  </conditionalFormatting>
  <conditionalFormatting sqref="D531:D532">
    <cfRule type="containsBlanks" dxfId="227" priority="185">
      <formula>LEN(TRIM(D531))=0</formula>
    </cfRule>
  </conditionalFormatting>
  <conditionalFormatting sqref="B531:B532">
    <cfRule type="containsBlanks" dxfId="226" priority="184">
      <formula>LEN(TRIM(B531))=0</formula>
    </cfRule>
  </conditionalFormatting>
  <conditionalFormatting sqref="D592:D593">
    <cfRule type="containsBlanks" dxfId="225" priority="183">
      <formula>LEN(TRIM(D592))=0</formula>
    </cfRule>
  </conditionalFormatting>
  <conditionalFormatting sqref="B592:B593">
    <cfRule type="containsBlanks" dxfId="224" priority="182">
      <formula>LEN(TRIM(B592))=0</formula>
    </cfRule>
  </conditionalFormatting>
  <conditionalFormatting sqref="D653:D654">
    <cfRule type="containsBlanks" dxfId="223" priority="181">
      <formula>LEN(TRIM(D653))=0</formula>
    </cfRule>
  </conditionalFormatting>
  <conditionalFormatting sqref="B653:B654">
    <cfRule type="containsBlanks" dxfId="222" priority="180">
      <formula>LEN(TRIM(B653))=0</formula>
    </cfRule>
  </conditionalFormatting>
  <conditionalFormatting sqref="D714:D715">
    <cfRule type="containsBlanks" dxfId="221" priority="179">
      <formula>LEN(TRIM(D714))=0</formula>
    </cfRule>
  </conditionalFormatting>
  <conditionalFormatting sqref="B714:B715">
    <cfRule type="containsBlanks" dxfId="220" priority="178">
      <formula>LEN(TRIM(B714))=0</formula>
    </cfRule>
  </conditionalFormatting>
  <conditionalFormatting sqref="D775:D776">
    <cfRule type="containsBlanks" dxfId="219" priority="177">
      <formula>LEN(TRIM(D775))=0</formula>
    </cfRule>
  </conditionalFormatting>
  <conditionalFormatting sqref="B775:B776">
    <cfRule type="containsBlanks" dxfId="218" priority="176">
      <formula>LEN(TRIM(B775))=0</formula>
    </cfRule>
  </conditionalFormatting>
  <conditionalFormatting sqref="B46 B48:B62">
    <cfRule type="containsBlanks" dxfId="217" priority="174">
      <formula>LEN(TRIM(B46))=0</formula>
    </cfRule>
  </conditionalFormatting>
  <conditionalFormatting sqref="B48:B62">
    <cfRule type="expression" dxfId="216" priority="173">
      <formula>B48=FALSE</formula>
    </cfRule>
  </conditionalFormatting>
  <conditionalFormatting sqref="B77">
    <cfRule type="containsBlanks" dxfId="215" priority="168">
      <formula>LEN(TRIM(B77))=0</formula>
    </cfRule>
  </conditionalFormatting>
  <conditionalFormatting sqref="B84">
    <cfRule type="containsBlanks" dxfId="214" priority="167">
      <formula>LEN(TRIM(B84))=0</formula>
    </cfRule>
  </conditionalFormatting>
  <conditionalFormatting sqref="B98">
    <cfRule type="containsBlanks" dxfId="213" priority="166">
      <formula>LEN(TRIM(B98))=0</formula>
    </cfRule>
  </conditionalFormatting>
  <conditionalFormatting sqref="B105">
    <cfRule type="containsBlanks" dxfId="212" priority="165">
      <formula>LEN(TRIM(B105))=0</formula>
    </cfRule>
  </conditionalFormatting>
  <conditionalFormatting sqref="B112">
    <cfRule type="containsBlanks" dxfId="211" priority="164">
      <formula>LEN(TRIM(B112))=0</formula>
    </cfRule>
  </conditionalFormatting>
  <conditionalFormatting sqref="B186">
    <cfRule type="containsBlanks" dxfId="210" priority="163">
      <formula>LEN(TRIM(B186))=0</formula>
    </cfRule>
  </conditionalFormatting>
  <conditionalFormatting sqref="B206">
    <cfRule type="containsBlanks" dxfId="209" priority="162">
      <formula>LEN(TRIM(B206))=0</formula>
    </cfRule>
  </conditionalFormatting>
  <conditionalFormatting sqref="B224">
    <cfRule type="containsBlanks" dxfId="208" priority="161">
      <formula>LEN(TRIM(B224))=0</formula>
    </cfRule>
  </conditionalFormatting>
  <conditionalFormatting sqref="B261">
    <cfRule type="containsBlanks" dxfId="207" priority="160">
      <formula>LEN(TRIM(B261))=0</formula>
    </cfRule>
  </conditionalFormatting>
  <conditionalFormatting sqref="B281">
    <cfRule type="containsBlanks" dxfId="206" priority="159">
      <formula>LEN(TRIM(B281))=0</formula>
    </cfRule>
  </conditionalFormatting>
  <conditionalFormatting sqref="B299">
    <cfRule type="containsBlanks" dxfId="205" priority="158">
      <formula>LEN(TRIM(B299))=0</formula>
    </cfRule>
  </conditionalFormatting>
  <conditionalFormatting sqref="B322">
    <cfRule type="containsBlanks" dxfId="204" priority="157">
      <formula>LEN(TRIM(B322))=0</formula>
    </cfRule>
  </conditionalFormatting>
  <conditionalFormatting sqref="B342">
    <cfRule type="containsBlanks" dxfId="203" priority="156">
      <formula>LEN(TRIM(B342))=0</formula>
    </cfRule>
  </conditionalFormatting>
  <conditionalFormatting sqref="B360">
    <cfRule type="containsBlanks" dxfId="202" priority="155">
      <formula>LEN(TRIM(B360))=0</formula>
    </cfRule>
  </conditionalFormatting>
  <conditionalFormatting sqref="B383">
    <cfRule type="containsBlanks" dxfId="201" priority="154">
      <formula>LEN(TRIM(B383))=0</formula>
    </cfRule>
  </conditionalFormatting>
  <conditionalFormatting sqref="B403">
    <cfRule type="containsBlanks" dxfId="200" priority="153">
      <formula>LEN(TRIM(B403))=0</formula>
    </cfRule>
  </conditionalFormatting>
  <conditionalFormatting sqref="B421">
    <cfRule type="containsBlanks" dxfId="199" priority="152">
      <formula>LEN(TRIM(B421))=0</formula>
    </cfRule>
  </conditionalFormatting>
  <conditionalFormatting sqref="B444">
    <cfRule type="containsBlanks" dxfId="198" priority="151">
      <formula>LEN(TRIM(B444))=0</formula>
    </cfRule>
  </conditionalFormatting>
  <conditionalFormatting sqref="B464">
    <cfRule type="containsBlanks" dxfId="197" priority="150">
      <formula>LEN(TRIM(B464))=0</formula>
    </cfRule>
  </conditionalFormatting>
  <conditionalFormatting sqref="B482">
    <cfRule type="containsBlanks" dxfId="196" priority="149">
      <formula>LEN(TRIM(B482))=0</formula>
    </cfRule>
  </conditionalFormatting>
  <conditionalFormatting sqref="B505">
    <cfRule type="containsBlanks" dxfId="195" priority="148">
      <formula>LEN(TRIM(B505))=0</formula>
    </cfRule>
  </conditionalFormatting>
  <conditionalFormatting sqref="B525">
    <cfRule type="containsBlanks" dxfId="194" priority="147">
      <formula>LEN(TRIM(B525))=0</formula>
    </cfRule>
  </conditionalFormatting>
  <conditionalFormatting sqref="B543">
    <cfRule type="containsBlanks" dxfId="193" priority="146">
      <formula>LEN(TRIM(B543))=0</formula>
    </cfRule>
  </conditionalFormatting>
  <conditionalFormatting sqref="B566">
    <cfRule type="containsBlanks" dxfId="192" priority="145">
      <formula>LEN(TRIM(B566))=0</formula>
    </cfRule>
  </conditionalFormatting>
  <conditionalFormatting sqref="B586">
    <cfRule type="containsBlanks" dxfId="191" priority="144">
      <formula>LEN(TRIM(B586))=0</formula>
    </cfRule>
  </conditionalFormatting>
  <conditionalFormatting sqref="B604">
    <cfRule type="containsBlanks" dxfId="190" priority="143">
      <formula>LEN(TRIM(B604))=0</formula>
    </cfRule>
  </conditionalFormatting>
  <conditionalFormatting sqref="B627">
    <cfRule type="containsBlanks" dxfId="189" priority="142">
      <formula>LEN(TRIM(B627))=0</formula>
    </cfRule>
  </conditionalFormatting>
  <conditionalFormatting sqref="B647">
    <cfRule type="containsBlanks" dxfId="188" priority="141">
      <formula>LEN(TRIM(B647))=0</formula>
    </cfRule>
  </conditionalFormatting>
  <conditionalFormatting sqref="B665">
    <cfRule type="containsBlanks" dxfId="187" priority="140">
      <formula>LEN(TRIM(B665))=0</formula>
    </cfRule>
  </conditionalFormatting>
  <conditionalFormatting sqref="B688">
    <cfRule type="containsBlanks" dxfId="186" priority="139">
      <formula>LEN(TRIM(B688))=0</formula>
    </cfRule>
  </conditionalFormatting>
  <conditionalFormatting sqref="B708">
    <cfRule type="containsBlanks" dxfId="185" priority="138">
      <formula>LEN(TRIM(B708))=0</formula>
    </cfRule>
  </conditionalFormatting>
  <conditionalFormatting sqref="B726">
    <cfRule type="containsBlanks" dxfId="184" priority="137">
      <formula>LEN(TRIM(B726))=0</formula>
    </cfRule>
  </conditionalFormatting>
  <conditionalFormatting sqref="B749">
    <cfRule type="containsBlanks" dxfId="183" priority="136">
      <formula>LEN(TRIM(B749))=0</formula>
    </cfRule>
  </conditionalFormatting>
  <conditionalFormatting sqref="B769">
    <cfRule type="containsBlanks" dxfId="182" priority="135">
      <formula>LEN(TRIM(B769))=0</formula>
    </cfRule>
  </conditionalFormatting>
  <conditionalFormatting sqref="B787">
    <cfRule type="containsBlanks" dxfId="181" priority="134">
      <formula>LEN(TRIM(B787))=0</formula>
    </cfRule>
  </conditionalFormatting>
  <conditionalFormatting sqref="B64:B66">
    <cfRule type="containsBlanks" dxfId="180" priority="128">
      <formula>LEN(TRIM(B64))=0</formula>
    </cfRule>
  </conditionalFormatting>
  <conditionalFormatting sqref="B64:B66">
    <cfRule type="expression" dxfId="179" priority="127">
      <formula>B64=FALSE</formula>
    </cfRule>
  </conditionalFormatting>
  <conditionalFormatting sqref="B121">
    <cfRule type="containsBlanks" dxfId="178" priority="126">
      <formula>LEN(TRIM(B121))=0</formula>
    </cfRule>
  </conditionalFormatting>
  <conditionalFormatting sqref="B122 B150:B155">
    <cfRule type="containsBlanks" dxfId="177" priority="125">
      <formula>LEN(TRIM(B122))=0</formula>
    </cfRule>
  </conditionalFormatting>
  <conditionalFormatting sqref="E151:F151">
    <cfRule type="containsBlanks" dxfId="176" priority="124">
      <formula>LEN(TRIM(E151))=0</formula>
    </cfRule>
  </conditionalFormatting>
  <conditionalFormatting sqref="E152:F155">
    <cfRule type="containsBlanks" dxfId="175" priority="123">
      <formula>LEN(TRIM(E152))=0</formula>
    </cfRule>
  </conditionalFormatting>
  <conditionalFormatting sqref="B123:B127">
    <cfRule type="containsBlanks" dxfId="174" priority="122">
      <formula>LEN(TRIM(B123))=0</formula>
    </cfRule>
  </conditionalFormatting>
  <conditionalFormatting sqref="E125:Z127">
    <cfRule type="containsBlanks" dxfId="173" priority="121">
      <formula>LEN(TRIM(E125))=0</formula>
    </cfRule>
  </conditionalFormatting>
  <conditionalFormatting sqref="B125:B127">
    <cfRule type="containsBlanks" dxfId="172" priority="120">
      <formula>LEN(TRIM(B125))=0</formula>
    </cfRule>
  </conditionalFormatting>
  <conditionalFormatting sqref="D134:N134">
    <cfRule type="expression" dxfId="171" priority="119">
      <formula>AND(D132="Show",D134="")</formula>
    </cfRule>
  </conditionalFormatting>
  <conditionalFormatting sqref="Q134:Z134">
    <cfRule type="expression" dxfId="170" priority="118">
      <formula>AND(Q132="Show",Q134="")</formula>
    </cfRule>
  </conditionalFormatting>
  <conditionalFormatting sqref="D131:N131 Q131:Z131">
    <cfRule type="cellIs" dxfId="169" priority="113" operator="equal">
      <formula>"Show"</formula>
    </cfRule>
    <cfRule type="cellIs" dxfId="168" priority="115" operator="equal">
      <formula>"Hide"</formula>
    </cfRule>
    <cfRule type="containsBlanks" dxfId="167" priority="117">
      <formula>LEN(TRIM(D131))=0</formula>
    </cfRule>
  </conditionalFormatting>
  <conditionalFormatting sqref="D133:N133">
    <cfRule type="expression" dxfId="166" priority="116">
      <formula>AND(D131="Show",D133="")</formula>
    </cfRule>
  </conditionalFormatting>
  <conditionalFormatting sqref="Q133:Z133">
    <cfRule type="expression" dxfId="165" priority="114">
      <formula>AND(Q131="Show",Q133="")</formula>
    </cfRule>
  </conditionalFormatting>
  <conditionalFormatting sqref="D131:N131">
    <cfRule type="expression" dxfId="164" priority="112">
      <formula>OR(D131="Show",D131="Hide")</formula>
    </cfRule>
  </conditionalFormatting>
  <conditionalFormatting sqref="D132:N132">
    <cfRule type="expression" dxfId="163" priority="111">
      <formula>OR(D131="Show",D131="Hide")</formula>
    </cfRule>
  </conditionalFormatting>
  <conditionalFormatting sqref="D133:N133">
    <cfRule type="expression" dxfId="162" priority="110">
      <formula>OR(D131="Show",D131="Hide")</formula>
    </cfRule>
  </conditionalFormatting>
  <conditionalFormatting sqref="Q131:Z131">
    <cfRule type="expression" dxfId="161" priority="109">
      <formula>OR(Q131="Show",Q131="Hide")</formula>
    </cfRule>
  </conditionalFormatting>
  <conditionalFormatting sqref="Q132:Z132">
    <cfRule type="expression" dxfId="160" priority="108">
      <formula>OR(Q131="Show",Q131="Hide")</formula>
    </cfRule>
  </conditionalFormatting>
  <conditionalFormatting sqref="Q133:Z133">
    <cfRule type="expression" dxfId="159" priority="107">
      <formula>OR(Q131="Show",Q131="Hide")</formula>
    </cfRule>
  </conditionalFormatting>
  <conditionalFormatting sqref="D141:N141">
    <cfRule type="expression" dxfId="158" priority="106">
      <formula>AND(D139="Show",D141="")</formula>
    </cfRule>
  </conditionalFormatting>
  <conditionalFormatting sqref="Q141:Z141">
    <cfRule type="expression" dxfId="157" priority="105">
      <formula>AND(Q139="Show",Q141="")</formula>
    </cfRule>
  </conditionalFormatting>
  <conditionalFormatting sqref="D138:N138 Q138:Z138">
    <cfRule type="cellIs" dxfId="156" priority="100" operator="equal">
      <formula>"Show"</formula>
    </cfRule>
    <cfRule type="cellIs" dxfId="155" priority="102" operator="equal">
      <formula>"Hide"</formula>
    </cfRule>
    <cfRule type="containsBlanks" dxfId="154" priority="104">
      <formula>LEN(TRIM(D138))=0</formula>
    </cfRule>
  </conditionalFormatting>
  <conditionalFormatting sqref="D140:N140">
    <cfRule type="expression" dxfId="153" priority="103">
      <formula>AND(D138="Show",D140="")</formula>
    </cfRule>
  </conditionalFormatting>
  <conditionalFormatting sqref="Q140:Z140">
    <cfRule type="expression" dxfId="152" priority="101">
      <formula>AND(Q138="Show",Q140="")</formula>
    </cfRule>
  </conditionalFormatting>
  <conditionalFormatting sqref="D138:N138">
    <cfRule type="expression" dxfId="151" priority="99">
      <formula>OR(D138="Show",D138="Hide")</formula>
    </cfRule>
  </conditionalFormatting>
  <conditionalFormatting sqref="D139:N139">
    <cfRule type="expression" dxfId="150" priority="98">
      <formula>OR(D138="Show",D138="Hide")</formula>
    </cfRule>
  </conditionalFormatting>
  <conditionalFormatting sqref="D140:N140">
    <cfRule type="expression" dxfId="149" priority="97">
      <formula>OR(D138="Show",D138="Hide")</formula>
    </cfRule>
  </conditionalFormatting>
  <conditionalFormatting sqref="Q138:Z138">
    <cfRule type="expression" dxfId="148" priority="96">
      <formula>OR(Q138="Show",Q138="Hide")</formula>
    </cfRule>
  </conditionalFormatting>
  <conditionalFormatting sqref="Q139:Z139">
    <cfRule type="expression" dxfId="147" priority="95">
      <formula>OR(Q138="Show",Q138="Hide")</formula>
    </cfRule>
  </conditionalFormatting>
  <conditionalFormatting sqref="Q140:Z140">
    <cfRule type="expression" dxfId="146" priority="94">
      <formula>OR(Q138="Show",Q138="Hide")</formula>
    </cfRule>
  </conditionalFormatting>
  <conditionalFormatting sqref="D148:N148">
    <cfRule type="expression" dxfId="145" priority="93">
      <formula>AND(D146="Show",D148="")</formula>
    </cfRule>
  </conditionalFormatting>
  <conditionalFormatting sqref="Q148:Z148">
    <cfRule type="expression" dxfId="144" priority="92">
      <formula>AND(Q146="Show",Q148="")</formula>
    </cfRule>
  </conditionalFormatting>
  <conditionalFormatting sqref="D145:N145 Q145:Z145">
    <cfRule type="cellIs" dxfId="143" priority="87" operator="equal">
      <formula>"Show"</formula>
    </cfRule>
    <cfRule type="cellIs" dxfId="142" priority="89" operator="equal">
      <formula>"Hide"</formula>
    </cfRule>
    <cfRule type="containsBlanks" dxfId="141" priority="91">
      <formula>LEN(TRIM(D145))=0</formula>
    </cfRule>
  </conditionalFormatting>
  <conditionalFormatting sqref="D147:N147">
    <cfRule type="expression" dxfId="140" priority="90">
      <formula>AND(D145="Show",D147="")</formula>
    </cfRule>
  </conditionalFormatting>
  <conditionalFormatting sqref="Q147:Z147">
    <cfRule type="expression" dxfId="139" priority="88">
      <formula>AND(Q145="Show",Q147="")</formula>
    </cfRule>
  </conditionalFormatting>
  <conditionalFormatting sqref="D145:N145">
    <cfRule type="expression" dxfId="138" priority="86">
      <formula>OR(D145="Show",D145="Hide")</formula>
    </cfRule>
  </conditionalFormatting>
  <conditionalFormatting sqref="D146:N146">
    <cfRule type="expression" dxfId="137" priority="85">
      <formula>OR(D145="Show",D145="Hide")</formula>
    </cfRule>
  </conditionalFormatting>
  <conditionalFormatting sqref="D147:N147">
    <cfRule type="expression" dxfId="136" priority="84">
      <formula>OR(D145="Show",D145="Hide")</formula>
    </cfRule>
  </conditionalFormatting>
  <conditionalFormatting sqref="Q145:Z145">
    <cfRule type="expression" dxfId="135" priority="83">
      <formula>OR(Q145="Show",Q145="Hide")</formula>
    </cfRule>
  </conditionalFormatting>
  <conditionalFormatting sqref="Q146:Z146">
    <cfRule type="expression" dxfId="134" priority="82">
      <formula>OR(Q145="Show",Q145="Hide")</formula>
    </cfRule>
  </conditionalFormatting>
  <conditionalFormatting sqref="Q147:Z147">
    <cfRule type="expression" dxfId="133" priority="81">
      <formula>OR(Q145="Show",Q145="Hide")</formula>
    </cfRule>
  </conditionalFormatting>
  <conditionalFormatting sqref="B131">
    <cfRule type="containsBlanks" dxfId="132" priority="80">
      <formula>LEN(TRIM(B131))=0</formula>
    </cfRule>
  </conditionalFormatting>
  <conditionalFormatting sqref="B138">
    <cfRule type="containsBlanks" dxfId="131" priority="79">
      <formula>LEN(TRIM(B138))=0</formula>
    </cfRule>
  </conditionalFormatting>
  <conditionalFormatting sqref="B145">
    <cfRule type="containsBlanks" dxfId="130" priority="78">
      <formula>LEN(TRIM(B145))=0</formula>
    </cfRule>
  </conditionalFormatting>
  <conditionalFormatting sqref="B156:B162">
    <cfRule type="containsBlanks" dxfId="129" priority="77">
      <formula>LEN(TRIM(B156))=0</formula>
    </cfRule>
  </conditionalFormatting>
  <conditionalFormatting sqref="G157 F158 E160">
    <cfRule type="containsBlanks" dxfId="128" priority="76">
      <formula>LEN(TRIM(E157))=0</formula>
    </cfRule>
  </conditionalFormatting>
  <conditionalFormatting sqref="B286 B266">
    <cfRule type="containsBlanks" dxfId="127" priority="75">
      <formula>LEN(TRIM(B266))=0</formula>
    </cfRule>
  </conditionalFormatting>
  <conditionalFormatting sqref="B307:B310">
    <cfRule type="containsBlanks" dxfId="126" priority="74">
      <formula>LEN(TRIM(B307))=0</formula>
    </cfRule>
  </conditionalFormatting>
  <conditionalFormatting sqref="B347 B327">
    <cfRule type="containsBlanks" dxfId="125" priority="73">
      <formula>LEN(TRIM(B327))=0</formula>
    </cfRule>
  </conditionalFormatting>
  <conditionalFormatting sqref="B368:B371">
    <cfRule type="containsBlanks" dxfId="124" priority="72">
      <formula>LEN(TRIM(B368))=0</formula>
    </cfRule>
  </conditionalFormatting>
  <conditionalFormatting sqref="B408 B388">
    <cfRule type="containsBlanks" dxfId="123" priority="71">
      <formula>LEN(TRIM(B388))=0</formula>
    </cfRule>
  </conditionalFormatting>
  <conditionalFormatting sqref="B429:B432">
    <cfRule type="containsBlanks" dxfId="122" priority="70">
      <formula>LEN(TRIM(B429))=0</formula>
    </cfRule>
  </conditionalFormatting>
  <conditionalFormatting sqref="B469 B449">
    <cfRule type="containsBlanks" dxfId="121" priority="69">
      <formula>LEN(TRIM(B449))=0</formula>
    </cfRule>
  </conditionalFormatting>
  <conditionalFormatting sqref="B490:B493">
    <cfRule type="containsBlanks" dxfId="120" priority="68">
      <formula>LEN(TRIM(B490))=0</formula>
    </cfRule>
  </conditionalFormatting>
  <conditionalFormatting sqref="B530 B510">
    <cfRule type="containsBlanks" dxfId="119" priority="67">
      <formula>LEN(TRIM(B510))=0</formula>
    </cfRule>
  </conditionalFormatting>
  <conditionalFormatting sqref="B551:B554">
    <cfRule type="containsBlanks" dxfId="118" priority="66">
      <formula>LEN(TRIM(B551))=0</formula>
    </cfRule>
  </conditionalFormatting>
  <conditionalFormatting sqref="B571">
    <cfRule type="containsBlanks" dxfId="117" priority="65">
      <formula>LEN(TRIM(B571))=0</formula>
    </cfRule>
  </conditionalFormatting>
  <conditionalFormatting sqref="B591">
    <cfRule type="containsBlanks" dxfId="116" priority="64">
      <formula>LEN(TRIM(B591))=0</formula>
    </cfRule>
  </conditionalFormatting>
  <conditionalFormatting sqref="B612:B615">
    <cfRule type="containsBlanks" dxfId="115" priority="63">
      <formula>LEN(TRIM(B612))=0</formula>
    </cfRule>
  </conditionalFormatting>
  <conditionalFormatting sqref="B652 B632">
    <cfRule type="containsBlanks" dxfId="114" priority="62">
      <formula>LEN(TRIM(B632))=0</formula>
    </cfRule>
  </conditionalFormatting>
  <conditionalFormatting sqref="B673:B676">
    <cfRule type="containsBlanks" dxfId="113" priority="61">
      <formula>LEN(TRIM(B673))=0</formula>
    </cfRule>
  </conditionalFormatting>
  <conditionalFormatting sqref="B713 B693">
    <cfRule type="containsBlanks" dxfId="112" priority="60">
      <formula>LEN(TRIM(B693))=0</formula>
    </cfRule>
  </conditionalFormatting>
  <conditionalFormatting sqref="B734:B737">
    <cfRule type="containsBlanks" dxfId="111" priority="59">
      <formula>LEN(TRIM(B734))=0</formula>
    </cfRule>
  </conditionalFormatting>
  <conditionalFormatting sqref="B774 B754">
    <cfRule type="containsBlanks" dxfId="110" priority="58">
      <formula>LEN(TRIM(B754))=0</formula>
    </cfRule>
  </conditionalFormatting>
  <conditionalFormatting sqref="B883">
    <cfRule type="containsBlanks" dxfId="109" priority="57">
      <formula>LEN(TRIM(B883))=0</formula>
    </cfRule>
  </conditionalFormatting>
  <conditionalFormatting sqref="B24">
    <cfRule type="containsBlanks" dxfId="108" priority="56">
      <formula>LEN(TRIM(B24))=0</formula>
    </cfRule>
  </conditionalFormatting>
  <conditionalFormatting sqref="D24:N24 Q24:Z24">
    <cfRule type="cellIs" dxfId="107" priority="51" operator="equal">
      <formula>"Show"</formula>
    </cfRule>
    <cfRule type="cellIs" dxfId="106" priority="53" operator="equal">
      <formula>"Hide"</formula>
    </cfRule>
    <cfRule type="containsBlanks" dxfId="105" priority="55">
      <formula>LEN(TRIM(D24))=0</formula>
    </cfRule>
  </conditionalFormatting>
  <conditionalFormatting sqref="D26:N27">
    <cfRule type="expression" dxfId="104" priority="54">
      <formula>AND(D24="Show",D26="")</formula>
    </cfRule>
  </conditionalFormatting>
  <conditionalFormatting sqref="Q26:Z27">
    <cfRule type="expression" dxfId="103" priority="52">
      <formula>AND(Q24="Show",Q26="")</formula>
    </cfRule>
  </conditionalFormatting>
  <conditionalFormatting sqref="D24:N24">
    <cfRule type="expression" dxfId="102" priority="50">
      <formula>OR(D24="Show",D24="Hide")</formula>
    </cfRule>
  </conditionalFormatting>
  <conditionalFormatting sqref="D25:N25">
    <cfRule type="expression" dxfId="101" priority="49">
      <formula>OR(D24="Show",D24="Hide")</formula>
    </cfRule>
  </conditionalFormatting>
  <conditionalFormatting sqref="D26:N26">
    <cfRule type="expression" dxfId="100" priority="48">
      <formula>OR(D24="Show",D24="Hide")</formula>
    </cfRule>
  </conditionalFormatting>
  <conditionalFormatting sqref="Q24:Z24">
    <cfRule type="expression" dxfId="99" priority="47">
      <formula>OR(Q24="Show",Q24="Hide")</formula>
    </cfRule>
  </conditionalFormatting>
  <conditionalFormatting sqref="Q25:Z25">
    <cfRule type="expression" dxfId="98" priority="46">
      <formula>OR(Q24="Show",Q24="Hide")</formula>
    </cfRule>
  </conditionalFormatting>
  <conditionalFormatting sqref="Q26:Z26">
    <cfRule type="expression" dxfId="97" priority="45">
      <formula>OR(Q24="Show",Q24="Hide")</formula>
    </cfRule>
  </conditionalFormatting>
  <conditionalFormatting sqref="D870">
    <cfRule type="containsBlanks" dxfId="96" priority="44">
      <formula>LEN(TRIM(D870))=0</formula>
    </cfRule>
  </conditionalFormatting>
  <conditionalFormatting sqref="B870">
    <cfRule type="containsBlanks" dxfId="95" priority="43">
      <formula>LEN(TRIM(B870))=0</formula>
    </cfRule>
  </conditionalFormatting>
  <conditionalFormatting sqref="D168:N168">
    <cfRule type="expression" dxfId="94" priority="42">
      <formula>AND(D166="Show",D168="")</formula>
    </cfRule>
  </conditionalFormatting>
  <conditionalFormatting sqref="Q168:Z168">
    <cfRule type="expression" dxfId="93" priority="41">
      <formula>AND(Q166="Show",Q168="")</formula>
    </cfRule>
  </conditionalFormatting>
  <conditionalFormatting sqref="D165:N165 Q165:Z165">
    <cfRule type="cellIs" dxfId="92" priority="36" operator="equal">
      <formula>"Show"</formula>
    </cfRule>
    <cfRule type="cellIs" dxfId="91" priority="38" operator="equal">
      <formula>"Hide"</formula>
    </cfRule>
    <cfRule type="containsBlanks" dxfId="90" priority="40">
      <formula>LEN(TRIM(D165))=0</formula>
    </cfRule>
  </conditionalFormatting>
  <conditionalFormatting sqref="D167:N167">
    <cfRule type="expression" dxfId="89" priority="39">
      <formula>AND(D165="Show",D167="")</formula>
    </cfRule>
  </conditionalFormatting>
  <conditionalFormatting sqref="Q167:Z167">
    <cfRule type="expression" dxfId="88" priority="37">
      <formula>AND(Q165="Show",Q167="")</formula>
    </cfRule>
  </conditionalFormatting>
  <conditionalFormatting sqref="D165:N165">
    <cfRule type="expression" dxfId="87" priority="35">
      <formula>OR(D165="Show",D165="Hide")</formula>
    </cfRule>
  </conditionalFormatting>
  <conditionalFormatting sqref="D166:N166">
    <cfRule type="expression" dxfId="86" priority="34">
      <formula>OR(D165="Show",D165="Hide")</formula>
    </cfRule>
  </conditionalFormatting>
  <conditionalFormatting sqref="D167:N167">
    <cfRule type="expression" dxfId="85" priority="33">
      <formula>OR(D165="Show",D165="Hide")</formula>
    </cfRule>
  </conditionalFormatting>
  <conditionalFormatting sqref="Q165:Z165">
    <cfRule type="expression" dxfId="84" priority="32">
      <formula>OR(Q165="Show",Q165="Hide")</formula>
    </cfRule>
  </conditionalFormatting>
  <conditionalFormatting sqref="Q166:Z166">
    <cfRule type="expression" dxfId="83" priority="31">
      <formula>OR(Q165="Show",Q165="Hide")</formula>
    </cfRule>
  </conditionalFormatting>
  <conditionalFormatting sqref="Q167:Z167">
    <cfRule type="expression" dxfId="82" priority="30">
      <formula>OR(Q165="Show",Q165="Hide")</formula>
    </cfRule>
  </conditionalFormatting>
  <conditionalFormatting sqref="B165">
    <cfRule type="containsBlanks" dxfId="81" priority="29">
      <formula>LEN(TRIM(B165))=0</formula>
    </cfRule>
  </conditionalFormatting>
  <conditionalFormatting sqref="D234:N234">
    <cfRule type="expression" dxfId="80" priority="28">
      <formula>AND(D232="Show",D234="")</formula>
    </cfRule>
  </conditionalFormatting>
  <conditionalFormatting sqref="Q234:Z234">
    <cfRule type="expression" dxfId="79" priority="27">
      <formula>AND(Q232="Show",Q234="")</formula>
    </cfRule>
  </conditionalFormatting>
  <conditionalFormatting sqref="D231:N231 Q231:Z231">
    <cfRule type="cellIs" dxfId="78" priority="22" operator="equal">
      <formula>"Show"</formula>
    </cfRule>
    <cfRule type="cellIs" dxfId="77" priority="24" operator="equal">
      <formula>"Hide"</formula>
    </cfRule>
    <cfRule type="containsBlanks" dxfId="76" priority="26">
      <formula>LEN(TRIM(D231))=0</formula>
    </cfRule>
  </conditionalFormatting>
  <conditionalFormatting sqref="D233:N233">
    <cfRule type="expression" dxfId="75" priority="25">
      <formula>AND(D231="Show",D233="")</formula>
    </cfRule>
  </conditionalFormatting>
  <conditionalFormatting sqref="Q233:Z233">
    <cfRule type="expression" dxfId="74" priority="23">
      <formula>AND(Q231="Show",Q233="")</formula>
    </cfRule>
  </conditionalFormatting>
  <conditionalFormatting sqref="D231:N231">
    <cfRule type="expression" dxfId="73" priority="21">
      <formula>OR(D231="Show",D231="Hide")</formula>
    </cfRule>
  </conditionalFormatting>
  <conditionalFormatting sqref="D232:N232">
    <cfRule type="expression" dxfId="72" priority="20">
      <formula>OR(D231="Show",D231="Hide")</formula>
    </cfRule>
  </conditionalFormatting>
  <conditionalFormatting sqref="D233:N233">
    <cfRule type="expression" dxfId="71" priority="19">
      <formula>OR(D231="Show",D231="Hide")</formula>
    </cfRule>
  </conditionalFormatting>
  <conditionalFormatting sqref="Q231:Z231">
    <cfRule type="expression" dxfId="70" priority="18">
      <formula>OR(Q231="Show",Q231="Hide")</formula>
    </cfRule>
  </conditionalFormatting>
  <conditionalFormatting sqref="Q232:Z232">
    <cfRule type="expression" dxfId="69" priority="17">
      <formula>OR(Q231="Show",Q231="Hide")</formula>
    </cfRule>
  </conditionalFormatting>
  <conditionalFormatting sqref="Q233:Z233">
    <cfRule type="expression" dxfId="68" priority="16">
      <formula>OR(Q231="Show",Q231="Hide")</formula>
    </cfRule>
  </conditionalFormatting>
  <conditionalFormatting sqref="B231">
    <cfRule type="containsBlanks" dxfId="67" priority="15">
      <formula>LEN(TRIM(B231))=0</formula>
    </cfRule>
  </conditionalFormatting>
  <conditionalFormatting sqref="D241:N241">
    <cfRule type="expression" dxfId="66" priority="14">
      <formula>AND(D239="Show",D241="")</formula>
    </cfRule>
  </conditionalFormatting>
  <conditionalFormatting sqref="Q241:Z241">
    <cfRule type="expression" dxfId="65" priority="13">
      <formula>AND(Q239="Show",Q241="")</formula>
    </cfRule>
  </conditionalFormatting>
  <conditionalFormatting sqref="D238:N238 Q238:Z238">
    <cfRule type="cellIs" dxfId="64" priority="8" operator="equal">
      <formula>"Show"</formula>
    </cfRule>
    <cfRule type="cellIs" dxfId="63" priority="10" operator="equal">
      <formula>"Hide"</formula>
    </cfRule>
    <cfRule type="containsBlanks" dxfId="62" priority="12">
      <formula>LEN(TRIM(D238))=0</formula>
    </cfRule>
  </conditionalFormatting>
  <conditionalFormatting sqref="D240:N240">
    <cfRule type="expression" dxfId="61" priority="11">
      <formula>AND(D238="Show",D240="")</formula>
    </cfRule>
  </conditionalFormatting>
  <conditionalFormatting sqref="Q240:Z240">
    <cfRule type="expression" dxfId="60" priority="9">
      <formula>AND(Q238="Show",Q240="")</formula>
    </cfRule>
  </conditionalFormatting>
  <conditionalFormatting sqref="D238:N238">
    <cfRule type="expression" dxfId="59" priority="7">
      <formula>OR(D238="Show",D238="Hide")</formula>
    </cfRule>
  </conditionalFormatting>
  <conditionalFormatting sqref="D239:N239">
    <cfRule type="expression" dxfId="58" priority="6">
      <formula>OR(D238="Show",D238="Hide")</formula>
    </cfRule>
  </conditionalFormatting>
  <conditionalFormatting sqref="D240:N240">
    <cfRule type="expression" dxfId="57" priority="5">
      <formula>OR(D238="Show",D238="Hide")</formula>
    </cfRule>
  </conditionalFormatting>
  <conditionalFormatting sqref="Q238:Z238">
    <cfRule type="expression" dxfId="56" priority="4">
      <formula>OR(Q238="Show",Q238="Hide")</formula>
    </cfRule>
  </conditionalFormatting>
  <conditionalFormatting sqref="Q239:Z239">
    <cfRule type="expression" dxfId="55" priority="3">
      <formula>OR(Q238="Show",Q238="Hide")</formula>
    </cfRule>
  </conditionalFormatting>
  <conditionalFormatting sqref="Q240:Z240">
    <cfRule type="expression" dxfId="54" priority="2">
      <formula>OR(Q238="Show",Q238="Hide")</formula>
    </cfRule>
  </conditionalFormatting>
  <conditionalFormatting sqref="B238">
    <cfRule type="containsBlanks" dxfId="53" priority="1">
      <formula>LEN(TRIM(B238))=0</formula>
    </cfRule>
  </conditionalFormatting>
  <dataValidations count="2">
    <dataValidation type="list" allowBlank="1" showInputMessage="1" showErrorMessage="1" sqref="D70:N70 Q70:Z70 D77:N77 Q77:Z77 D84:N84 Q84:Z84 D98:N98 Q98:Z98 D105:N105 Q105:Z105 D112:N112 Q112:Z112 D186:N186 Q186:Z186 D206:N206 Q206:Z206 D224:N224 Q224:Z224 D261:N261 Q261:Z261 D281:N281 Q281:Z281 D299:N299 Q299:Z299 D322:N322 Q322:Z322 D342:N342 Q342:Z342 D360:N360 Q360:Z360 D383:N383 Q383:Z383 D403:N403 Q403:Z403 D421:N421 Q421:Z421 D444:N444 Q444:Z444 D464:N464 Q464:Z464 D482:N482 Q482:Z482 D505:N505 Q505:Z505 D525:N525 Q525:Z525 D543:N543 Q543:Z543 D566:N566 Q566:Z566 D586:N586 Q586:Z586 D604:N604 Q604:Z604 D627:N627 Q627:Z627 D647:N647 Q647:Z647 D665:N665 Q665:Z665 D688:N688 Q688:Z688 D708:N708 Q708:Z708 D726:N726 Q726:Z726 D749:N749 Q749:Z749 D769:N769 Q769:Z769 D787:N787 Q787:Z787 D131:N131 Q131:Z131 D138:N138 Q138:Z138 D145:N145 Q145:Z145 D24:N24 Q24:Z24 D165:N165 Q165:Z165 D231:N231 Q231:Z231 D238:N238 Q238:Z238" xr:uid="{04189A86-9EB1-4BF9-93A5-72C9DF8C83AF}">
      <formula1>"Hide,Show"</formula1>
    </dataValidation>
    <dataValidation type="list" allowBlank="1" showInputMessage="1" showErrorMessage="1" sqref="Y244 Y305 Y366 Y427 Y488 Y549 Y610 Y671 Y732" xr:uid="{64F2017B-844E-4838-A6A4-608C6718EAAD}">
      <formula1>"No,Yes"</formula1>
    </dataValidation>
  </dataValidations>
  <hyperlinks>
    <hyperlink ref="D940" r:id="rId1" xr:uid="{63EA63D5-F234-4F49-B04D-56D08C43A30A}"/>
  </hyperlinks>
  <pageMargins left="0.23622047244094491" right="0.23622047244094491" top="0.74803149606299213" bottom="0.74803149606299213" header="0.31496062992125984" footer="0.31496062992125984"/>
  <pageSetup paperSize="9" scale="97" fitToHeight="0" orientation="portrait" r:id="rId2"/>
  <headerFooter>
    <oddHeader>&amp;CTimbers Inspection&amp;R&amp;G</oddHeader>
    <oddFooter>&amp;C&amp;P of &amp;N</oddFooter>
  </headerFooter>
  <rowBreaks count="4" manualBreakCount="4">
    <brk id="40" min="3" max="25" man="1"/>
    <brk id="170" min="3" max="25" man="1"/>
    <brk id="234" min="3" max="25" man="1"/>
    <brk id="882" min="3" max="25" man="1"/>
  </rowBreaks>
  <drawing r:id="rId3"/>
  <legacyDrawing r:id="rId4"/>
  <legacyDrawingHF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A88D5-01A8-4C5C-B803-A71E7DF4039D}">
  <sheetPr codeName="Sheet1">
    <tabColor rgb="FFFFFF00"/>
  </sheetPr>
  <dimension ref="A1:AU217"/>
  <sheetViews>
    <sheetView zoomScale="110" zoomScaleNormal="110" workbookViewId="0">
      <pane xSplit="1" ySplit="19" topLeftCell="B126" activePane="bottomRight" state="frozen"/>
      <selection pane="topRight" activeCell="B1" sqref="B1"/>
      <selection pane="bottomLeft" activeCell="A20" sqref="A20"/>
      <selection pane="bottomRight" activeCell="M140" sqref="M140"/>
    </sheetView>
  </sheetViews>
  <sheetFormatPr baseColWidth="10" defaultColWidth="9.1640625" defaultRowHeight="15" outlineLevelRow="1" outlineLevelCol="1" x14ac:dyDescent="0.2"/>
  <cols>
    <col min="1" max="1" width="2.5" style="16" customWidth="1"/>
    <col min="2" max="2" width="17.1640625" style="16" customWidth="1"/>
    <col min="3" max="3" width="8.5" style="16" customWidth="1"/>
    <col min="4" max="4" width="7.1640625" style="16" customWidth="1"/>
    <col min="5" max="5" width="9.1640625" style="16" customWidth="1"/>
    <col min="6" max="7" width="9.1640625" style="19" customWidth="1"/>
    <col min="8" max="9" width="9.83203125" style="20" customWidth="1"/>
    <col min="10" max="10" width="5.1640625" style="20" customWidth="1"/>
    <col min="11" max="11" width="12.1640625" style="20" customWidth="1"/>
    <col min="12" max="12" width="1.5" style="16" customWidth="1"/>
    <col min="13" max="13" width="26.83203125" style="16" customWidth="1"/>
    <col min="14" max="14" width="6.5" style="92" customWidth="1"/>
    <col min="15" max="15" width="5.5" style="86" customWidth="1"/>
    <col min="16" max="17" width="7.6640625" style="86" customWidth="1"/>
    <col min="18" max="18" width="4.83203125" style="76" customWidth="1"/>
    <col min="19" max="19" width="8" style="76" customWidth="1"/>
    <col min="20" max="20" width="12.33203125" style="20" customWidth="1"/>
    <col min="21" max="21" width="9.1640625" style="20"/>
    <col min="22" max="22" width="9.1640625" style="1"/>
    <col min="23" max="23" width="24.33203125" style="16" customWidth="1"/>
    <col min="24" max="24" width="10.5" style="16" customWidth="1"/>
    <col min="25" max="27" width="9.1640625" style="16" customWidth="1"/>
    <col min="28" max="28" width="2.6640625" style="16" customWidth="1"/>
    <col min="29" max="29" width="10.5" style="16" customWidth="1"/>
    <col min="30" max="30" width="9.1640625" style="16" customWidth="1"/>
    <col min="34" max="37" width="9.1640625" style="16" customWidth="1"/>
    <col min="38" max="44" width="9.1640625" style="16"/>
    <col min="45" max="45" width="16.33203125" style="16" customWidth="1" outlineLevel="1"/>
    <col min="46" max="46" width="13.5" style="16" customWidth="1" outlineLevel="1"/>
    <col min="47" max="47" width="17.5" style="16" customWidth="1" outlineLevel="1"/>
    <col min="48" max="16384" width="9.1640625" style="16"/>
  </cols>
  <sheetData>
    <row r="1" spans="1:47" ht="40.5" customHeight="1" thickBot="1" x14ac:dyDescent="0.25">
      <c r="B1" s="464" t="s">
        <v>90</v>
      </c>
      <c r="C1" s="465"/>
      <c r="D1" s="465"/>
      <c r="E1" s="389" t="str">
        <f>IF(SUM(AT:AT)=0,"SHEET NOT YET STARTED",IF(SUM(AU:AU)&gt;0,"SHEET NOT COMPLETE","SHEET COMPLETE"))</f>
        <v>SHEET COMPLETE</v>
      </c>
      <c r="F1" s="390"/>
      <c r="G1" s="390"/>
      <c r="H1" s="390"/>
      <c r="I1" s="390"/>
      <c r="J1" s="390"/>
      <c r="K1" s="390"/>
      <c r="L1" s="390"/>
      <c r="M1" s="390"/>
      <c r="N1" s="390"/>
      <c r="O1" s="390"/>
      <c r="P1" s="390"/>
      <c r="Q1" s="390"/>
      <c r="R1" s="390"/>
      <c r="S1" s="390"/>
      <c r="T1" s="390"/>
      <c r="U1" s="390"/>
      <c r="V1" s="391"/>
      <c r="W1" s="101"/>
      <c r="AS1" s="17" t="s">
        <v>91</v>
      </c>
      <c r="AT1" s="18" t="s">
        <v>92</v>
      </c>
      <c r="AU1" s="18" t="s">
        <v>93</v>
      </c>
    </row>
    <row r="2" spans="1:47" ht="9" customHeight="1" thickBot="1" x14ac:dyDescent="0.25">
      <c r="H2" s="19"/>
      <c r="I2" s="19"/>
      <c r="J2" s="19"/>
      <c r="K2" s="19"/>
      <c r="L2" s="19"/>
      <c r="M2" s="19"/>
      <c r="N2" s="19"/>
      <c r="O2" s="19"/>
      <c r="P2" s="19"/>
      <c r="Q2" s="19"/>
      <c r="R2" s="19"/>
      <c r="S2" s="19"/>
      <c r="T2" s="19"/>
      <c r="AS2" s="21"/>
      <c r="AT2" s="22"/>
      <c r="AU2" s="22"/>
    </row>
    <row r="3" spans="1:47" s="21" customFormat="1" ht="18" hidden="1" outlineLevel="1" x14ac:dyDescent="0.2">
      <c r="A3" s="23" t="str">
        <f t="shared" ref="A3:A51" si="0">IF(AU3=1,"X","")</f>
        <v/>
      </c>
      <c r="B3" s="432" t="s">
        <v>94</v>
      </c>
      <c r="C3" s="433"/>
      <c r="D3" s="433"/>
      <c r="E3" s="433"/>
      <c r="F3" s="433"/>
      <c r="G3" s="433"/>
      <c r="H3" s="433"/>
      <c r="I3" s="433"/>
      <c r="J3" s="433"/>
      <c r="K3" s="433"/>
      <c r="L3" s="433"/>
      <c r="M3" s="434"/>
      <c r="O3" s="24"/>
      <c r="P3" s="24"/>
      <c r="Q3" s="24"/>
      <c r="R3" s="24"/>
      <c r="S3" s="24"/>
      <c r="T3" s="24"/>
      <c r="U3" s="25"/>
      <c r="V3" s="25"/>
      <c r="W3" s="2"/>
      <c r="X3" s="2"/>
      <c r="Y3" s="2"/>
      <c r="AT3" s="22"/>
      <c r="AU3" s="22"/>
    </row>
    <row r="4" spans="1:47" s="21" customFormat="1" ht="14" hidden="1" outlineLevel="1" x14ac:dyDescent="0.15">
      <c r="A4" s="23" t="str">
        <f t="shared" si="0"/>
        <v/>
      </c>
      <c r="B4" s="435" t="s">
        <v>95</v>
      </c>
      <c r="C4" s="436"/>
      <c r="D4" s="437"/>
      <c r="E4" s="438" t="str">
        <f>IF([1]Details!$C$4=0,"",UPPER([1]Details!$C$4))</f>
        <v>MAR57NE323AN</v>
      </c>
      <c r="F4" s="438"/>
      <c r="G4" s="438"/>
      <c r="H4" s="438"/>
      <c r="I4" s="438"/>
      <c r="J4" s="438"/>
      <c r="K4" s="438"/>
      <c r="L4" s="438"/>
      <c r="M4" s="439"/>
      <c r="O4" s="24"/>
      <c r="P4" s="24"/>
      <c r="Q4" s="24"/>
      <c r="R4" s="24"/>
      <c r="S4" s="24"/>
      <c r="T4" s="24"/>
      <c r="U4" s="25"/>
      <c r="V4" s="25"/>
      <c r="W4" s="2"/>
      <c r="X4" s="2"/>
      <c r="Y4" s="2"/>
      <c r="AT4" s="26">
        <f>IF(E4&lt;&gt;"",1,0)</f>
        <v>1</v>
      </c>
      <c r="AU4" s="26">
        <f>IF(AND(SUM(AT:AT)&gt;0,E4=""),1,0)</f>
        <v>0</v>
      </c>
    </row>
    <row r="5" spans="1:47" s="21" customFormat="1" hidden="1" outlineLevel="1" thickBot="1" x14ac:dyDescent="0.2">
      <c r="A5" s="23" t="str">
        <f t="shared" si="0"/>
        <v/>
      </c>
      <c r="O5" s="24"/>
      <c r="P5" s="24"/>
      <c r="Q5" s="24"/>
      <c r="R5" s="24"/>
      <c r="S5" s="24"/>
      <c r="T5" s="24"/>
      <c r="U5" s="25"/>
      <c r="V5" s="25"/>
      <c r="W5" s="2"/>
      <c r="X5" s="2"/>
      <c r="Y5" s="2"/>
      <c r="AT5" s="22"/>
      <c r="AU5" s="22"/>
    </row>
    <row r="6" spans="1:47" s="21" customFormat="1" ht="18" hidden="1" outlineLevel="1" x14ac:dyDescent="0.2">
      <c r="A6" s="23" t="str">
        <f t="shared" si="0"/>
        <v/>
      </c>
      <c r="B6" s="432" t="s">
        <v>96</v>
      </c>
      <c r="C6" s="433"/>
      <c r="D6" s="433"/>
      <c r="E6" s="433"/>
      <c r="F6" s="433"/>
      <c r="G6" s="433"/>
      <c r="H6" s="433"/>
      <c r="I6" s="433"/>
      <c r="J6" s="433"/>
      <c r="K6" s="433"/>
      <c r="L6" s="433"/>
      <c r="M6" s="434"/>
      <c r="O6" s="24"/>
      <c r="P6" s="24"/>
      <c r="Q6" s="24"/>
      <c r="R6" s="24"/>
      <c r="S6" s="24"/>
      <c r="T6" s="24"/>
      <c r="U6" s="25"/>
      <c r="V6" s="25"/>
      <c r="W6" s="2"/>
      <c r="X6" s="2"/>
      <c r="Y6" s="2"/>
      <c r="AT6" s="22"/>
      <c r="AU6" s="22"/>
    </row>
    <row r="7" spans="1:47" s="21" customFormat="1" ht="14" hidden="1" outlineLevel="1" x14ac:dyDescent="0.15">
      <c r="A7" s="23" t="str">
        <f t="shared" si="0"/>
        <v/>
      </c>
      <c r="B7" s="435" t="str">
        <f>[1]Details!$B$7</f>
        <v>Client Name</v>
      </c>
      <c r="C7" s="436"/>
      <c r="D7" s="437"/>
      <c r="E7" s="438" t="str">
        <f>IF([1]Details!$C$7=0,"",PROPER([1]Details!$C$7))</f>
        <v>Keli Martin</v>
      </c>
      <c r="F7" s="438"/>
      <c r="G7" s="438"/>
      <c r="H7" s="438"/>
      <c r="I7" s="438"/>
      <c r="J7" s="438"/>
      <c r="K7" s="438"/>
      <c r="L7" s="438"/>
      <c r="M7" s="439"/>
      <c r="O7" s="24"/>
      <c r="P7" s="24"/>
      <c r="Q7" s="24"/>
      <c r="R7" s="24"/>
      <c r="S7" s="24"/>
      <c r="T7" s="24"/>
      <c r="U7" s="25"/>
      <c r="V7" s="25"/>
      <c r="W7" s="2"/>
      <c r="X7" s="2"/>
      <c r="Y7" s="2"/>
      <c r="AT7" s="26">
        <f>IF(E7&lt;&gt;"",1,0)</f>
        <v>1</v>
      </c>
      <c r="AU7" s="26">
        <f>IF(AND(SUM(AT:AT)&gt;0,E7=""),1,0)</f>
        <v>0</v>
      </c>
    </row>
    <row r="8" spans="1:47" s="21" customFormat="1" ht="14" hidden="1" outlineLevel="1" x14ac:dyDescent="0.15">
      <c r="A8" s="23" t="str">
        <f t="shared" si="0"/>
        <v/>
      </c>
      <c r="B8" s="435" t="str">
        <f>[1]Details!$B$8</f>
        <v>First Line of site address</v>
      </c>
      <c r="C8" s="436"/>
      <c r="D8" s="437"/>
      <c r="E8" s="440" t="str">
        <f>IF([1]Details!$C$8=0,"",PROPER([1]Details!$C$8))</f>
        <v>57 Stothard Street</v>
      </c>
      <c r="F8" s="436"/>
      <c r="G8" s="436"/>
      <c r="H8" s="436"/>
      <c r="I8" s="436"/>
      <c r="J8" s="436"/>
      <c r="K8" s="436"/>
      <c r="L8" s="436"/>
      <c r="M8" s="441"/>
      <c r="O8" s="24"/>
      <c r="P8" s="24"/>
      <c r="Q8" s="24"/>
      <c r="R8" s="24"/>
      <c r="S8" s="24"/>
      <c r="T8" s="24"/>
      <c r="U8" s="25"/>
      <c r="V8" s="25"/>
      <c r="W8" s="2"/>
      <c r="X8" s="2"/>
      <c r="Y8" s="2"/>
      <c r="AT8" s="26">
        <f>IF(E8&lt;&gt;"",1,0)</f>
        <v>1</v>
      </c>
      <c r="AU8" s="26">
        <f>IF(AND(SUM(AT:AT)&gt;0,E8=""),1,0)</f>
        <v>0</v>
      </c>
    </row>
    <row r="9" spans="1:47" s="21" customFormat="1" ht="14" hidden="1" outlineLevel="1" x14ac:dyDescent="0.15">
      <c r="A9" s="23" t="str">
        <f t="shared" si="0"/>
        <v/>
      </c>
      <c r="B9" s="435" t="str">
        <f>[1]Details!$B$9</f>
        <v>Town / City</v>
      </c>
      <c r="C9" s="436"/>
      <c r="D9" s="437"/>
      <c r="E9" s="440" t="str">
        <f>IF([1]Details!$C$9=0,"",PROPER([1]Details!$C$9))</f>
        <v>Jarrow</v>
      </c>
      <c r="F9" s="436"/>
      <c r="G9" s="436"/>
      <c r="H9" s="436"/>
      <c r="I9" s="436"/>
      <c r="J9" s="436"/>
      <c r="K9" s="436"/>
      <c r="L9" s="436"/>
      <c r="M9" s="441"/>
      <c r="O9" s="24"/>
      <c r="P9" s="24"/>
      <c r="Q9" s="24"/>
      <c r="R9" s="24"/>
      <c r="S9" s="24"/>
      <c r="T9" s="24"/>
      <c r="U9" s="25"/>
      <c r="V9" s="25"/>
      <c r="W9" s="2"/>
      <c r="X9" s="2"/>
      <c r="Y9" s="2"/>
      <c r="AT9" s="26">
        <f>IF(E9&lt;&gt;"",1,0)</f>
        <v>1</v>
      </c>
      <c r="AU9" s="26">
        <f>IF(AND(SUM(AT:AT)&gt;0,E9=""),1,0)</f>
        <v>0</v>
      </c>
    </row>
    <row r="10" spans="1:47" s="21" customFormat="1" ht="14" hidden="1" outlineLevel="1" x14ac:dyDescent="0.15">
      <c r="A10" s="23" t="str">
        <f t="shared" si="0"/>
        <v/>
      </c>
      <c r="B10" s="435" t="str">
        <f>[1]Details!$B$10</f>
        <v>County</v>
      </c>
      <c r="C10" s="436"/>
      <c r="D10" s="437"/>
      <c r="E10" s="440" t="str">
        <f>IF([1]Details!$C$10=0,"",PROPER([1]Details!$C$10))</f>
        <v>Tyne &amp; Wear</v>
      </c>
      <c r="F10" s="436"/>
      <c r="G10" s="436"/>
      <c r="H10" s="436"/>
      <c r="I10" s="436"/>
      <c r="J10" s="436"/>
      <c r="K10" s="436"/>
      <c r="L10" s="436"/>
      <c r="M10" s="441"/>
      <c r="O10" s="24"/>
      <c r="P10" s="24"/>
      <c r="Q10" s="24"/>
      <c r="R10" s="24"/>
      <c r="S10" s="24"/>
      <c r="T10" s="24"/>
      <c r="U10" s="25"/>
      <c r="V10" s="25"/>
      <c r="W10" s="2"/>
      <c r="X10" s="2"/>
      <c r="Y10" s="2"/>
      <c r="AT10" s="26">
        <f>IF(E10&lt;&gt;"",1,0)</f>
        <v>1</v>
      </c>
      <c r="AU10" s="26">
        <f>IF(AND(SUM(AT:AT)&gt;0,E10=""),1,0)</f>
        <v>0</v>
      </c>
    </row>
    <row r="11" spans="1:47" s="21" customFormat="1" hidden="1" outlineLevel="1" thickBot="1" x14ac:dyDescent="0.2">
      <c r="A11" s="23" t="str">
        <f t="shared" si="0"/>
        <v/>
      </c>
      <c r="B11" s="537" t="str">
        <f>[1]Details!$B$11</f>
        <v>Site Post Code</v>
      </c>
      <c r="C11" s="538"/>
      <c r="D11" s="539"/>
      <c r="E11" s="540" t="str">
        <f>IF([1]Details!$C$11=0,"",UPPER([1]Details!$C$11))</f>
        <v>NE32 3AN</v>
      </c>
      <c r="F11" s="540"/>
      <c r="G11" s="540"/>
      <c r="H11" s="540"/>
      <c r="I11" s="540"/>
      <c r="J11" s="540"/>
      <c r="K11" s="540"/>
      <c r="L11" s="540"/>
      <c r="M11" s="541"/>
      <c r="O11" s="24"/>
      <c r="P11" s="24"/>
      <c r="Q11" s="24"/>
      <c r="R11" s="24"/>
      <c r="S11" s="24"/>
      <c r="T11" s="24"/>
      <c r="U11" s="25"/>
      <c r="V11" s="25"/>
      <c r="W11" s="2"/>
      <c r="X11" s="2"/>
      <c r="Y11" s="2"/>
      <c r="AT11" s="26">
        <f>IF(E11&lt;&gt;"",1,0)</f>
        <v>1</v>
      </c>
      <c r="AU11" s="26">
        <f>IF(AND(SUM(AT:AT)&gt;0,E11=""),1,0)</f>
        <v>0</v>
      </c>
    </row>
    <row r="12" spans="1:47" s="21" customFormat="1" hidden="1" outlineLevel="1" thickBot="1" x14ac:dyDescent="0.2">
      <c r="A12" s="23" t="str">
        <f t="shared" si="0"/>
        <v/>
      </c>
      <c r="O12" s="24"/>
      <c r="P12" s="24"/>
      <c r="Q12" s="24"/>
      <c r="R12" s="24"/>
      <c r="S12" s="24"/>
      <c r="T12" s="24"/>
      <c r="U12" s="25"/>
      <c r="V12" s="25"/>
      <c r="W12" s="2"/>
      <c r="X12" s="2"/>
      <c r="Y12" s="2"/>
      <c r="AT12" s="22"/>
      <c r="AU12" s="22"/>
    </row>
    <row r="13" spans="1:47" s="21" customFormat="1" ht="18" hidden="1" outlineLevel="1" x14ac:dyDescent="0.2">
      <c r="A13" s="23" t="str">
        <f t="shared" si="0"/>
        <v/>
      </c>
      <c r="B13" s="432" t="s">
        <v>97</v>
      </c>
      <c r="C13" s="433"/>
      <c r="D13" s="433"/>
      <c r="E13" s="433"/>
      <c r="F13" s="433"/>
      <c r="G13" s="433"/>
      <c r="H13" s="433"/>
      <c r="I13" s="433"/>
      <c r="J13" s="433"/>
      <c r="K13" s="433"/>
      <c r="L13" s="433"/>
      <c r="M13" s="434"/>
      <c r="O13" s="24"/>
      <c r="P13" s="24"/>
      <c r="Q13" s="24"/>
      <c r="R13" s="24"/>
      <c r="S13" s="24"/>
      <c r="T13" s="24"/>
      <c r="U13" s="25"/>
      <c r="V13" s="25"/>
      <c r="W13" s="2"/>
      <c r="X13" s="2"/>
      <c r="Y13" s="2"/>
      <c r="AT13" s="22"/>
      <c r="AU13" s="22"/>
    </row>
    <row r="14" spans="1:47" s="21" customFormat="1" hidden="1" outlineLevel="1" thickBot="1" x14ac:dyDescent="0.2">
      <c r="A14" s="23" t="str">
        <f t="shared" si="0"/>
        <v/>
      </c>
      <c r="B14" s="537" t="s">
        <v>98</v>
      </c>
      <c r="C14" s="538"/>
      <c r="D14" s="539"/>
      <c r="E14" s="540" t="str">
        <f>IF([1]Details!$C$16=0,"",[1]Details!$C$16)</f>
        <v>Steven Robinson</v>
      </c>
      <c r="F14" s="540"/>
      <c r="G14" s="540"/>
      <c r="H14" s="540"/>
      <c r="I14" s="540"/>
      <c r="J14" s="540"/>
      <c r="K14" s="540"/>
      <c r="L14" s="540"/>
      <c r="M14" s="541"/>
      <c r="O14" s="24"/>
      <c r="P14" s="24"/>
      <c r="Q14" s="24"/>
      <c r="R14" s="24"/>
      <c r="S14" s="24"/>
      <c r="T14" s="24"/>
      <c r="U14" s="25"/>
      <c r="V14" s="25"/>
      <c r="W14" s="2"/>
      <c r="X14" s="2"/>
      <c r="Y14" s="2"/>
      <c r="AT14" s="26">
        <f>IF(E14&lt;&gt;"",1,0)</f>
        <v>1</v>
      </c>
      <c r="AU14" s="26">
        <f>IF(AND(SUM(AT:AT)&gt;0,E14=""),1,0)</f>
        <v>0</v>
      </c>
    </row>
    <row r="15" spans="1:47" s="21" customFormat="1" hidden="1" outlineLevel="1" thickBot="1" x14ac:dyDescent="0.2">
      <c r="A15" s="23" t="str">
        <f t="shared" si="0"/>
        <v/>
      </c>
      <c r="O15" s="24"/>
      <c r="P15" s="24"/>
      <c r="Q15" s="24"/>
      <c r="R15" s="24"/>
      <c r="S15" s="24"/>
      <c r="T15" s="24"/>
      <c r="U15" s="25"/>
      <c r="V15" s="25"/>
      <c r="W15" s="2"/>
      <c r="X15" s="2"/>
      <c r="Y15" s="2"/>
      <c r="AT15" s="22"/>
      <c r="AU15" s="22"/>
    </row>
    <row r="16" spans="1:47" s="27" customFormat="1" ht="19.5" customHeight="1" collapsed="1" thickBot="1" x14ac:dyDescent="0.2">
      <c r="A16" s="23" t="str">
        <f t="shared" si="0"/>
        <v/>
      </c>
      <c r="B16" s="466" t="s">
        <v>436</v>
      </c>
      <c r="C16" s="467"/>
      <c r="D16" s="467"/>
      <c r="E16" s="467"/>
      <c r="F16" s="467"/>
      <c r="G16" s="467"/>
      <c r="H16" s="467"/>
      <c r="I16" s="467"/>
      <c r="J16" s="467"/>
      <c r="K16" s="467"/>
      <c r="L16" s="467"/>
      <c r="M16" s="467"/>
      <c r="N16" s="467"/>
      <c r="O16" s="467"/>
      <c r="P16" s="467"/>
      <c r="Q16" s="467"/>
      <c r="R16" s="467"/>
      <c r="S16" s="467"/>
      <c r="T16" s="467"/>
      <c r="U16" s="467"/>
      <c r="V16" s="468"/>
      <c r="X16" s="2"/>
      <c r="Y16" s="2"/>
      <c r="Z16" s="21"/>
      <c r="AA16" s="21"/>
      <c r="AB16" s="21"/>
      <c r="AC16" s="21"/>
      <c r="AD16" s="21"/>
      <c r="AE16" s="21"/>
      <c r="AF16" s="21"/>
      <c r="AT16" s="22"/>
      <c r="AU16" s="22"/>
    </row>
    <row r="17" spans="1:47" ht="17.5" customHeight="1" x14ac:dyDescent="0.2">
      <c r="A17" s="23" t="str">
        <f t="shared" si="0"/>
        <v/>
      </c>
      <c r="B17" s="442" t="s">
        <v>1</v>
      </c>
      <c r="C17" s="443"/>
      <c r="D17" s="443"/>
      <c r="E17" s="443"/>
      <c r="F17" s="430" t="s">
        <v>23</v>
      </c>
      <c r="G17" s="430" t="s">
        <v>147</v>
      </c>
      <c r="H17" s="471" t="s">
        <v>491</v>
      </c>
      <c r="I17" s="471" t="s">
        <v>492</v>
      </c>
      <c r="J17" s="430" t="s">
        <v>24</v>
      </c>
      <c r="K17" s="473" t="s">
        <v>2</v>
      </c>
      <c r="L17" s="518"/>
      <c r="M17" s="442" t="s">
        <v>429</v>
      </c>
      <c r="N17" s="471" t="s">
        <v>430</v>
      </c>
      <c r="O17" s="478" t="s">
        <v>431</v>
      </c>
      <c r="P17" s="471" t="s">
        <v>493</v>
      </c>
      <c r="Q17" s="471" t="s">
        <v>494</v>
      </c>
      <c r="R17" s="471" t="s">
        <v>30</v>
      </c>
      <c r="S17" s="471" t="s">
        <v>435</v>
      </c>
      <c r="T17" s="535" t="s">
        <v>432</v>
      </c>
      <c r="U17" s="512" t="s">
        <v>427</v>
      </c>
      <c r="V17" s="511" t="s">
        <v>428</v>
      </c>
      <c r="W17" s="27"/>
      <c r="X17" s="2"/>
      <c r="Y17" s="2"/>
      <c r="Z17" s="21"/>
      <c r="AA17" s="21"/>
      <c r="AB17" s="21"/>
      <c r="AC17" s="21"/>
      <c r="AD17" s="21"/>
      <c r="AE17" s="21"/>
      <c r="AF17" s="21"/>
      <c r="AT17" s="22"/>
      <c r="AU17" s="22"/>
    </row>
    <row r="18" spans="1:47" ht="13.5" customHeight="1" thickBot="1" x14ac:dyDescent="0.25">
      <c r="A18" s="23" t="str">
        <f t="shared" si="0"/>
        <v/>
      </c>
      <c r="B18" s="475"/>
      <c r="C18" s="476"/>
      <c r="D18" s="476"/>
      <c r="E18" s="476"/>
      <c r="F18" s="431"/>
      <c r="G18" s="431"/>
      <c r="H18" s="472"/>
      <c r="I18" s="472"/>
      <c r="J18" s="431"/>
      <c r="K18" s="474"/>
      <c r="L18" s="519"/>
      <c r="M18" s="475"/>
      <c r="N18" s="477"/>
      <c r="O18" s="479"/>
      <c r="P18" s="472"/>
      <c r="Q18" s="472"/>
      <c r="R18" s="477"/>
      <c r="S18" s="477"/>
      <c r="T18" s="536"/>
      <c r="U18" s="512"/>
      <c r="V18" s="511"/>
      <c r="W18" s="27"/>
      <c r="X18" s="2"/>
      <c r="Y18" s="2"/>
      <c r="Z18" s="21"/>
      <c r="AA18" s="21"/>
      <c r="AB18" s="21"/>
      <c r="AC18" s="21"/>
      <c r="AD18" s="21"/>
      <c r="AE18" s="21"/>
      <c r="AF18" s="21"/>
      <c r="AT18" s="22"/>
      <c r="AU18" s="22"/>
    </row>
    <row r="19" spans="1:47" s="101" customFormat="1" ht="5" customHeight="1" thickBot="1" x14ac:dyDescent="0.25">
      <c r="A19" s="275"/>
      <c r="B19" s="276"/>
      <c r="C19" s="276"/>
      <c r="D19" s="276"/>
      <c r="E19" s="276"/>
      <c r="F19" s="277"/>
      <c r="G19" s="278"/>
      <c r="H19" s="279"/>
      <c r="I19" s="279"/>
      <c r="J19" s="280"/>
      <c r="K19" s="281"/>
      <c r="L19" s="282"/>
      <c r="M19" s="280"/>
      <c r="N19" s="280"/>
      <c r="O19" s="283"/>
      <c r="P19" s="283"/>
      <c r="Q19" s="283"/>
      <c r="R19" s="284"/>
      <c r="S19" s="285"/>
      <c r="T19" s="286"/>
      <c r="U19" s="281"/>
      <c r="V19" s="287"/>
      <c r="W19" s="288"/>
      <c r="X19" s="289"/>
      <c r="Y19" s="289"/>
      <c r="Z19" s="289"/>
      <c r="AA19" s="289"/>
      <c r="AB19" s="290"/>
      <c r="AC19" s="289"/>
      <c r="AD19" s="289"/>
      <c r="AE19" s="289"/>
      <c r="AF19" s="289"/>
      <c r="AG19" s="121"/>
      <c r="AH19" s="121"/>
      <c r="AS19" s="291"/>
      <c r="AT19" s="22"/>
      <c r="AU19" s="22"/>
    </row>
    <row r="20" spans="1:47" ht="25" customHeight="1" thickBot="1" x14ac:dyDescent="0.25">
      <c r="A20" s="23" t="str">
        <f t="shared" si="0"/>
        <v/>
      </c>
      <c r="B20" s="442" t="s">
        <v>8</v>
      </c>
      <c r="C20" s="443"/>
      <c r="D20" s="443"/>
      <c r="E20" s="443"/>
      <c r="F20" s="443"/>
      <c r="G20" s="443"/>
      <c r="H20" s="443"/>
      <c r="I20" s="443"/>
      <c r="J20" s="443"/>
      <c r="K20" s="444"/>
      <c r="L20" s="218"/>
      <c r="M20" s="484" t="str">
        <f t="shared" ref="M20:M25" si="1">B20</f>
        <v>Preparatory work</v>
      </c>
      <c r="N20" s="485"/>
      <c r="O20" s="485"/>
      <c r="P20" s="485"/>
      <c r="Q20" s="485"/>
      <c r="R20" s="485"/>
      <c r="S20" s="486"/>
      <c r="T20" s="487"/>
      <c r="U20" s="507" t="str">
        <f>M20</f>
        <v>Preparatory work</v>
      </c>
      <c r="V20" s="481"/>
      <c r="W20" s="27"/>
      <c r="X20" s="2"/>
      <c r="Y20" s="2"/>
      <c r="Z20" s="21"/>
      <c r="AA20" s="21"/>
      <c r="AB20" s="21"/>
      <c r="AC20" s="21"/>
      <c r="AD20" s="21"/>
      <c r="AE20" s="21"/>
      <c r="AF20" s="21"/>
      <c r="AT20" s="22"/>
      <c r="AU20" s="22"/>
    </row>
    <row r="21" spans="1:47" ht="15" customHeight="1" thickBot="1" x14ac:dyDescent="0.25">
      <c r="A21" s="23" t="str">
        <f t="shared" si="0"/>
        <v/>
      </c>
      <c r="B21" s="447" t="s">
        <v>476</v>
      </c>
      <c r="C21" s="448"/>
      <c r="D21" s="448"/>
      <c r="E21" s="449"/>
      <c r="F21" s="13">
        <v>0</v>
      </c>
      <c r="G21" s="34" t="s">
        <v>141</v>
      </c>
      <c r="H21" s="35">
        <v>7</v>
      </c>
      <c r="I21" s="257">
        <f>(H21/100)*(100+$F$26)</f>
        <v>7.0000000000000009</v>
      </c>
      <c r="J21" s="258">
        <v>0.3</v>
      </c>
      <c r="K21" s="298">
        <f>F21*I21*(1+J21)</f>
        <v>0</v>
      </c>
      <c r="L21" s="219"/>
      <c r="M21" s="201" t="str">
        <f t="shared" si="1"/>
        <v>Remove radiators &amp; cap valves</v>
      </c>
      <c r="N21" s="233">
        <f>(1/60)*20</f>
        <v>0.33333333333333331</v>
      </c>
      <c r="O21" s="233">
        <f>F21*N21</f>
        <v>0</v>
      </c>
      <c r="P21" s="257">
        <f>$D$139</f>
        <v>30.63</v>
      </c>
      <c r="Q21" s="257">
        <f>(P21/100)*(100+$F$26)</f>
        <v>30.630000000000003</v>
      </c>
      <c r="R21" s="259">
        <v>1</v>
      </c>
      <c r="S21" s="299">
        <f>(O21*Q21*(1+R21))</f>
        <v>0</v>
      </c>
      <c r="T21" s="234">
        <f>K21+S21</f>
        <v>0</v>
      </c>
      <c r="U21" s="223">
        <f>F21*H21*1.1</f>
        <v>0</v>
      </c>
      <c r="V21" s="222">
        <f>O21*$E$139</f>
        <v>0</v>
      </c>
      <c r="W21" s="23"/>
      <c r="X21" s="2"/>
      <c r="Y21" s="2"/>
      <c r="Z21" s="21"/>
      <c r="AA21" s="21"/>
      <c r="AB21" s="21"/>
      <c r="AC21" s="21"/>
      <c r="AD21" s="21"/>
      <c r="AE21" s="21"/>
      <c r="AF21" s="21"/>
      <c r="AT21" s="26">
        <f>IF(F21&lt;&gt;"",1,0)</f>
        <v>1</v>
      </c>
      <c r="AU21" s="26">
        <f>IF(AND(SUM(AT:AT)&gt;0,F21=""),1,0)</f>
        <v>0</v>
      </c>
    </row>
    <row r="22" spans="1:47" ht="15" customHeight="1" thickBot="1" x14ac:dyDescent="0.25">
      <c r="A22" s="23" t="str">
        <f t="shared" si="0"/>
        <v/>
      </c>
      <c r="B22" s="447" t="s">
        <v>52</v>
      </c>
      <c r="C22" s="448"/>
      <c r="D22" s="448"/>
      <c r="E22" s="449"/>
      <c r="F22" s="13">
        <v>0</v>
      </c>
      <c r="G22" s="34" t="s">
        <v>141</v>
      </c>
      <c r="H22" s="365">
        <v>2</v>
      </c>
      <c r="I22" s="257">
        <f>(H22/100)*(100+$F$26)</f>
        <v>2</v>
      </c>
      <c r="J22" s="258">
        <v>0.3</v>
      </c>
      <c r="K22" s="298">
        <f>F22*I22*(1+J22)</f>
        <v>0</v>
      </c>
      <c r="L22" s="219"/>
      <c r="M22" s="201" t="str">
        <f t="shared" si="1"/>
        <v>Remove socket fronts and isolate</v>
      </c>
      <c r="N22" s="58">
        <f>(1/60)*12</f>
        <v>0.2</v>
      </c>
      <c r="O22" s="233">
        <f>F22*N22</f>
        <v>0</v>
      </c>
      <c r="P22" s="257">
        <f>$D$139</f>
        <v>30.63</v>
      </c>
      <c r="Q22" s="257">
        <f>(P22/100)*(100+$F$26)</f>
        <v>30.630000000000003</v>
      </c>
      <c r="R22" s="259">
        <v>1</v>
      </c>
      <c r="S22" s="299">
        <f>(O22*Q22*(1+R22))</f>
        <v>0</v>
      </c>
      <c r="T22" s="234">
        <f t="shared" ref="T22:T24" si="2">K22+S22</f>
        <v>0</v>
      </c>
      <c r="U22" s="223">
        <f>F22*H22*1.1</f>
        <v>0</v>
      </c>
      <c r="V22" s="222">
        <f>O22*$E$139</f>
        <v>0</v>
      </c>
      <c r="W22" s="23"/>
      <c r="X22" s="2"/>
      <c r="Y22" s="2"/>
      <c r="Z22" s="21"/>
      <c r="AA22" s="21"/>
      <c r="AB22" s="21"/>
      <c r="AC22" s="21"/>
      <c r="AD22" s="21"/>
      <c r="AE22" s="21"/>
      <c r="AF22" s="21"/>
      <c r="AT22" s="26">
        <f>IF(F22&lt;&gt;"",1,0)</f>
        <v>1</v>
      </c>
      <c r="AU22" s="26">
        <f>IF(AND(SUM(AT:AT)&gt;0,F22=""),1,0)</f>
        <v>0</v>
      </c>
    </row>
    <row r="23" spans="1:47" ht="15" customHeight="1" thickBot="1" x14ac:dyDescent="0.25">
      <c r="A23" s="23" t="str">
        <f t="shared" si="0"/>
        <v/>
      </c>
      <c r="B23" s="450" t="s">
        <v>56</v>
      </c>
      <c r="C23" s="451"/>
      <c r="D23" s="451"/>
      <c r="E23" s="452"/>
      <c r="F23" s="13">
        <v>0</v>
      </c>
      <c r="G23" s="34" t="s">
        <v>144</v>
      </c>
      <c r="H23" s="15">
        <v>0.1</v>
      </c>
      <c r="I23" s="257">
        <f>(H23/100)*(100+$F$26)</f>
        <v>0.1</v>
      </c>
      <c r="J23" s="258">
        <v>0.3</v>
      </c>
      <c r="K23" s="298">
        <f>F23*I23*(1+J23)</f>
        <v>0</v>
      </c>
      <c r="L23" s="220">
        <v>0.25</v>
      </c>
      <c r="M23" s="198" t="str">
        <f t="shared" si="1"/>
        <v>Skirting board removal &amp; set aside</v>
      </c>
      <c r="N23" s="58">
        <v>7.0000000000000007E-2</v>
      </c>
      <c r="O23" s="233">
        <f>F23*N23</f>
        <v>0</v>
      </c>
      <c r="P23" s="257">
        <f>$D$139</f>
        <v>30.63</v>
      </c>
      <c r="Q23" s="257">
        <f>(P23/100)*(100+$F$26)</f>
        <v>30.630000000000003</v>
      </c>
      <c r="R23" s="259">
        <v>1</v>
      </c>
      <c r="S23" s="299">
        <f t="shared" ref="S23:S25" si="3">(O23*Q23*(1+R23))</f>
        <v>0</v>
      </c>
      <c r="T23" s="234">
        <f t="shared" si="2"/>
        <v>0</v>
      </c>
      <c r="U23" s="223">
        <f>F23*H23*1.1</f>
        <v>0</v>
      </c>
      <c r="V23" s="222">
        <f>O23*$E$139</f>
        <v>0</v>
      </c>
      <c r="W23" s="27"/>
      <c r="X23" s="2"/>
      <c r="Y23" s="2"/>
      <c r="Z23" s="21"/>
      <c r="AA23" s="21"/>
      <c r="AB23" s="21"/>
      <c r="AC23" s="21"/>
      <c r="AD23" s="21"/>
      <c r="AE23" s="21"/>
      <c r="AF23" s="21"/>
      <c r="AT23" s="26">
        <f>IF(F23&lt;&gt;"",1,0)</f>
        <v>1</v>
      </c>
      <c r="AU23" s="26">
        <f>IF(AND(SUM(AT:AT)&gt;0,F23=""),1,0)</f>
        <v>0</v>
      </c>
    </row>
    <row r="24" spans="1:47" ht="15" customHeight="1" thickBot="1" x14ac:dyDescent="0.25">
      <c r="A24" s="23" t="str">
        <f t="shared" ref="A24" si="4">IF(AU24=1,"X","")</f>
        <v/>
      </c>
      <c r="B24" s="450" t="s">
        <v>481</v>
      </c>
      <c r="C24" s="451"/>
      <c r="D24" s="451"/>
      <c r="E24" s="452"/>
      <c r="F24" s="13">
        <v>0</v>
      </c>
      <c r="G24" s="34" t="s">
        <v>142</v>
      </c>
      <c r="H24" s="266">
        <v>0.5</v>
      </c>
      <c r="I24" s="257">
        <f>(H24/100)*(100+$F$26)</f>
        <v>0.5</v>
      </c>
      <c r="J24" s="258">
        <v>0.3</v>
      </c>
      <c r="K24" s="298">
        <f>F24*I24*(1+J24)</f>
        <v>0</v>
      </c>
      <c r="L24" s="220">
        <v>0.25</v>
      </c>
      <c r="M24" s="198" t="str">
        <f t="shared" si="1"/>
        <v>Strip Wall Paper</v>
      </c>
      <c r="N24" s="58">
        <v>0.5</v>
      </c>
      <c r="O24" s="233">
        <f>F24*N24</f>
        <v>0</v>
      </c>
      <c r="P24" s="257">
        <f>$D$139</f>
        <v>30.63</v>
      </c>
      <c r="Q24" s="257">
        <f>(P24/100)*(100+$F$26)</f>
        <v>30.630000000000003</v>
      </c>
      <c r="R24" s="259">
        <v>1</v>
      </c>
      <c r="S24" s="299">
        <f t="shared" ref="S24" si="5">(O24*Q24*(1+R24))</f>
        <v>0</v>
      </c>
      <c r="T24" s="234">
        <f t="shared" si="2"/>
        <v>0</v>
      </c>
      <c r="U24" s="223">
        <f>F24*H24*1.1</f>
        <v>0</v>
      </c>
      <c r="V24" s="222">
        <f>O24*$E$139</f>
        <v>0</v>
      </c>
      <c r="W24" s="27"/>
      <c r="X24" s="2"/>
      <c r="Y24" s="2"/>
      <c r="Z24" s="21"/>
      <c r="AA24" s="21"/>
      <c r="AB24" s="21"/>
      <c r="AC24" s="21"/>
      <c r="AD24" s="21"/>
      <c r="AE24" s="21"/>
      <c r="AF24" s="21"/>
      <c r="AT24" s="26">
        <f>IF(F24&lt;&gt;"",1,0)</f>
        <v>1</v>
      </c>
      <c r="AU24" s="26">
        <f>IF(AND(SUM(AT:AT)&gt;0,F24=""),1,0)</f>
        <v>0</v>
      </c>
    </row>
    <row r="25" spans="1:47" ht="15" customHeight="1" thickBot="1" x14ac:dyDescent="0.25">
      <c r="A25" s="23" t="str">
        <f t="shared" si="0"/>
        <v/>
      </c>
      <c r="B25" s="450" t="s">
        <v>565</v>
      </c>
      <c r="C25" s="451"/>
      <c r="D25" s="451"/>
      <c r="E25" s="452"/>
      <c r="F25" s="13">
        <v>0</v>
      </c>
      <c r="G25" s="34" t="s">
        <v>142</v>
      </c>
      <c r="H25" s="364">
        <f>4.16*1.1</f>
        <v>4.5760000000000005</v>
      </c>
      <c r="I25" s="257">
        <f>(H25/100)*(100+$F$26)</f>
        <v>4.5760000000000005</v>
      </c>
      <c r="J25" s="258">
        <v>0.3</v>
      </c>
      <c r="K25" s="298">
        <f>F25*I25*(1+J25)</f>
        <v>0</v>
      </c>
      <c r="L25" s="220">
        <v>0.25</v>
      </c>
      <c r="M25" s="198" t="str">
        <f t="shared" si="1"/>
        <v>Antinox HD Floor Protection Boards – 2.4m x 1.2m</v>
      </c>
      <c r="N25" s="233">
        <f>(1/60)*2</f>
        <v>3.3333333333333333E-2</v>
      </c>
      <c r="O25" s="233">
        <f>F25*N25</f>
        <v>0</v>
      </c>
      <c r="P25" s="257">
        <f>$D$139</f>
        <v>30.63</v>
      </c>
      <c r="Q25" s="257">
        <f>(P25/100)*(100+$F$26)</f>
        <v>30.630000000000003</v>
      </c>
      <c r="R25" s="259">
        <v>1</v>
      </c>
      <c r="S25" s="299">
        <f t="shared" si="3"/>
        <v>0</v>
      </c>
      <c r="T25" s="234">
        <f t="shared" ref="T25" si="6">K25+S25</f>
        <v>0</v>
      </c>
      <c r="U25" s="223">
        <f>F25*H25*1.1</f>
        <v>0</v>
      </c>
      <c r="V25" s="222">
        <f>O25*$E$139</f>
        <v>0</v>
      </c>
      <c r="W25" s="27"/>
      <c r="X25" s="2"/>
      <c r="Y25" s="2"/>
      <c r="Z25" s="21"/>
      <c r="AA25" s="21"/>
      <c r="AB25" s="21"/>
      <c r="AC25" s="21"/>
      <c r="AD25" s="21"/>
      <c r="AE25" s="21"/>
      <c r="AF25" s="21"/>
      <c r="AT25" s="26">
        <f>IF(F25&lt;&gt;"",1,0)</f>
        <v>1</v>
      </c>
      <c r="AU25" s="26">
        <f>IF(AND(SUM(AT:AT)&gt;0,F25=""),1,0)</f>
        <v>0</v>
      </c>
    </row>
    <row r="26" spans="1:47" ht="17" thickBot="1" x14ac:dyDescent="0.25">
      <c r="A26" s="23" t="str">
        <f t="shared" si="0"/>
        <v/>
      </c>
      <c r="B26" s="459" t="s">
        <v>496</v>
      </c>
      <c r="C26" s="460"/>
      <c r="D26" s="460"/>
      <c r="E26" s="460"/>
      <c r="F26" s="295">
        <v>0</v>
      </c>
      <c r="G26" s="202"/>
      <c r="H26" s="203"/>
      <c r="I26" s="203"/>
      <c r="J26" s="71" t="s">
        <v>187</v>
      </c>
      <c r="K26" s="227">
        <f>SUM(K21:K25)</f>
        <v>0</v>
      </c>
      <c r="L26" s="221"/>
      <c r="M26" s="462" t="s">
        <v>187</v>
      </c>
      <c r="N26" s="463"/>
      <c r="O26" s="244">
        <f>SUM(O21:O25)</f>
        <v>0</v>
      </c>
      <c r="P26" s="296"/>
      <c r="Q26" s="296"/>
      <c r="R26" s="297"/>
      <c r="S26" s="248">
        <f>SUM(S21:S25)</f>
        <v>0</v>
      </c>
      <c r="T26" s="246">
        <f>SUM(T21:T25)</f>
        <v>0</v>
      </c>
      <c r="U26" s="224">
        <f>SUM(U21:U25)</f>
        <v>0</v>
      </c>
      <c r="V26" s="205">
        <f>SUM(V21:V25)</f>
        <v>0</v>
      </c>
      <c r="W26" s="102"/>
      <c r="X26" s="2"/>
      <c r="Y26" s="2"/>
      <c r="Z26" s="21"/>
      <c r="AA26" s="21"/>
      <c r="AB26" s="21"/>
      <c r="AC26" s="21"/>
      <c r="AD26" s="21"/>
      <c r="AE26" s="21"/>
      <c r="AF26" s="21"/>
      <c r="AT26" s="22"/>
      <c r="AU26" s="22"/>
    </row>
    <row r="27" spans="1:47" s="101" customFormat="1" ht="5" customHeight="1" thickBot="1" x14ac:dyDescent="0.25">
      <c r="A27" s="275"/>
      <c r="B27" s="276"/>
      <c r="C27" s="276"/>
      <c r="D27" s="276"/>
      <c r="E27" s="276"/>
      <c r="F27" s="277"/>
      <c r="G27" s="278"/>
      <c r="H27" s="279"/>
      <c r="I27" s="279"/>
      <c r="J27" s="280"/>
      <c r="K27" s="281"/>
      <c r="L27" s="282"/>
      <c r="M27" s="280"/>
      <c r="N27" s="280"/>
      <c r="O27" s="283"/>
      <c r="P27" s="283"/>
      <c r="Q27" s="283"/>
      <c r="R27" s="284"/>
      <c r="S27" s="285"/>
      <c r="T27" s="286"/>
      <c r="U27" s="281"/>
      <c r="V27" s="287"/>
      <c r="W27" s="288"/>
      <c r="X27" s="289"/>
      <c r="Y27" s="289"/>
      <c r="Z27" s="289"/>
      <c r="AA27" s="289"/>
      <c r="AB27" s="290"/>
      <c r="AC27" s="289"/>
      <c r="AD27" s="289"/>
      <c r="AE27" s="289"/>
      <c r="AF27" s="289"/>
      <c r="AG27" s="121"/>
      <c r="AH27" s="121"/>
      <c r="AS27" s="291"/>
      <c r="AT27" s="22"/>
      <c r="AU27" s="22"/>
    </row>
    <row r="28" spans="1:47" ht="25" customHeight="1" thickBot="1" x14ac:dyDescent="0.25">
      <c r="A28" s="23" t="str">
        <f t="shared" si="0"/>
        <v/>
      </c>
      <c r="B28" s="508" t="s">
        <v>4</v>
      </c>
      <c r="C28" s="509"/>
      <c r="D28" s="509"/>
      <c r="E28" s="509"/>
      <c r="F28" s="509"/>
      <c r="G28" s="509"/>
      <c r="H28" s="509"/>
      <c r="I28" s="509"/>
      <c r="J28" s="509"/>
      <c r="K28" s="510"/>
      <c r="L28" s="219"/>
      <c r="M28" s="514" t="str">
        <f>B28</f>
        <v>Strip out</v>
      </c>
      <c r="N28" s="515"/>
      <c r="O28" s="515"/>
      <c r="P28" s="515"/>
      <c r="Q28" s="515"/>
      <c r="R28" s="515"/>
      <c r="S28" s="516"/>
      <c r="T28" s="517"/>
      <c r="U28" s="482" t="str">
        <f>M28</f>
        <v>Strip out</v>
      </c>
      <c r="V28" s="483"/>
      <c r="W28" s="27"/>
      <c r="X28" s="2"/>
      <c r="Y28" s="2"/>
      <c r="Z28" s="21"/>
      <c r="AA28" s="21"/>
      <c r="AB28" s="21"/>
      <c r="AC28" s="21"/>
      <c r="AD28" s="21"/>
      <c r="AE28" s="21"/>
      <c r="AF28" s="21"/>
      <c r="AT28" s="22"/>
      <c r="AU28" s="22"/>
    </row>
    <row r="29" spans="1:47" ht="15" customHeight="1" thickBot="1" x14ac:dyDescent="0.25">
      <c r="A29" s="23" t="str">
        <f t="shared" si="0"/>
        <v/>
      </c>
      <c r="B29" s="450" t="s">
        <v>179</v>
      </c>
      <c r="C29" s="451"/>
      <c r="D29" s="451"/>
      <c r="E29" s="452"/>
      <c r="F29" s="13">
        <v>0</v>
      </c>
      <c r="G29" s="34" t="s">
        <v>142</v>
      </c>
      <c r="H29" s="15">
        <v>0</v>
      </c>
      <c r="I29" s="257">
        <f t="shared" ref="I29:I38" si="7">(H29/100)*(100+$F$39)</f>
        <v>0</v>
      </c>
      <c r="J29" s="258">
        <v>0</v>
      </c>
      <c r="K29" s="298">
        <f t="shared" ref="K29:K36" si="8">F29*I29*(1+J29)</f>
        <v>0</v>
      </c>
      <c r="L29" s="220">
        <v>0.75</v>
      </c>
      <c r="M29" s="198" t="str">
        <f>B29</f>
        <v>Remove carpet/tiles/overlays</v>
      </c>
      <c r="N29" s="233">
        <f>1/6</f>
        <v>0.16666666666666666</v>
      </c>
      <c r="O29" s="233">
        <f t="shared" ref="O29:O37" si="9">F29*N29</f>
        <v>0</v>
      </c>
      <c r="P29" s="257">
        <f t="shared" ref="P29:P38" si="10">$D$139</f>
        <v>30.63</v>
      </c>
      <c r="Q29" s="257">
        <f t="shared" ref="Q29:Q38" si="11">(P29/100)*(100+$F$39)</f>
        <v>30.630000000000003</v>
      </c>
      <c r="R29" s="259">
        <v>1</v>
      </c>
      <c r="S29" s="299">
        <f t="shared" ref="S29:S37" si="12">(O29*Q29*(1+R29))</f>
        <v>0</v>
      </c>
      <c r="T29" s="234">
        <f t="shared" ref="T29:T38" si="13">K29+S29</f>
        <v>0</v>
      </c>
      <c r="U29" s="225">
        <f t="shared" ref="U29:U37" si="14">F29*H29*1.1</f>
        <v>0</v>
      </c>
      <c r="V29" s="222">
        <f t="shared" ref="V29:V38" si="15">O29*$E$139</f>
        <v>0</v>
      </c>
      <c r="W29" s="27"/>
      <c r="X29" s="2"/>
      <c r="Y29" s="2"/>
      <c r="Z29" s="21"/>
      <c r="AA29" s="21"/>
      <c r="AB29" s="21"/>
      <c r="AC29" s="21"/>
      <c r="AD29" s="21"/>
      <c r="AE29" s="21"/>
      <c r="AF29" s="21"/>
      <c r="AT29" s="26">
        <f t="shared" ref="AT29:AT36" si="16">IF(F29&lt;&gt;"",1,0)</f>
        <v>1</v>
      </c>
      <c r="AU29" s="26">
        <f t="shared" ref="AU29:AU36" si="17">IF(AND(SUM(AT:AT)&gt;0,F29=""),1,0)</f>
        <v>0</v>
      </c>
    </row>
    <row r="30" spans="1:47" ht="15" customHeight="1" thickBot="1" x14ac:dyDescent="0.25">
      <c r="A30" s="23" t="str">
        <f t="shared" si="0"/>
        <v/>
      </c>
      <c r="B30" s="450" t="s">
        <v>53</v>
      </c>
      <c r="C30" s="451"/>
      <c r="D30" s="451"/>
      <c r="E30" s="452"/>
      <c r="F30" s="13">
        <v>0</v>
      </c>
      <c r="G30" s="34" t="s">
        <v>142</v>
      </c>
      <c r="H30" s="15">
        <v>0</v>
      </c>
      <c r="I30" s="257">
        <f t="shared" si="7"/>
        <v>0</v>
      </c>
      <c r="J30" s="258">
        <v>0</v>
      </c>
      <c r="K30" s="298">
        <f t="shared" si="8"/>
        <v>0</v>
      </c>
      <c r="L30" s="220">
        <v>0.75</v>
      </c>
      <c r="M30" s="198" t="s">
        <v>9</v>
      </c>
      <c r="N30" s="58">
        <v>0.3</v>
      </c>
      <c r="O30" s="233">
        <f t="shared" ref="O30" si="18">F30*N30</f>
        <v>0</v>
      </c>
      <c r="P30" s="257">
        <f t="shared" si="10"/>
        <v>30.63</v>
      </c>
      <c r="Q30" s="257">
        <f t="shared" si="11"/>
        <v>30.630000000000003</v>
      </c>
      <c r="R30" s="259">
        <v>1</v>
      </c>
      <c r="S30" s="299">
        <f t="shared" si="12"/>
        <v>0</v>
      </c>
      <c r="T30" s="234">
        <f t="shared" si="13"/>
        <v>0</v>
      </c>
      <c r="U30" s="225">
        <f t="shared" ref="U30" si="19">F30*H30*1.1</f>
        <v>0</v>
      </c>
      <c r="V30" s="222">
        <f t="shared" si="15"/>
        <v>0</v>
      </c>
      <c r="W30" s="27"/>
      <c r="X30" s="2"/>
      <c r="Y30" s="2"/>
      <c r="Z30" s="21"/>
      <c r="AA30" s="21"/>
      <c r="AB30" s="21"/>
      <c r="AC30" s="21"/>
      <c r="AD30" s="21"/>
      <c r="AE30" s="21"/>
      <c r="AF30" s="21"/>
      <c r="AT30" s="26">
        <f t="shared" si="16"/>
        <v>1</v>
      </c>
      <c r="AU30" s="26">
        <f t="shared" si="17"/>
        <v>0</v>
      </c>
    </row>
    <row r="31" spans="1:47" ht="15" customHeight="1" thickBot="1" x14ac:dyDescent="0.25">
      <c r="A31" s="23" t="str">
        <f t="shared" si="0"/>
        <v/>
      </c>
      <c r="B31" s="450" t="s">
        <v>6</v>
      </c>
      <c r="C31" s="451"/>
      <c r="D31" s="451"/>
      <c r="E31" s="452"/>
      <c r="F31" s="13">
        <v>0</v>
      </c>
      <c r="G31" s="34" t="s">
        <v>142</v>
      </c>
      <c r="H31" s="15">
        <v>0</v>
      </c>
      <c r="I31" s="257">
        <f t="shared" si="7"/>
        <v>0</v>
      </c>
      <c r="J31" s="258">
        <v>0</v>
      </c>
      <c r="K31" s="298">
        <f t="shared" si="8"/>
        <v>0</v>
      </c>
      <c r="L31" s="220">
        <v>0.8</v>
      </c>
      <c r="M31" s="198" t="s">
        <v>7</v>
      </c>
      <c r="N31" s="58">
        <v>0.4</v>
      </c>
      <c r="O31" s="233">
        <f t="shared" si="9"/>
        <v>0</v>
      </c>
      <c r="P31" s="257">
        <f t="shared" si="10"/>
        <v>30.63</v>
      </c>
      <c r="Q31" s="257">
        <f t="shared" si="11"/>
        <v>30.630000000000003</v>
      </c>
      <c r="R31" s="259">
        <v>1</v>
      </c>
      <c r="S31" s="299">
        <f t="shared" si="12"/>
        <v>0</v>
      </c>
      <c r="T31" s="234">
        <f t="shared" si="13"/>
        <v>0</v>
      </c>
      <c r="U31" s="225">
        <f t="shared" si="14"/>
        <v>0</v>
      </c>
      <c r="V31" s="222">
        <f t="shared" si="15"/>
        <v>0</v>
      </c>
      <c r="W31" s="27"/>
      <c r="X31" s="2"/>
      <c r="Y31" s="2"/>
      <c r="Z31" s="21"/>
      <c r="AA31" s="21"/>
      <c r="AB31" s="21"/>
      <c r="AC31" s="21"/>
      <c r="AD31" s="21"/>
      <c r="AE31" s="21"/>
      <c r="AF31" s="21"/>
      <c r="AT31" s="26">
        <f t="shared" si="16"/>
        <v>1</v>
      </c>
      <c r="AU31" s="26">
        <f t="shared" si="17"/>
        <v>0</v>
      </c>
    </row>
    <row r="32" spans="1:47" ht="15" customHeight="1" thickBot="1" x14ac:dyDescent="0.25">
      <c r="A32" s="23" t="str">
        <f t="shared" si="0"/>
        <v/>
      </c>
      <c r="B32" s="450" t="s">
        <v>169</v>
      </c>
      <c r="C32" s="451"/>
      <c r="D32" s="451"/>
      <c r="E32" s="452"/>
      <c r="F32" s="13">
        <v>0</v>
      </c>
      <c r="G32" s="34" t="s">
        <v>142</v>
      </c>
      <c r="H32" s="15">
        <v>0</v>
      </c>
      <c r="I32" s="257">
        <f t="shared" si="7"/>
        <v>0</v>
      </c>
      <c r="J32" s="258">
        <v>0</v>
      </c>
      <c r="K32" s="298">
        <f t="shared" si="8"/>
        <v>0</v>
      </c>
      <c r="L32" s="220">
        <v>0.6</v>
      </c>
      <c r="M32" s="198" t="s">
        <v>5</v>
      </c>
      <c r="N32" s="58">
        <v>0.8</v>
      </c>
      <c r="O32" s="233">
        <f t="shared" si="9"/>
        <v>0</v>
      </c>
      <c r="P32" s="257">
        <f t="shared" si="10"/>
        <v>30.63</v>
      </c>
      <c r="Q32" s="257">
        <f t="shared" si="11"/>
        <v>30.630000000000003</v>
      </c>
      <c r="R32" s="259">
        <v>1</v>
      </c>
      <c r="S32" s="299">
        <f t="shared" si="12"/>
        <v>0</v>
      </c>
      <c r="T32" s="234">
        <f t="shared" si="13"/>
        <v>0</v>
      </c>
      <c r="U32" s="225">
        <f t="shared" si="14"/>
        <v>0</v>
      </c>
      <c r="V32" s="222">
        <f t="shared" si="15"/>
        <v>0</v>
      </c>
      <c r="W32" s="27"/>
      <c r="X32" s="2"/>
      <c r="Y32" s="2"/>
      <c r="Z32" s="21"/>
      <c r="AA32" s="21"/>
      <c r="AB32" s="21"/>
      <c r="AC32" s="21"/>
      <c r="AD32" s="21"/>
      <c r="AE32" s="21"/>
      <c r="AF32" s="21"/>
      <c r="AT32" s="26">
        <f t="shared" si="16"/>
        <v>1</v>
      </c>
      <c r="AU32" s="26">
        <f t="shared" si="17"/>
        <v>0</v>
      </c>
    </row>
    <row r="33" spans="1:47" ht="15" customHeight="1" thickBot="1" x14ac:dyDescent="0.25">
      <c r="A33" s="23" t="str">
        <f t="shared" si="0"/>
        <v/>
      </c>
      <c r="B33" s="450" t="s">
        <v>51</v>
      </c>
      <c r="C33" s="451"/>
      <c r="D33" s="451"/>
      <c r="E33" s="452"/>
      <c r="F33" s="13">
        <v>16</v>
      </c>
      <c r="G33" s="34" t="s">
        <v>142</v>
      </c>
      <c r="H33" s="15">
        <v>0</v>
      </c>
      <c r="I33" s="257">
        <f t="shared" si="7"/>
        <v>0</v>
      </c>
      <c r="J33" s="258">
        <v>0</v>
      </c>
      <c r="K33" s="298">
        <f t="shared" si="8"/>
        <v>0</v>
      </c>
      <c r="L33" s="220"/>
      <c r="M33" s="198" t="s">
        <v>51</v>
      </c>
      <c r="N33" s="58">
        <v>0.5</v>
      </c>
      <c r="O33" s="233">
        <f t="shared" si="9"/>
        <v>8</v>
      </c>
      <c r="P33" s="257">
        <f t="shared" si="10"/>
        <v>30.63</v>
      </c>
      <c r="Q33" s="257">
        <f t="shared" si="11"/>
        <v>30.630000000000003</v>
      </c>
      <c r="R33" s="259">
        <v>1</v>
      </c>
      <c r="S33" s="299">
        <f t="shared" si="12"/>
        <v>490.08000000000004</v>
      </c>
      <c r="T33" s="234">
        <f t="shared" si="13"/>
        <v>490.08000000000004</v>
      </c>
      <c r="U33" s="225">
        <f t="shared" si="14"/>
        <v>0</v>
      </c>
      <c r="V33" s="222">
        <f t="shared" si="15"/>
        <v>224</v>
      </c>
      <c r="W33" s="27"/>
      <c r="X33" s="2"/>
      <c r="Y33" s="2"/>
      <c r="Z33" s="21"/>
      <c r="AA33" s="21"/>
      <c r="AB33" s="21"/>
      <c r="AC33" s="21"/>
      <c r="AD33" s="21"/>
      <c r="AE33" s="21"/>
      <c r="AF33" s="21"/>
      <c r="AT33" s="26">
        <f t="shared" si="16"/>
        <v>1</v>
      </c>
      <c r="AU33" s="26">
        <f t="shared" si="17"/>
        <v>0</v>
      </c>
    </row>
    <row r="34" spans="1:47" ht="15" customHeight="1" thickBot="1" x14ac:dyDescent="0.25">
      <c r="A34" s="23" t="str">
        <f t="shared" si="0"/>
        <v/>
      </c>
      <c r="B34" s="450" t="s">
        <v>50</v>
      </c>
      <c r="C34" s="451"/>
      <c r="D34" s="451"/>
      <c r="E34" s="452"/>
      <c r="F34" s="13">
        <v>0</v>
      </c>
      <c r="G34" s="34" t="s">
        <v>142</v>
      </c>
      <c r="H34" s="15">
        <v>0</v>
      </c>
      <c r="I34" s="257">
        <f t="shared" si="7"/>
        <v>0</v>
      </c>
      <c r="J34" s="258">
        <v>0</v>
      </c>
      <c r="K34" s="298">
        <f t="shared" si="8"/>
        <v>0</v>
      </c>
      <c r="L34" s="220"/>
      <c r="M34" s="198" t="s">
        <v>50</v>
      </c>
      <c r="N34" s="58">
        <v>0.25</v>
      </c>
      <c r="O34" s="233">
        <f t="shared" si="9"/>
        <v>0</v>
      </c>
      <c r="P34" s="257">
        <f t="shared" si="10"/>
        <v>30.63</v>
      </c>
      <c r="Q34" s="257">
        <f t="shared" si="11"/>
        <v>30.630000000000003</v>
      </c>
      <c r="R34" s="259">
        <v>1</v>
      </c>
      <c r="S34" s="299">
        <f t="shared" si="12"/>
        <v>0</v>
      </c>
      <c r="T34" s="234">
        <f t="shared" si="13"/>
        <v>0</v>
      </c>
      <c r="U34" s="225">
        <f t="shared" si="14"/>
        <v>0</v>
      </c>
      <c r="V34" s="222">
        <f t="shared" si="15"/>
        <v>0</v>
      </c>
      <c r="W34" s="27"/>
      <c r="X34" s="2"/>
      <c r="Y34" s="2"/>
      <c r="Z34" s="21"/>
      <c r="AA34" s="21"/>
      <c r="AB34" s="21"/>
      <c r="AC34" s="21"/>
      <c r="AD34" s="21"/>
      <c r="AE34" s="21"/>
      <c r="AF34" s="21"/>
      <c r="AT34" s="26">
        <f t="shared" si="16"/>
        <v>1</v>
      </c>
      <c r="AU34" s="26">
        <f t="shared" si="17"/>
        <v>0</v>
      </c>
    </row>
    <row r="35" spans="1:47" ht="15" customHeight="1" thickBot="1" x14ac:dyDescent="0.25">
      <c r="A35" s="23" t="str">
        <f t="shared" si="0"/>
        <v/>
      </c>
      <c r="B35" s="450" t="s">
        <v>170</v>
      </c>
      <c r="C35" s="451"/>
      <c r="D35" s="451"/>
      <c r="E35" s="452"/>
      <c r="F35" s="13">
        <v>0</v>
      </c>
      <c r="G35" s="34" t="s">
        <v>142</v>
      </c>
      <c r="H35" s="15">
        <v>0</v>
      </c>
      <c r="I35" s="257">
        <f t="shared" si="7"/>
        <v>0</v>
      </c>
      <c r="J35" s="258">
        <v>0</v>
      </c>
      <c r="K35" s="298">
        <f t="shared" si="8"/>
        <v>0</v>
      </c>
      <c r="L35" s="220"/>
      <c r="M35" s="198" t="s">
        <v>172</v>
      </c>
      <c r="N35" s="58">
        <v>0.3</v>
      </c>
      <c r="O35" s="233">
        <f t="shared" ref="O35:O36" si="20">F35*N35</f>
        <v>0</v>
      </c>
      <c r="P35" s="257">
        <f t="shared" si="10"/>
        <v>30.63</v>
      </c>
      <c r="Q35" s="257">
        <f t="shared" si="11"/>
        <v>30.630000000000003</v>
      </c>
      <c r="R35" s="259">
        <v>1</v>
      </c>
      <c r="S35" s="299">
        <f t="shared" si="12"/>
        <v>0</v>
      </c>
      <c r="T35" s="234">
        <f t="shared" si="13"/>
        <v>0</v>
      </c>
      <c r="U35" s="225">
        <f t="shared" ref="U35:U36" si="21">F35*H35*1.1</f>
        <v>0</v>
      </c>
      <c r="V35" s="222">
        <f t="shared" si="15"/>
        <v>0</v>
      </c>
      <c r="W35" s="27"/>
      <c r="X35" s="2"/>
      <c r="Y35" s="2"/>
      <c r="Z35" s="21"/>
      <c r="AA35" s="21"/>
      <c r="AB35" s="21"/>
      <c r="AC35" s="21"/>
      <c r="AD35" s="21"/>
      <c r="AE35" s="21"/>
      <c r="AF35" s="21"/>
      <c r="AT35" s="26">
        <f t="shared" si="16"/>
        <v>1</v>
      </c>
      <c r="AU35" s="26">
        <f t="shared" si="17"/>
        <v>0</v>
      </c>
    </row>
    <row r="36" spans="1:47" ht="15" customHeight="1" thickBot="1" x14ac:dyDescent="0.25">
      <c r="A36" s="23" t="str">
        <f t="shared" si="0"/>
        <v/>
      </c>
      <c r="B36" s="450" t="s">
        <v>171</v>
      </c>
      <c r="C36" s="451"/>
      <c r="D36" s="451"/>
      <c r="E36" s="452"/>
      <c r="F36" s="13">
        <v>0</v>
      </c>
      <c r="G36" s="34" t="s">
        <v>142</v>
      </c>
      <c r="H36" s="15">
        <v>0</v>
      </c>
      <c r="I36" s="257">
        <f t="shared" si="7"/>
        <v>0</v>
      </c>
      <c r="J36" s="258">
        <v>0</v>
      </c>
      <c r="K36" s="298">
        <f t="shared" si="8"/>
        <v>0</v>
      </c>
      <c r="L36" s="220"/>
      <c r="M36" s="198" t="s">
        <v>173</v>
      </c>
      <c r="N36" s="58">
        <v>0.25</v>
      </c>
      <c r="O36" s="233">
        <f t="shared" si="20"/>
        <v>0</v>
      </c>
      <c r="P36" s="257">
        <f t="shared" si="10"/>
        <v>30.63</v>
      </c>
      <c r="Q36" s="257">
        <f t="shared" si="11"/>
        <v>30.630000000000003</v>
      </c>
      <c r="R36" s="259">
        <v>1</v>
      </c>
      <c r="S36" s="299">
        <f t="shared" si="12"/>
        <v>0</v>
      </c>
      <c r="T36" s="234">
        <f t="shared" si="13"/>
        <v>0</v>
      </c>
      <c r="U36" s="225">
        <f t="shared" si="21"/>
        <v>0</v>
      </c>
      <c r="V36" s="222">
        <f t="shared" si="15"/>
        <v>0</v>
      </c>
      <c r="W36" s="27"/>
      <c r="X36" s="2"/>
      <c r="Y36" s="2"/>
      <c r="Z36" s="21"/>
      <c r="AA36" s="21"/>
      <c r="AB36" s="21"/>
      <c r="AC36" s="21"/>
      <c r="AD36" s="21"/>
      <c r="AE36" s="21"/>
      <c r="AF36" s="21"/>
      <c r="AT36" s="26">
        <f t="shared" si="16"/>
        <v>1</v>
      </c>
      <c r="AU36" s="26">
        <f t="shared" si="17"/>
        <v>0</v>
      </c>
    </row>
    <row r="37" spans="1:47" ht="14.5" customHeight="1" x14ac:dyDescent="0.2">
      <c r="A37" s="23" t="str">
        <f t="shared" si="0"/>
        <v/>
      </c>
      <c r="B37" s="469" t="s">
        <v>47</v>
      </c>
      <c r="C37" s="470"/>
      <c r="D37" s="470"/>
      <c r="E37" s="513"/>
      <c r="F37" s="41">
        <f>SUM(F29:F34)*2</f>
        <v>32</v>
      </c>
      <c r="G37" s="34" t="s">
        <v>145</v>
      </c>
      <c r="H37" s="15">
        <v>1</v>
      </c>
      <c r="I37" s="257">
        <f t="shared" si="7"/>
        <v>1</v>
      </c>
      <c r="J37" s="258">
        <v>0.3</v>
      </c>
      <c r="K37" s="298">
        <f>F37*I37*(1+J37)</f>
        <v>41.6</v>
      </c>
      <c r="L37" s="220"/>
      <c r="M37" s="199" t="s">
        <v>40</v>
      </c>
      <c r="N37" s="58">
        <v>0.01</v>
      </c>
      <c r="O37" s="233">
        <f t="shared" si="9"/>
        <v>0.32</v>
      </c>
      <c r="P37" s="257">
        <f t="shared" si="10"/>
        <v>30.63</v>
      </c>
      <c r="Q37" s="257">
        <f t="shared" si="11"/>
        <v>30.630000000000003</v>
      </c>
      <c r="R37" s="259">
        <v>1</v>
      </c>
      <c r="S37" s="299">
        <f t="shared" si="12"/>
        <v>19.603200000000001</v>
      </c>
      <c r="T37" s="234">
        <f t="shared" si="13"/>
        <v>61.203200000000002</v>
      </c>
      <c r="U37" s="225">
        <f t="shared" si="14"/>
        <v>35.200000000000003</v>
      </c>
      <c r="V37" s="222">
        <f t="shared" si="15"/>
        <v>8.9600000000000009</v>
      </c>
      <c r="W37" s="27"/>
      <c r="X37" s="2"/>
      <c r="Y37" s="2"/>
      <c r="Z37" s="21"/>
      <c r="AA37" s="21"/>
      <c r="AB37" s="21"/>
      <c r="AC37" s="21"/>
      <c r="AD37" s="21"/>
      <c r="AE37" s="21"/>
      <c r="AF37" s="21"/>
      <c r="AT37" s="22"/>
      <c r="AU37" s="22"/>
    </row>
    <row r="38" spans="1:47" ht="31.5" customHeight="1" thickBot="1" x14ac:dyDescent="0.25">
      <c r="A38" s="23" t="str">
        <f t="shared" si="0"/>
        <v/>
      </c>
      <c r="B38" s="469" t="s">
        <v>48</v>
      </c>
      <c r="C38" s="470"/>
      <c r="D38" s="470"/>
      <c r="E38" s="513"/>
      <c r="F38" s="42">
        <f>F37</f>
        <v>32</v>
      </c>
      <c r="G38" s="34" t="s">
        <v>145</v>
      </c>
      <c r="H38" s="15">
        <f>IF(F38=0,0,IF(F38&lt;=20,40/F38,2))</f>
        <v>2</v>
      </c>
      <c r="I38" s="257">
        <f t="shared" si="7"/>
        <v>2</v>
      </c>
      <c r="J38" s="258">
        <v>0.3</v>
      </c>
      <c r="K38" s="298">
        <f>F38*I38*(1+J38)</f>
        <v>83.2</v>
      </c>
      <c r="L38" s="220"/>
      <c r="M38" s="199" t="s">
        <v>48</v>
      </c>
      <c r="N38" s="58">
        <v>0</v>
      </c>
      <c r="O38" s="233">
        <v>0</v>
      </c>
      <c r="P38" s="257">
        <f t="shared" si="10"/>
        <v>30.63</v>
      </c>
      <c r="Q38" s="257">
        <f t="shared" si="11"/>
        <v>30.630000000000003</v>
      </c>
      <c r="R38" s="259">
        <v>1</v>
      </c>
      <c r="S38" s="247">
        <f>(O38*$D$139*2)</f>
        <v>0</v>
      </c>
      <c r="T38" s="234">
        <f t="shared" si="13"/>
        <v>83.2</v>
      </c>
      <c r="U38" s="225">
        <v>0</v>
      </c>
      <c r="V38" s="222">
        <f t="shared" si="15"/>
        <v>0</v>
      </c>
      <c r="W38" s="27"/>
      <c r="X38" s="2"/>
      <c r="Y38" s="2"/>
      <c r="Z38" s="21"/>
      <c r="AA38" s="21"/>
      <c r="AB38" s="21"/>
      <c r="AC38" s="21"/>
      <c r="AD38" s="21"/>
      <c r="AE38" s="21"/>
      <c r="AF38" s="21"/>
      <c r="AT38" s="22"/>
      <c r="AU38" s="22"/>
    </row>
    <row r="39" spans="1:47" ht="15.75" customHeight="1" thickBot="1" x14ac:dyDescent="0.25">
      <c r="A39" s="23" t="str">
        <f t="shared" si="0"/>
        <v/>
      </c>
      <c r="B39" s="459" t="s">
        <v>496</v>
      </c>
      <c r="C39" s="460"/>
      <c r="D39" s="460"/>
      <c r="E39" s="460"/>
      <c r="F39" s="295">
        <v>0</v>
      </c>
      <c r="G39" s="206"/>
      <c r="H39" s="207"/>
      <c r="I39" s="207"/>
      <c r="J39" s="71" t="s">
        <v>187</v>
      </c>
      <c r="K39" s="226">
        <f>SUM(K29:K38)</f>
        <v>124.80000000000001</v>
      </c>
      <c r="L39" s="221"/>
      <c r="M39" s="462" t="s">
        <v>187</v>
      </c>
      <c r="N39" s="463"/>
      <c r="O39" s="244">
        <f>SUM(O29:O38)</f>
        <v>8.32</v>
      </c>
      <c r="P39" s="296"/>
      <c r="Q39" s="296"/>
      <c r="R39" s="297"/>
      <c r="S39" s="248">
        <f>SUM(S29:S38)</f>
        <v>509.68320000000006</v>
      </c>
      <c r="T39" s="246">
        <f>SUM(T29:T38)</f>
        <v>634.48320000000012</v>
      </c>
      <c r="U39" s="214">
        <f>SUM(U29:U38)</f>
        <v>35.200000000000003</v>
      </c>
      <c r="V39" s="205">
        <f>SUM(V29:V38)</f>
        <v>232.96</v>
      </c>
      <c r="W39" s="102"/>
      <c r="X39" s="2"/>
      <c r="Y39" s="2"/>
      <c r="Z39" s="21"/>
      <c r="AA39" s="21"/>
      <c r="AB39" s="21"/>
      <c r="AC39" s="21"/>
      <c r="AD39" s="21"/>
      <c r="AE39" s="21"/>
      <c r="AF39" s="21"/>
      <c r="AT39" s="22"/>
      <c r="AU39" s="22"/>
    </row>
    <row r="40" spans="1:47" s="101" customFormat="1" ht="5" customHeight="1" thickBot="1" x14ac:dyDescent="0.25">
      <c r="A40" s="275"/>
      <c r="B40" s="276"/>
      <c r="C40" s="276"/>
      <c r="D40" s="276"/>
      <c r="E40" s="276"/>
      <c r="F40" s="277"/>
      <c r="G40" s="278"/>
      <c r="H40" s="279"/>
      <c r="I40" s="279"/>
      <c r="J40" s="280"/>
      <c r="K40" s="281"/>
      <c r="L40" s="282"/>
      <c r="M40" s="280"/>
      <c r="N40" s="280"/>
      <c r="O40" s="283"/>
      <c r="P40" s="283"/>
      <c r="Q40" s="283"/>
      <c r="R40" s="284"/>
      <c r="S40" s="285"/>
      <c r="T40" s="286"/>
      <c r="U40" s="281"/>
      <c r="V40" s="287"/>
      <c r="W40" s="288"/>
      <c r="X40" s="289"/>
      <c r="Y40" s="289"/>
      <c r="Z40" s="289"/>
      <c r="AA40" s="289"/>
      <c r="AB40" s="290"/>
      <c r="AC40" s="289"/>
      <c r="AD40" s="289"/>
      <c r="AE40" s="289"/>
      <c r="AF40" s="289"/>
      <c r="AG40" s="121"/>
      <c r="AH40" s="121"/>
      <c r="AS40" s="291"/>
      <c r="AT40" s="22"/>
      <c r="AU40" s="22"/>
    </row>
    <row r="41" spans="1:47" ht="25" customHeight="1" thickBot="1" x14ac:dyDescent="0.25">
      <c r="A41" s="23" t="str">
        <f t="shared" si="0"/>
        <v/>
      </c>
      <c r="B41" s="442" t="s">
        <v>0</v>
      </c>
      <c r="C41" s="443"/>
      <c r="D41" s="443"/>
      <c r="E41" s="443"/>
      <c r="F41" s="443"/>
      <c r="G41" s="443"/>
      <c r="H41" s="443"/>
      <c r="I41" s="443"/>
      <c r="J41" s="443"/>
      <c r="K41" s="444"/>
      <c r="L41" s="218"/>
      <c r="M41" s="484" t="str">
        <f>B41</f>
        <v>Walls</v>
      </c>
      <c r="N41" s="485"/>
      <c r="O41" s="485"/>
      <c r="P41" s="485"/>
      <c r="Q41" s="485"/>
      <c r="R41" s="485"/>
      <c r="S41" s="486"/>
      <c r="T41" s="487"/>
      <c r="U41" s="480" t="str">
        <f>M41</f>
        <v>Walls</v>
      </c>
      <c r="V41" s="481"/>
      <c r="W41" s="27"/>
      <c r="X41" s="2"/>
      <c r="Y41" s="2"/>
      <c r="Z41" s="21"/>
      <c r="AA41" s="21"/>
      <c r="AB41" s="21"/>
      <c r="AC41" s="21"/>
      <c r="AD41" s="21"/>
      <c r="AE41" s="21"/>
      <c r="AF41" s="21"/>
      <c r="AT41" s="22"/>
      <c r="AU41" s="22"/>
    </row>
    <row r="42" spans="1:47" ht="15" customHeight="1" thickBot="1" x14ac:dyDescent="0.25">
      <c r="A42" s="23" t="str">
        <f t="shared" si="0"/>
        <v/>
      </c>
      <c r="B42" s="521" t="s">
        <v>174</v>
      </c>
      <c r="C42" s="523"/>
      <c r="D42" s="523"/>
      <c r="E42" s="522"/>
      <c r="F42" s="13">
        <v>0</v>
      </c>
      <c r="G42" s="34" t="s">
        <v>142</v>
      </c>
      <c r="H42" s="44">
        <v>5.5</v>
      </c>
      <c r="I42" s="257">
        <f t="shared" ref="I42:I51" si="22">(H42/100)*(100+$F$55)</f>
        <v>5.5</v>
      </c>
      <c r="J42" s="258">
        <v>0.3</v>
      </c>
      <c r="K42" s="298">
        <f>F42*I42*(1+J42)</f>
        <v>0</v>
      </c>
      <c r="L42" s="229"/>
      <c r="M42" s="198" t="s">
        <v>175</v>
      </c>
      <c r="N42" s="58">
        <v>0.3</v>
      </c>
      <c r="O42" s="233">
        <f t="shared" ref="O42:O54" si="23">F42*N42</f>
        <v>0</v>
      </c>
      <c r="P42" s="257">
        <f t="shared" ref="P42:P51" si="24">$D$139</f>
        <v>30.63</v>
      </c>
      <c r="Q42" s="257">
        <f t="shared" ref="Q42:Q51" si="25">(P42/100)*(100+$F$55)</f>
        <v>30.630000000000003</v>
      </c>
      <c r="R42" s="259">
        <v>1</v>
      </c>
      <c r="S42" s="299">
        <f t="shared" ref="S42:S51" si="26">(O42*Q42*(1+R42))</f>
        <v>0</v>
      </c>
      <c r="T42" s="234">
        <f>K42+S42</f>
        <v>0</v>
      </c>
      <c r="U42" s="225">
        <f t="shared" ref="U42:U54" si="27">F42*H42*1.1</f>
        <v>0</v>
      </c>
      <c r="V42" s="222">
        <f t="shared" ref="V42:V51" si="28">O42*$E$139</f>
        <v>0</v>
      </c>
      <c r="W42" s="27"/>
      <c r="X42" s="2"/>
      <c r="Y42" s="2"/>
      <c r="Z42" s="21"/>
      <c r="AA42" s="21"/>
      <c r="AB42" s="21"/>
      <c r="AC42" s="21"/>
      <c r="AD42" s="21"/>
      <c r="AE42" s="21"/>
      <c r="AF42" s="21"/>
      <c r="AT42" s="26">
        <f>IF(F42&lt;&gt;"",1,0)</f>
        <v>1</v>
      </c>
      <c r="AU42" s="26">
        <f>IF(AND(SUM(AT:AT)&gt;0,F42=""),1,0)</f>
        <v>0</v>
      </c>
    </row>
    <row r="43" spans="1:47" ht="15" customHeight="1" thickBot="1" x14ac:dyDescent="0.25">
      <c r="A43" s="275" t="str">
        <f t="shared" si="0"/>
        <v/>
      </c>
      <c r="B43" s="524" t="s">
        <v>523</v>
      </c>
      <c r="C43" s="525"/>
      <c r="D43" s="13">
        <v>0</v>
      </c>
      <c r="E43" s="34">
        <v>1</v>
      </c>
      <c r="F43" s="233">
        <f>D43*E43</f>
        <v>0</v>
      </c>
      <c r="G43" s="34" t="s">
        <v>142</v>
      </c>
      <c r="H43" s="325">
        <f>IF(F43=0,0,(_xlfn.CEILING.MATH(F43,5)*((20.83/5)*1.1))/F43)</f>
        <v>0</v>
      </c>
      <c r="I43" s="257">
        <f t="shared" si="22"/>
        <v>0</v>
      </c>
      <c r="J43" s="326">
        <v>0.3</v>
      </c>
      <c r="K43" s="298">
        <f t="shared" ref="K43:K48" si="29">F43*I43*(1+J43)</f>
        <v>0</v>
      </c>
      <c r="L43" s="327"/>
      <c r="M43" s="198" t="str">
        <f t="shared" ref="M43:M54" si="30">B43</f>
        <v>Wall membrane CM3  - 1mtr</v>
      </c>
      <c r="N43" s="58">
        <v>0.3</v>
      </c>
      <c r="O43" s="233">
        <f t="shared" si="23"/>
        <v>0</v>
      </c>
      <c r="P43" s="257">
        <f t="shared" si="24"/>
        <v>30.63</v>
      </c>
      <c r="Q43" s="257">
        <f t="shared" si="25"/>
        <v>30.630000000000003</v>
      </c>
      <c r="R43" s="328">
        <v>1</v>
      </c>
      <c r="S43" s="329">
        <f t="shared" si="26"/>
        <v>0</v>
      </c>
      <c r="T43" s="260">
        <f t="shared" ref="T43:T51" si="31">K43+S43</f>
        <v>0</v>
      </c>
      <c r="U43" s="330">
        <f t="shared" si="27"/>
        <v>0</v>
      </c>
      <c r="V43" s="222">
        <f t="shared" si="28"/>
        <v>0</v>
      </c>
      <c r="X43" s="2"/>
      <c r="Y43" s="2"/>
      <c r="Z43" s="21"/>
      <c r="AA43" s="21"/>
      <c r="AB43" s="21"/>
      <c r="AC43" s="21"/>
      <c r="AD43" s="21"/>
      <c r="AE43" s="21"/>
      <c r="AF43" s="21"/>
      <c r="AH43"/>
      <c r="AS43" s="21"/>
      <c r="AT43" s="26">
        <f>IF(D43&lt;&gt;"",1,0)</f>
        <v>1</v>
      </c>
      <c r="AU43" s="26">
        <f>IF(AND(SUM(AT:AT)&gt;0,D43=""),1,0)</f>
        <v>0</v>
      </c>
    </row>
    <row r="44" spans="1:47" ht="15" customHeight="1" thickBot="1" x14ac:dyDescent="0.25">
      <c r="A44" s="275" t="str">
        <f t="shared" si="0"/>
        <v/>
      </c>
      <c r="B44" s="524" t="s">
        <v>524</v>
      </c>
      <c r="C44" s="525"/>
      <c r="D44" s="13">
        <v>0</v>
      </c>
      <c r="E44" s="34">
        <v>1.2</v>
      </c>
      <c r="F44" s="233">
        <f t="shared" ref="F44:F47" si="32">D44*E44</f>
        <v>0</v>
      </c>
      <c r="G44" s="34" t="s">
        <v>142</v>
      </c>
      <c r="H44" s="325">
        <f>IF(F44=0,0,(_xlfn.CEILING.MATH(F44,5)*((26.67/6)*1.1))/F44)</f>
        <v>0</v>
      </c>
      <c r="I44" s="257">
        <f t="shared" si="22"/>
        <v>0</v>
      </c>
      <c r="J44" s="326">
        <v>0.3</v>
      </c>
      <c r="K44" s="298">
        <f t="shared" si="29"/>
        <v>0</v>
      </c>
      <c r="L44" s="327"/>
      <c r="M44" s="198" t="str">
        <f t="shared" si="30"/>
        <v>Wall membrane CM3  - 1.2mtr</v>
      </c>
      <c r="N44" s="58">
        <v>0.3</v>
      </c>
      <c r="O44" s="233">
        <f t="shared" si="23"/>
        <v>0</v>
      </c>
      <c r="P44" s="257">
        <f t="shared" si="24"/>
        <v>30.63</v>
      </c>
      <c r="Q44" s="257">
        <f t="shared" si="25"/>
        <v>30.630000000000003</v>
      </c>
      <c r="R44" s="328">
        <v>1</v>
      </c>
      <c r="S44" s="329">
        <f t="shared" si="26"/>
        <v>0</v>
      </c>
      <c r="T44" s="260">
        <f t="shared" si="31"/>
        <v>0</v>
      </c>
      <c r="U44" s="330">
        <f t="shared" si="27"/>
        <v>0</v>
      </c>
      <c r="V44" s="222">
        <f t="shared" si="28"/>
        <v>0</v>
      </c>
      <c r="X44" s="2"/>
      <c r="Y44" s="2"/>
      <c r="Z44" s="21"/>
      <c r="AA44" s="21"/>
      <c r="AB44" s="21"/>
      <c r="AC44" s="21"/>
      <c r="AD44" s="21"/>
      <c r="AE44" s="21"/>
      <c r="AF44" s="21"/>
      <c r="AH44"/>
      <c r="AS44" s="21"/>
      <c r="AT44" s="26">
        <f t="shared" ref="AT44" si="33">IF(D44&lt;&gt;"",1,0)</f>
        <v>1</v>
      </c>
      <c r="AU44" s="26">
        <f>IF(AND(SUM(AT:AT)&gt;0,D44=""),1,0)</f>
        <v>0</v>
      </c>
    </row>
    <row r="45" spans="1:47" ht="15" customHeight="1" thickBot="1" x14ac:dyDescent="0.25">
      <c r="A45" s="275" t="str">
        <f t="shared" si="0"/>
        <v/>
      </c>
      <c r="B45" s="524" t="s">
        <v>525</v>
      </c>
      <c r="C45" s="525"/>
      <c r="D45" s="13">
        <v>0</v>
      </c>
      <c r="E45" s="13">
        <v>0</v>
      </c>
      <c r="F45" s="233">
        <f t="shared" si="32"/>
        <v>0</v>
      </c>
      <c r="G45" s="34" t="s">
        <v>142</v>
      </c>
      <c r="H45" s="325">
        <v>0</v>
      </c>
      <c r="I45" s="257">
        <f t="shared" si="22"/>
        <v>0</v>
      </c>
      <c r="J45" s="326">
        <v>0.3</v>
      </c>
      <c r="K45" s="298">
        <f t="shared" si="29"/>
        <v>0</v>
      </c>
      <c r="L45" s="327"/>
      <c r="M45" s="198" t="str">
        <f t="shared" si="30"/>
        <v>Wall membrane CM3  - 2mtr #1</v>
      </c>
      <c r="N45" s="58">
        <v>0</v>
      </c>
      <c r="O45" s="233">
        <f t="shared" si="23"/>
        <v>0</v>
      </c>
      <c r="P45" s="257">
        <f t="shared" si="24"/>
        <v>30.63</v>
      </c>
      <c r="Q45" s="257">
        <f t="shared" si="25"/>
        <v>30.630000000000003</v>
      </c>
      <c r="R45" s="328">
        <v>1</v>
      </c>
      <c r="S45" s="329">
        <f t="shared" si="26"/>
        <v>0</v>
      </c>
      <c r="T45" s="260">
        <f t="shared" si="31"/>
        <v>0</v>
      </c>
      <c r="U45" s="330">
        <f t="shared" si="27"/>
        <v>0</v>
      </c>
      <c r="V45" s="222">
        <f t="shared" si="28"/>
        <v>0</v>
      </c>
      <c r="X45" s="2"/>
      <c r="Y45" s="2"/>
      <c r="Z45" s="21"/>
      <c r="AA45" s="21"/>
      <c r="AB45" s="21"/>
      <c r="AC45" s="21"/>
      <c r="AD45" s="21"/>
      <c r="AE45" s="21"/>
      <c r="AF45" s="21"/>
      <c r="AH45"/>
      <c r="AS45" s="21"/>
      <c r="AT45" s="26">
        <f>IF(OR(D45&lt;&gt;"",E45&lt;&gt;""),1,0)</f>
        <v>1</v>
      </c>
      <c r="AU45" s="26">
        <f>IF(AND(SUM(AT:AT)&gt;0,OR(D45="",E45="")),1,0)</f>
        <v>0</v>
      </c>
    </row>
    <row r="46" spans="1:47" ht="15" customHeight="1" thickBot="1" x14ac:dyDescent="0.25">
      <c r="A46" s="275" t="str">
        <f t="shared" si="0"/>
        <v/>
      </c>
      <c r="B46" s="524" t="s">
        <v>526</v>
      </c>
      <c r="C46" s="525"/>
      <c r="D46" s="13">
        <v>0</v>
      </c>
      <c r="E46" s="13">
        <v>0</v>
      </c>
      <c r="F46" s="233">
        <f t="shared" si="32"/>
        <v>0</v>
      </c>
      <c r="G46" s="34" t="s">
        <v>142</v>
      </c>
      <c r="H46" s="325">
        <v>0</v>
      </c>
      <c r="I46" s="257">
        <f t="shared" si="22"/>
        <v>0</v>
      </c>
      <c r="J46" s="326">
        <v>0.3</v>
      </c>
      <c r="K46" s="298">
        <f t="shared" si="29"/>
        <v>0</v>
      </c>
      <c r="L46" s="327"/>
      <c r="M46" s="198" t="str">
        <f t="shared" si="30"/>
        <v>Wall membrane CM3  - 2mtr #2</v>
      </c>
      <c r="N46" s="58">
        <v>0</v>
      </c>
      <c r="O46" s="233">
        <f t="shared" si="23"/>
        <v>0</v>
      </c>
      <c r="P46" s="257">
        <f t="shared" si="24"/>
        <v>30.63</v>
      </c>
      <c r="Q46" s="257">
        <f t="shared" si="25"/>
        <v>30.630000000000003</v>
      </c>
      <c r="R46" s="328">
        <v>1</v>
      </c>
      <c r="S46" s="329">
        <f t="shared" si="26"/>
        <v>0</v>
      </c>
      <c r="T46" s="260">
        <f t="shared" si="31"/>
        <v>0</v>
      </c>
      <c r="U46" s="330">
        <f t="shared" si="27"/>
        <v>0</v>
      </c>
      <c r="V46" s="222">
        <f t="shared" si="28"/>
        <v>0</v>
      </c>
      <c r="X46" s="2"/>
      <c r="Y46" s="2"/>
      <c r="Z46" s="21"/>
      <c r="AA46" s="21"/>
      <c r="AB46" s="21"/>
      <c r="AC46" s="21"/>
      <c r="AD46" s="21"/>
      <c r="AE46" s="21"/>
      <c r="AF46" s="21"/>
      <c r="AH46"/>
      <c r="AS46" s="21"/>
      <c r="AT46" s="26">
        <f>IF(OR(D46&lt;&gt;"",E46&lt;&gt;""),1,0)</f>
        <v>1</v>
      </c>
      <c r="AU46" s="26">
        <f>IF(AND(SUM(AT:AT)&gt;0,OR(D46="",E46="")),1,0)</f>
        <v>0</v>
      </c>
    </row>
    <row r="47" spans="1:47" ht="15" customHeight="1" thickBot="1" x14ac:dyDescent="0.25">
      <c r="A47" s="275" t="str">
        <f t="shared" si="0"/>
        <v/>
      </c>
      <c r="B47" s="526" t="s">
        <v>527</v>
      </c>
      <c r="C47" s="527"/>
      <c r="D47" s="13">
        <v>0</v>
      </c>
      <c r="E47" s="13">
        <v>0</v>
      </c>
      <c r="F47" s="334">
        <f t="shared" si="32"/>
        <v>0</v>
      </c>
      <c r="G47" s="34" t="s">
        <v>142</v>
      </c>
      <c r="H47" s="325">
        <v>0</v>
      </c>
      <c r="I47" s="257">
        <f t="shared" si="22"/>
        <v>0</v>
      </c>
      <c r="J47" s="326">
        <v>0.3</v>
      </c>
      <c r="K47" s="298">
        <f t="shared" si="29"/>
        <v>0</v>
      </c>
      <c r="L47" s="327"/>
      <c r="M47" s="198" t="str">
        <f t="shared" si="30"/>
        <v>Wall membrane CM3  - 2mtr #3</v>
      </c>
      <c r="N47" s="58">
        <v>0</v>
      </c>
      <c r="O47" s="233">
        <f t="shared" si="23"/>
        <v>0</v>
      </c>
      <c r="P47" s="257">
        <f t="shared" si="24"/>
        <v>30.63</v>
      </c>
      <c r="Q47" s="257">
        <f t="shared" si="25"/>
        <v>30.630000000000003</v>
      </c>
      <c r="R47" s="328">
        <v>1</v>
      </c>
      <c r="S47" s="329">
        <f t="shared" si="26"/>
        <v>0</v>
      </c>
      <c r="T47" s="260">
        <f t="shared" si="31"/>
        <v>0</v>
      </c>
      <c r="U47" s="330">
        <f t="shared" si="27"/>
        <v>0</v>
      </c>
      <c r="V47" s="222">
        <f t="shared" si="28"/>
        <v>0</v>
      </c>
      <c r="X47" s="2"/>
      <c r="Y47" s="2"/>
      <c r="Z47" s="21"/>
      <c r="AA47" s="21"/>
      <c r="AB47" s="21"/>
      <c r="AC47" s="21"/>
      <c r="AD47" s="21"/>
      <c r="AE47" s="21"/>
      <c r="AF47" s="21"/>
      <c r="AH47"/>
      <c r="AS47" s="21"/>
      <c r="AT47" s="26">
        <f>IF(OR(D47&lt;&gt;"",E47&lt;&gt;""),1,0)</f>
        <v>1</v>
      </c>
      <c r="AU47" s="26">
        <f>IF(AND(SUM(AT:AT)&gt;0,OR(D47="",E47="")),1,0)</f>
        <v>0</v>
      </c>
    </row>
    <row r="48" spans="1:47" ht="15" customHeight="1" thickBot="1" x14ac:dyDescent="0.25">
      <c r="A48" s="275" t="str">
        <f t="shared" si="0"/>
        <v/>
      </c>
      <c r="B48" s="528" t="s">
        <v>528</v>
      </c>
      <c r="C48" s="529"/>
      <c r="D48" s="530"/>
      <c r="E48" s="531"/>
      <c r="F48" s="104">
        <f>SUM(F45:F47)</f>
        <v>0</v>
      </c>
      <c r="G48" s="34" t="s">
        <v>142</v>
      </c>
      <c r="H48" s="325">
        <f>IF(F48=0,0,(_xlfn.CEILING.MATH(F48,5)*((44.17/10)*1.1))/F48)</f>
        <v>0</v>
      </c>
      <c r="I48" s="257">
        <f t="shared" si="22"/>
        <v>0</v>
      </c>
      <c r="J48" s="326">
        <v>0.3</v>
      </c>
      <c r="K48" s="298">
        <f t="shared" si="29"/>
        <v>0</v>
      </c>
      <c r="L48" s="327"/>
      <c r="M48" s="198" t="str">
        <f t="shared" si="30"/>
        <v>Wall membrane CM3 - Subtotals for above 3 lines</v>
      </c>
      <c r="N48" s="58">
        <v>0.3</v>
      </c>
      <c r="O48" s="233">
        <f t="shared" si="23"/>
        <v>0</v>
      </c>
      <c r="P48" s="257">
        <f t="shared" si="24"/>
        <v>30.63</v>
      </c>
      <c r="Q48" s="257">
        <f t="shared" si="25"/>
        <v>30.630000000000003</v>
      </c>
      <c r="R48" s="328">
        <v>1</v>
      </c>
      <c r="S48" s="329">
        <f t="shared" si="26"/>
        <v>0</v>
      </c>
      <c r="T48" s="260">
        <f t="shared" si="31"/>
        <v>0</v>
      </c>
      <c r="U48" s="330">
        <f t="shared" si="27"/>
        <v>0</v>
      </c>
      <c r="V48" s="222">
        <f t="shared" si="28"/>
        <v>0</v>
      </c>
      <c r="X48" s="2"/>
      <c r="Y48" s="2"/>
      <c r="Z48" s="21"/>
      <c r="AA48" s="21"/>
      <c r="AB48" s="21"/>
      <c r="AC48" s="21"/>
      <c r="AD48" s="21"/>
      <c r="AE48" s="21"/>
      <c r="AF48" s="21"/>
      <c r="AH48"/>
      <c r="AS48" s="21"/>
      <c r="AT48" s="26">
        <f>IF(F48&lt;&gt;"",1,0)</f>
        <v>1</v>
      </c>
      <c r="AU48" s="26">
        <f>IF(AND(SUM(AT:AT)&gt;0,F48=""),1,0)</f>
        <v>0</v>
      </c>
    </row>
    <row r="49" spans="1:47" ht="15" customHeight="1" thickBot="1" x14ac:dyDescent="0.25">
      <c r="A49" s="23" t="str">
        <f t="shared" si="0"/>
        <v/>
      </c>
      <c r="B49" s="453" t="s">
        <v>43</v>
      </c>
      <c r="C49" s="454"/>
      <c r="D49" s="454"/>
      <c r="E49" s="520"/>
      <c r="F49" s="104">
        <f>SUM(F43:F47)</f>
        <v>0</v>
      </c>
      <c r="G49" s="34" t="s">
        <v>142</v>
      </c>
      <c r="H49" s="331">
        <f>IF(F49=0,0,(_xlfn.CEILING.MATH(F49,2)*((9.33/10)*1.1))/F49)</f>
        <v>0</v>
      </c>
      <c r="I49" s="257">
        <f t="shared" si="22"/>
        <v>0</v>
      </c>
      <c r="J49" s="258">
        <v>0.3</v>
      </c>
      <c r="K49" s="298">
        <f>F49*I49*(1+J49)</f>
        <v>0</v>
      </c>
      <c r="L49" s="132"/>
      <c r="M49" s="198" t="str">
        <f t="shared" si="30"/>
        <v>Membrane plugs for m2 listed</v>
      </c>
      <c r="N49" s="58">
        <v>0.25</v>
      </c>
      <c r="O49" s="233">
        <f t="shared" si="23"/>
        <v>0</v>
      </c>
      <c r="P49" s="257">
        <f t="shared" si="24"/>
        <v>30.63</v>
      </c>
      <c r="Q49" s="257">
        <f t="shared" si="25"/>
        <v>30.630000000000003</v>
      </c>
      <c r="R49" s="259">
        <v>1</v>
      </c>
      <c r="S49" s="299">
        <f t="shared" si="26"/>
        <v>0</v>
      </c>
      <c r="T49" s="234">
        <f t="shared" si="31"/>
        <v>0</v>
      </c>
      <c r="U49" s="225">
        <f t="shared" si="27"/>
        <v>0</v>
      </c>
      <c r="V49" s="222">
        <f t="shared" si="28"/>
        <v>0</v>
      </c>
      <c r="W49" s="27"/>
      <c r="X49" s="2"/>
      <c r="Y49" s="2"/>
      <c r="Z49" s="21"/>
      <c r="AA49" s="21"/>
      <c r="AB49" s="21"/>
      <c r="AC49" s="21"/>
      <c r="AD49" s="21"/>
      <c r="AE49" s="21"/>
      <c r="AF49" s="21"/>
      <c r="AT49" s="22"/>
      <c r="AU49" s="22"/>
    </row>
    <row r="50" spans="1:47" ht="15" customHeight="1" thickBot="1" x14ac:dyDescent="0.25">
      <c r="A50" s="23" t="str">
        <f t="shared" si="0"/>
        <v/>
      </c>
      <c r="B50" s="453" t="s">
        <v>44</v>
      </c>
      <c r="C50" s="454"/>
      <c r="D50" s="454"/>
      <c r="E50" s="520"/>
      <c r="F50" s="42">
        <f>SUM(F43:F47)/2.5</f>
        <v>0</v>
      </c>
      <c r="G50" s="34" t="s">
        <v>144</v>
      </c>
      <c r="H50" s="325">
        <f>IF(F50=0,0,(_xlfn.CEILING.MATH(F50,22)*((19.16/22)*1.1))/F50)</f>
        <v>0</v>
      </c>
      <c r="I50" s="257">
        <f t="shared" si="22"/>
        <v>0</v>
      </c>
      <c r="J50" s="258">
        <v>0.3</v>
      </c>
      <c r="K50" s="298">
        <f>F50*I50*(1+J50)</f>
        <v>0</v>
      </c>
      <c r="L50" s="220"/>
      <c r="M50" s="198" t="str">
        <f t="shared" si="30"/>
        <v>Sealing Tape Lm</v>
      </c>
      <c r="N50" s="233">
        <v>0.1</v>
      </c>
      <c r="O50" s="233">
        <f t="shared" si="23"/>
        <v>0</v>
      </c>
      <c r="P50" s="257">
        <f t="shared" si="24"/>
        <v>30.63</v>
      </c>
      <c r="Q50" s="257">
        <f t="shared" si="25"/>
        <v>30.630000000000003</v>
      </c>
      <c r="R50" s="259">
        <v>1</v>
      </c>
      <c r="S50" s="299">
        <f t="shared" si="26"/>
        <v>0</v>
      </c>
      <c r="T50" s="234">
        <f t="shared" si="31"/>
        <v>0</v>
      </c>
      <c r="U50" s="225">
        <f t="shared" si="27"/>
        <v>0</v>
      </c>
      <c r="V50" s="222">
        <f t="shared" si="28"/>
        <v>0</v>
      </c>
      <c r="W50" s="27"/>
      <c r="X50" s="2"/>
      <c r="Y50" s="2"/>
      <c r="Z50" s="21"/>
      <c r="AA50" s="21"/>
      <c r="AB50" s="21"/>
      <c r="AC50" s="21"/>
      <c r="AD50" s="21"/>
      <c r="AE50" s="21"/>
      <c r="AF50" s="21"/>
      <c r="AT50" s="22"/>
      <c r="AU50" s="22"/>
    </row>
    <row r="51" spans="1:47" ht="15" customHeight="1" thickBot="1" x14ac:dyDescent="0.25">
      <c r="A51" s="23" t="str">
        <f t="shared" si="0"/>
        <v/>
      </c>
      <c r="B51" s="453" t="s">
        <v>177</v>
      </c>
      <c r="C51" s="454"/>
      <c r="D51" s="454"/>
      <c r="E51" s="520"/>
      <c r="F51" s="42">
        <f>F53</f>
        <v>0</v>
      </c>
      <c r="G51" s="34" t="s">
        <v>144</v>
      </c>
      <c r="H51" s="332">
        <f>80/80</f>
        <v>1</v>
      </c>
      <c r="I51" s="257">
        <f t="shared" si="22"/>
        <v>1</v>
      </c>
      <c r="J51" s="258">
        <v>0.3</v>
      </c>
      <c r="K51" s="298">
        <f>F51*I51*(1+J51)</f>
        <v>0</v>
      </c>
      <c r="L51" s="220"/>
      <c r="M51" s="198" t="str">
        <f t="shared" si="30"/>
        <v>Technoseal Lm</v>
      </c>
      <c r="N51" s="230">
        <f>1/60</f>
        <v>1.6666666666666666E-2</v>
      </c>
      <c r="O51" s="233">
        <f t="shared" ref="O51" si="34">F51*N51</f>
        <v>0</v>
      </c>
      <c r="P51" s="257">
        <f t="shared" si="24"/>
        <v>30.63</v>
      </c>
      <c r="Q51" s="257">
        <f t="shared" si="25"/>
        <v>30.630000000000003</v>
      </c>
      <c r="R51" s="259">
        <v>1</v>
      </c>
      <c r="S51" s="299">
        <f t="shared" si="26"/>
        <v>0</v>
      </c>
      <c r="T51" s="234">
        <f t="shared" si="31"/>
        <v>0</v>
      </c>
      <c r="U51" s="225">
        <f t="shared" ref="U51" si="35">F51*H51*1.1</f>
        <v>0</v>
      </c>
      <c r="V51" s="222">
        <f t="shared" si="28"/>
        <v>0</v>
      </c>
      <c r="W51" s="27"/>
      <c r="X51" s="2"/>
      <c r="Y51" s="2"/>
      <c r="Z51" s="21"/>
      <c r="AA51" s="21"/>
      <c r="AB51" s="21"/>
      <c r="AC51" s="21"/>
      <c r="AD51" s="21"/>
      <c r="AE51" s="21"/>
      <c r="AF51" s="21"/>
      <c r="AT51" s="22"/>
      <c r="AU51" s="22"/>
    </row>
    <row r="52" spans="1:47" ht="15" customHeight="1" thickBot="1" x14ac:dyDescent="0.25">
      <c r="A52" s="23"/>
      <c r="B52" s="492"/>
      <c r="C52" s="542"/>
      <c r="D52" s="103" t="s">
        <v>68</v>
      </c>
      <c r="E52" s="103" t="s">
        <v>178</v>
      </c>
      <c r="F52" s="587"/>
      <c r="G52" s="588"/>
      <c r="H52" s="588"/>
      <c r="I52" s="588"/>
      <c r="J52" s="588"/>
      <c r="K52" s="589"/>
      <c r="L52" s="220"/>
      <c r="M52" s="492"/>
      <c r="N52" s="493"/>
      <c r="O52" s="493"/>
      <c r="P52" s="493"/>
      <c r="Q52" s="493"/>
      <c r="R52" s="493"/>
      <c r="S52" s="493"/>
      <c r="T52" s="494"/>
      <c r="U52" s="585"/>
      <c r="V52" s="586"/>
      <c r="W52" s="27"/>
      <c r="X52" s="2"/>
      <c r="Y52" s="2"/>
      <c r="Z52" s="21"/>
      <c r="AA52" s="21"/>
      <c r="AB52" s="21"/>
      <c r="AC52" s="21"/>
      <c r="AD52" s="21"/>
      <c r="AE52" s="21"/>
      <c r="AF52" s="21"/>
      <c r="AT52" s="22"/>
      <c r="AU52" s="22"/>
    </row>
    <row r="53" spans="1:47" ht="15" customHeight="1" thickBot="1" x14ac:dyDescent="0.25">
      <c r="A53" s="23" t="str">
        <f t="shared" ref="A53:A91" si="36">IF(AU53=1,"X","")</f>
        <v/>
      </c>
      <c r="B53" s="521" t="s">
        <v>45</v>
      </c>
      <c r="C53" s="522"/>
      <c r="D53" s="94">
        <v>0</v>
      </c>
      <c r="E53" s="105">
        <v>0</v>
      </c>
      <c r="F53" s="104">
        <f>D53+(E53*2)</f>
        <v>0</v>
      </c>
      <c r="G53" s="34" t="s">
        <v>144</v>
      </c>
      <c r="H53" s="325">
        <f>IF(F53=0,0,(_xlfn.CEILING.MATH(F53,5)*((10.83/5)*1.1))/F53)</f>
        <v>0</v>
      </c>
      <c r="I53" s="257">
        <f>(H53/100)*(100+$F$55)</f>
        <v>0</v>
      </c>
      <c r="J53" s="258">
        <v>0.3</v>
      </c>
      <c r="K53" s="298">
        <f>F53*I53*(1+J53)</f>
        <v>0</v>
      </c>
      <c r="L53" s="220"/>
      <c r="M53" s="198" t="str">
        <f t="shared" si="30"/>
        <v>Overtape Lm</v>
      </c>
      <c r="N53" s="233">
        <v>0.1</v>
      </c>
      <c r="O53" s="233">
        <f t="shared" si="23"/>
        <v>0</v>
      </c>
      <c r="P53" s="257">
        <f>$D$139</f>
        <v>30.63</v>
      </c>
      <c r="Q53" s="257">
        <f>(P53/100)*(100+$F$55)</f>
        <v>30.630000000000003</v>
      </c>
      <c r="R53" s="259">
        <v>1</v>
      </c>
      <c r="S53" s="299">
        <f t="shared" ref="S53:S54" si="37">(O53*Q53*(1+R53))</f>
        <v>0</v>
      </c>
      <c r="T53" s="234">
        <f t="shared" ref="T53:T54" si="38">K53+S53</f>
        <v>0</v>
      </c>
      <c r="U53" s="225">
        <f>F53*H53*1.1</f>
        <v>0</v>
      </c>
      <c r="V53" s="222">
        <f>O53*$E$139</f>
        <v>0</v>
      </c>
      <c r="W53" s="27"/>
      <c r="X53" s="2"/>
      <c r="Y53" s="2"/>
      <c r="Z53" s="21"/>
      <c r="AA53" s="21"/>
      <c r="AB53" s="21"/>
      <c r="AC53" s="21"/>
      <c r="AD53" s="21"/>
      <c r="AE53" s="21"/>
      <c r="AF53" s="21"/>
      <c r="AT53" s="26">
        <f>IF(OR(D53&lt;&gt;"",E53&lt;&gt;""),1,0)</f>
        <v>1</v>
      </c>
      <c r="AU53" s="26">
        <f>IF(AND(SUM(AT:AT)&gt;0,OR(D53="",E53="")),1,0)</f>
        <v>0</v>
      </c>
    </row>
    <row r="54" spans="1:47" ht="15" customHeight="1" thickBot="1" x14ac:dyDescent="0.25">
      <c r="A54" s="23" t="str">
        <f t="shared" si="36"/>
        <v/>
      </c>
      <c r="B54" s="548" t="s">
        <v>46</v>
      </c>
      <c r="C54" s="549"/>
      <c r="D54" s="549"/>
      <c r="E54" s="550"/>
      <c r="F54" s="42">
        <f>SUM(F43:F47)*0.2</f>
        <v>0</v>
      </c>
      <c r="G54" s="34" t="s">
        <v>144</v>
      </c>
      <c r="H54" s="325">
        <f>IF(F54=0,0,(_xlfn.CEILING.MATH(F54,5)*((10.33/5)*1.1))/F54)</f>
        <v>0</v>
      </c>
      <c r="I54" s="257">
        <f>(H54/100)*(100+$F$55)</f>
        <v>0</v>
      </c>
      <c r="J54" s="258">
        <v>0.3</v>
      </c>
      <c r="K54" s="298">
        <f>F54*I54*(1+J54)</f>
        <v>0</v>
      </c>
      <c r="L54" s="220"/>
      <c r="M54" s="198" t="str">
        <f t="shared" si="30"/>
        <v>Fixing Rope Lm</v>
      </c>
      <c r="N54" s="233">
        <v>0.1</v>
      </c>
      <c r="O54" s="233">
        <f t="shared" si="23"/>
        <v>0</v>
      </c>
      <c r="P54" s="257">
        <f>$D$139</f>
        <v>30.63</v>
      </c>
      <c r="Q54" s="257">
        <f>(P54/100)*(100+$F$55)</f>
        <v>30.630000000000003</v>
      </c>
      <c r="R54" s="259">
        <v>1</v>
      </c>
      <c r="S54" s="299">
        <f t="shared" si="37"/>
        <v>0</v>
      </c>
      <c r="T54" s="234">
        <f t="shared" si="38"/>
        <v>0</v>
      </c>
      <c r="U54" s="225">
        <f t="shared" si="27"/>
        <v>0</v>
      </c>
      <c r="V54" s="222">
        <f>O54*$E$139</f>
        <v>0</v>
      </c>
      <c r="W54" s="27"/>
      <c r="X54" s="2"/>
      <c r="Y54" s="2"/>
      <c r="Z54" s="21"/>
      <c r="AA54" s="21"/>
      <c r="AB54" s="21"/>
      <c r="AC54" s="21"/>
      <c r="AD54" s="21"/>
      <c r="AE54" s="21"/>
      <c r="AF54" s="21"/>
      <c r="AT54" s="22"/>
      <c r="AU54" s="22"/>
    </row>
    <row r="55" spans="1:47" ht="17" thickBot="1" x14ac:dyDescent="0.25">
      <c r="A55" s="23" t="str">
        <f t="shared" si="36"/>
        <v/>
      </c>
      <c r="B55" s="459" t="s">
        <v>496</v>
      </c>
      <c r="C55" s="460"/>
      <c r="D55" s="460"/>
      <c r="E55" s="460"/>
      <c r="F55" s="295">
        <v>0</v>
      </c>
      <c r="G55" s="206"/>
      <c r="H55" s="208"/>
      <c r="I55" s="208"/>
      <c r="J55" s="71" t="s">
        <v>187</v>
      </c>
      <c r="K55" s="232">
        <f>SUM(K42:K54)</f>
        <v>0</v>
      </c>
      <c r="L55" s="221"/>
      <c r="M55" s="462" t="s">
        <v>187</v>
      </c>
      <c r="N55" s="463"/>
      <c r="O55" s="244">
        <f>SUM(O42:O54)</f>
        <v>0</v>
      </c>
      <c r="P55" s="296"/>
      <c r="Q55" s="296"/>
      <c r="R55" s="297"/>
      <c r="S55" s="248">
        <f>SUM(S42:S54)</f>
        <v>0</v>
      </c>
      <c r="T55" s="249">
        <f>SUM(T42:T54)</f>
        <v>0</v>
      </c>
      <c r="U55" s="214">
        <f>SUM(U42:U54)</f>
        <v>0</v>
      </c>
      <c r="V55" s="205">
        <f>SUM(V42:V54)</f>
        <v>0</v>
      </c>
      <c r="W55" s="102"/>
      <c r="X55" s="2"/>
      <c r="Y55" s="2"/>
      <c r="Z55" s="21"/>
      <c r="AA55" s="21"/>
      <c r="AB55" s="21"/>
      <c r="AC55" s="21"/>
      <c r="AD55" s="21"/>
      <c r="AE55" s="21"/>
      <c r="AF55" s="21"/>
      <c r="AT55" s="22"/>
      <c r="AU55" s="22"/>
    </row>
    <row r="56" spans="1:47" s="101" customFormat="1" ht="5" customHeight="1" thickBot="1" x14ac:dyDescent="0.25">
      <c r="A56" s="275"/>
      <c r="B56" s="276"/>
      <c r="C56" s="276"/>
      <c r="D56" s="276"/>
      <c r="E56" s="276"/>
      <c r="F56" s="277"/>
      <c r="G56" s="278"/>
      <c r="H56" s="279"/>
      <c r="I56" s="279"/>
      <c r="J56" s="280"/>
      <c r="K56" s="281"/>
      <c r="L56" s="282"/>
      <c r="M56" s="280"/>
      <c r="N56" s="280"/>
      <c r="O56" s="283"/>
      <c r="P56" s="283"/>
      <c r="Q56" s="283"/>
      <c r="R56" s="284"/>
      <c r="S56" s="285"/>
      <c r="T56" s="286"/>
      <c r="U56" s="281"/>
      <c r="V56" s="287"/>
      <c r="W56" s="288"/>
      <c r="X56" s="289"/>
      <c r="Y56" s="289"/>
      <c r="Z56" s="289"/>
      <c r="AA56" s="289"/>
      <c r="AB56" s="290"/>
      <c r="AC56" s="289"/>
      <c r="AD56" s="289"/>
      <c r="AE56" s="289"/>
      <c r="AF56" s="289"/>
      <c r="AG56" s="121"/>
      <c r="AH56" s="121"/>
      <c r="AS56" s="291"/>
      <c r="AT56" s="22"/>
      <c r="AU56" s="22"/>
    </row>
    <row r="57" spans="1:47" ht="25" customHeight="1" thickBot="1" x14ac:dyDescent="0.25">
      <c r="A57" s="23" t="str">
        <f t="shared" si="36"/>
        <v/>
      </c>
      <c r="B57" s="442" t="s">
        <v>25</v>
      </c>
      <c r="C57" s="443"/>
      <c r="D57" s="443"/>
      <c r="E57" s="443"/>
      <c r="F57" s="443"/>
      <c r="G57" s="443"/>
      <c r="H57" s="443"/>
      <c r="I57" s="443"/>
      <c r="J57" s="443"/>
      <c r="K57" s="444"/>
      <c r="L57" s="236"/>
      <c r="M57" s="514" t="str">
        <f>B57</f>
        <v>Cementitious tanking system</v>
      </c>
      <c r="N57" s="515"/>
      <c r="O57" s="515"/>
      <c r="P57" s="515"/>
      <c r="Q57" s="515"/>
      <c r="R57" s="515"/>
      <c r="S57" s="516"/>
      <c r="T57" s="517"/>
      <c r="U57" s="480" t="str">
        <f>M57</f>
        <v>Cementitious tanking system</v>
      </c>
      <c r="V57" s="481"/>
      <c r="W57" s="27"/>
      <c r="X57" s="2"/>
      <c r="Y57" s="2"/>
      <c r="Z57" s="21"/>
      <c r="AA57" s="21"/>
      <c r="AB57" s="21"/>
      <c r="AC57" s="21"/>
      <c r="AD57" s="21"/>
      <c r="AE57" s="21"/>
      <c r="AF57" s="21"/>
      <c r="AT57" s="22"/>
      <c r="AU57" s="22"/>
    </row>
    <row r="58" spans="1:47" ht="14.5" customHeight="1" thickBot="1" x14ac:dyDescent="0.25">
      <c r="A58" s="23" t="str">
        <f t="shared" si="36"/>
        <v/>
      </c>
      <c r="B58" s="450" t="s">
        <v>26</v>
      </c>
      <c r="C58" s="451"/>
      <c r="D58" s="451"/>
      <c r="E58" s="452"/>
      <c r="F58" s="13">
        <v>0</v>
      </c>
      <c r="G58" s="34" t="s">
        <v>142</v>
      </c>
      <c r="H58" s="44">
        <f>7*1.1</f>
        <v>7.7000000000000011</v>
      </c>
      <c r="I58" s="257">
        <f>(H58/100)*(100+$F$62)</f>
        <v>7.7000000000000011</v>
      </c>
      <c r="J58" s="258">
        <v>0.3</v>
      </c>
      <c r="K58" s="298">
        <f>F58*I58*(1+J58)</f>
        <v>0</v>
      </c>
      <c r="L58" s="229"/>
      <c r="M58" s="198" t="s">
        <v>10</v>
      </c>
      <c r="N58" s="58">
        <v>0.3</v>
      </c>
      <c r="O58" s="233">
        <f>F58*N58</f>
        <v>0</v>
      </c>
      <c r="P58" s="257">
        <f>$D$139</f>
        <v>30.63</v>
      </c>
      <c r="Q58" s="257">
        <f>(P58/100)*(100+$F$62)</f>
        <v>30.630000000000003</v>
      </c>
      <c r="R58" s="259">
        <v>1</v>
      </c>
      <c r="S58" s="299">
        <f t="shared" ref="S58:S61" si="39">(O58*Q58*(1+R58))</f>
        <v>0</v>
      </c>
      <c r="T58" s="234">
        <f t="shared" ref="T58:T61" si="40">K58+S58</f>
        <v>0</v>
      </c>
      <c r="U58" s="225">
        <f>F58*H58*1.1</f>
        <v>0</v>
      </c>
      <c r="V58" s="222">
        <f>O58*$E$139</f>
        <v>0</v>
      </c>
      <c r="W58" s="27"/>
      <c r="X58" s="2"/>
      <c r="Y58" s="2"/>
      <c r="Z58" s="21"/>
      <c r="AA58" s="21"/>
      <c r="AB58" s="21"/>
      <c r="AC58" s="21"/>
      <c r="AD58" s="21"/>
      <c r="AE58" s="21"/>
      <c r="AF58" s="21"/>
      <c r="AT58" s="26">
        <f>IF(F58&lt;&gt;"",1,0)</f>
        <v>1</v>
      </c>
      <c r="AU58" s="26">
        <f>IF(AND(SUM(AT:AT)&gt;0,F58=""),1,0)</f>
        <v>0</v>
      </c>
    </row>
    <row r="59" spans="1:47" ht="14.5" customHeight="1" thickBot="1" x14ac:dyDescent="0.25">
      <c r="A59" s="23" t="str">
        <f t="shared" si="36"/>
        <v/>
      </c>
      <c r="B59" s="450" t="s">
        <v>11</v>
      </c>
      <c r="C59" s="451"/>
      <c r="D59" s="451"/>
      <c r="E59" s="452"/>
      <c r="F59" s="13">
        <v>0</v>
      </c>
      <c r="G59" s="34" t="s">
        <v>142</v>
      </c>
      <c r="H59" s="44">
        <v>3.78</v>
      </c>
      <c r="I59" s="257">
        <f>(H59/100)*(100+$F$62)</f>
        <v>3.7800000000000002</v>
      </c>
      <c r="J59" s="258">
        <v>0.3</v>
      </c>
      <c r="K59" s="298">
        <f>F59*I59*(1+J59)</f>
        <v>0</v>
      </c>
      <c r="L59" s="229"/>
      <c r="M59" s="198" t="s">
        <v>12</v>
      </c>
      <c r="N59" s="58">
        <v>0.35</v>
      </c>
      <c r="O59" s="233">
        <f>F59*N59</f>
        <v>0</v>
      </c>
      <c r="P59" s="257">
        <f>$D$139</f>
        <v>30.63</v>
      </c>
      <c r="Q59" s="257">
        <f>(P59/100)*(100+$F$62)</f>
        <v>30.630000000000003</v>
      </c>
      <c r="R59" s="259">
        <v>1</v>
      </c>
      <c r="S59" s="299">
        <f t="shared" si="39"/>
        <v>0</v>
      </c>
      <c r="T59" s="234">
        <f t="shared" si="40"/>
        <v>0</v>
      </c>
      <c r="U59" s="225">
        <f>F59*H59*1.1</f>
        <v>0</v>
      </c>
      <c r="V59" s="222">
        <f>O59*$E$139</f>
        <v>0</v>
      </c>
      <c r="W59" s="27"/>
      <c r="X59" s="2"/>
      <c r="Y59" s="2"/>
      <c r="Z59" s="21"/>
      <c r="AA59" s="21"/>
      <c r="AB59" s="21"/>
      <c r="AC59" s="21"/>
      <c r="AD59" s="21"/>
      <c r="AE59" s="21"/>
      <c r="AF59" s="21"/>
      <c r="AT59" s="26">
        <f>IF(F59&lt;&gt;"",1,0)</f>
        <v>1</v>
      </c>
      <c r="AU59" s="26">
        <f>IF(AND(SUM(AT:AT)&gt;0,F59=""),1,0)</f>
        <v>0</v>
      </c>
    </row>
    <row r="60" spans="1:47" ht="14.5" customHeight="1" thickBot="1" x14ac:dyDescent="0.25">
      <c r="A60" s="23" t="str">
        <f t="shared" si="36"/>
        <v/>
      </c>
      <c r="B60" s="450" t="s">
        <v>27</v>
      </c>
      <c r="C60" s="451"/>
      <c r="D60" s="451"/>
      <c r="E60" s="452"/>
      <c r="F60" s="13">
        <v>0</v>
      </c>
      <c r="G60" s="34" t="s">
        <v>142</v>
      </c>
      <c r="H60" s="48">
        <f>(16.25/3)*1.1</f>
        <v>5.9583333333333339</v>
      </c>
      <c r="I60" s="257">
        <f>(H60/100)*(100+$F$62)</f>
        <v>5.9583333333333339</v>
      </c>
      <c r="J60" s="258">
        <v>0.3</v>
      </c>
      <c r="K60" s="298">
        <f>F60*I60*(1+J60)</f>
        <v>0</v>
      </c>
      <c r="L60" s="229"/>
      <c r="M60" s="200" t="s">
        <v>27</v>
      </c>
      <c r="N60" s="58">
        <v>0.3</v>
      </c>
      <c r="O60" s="233">
        <f>F60*N60</f>
        <v>0</v>
      </c>
      <c r="P60" s="257">
        <f>$D$139</f>
        <v>30.63</v>
      </c>
      <c r="Q60" s="257">
        <f>(P60/100)*(100+$F$62)</f>
        <v>30.630000000000003</v>
      </c>
      <c r="R60" s="259">
        <v>1</v>
      </c>
      <c r="S60" s="299">
        <f t="shared" si="39"/>
        <v>0</v>
      </c>
      <c r="T60" s="234">
        <f t="shared" si="40"/>
        <v>0</v>
      </c>
      <c r="U60" s="225">
        <f>F60*H60*1.1</f>
        <v>0</v>
      </c>
      <c r="V60" s="222">
        <f>O60*$E$139</f>
        <v>0</v>
      </c>
      <c r="W60" s="27"/>
      <c r="X60" s="2"/>
      <c r="Y60" s="2"/>
      <c r="Z60" s="21"/>
      <c r="AA60" s="21"/>
      <c r="AB60" s="21"/>
      <c r="AC60" s="21"/>
      <c r="AD60" s="21"/>
      <c r="AE60" s="21"/>
      <c r="AF60" s="21"/>
      <c r="AT60" s="26">
        <f>IF(F60&lt;&gt;"",1,0)</f>
        <v>1</v>
      </c>
      <c r="AU60" s="26">
        <f>IF(AND(SUM(AT:AT)&gt;0,F60=""),1,0)</f>
        <v>0</v>
      </c>
    </row>
    <row r="61" spans="1:47" ht="15" customHeight="1" thickBot="1" x14ac:dyDescent="0.25">
      <c r="A61" s="23" t="str">
        <f t="shared" si="36"/>
        <v/>
      </c>
      <c r="B61" s="450" t="s">
        <v>13</v>
      </c>
      <c r="C61" s="451"/>
      <c r="D61" s="451"/>
      <c r="E61" s="452"/>
      <c r="F61" s="13">
        <v>0</v>
      </c>
      <c r="G61" s="34" t="s">
        <v>144</v>
      </c>
      <c r="H61" s="49">
        <v>2</v>
      </c>
      <c r="I61" s="257">
        <f>(H61/100)*(100+$F$62)</f>
        <v>2</v>
      </c>
      <c r="J61" s="258">
        <v>0.3</v>
      </c>
      <c r="K61" s="298">
        <f>F61*I61*(1+J61)</f>
        <v>0</v>
      </c>
      <c r="L61" s="229"/>
      <c r="M61" s="198" t="s">
        <v>14</v>
      </c>
      <c r="N61" s="58">
        <v>0.3</v>
      </c>
      <c r="O61" s="233">
        <f>F61*N61</f>
        <v>0</v>
      </c>
      <c r="P61" s="257">
        <f>$D$139</f>
        <v>30.63</v>
      </c>
      <c r="Q61" s="257">
        <f>(P61/100)*(100+$F$62)</f>
        <v>30.630000000000003</v>
      </c>
      <c r="R61" s="259">
        <v>1</v>
      </c>
      <c r="S61" s="299">
        <f t="shared" si="39"/>
        <v>0</v>
      </c>
      <c r="T61" s="234">
        <f t="shared" si="40"/>
        <v>0</v>
      </c>
      <c r="U61" s="225">
        <f>F61*H61*1.1</f>
        <v>0</v>
      </c>
      <c r="V61" s="222">
        <f>O61*$E$139</f>
        <v>0</v>
      </c>
      <c r="W61" s="27"/>
      <c r="X61" s="2"/>
      <c r="Y61" s="2"/>
      <c r="Z61" s="21"/>
      <c r="AA61" s="21"/>
      <c r="AB61" s="21"/>
      <c r="AC61" s="21"/>
      <c r="AD61" s="21"/>
      <c r="AE61" s="21"/>
      <c r="AF61" s="21"/>
      <c r="AT61" s="26">
        <f>IF(F61&lt;&gt;"",1,0)</f>
        <v>1</v>
      </c>
      <c r="AU61" s="26">
        <f>IF(AND(SUM(AT:AT)&gt;0,F61=""),1,0)</f>
        <v>0</v>
      </c>
    </row>
    <row r="62" spans="1:47" ht="17" thickBot="1" x14ac:dyDescent="0.25">
      <c r="A62" s="23" t="str">
        <f t="shared" si="36"/>
        <v/>
      </c>
      <c r="B62" s="459" t="s">
        <v>496</v>
      </c>
      <c r="C62" s="460"/>
      <c r="D62" s="460"/>
      <c r="E62" s="460"/>
      <c r="F62" s="295">
        <v>0</v>
      </c>
      <c r="G62" s="206"/>
      <c r="H62" s="207"/>
      <c r="I62" s="207"/>
      <c r="J62" s="71" t="s">
        <v>187</v>
      </c>
      <c r="K62" s="232">
        <f>SUM(K58:K61)</f>
        <v>0</v>
      </c>
      <c r="L62" s="235"/>
      <c r="M62" s="462" t="s">
        <v>187</v>
      </c>
      <c r="N62" s="463"/>
      <c r="O62" s="244">
        <f>SUM(O58:O61)</f>
        <v>0</v>
      </c>
      <c r="P62" s="296"/>
      <c r="Q62" s="296"/>
      <c r="R62" s="297"/>
      <c r="S62" s="248">
        <f>SUM(S58:S61)</f>
        <v>0</v>
      </c>
      <c r="T62" s="246">
        <f>SUM(T58:T61)</f>
        <v>0</v>
      </c>
      <c r="U62" s="204">
        <f>SUM(U58:U61)</f>
        <v>0</v>
      </c>
      <c r="V62" s="205">
        <f>SUM(V58:V61)</f>
        <v>0</v>
      </c>
      <c r="W62" s="102"/>
      <c r="X62" s="2"/>
      <c r="Y62" s="2"/>
      <c r="Z62" s="21"/>
      <c r="AA62" s="21"/>
      <c r="AB62" s="21"/>
      <c r="AC62" s="21"/>
      <c r="AD62" s="21"/>
      <c r="AE62" s="21"/>
      <c r="AF62" s="21"/>
      <c r="AT62" s="22"/>
      <c r="AU62" s="22"/>
    </row>
    <row r="63" spans="1:47" s="101" customFormat="1" ht="5" customHeight="1" thickBot="1" x14ac:dyDescent="0.25">
      <c r="A63" s="275"/>
      <c r="B63" s="276"/>
      <c r="C63" s="276"/>
      <c r="D63" s="276"/>
      <c r="E63" s="276"/>
      <c r="F63" s="277"/>
      <c r="G63" s="278"/>
      <c r="H63" s="279"/>
      <c r="I63" s="279"/>
      <c r="J63" s="280"/>
      <c r="K63" s="281"/>
      <c r="L63" s="282"/>
      <c r="M63" s="280"/>
      <c r="N63" s="280"/>
      <c r="O63" s="283"/>
      <c r="P63" s="283"/>
      <c r="Q63" s="283"/>
      <c r="R63" s="284"/>
      <c r="S63" s="285"/>
      <c r="T63" s="286"/>
      <c r="U63" s="281"/>
      <c r="V63" s="287"/>
      <c r="W63" s="288"/>
      <c r="X63" s="289"/>
      <c r="Y63" s="289"/>
      <c r="Z63" s="289"/>
      <c r="AA63" s="289"/>
      <c r="AB63" s="290"/>
      <c r="AC63" s="289"/>
      <c r="AD63" s="289"/>
      <c r="AE63" s="289"/>
      <c r="AF63" s="289"/>
      <c r="AG63" s="121"/>
      <c r="AH63" s="121"/>
      <c r="AS63" s="291"/>
      <c r="AT63" s="22"/>
      <c r="AU63" s="22"/>
    </row>
    <row r="64" spans="1:47" ht="25" customHeight="1" thickBot="1" x14ac:dyDescent="0.25">
      <c r="A64" s="23" t="str">
        <f t="shared" si="36"/>
        <v/>
      </c>
      <c r="B64" s="442" t="s">
        <v>42</v>
      </c>
      <c r="C64" s="443"/>
      <c r="D64" s="443"/>
      <c r="E64" s="443"/>
      <c r="F64" s="443"/>
      <c r="G64" s="443"/>
      <c r="H64" s="443"/>
      <c r="I64" s="443"/>
      <c r="J64" s="443"/>
      <c r="K64" s="444"/>
      <c r="L64" s="236"/>
      <c r="M64" s="484" t="str">
        <f>B64</f>
        <v xml:space="preserve">Floor - Liquid Resin floor Membranes </v>
      </c>
      <c r="N64" s="485"/>
      <c r="O64" s="485"/>
      <c r="P64" s="485"/>
      <c r="Q64" s="485"/>
      <c r="R64" s="485"/>
      <c r="S64" s="486"/>
      <c r="T64" s="487"/>
      <c r="U64" s="480" t="str">
        <f>M64</f>
        <v xml:space="preserve">Floor - Liquid Resin floor Membranes </v>
      </c>
      <c r="V64" s="481"/>
      <c r="W64" s="27"/>
      <c r="X64" s="2"/>
      <c r="Y64" s="2"/>
      <c r="Z64" s="21"/>
      <c r="AA64" s="21"/>
      <c r="AB64" s="21"/>
      <c r="AC64" s="21"/>
      <c r="AD64" s="21"/>
      <c r="AE64" s="21"/>
      <c r="AF64" s="21"/>
      <c r="AT64" s="22"/>
      <c r="AU64" s="22"/>
    </row>
    <row r="65" spans="1:47" ht="15" customHeight="1" thickBot="1" x14ac:dyDescent="0.25">
      <c r="A65" s="23" t="str">
        <f t="shared" si="36"/>
        <v/>
      </c>
      <c r="B65" s="450" t="s">
        <v>31</v>
      </c>
      <c r="C65" s="451"/>
      <c r="D65" s="451"/>
      <c r="E65" s="452"/>
      <c r="F65" s="13">
        <v>0</v>
      </c>
      <c r="G65" s="34" t="s">
        <v>142</v>
      </c>
      <c r="H65" s="48">
        <f>56.7*1.1</f>
        <v>62.370000000000012</v>
      </c>
      <c r="I65" s="257">
        <f>(H65/100)*(100+$F$68)</f>
        <v>62.370000000000012</v>
      </c>
      <c r="J65" s="258">
        <v>0.3</v>
      </c>
      <c r="K65" s="237">
        <f>((ROUNDUP(F65/30,0))*I65)*(1+J59)</f>
        <v>0</v>
      </c>
      <c r="L65" s="229"/>
      <c r="M65" s="198" t="s">
        <v>34</v>
      </c>
      <c r="N65" s="58">
        <v>0.04</v>
      </c>
      <c r="O65" s="233">
        <f>F65*N65</f>
        <v>0</v>
      </c>
      <c r="P65" s="257">
        <f>$D$139</f>
        <v>30.63</v>
      </c>
      <c r="Q65" s="257">
        <f>(P65/100)*(100+$F$68)</f>
        <v>30.630000000000003</v>
      </c>
      <c r="R65" s="259">
        <v>1</v>
      </c>
      <c r="S65" s="299">
        <f t="shared" ref="S65:S67" si="41">(O65*Q65*(1+R65))</f>
        <v>0</v>
      </c>
      <c r="T65" s="234">
        <f t="shared" ref="T65:T67" si="42">K65+S65</f>
        <v>0</v>
      </c>
      <c r="U65" s="225">
        <f>ROUNDUP(F65/30,0)*H65*1.1</f>
        <v>0</v>
      </c>
      <c r="V65" s="222">
        <f>O65*$E$139</f>
        <v>0</v>
      </c>
      <c r="W65" s="27"/>
      <c r="X65" s="2"/>
      <c r="Y65" s="2"/>
      <c r="Z65" s="21"/>
      <c r="AA65" s="21"/>
      <c r="AB65" s="21"/>
      <c r="AC65" s="21"/>
      <c r="AD65" s="21"/>
      <c r="AE65" s="21"/>
      <c r="AF65" s="21"/>
      <c r="AT65" s="26">
        <f>IF(F65&lt;&gt;"",1,0)</f>
        <v>1</v>
      </c>
      <c r="AU65" s="26">
        <f>IF(AND(SUM(AT:AT)&gt;0,F65=""),1,0)</f>
        <v>0</v>
      </c>
    </row>
    <row r="66" spans="1:47" ht="15" customHeight="1" thickBot="1" x14ac:dyDescent="0.25">
      <c r="A66" s="23" t="str">
        <f t="shared" si="36"/>
        <v/>
      </c>
      <c r="B66" s="450" t="s">
        <v>32</v>
      </c>
      <c r="C66" s="451"/>
      <c r="D66" s="451"/>
      <c r="E66" s="452"/>
      <c r="F66" s="13">
        <v>8</v>
      </c>
      <c r="G66" s="34" t="s">
        <v>142</v>
      </c>
      <c r="H66" s="50">
        <f>63.7*1.1</f>
        <v>70.070000000000007</v>
      </c>
      <c r="I66" s="257">
        <f>(H66/100)*(100+$F$68)</f>
        <v>70.070000000000007</v>
      </c>
      <c r="J66" s="258">
        <v>0.3</v>
      </c>
      <c r="K66" s="237">
        <f>((ROUNDUP(F66/30,0))*I66)*(1+J59)</f>
        <v>91.091000000000008</v>
      </c>
      <c r="L66" s="229"/>
      <c r="M66" s="198" t="s">
        <v>35</v>
      </c>
      <c r="N66" s="58">
        <v>0.04</v>
      </c>
      <c r="O66" s="233">
        <f>F66*N66</f>
        <v>0.32</v>
      </c>
      <c r="P66" s="257">
        <f>$D$139</f>
        <v>30.63</v>
      </c>
      <c r="Q66" s="257">
        <f>(P66/100)*(100+$F$68)</f>
        <v>30.630000000000003</v>
      </c>
      <c r="R66" s="259">
        <v>1</v>
      </c>
      <c r="S66" s="299">
        <f t="shared" si="41"/>
        <v>19.603200000000001</v>
      </c>
      <c r="T66" s="234">
        <f t="shared" si="42"/>
        <v>110.69420000000001</v>
      </c>
      <c r="U66" s="225">
        <f>ROUNDUP(F66/30,0)*H66*1.1</f>
        <v>77.077000000000012</v>
      </c>
      <c r="V66" s="222">
        <f>O66*$E$139</f>
        <v>8.9600000000000009</v>
      </c>
      <c r="W66" s="27"/>
      <c r="X66" s="2"/>
      <c r="Y66" s="2"/>
      <c r="Z66" s="21"/>
      <c r="AA66" s="21"/>
      <c r="AB66" s="21"/>
      <c r="AC66" s="21"/>
      <c r="AD66" s="21"/>
      <c r="AE66" s="21"/>
      <c r="AF66" s="21"/>
      <c r="AT66" s="26">
        <f>IF(F66&lt;&gt;"",1,0)</f>
        <v>1</v>
      </c>
      <c r="AU66" s="26">
        <f>IF(AND(SUM(AT:AT)&gt;0,F66=""),1,0)</f>
        <v>0</v>
      </c>
    </row>
    <row r="67" spans="1:47" ht="15" customHeight="1" thickBot="1" x14ac:dyDescent="0.25">
      <c r="A67" s="23" t="str">
        <f t="shared" si="36"/>
        <v/>
      </c>
      <c r="B67" s="450" t="s">
        <v>28</v>
      </c>
      <c r="C67" s="451"/>
      <c r="D67" s="451"/>
      <c r="E67" s="452"/>
      <c r="F67" s="13">
        <v>0</v>
      </c>
      <c r="G67" s="34" t="s">
        <v>142</v>
      </c>
      <c r="H67" s="50">
        <v>2.6</v>
      </c>
      <c r="I67" s="257">
        <f>(H67/100)*(100+$F$68)</f>
        <v>2.6</v>
      </c>
      <c r="J67" s="258">
        <v>0.3</v>
      </c>
      <c r="K67" s="238">
        <f>((ROUNDUP(F67/25,0))*I67)*(1+J59)</f>
        <v>0</v>
      </c>
      <c r="L67" s="229"/>
      <c r="M67" s="198" t="s">
        <v>29</v>
      </c>
      <c r="N67" s="233">
        <f>F67</f>
        <v>0</v>
      </c>
      <c r="O67" s="233">
        <f>F67*0.01</f>
        <v>0</v>
      </c>
      <c r="P67" s="257">
        <f>$D$139</f>
        <v>30.63</v>
      </c>
      <c r="Q67" s="257">
        <f>(P67/100)*(100+$F$68)</f>
        <v>30.630000000000003</v>
      </c>
      <c r="R67" s="259">
        <v>1</v>
      </c>
      <c r="S67" s="299">
        <f t="shared" si="41"/>
        <v>0</v>
      </c>
      <c r="T67" s="234">
        <f t="shared" si="42"/>
        <v>0</v>
      </c>
      <c r="U67" s="225">
        <f>ROUNDUP(F67/25,0)*H67*1.1</f>
        <v>0</v>
      </c>
      <c r="V67" s="222">
        <f>O67*$E$139</f>
        <v>0</v>
      </c>
      <c r="W67" s="27"/>
      <c r="X67" s="2"/>
      <c r="Y67" s="2"/>
      <c r="Z67" s="21"/>
      <c r="AA67" s="21"/>
      <c r="AB67" s="21"/>
      <c r="AC67" s="21"/>
      <c r="AD67" s="21"/>
      <c r="AE67" s="21"/>
      <c r="AF67" s="21"/>
      <c r="AT67" s="26">
        <f>IF(F67&lt;&gt;"",1,0)</f>
        <v>1</v>
      </c>
      <c r="AU67" s="26">
        <f>IF(AND(SUM(AT:AT)&gt;0,F67=""),1,0)</f>
        <v>0</v>
      </c>
    </row>
    <row r="68" spans="1:47" ht="17" thickBot="1" x14ac:dyDescent="0.25">
      <c r="A68" s="23" t="str">
        <f t="shared" si="36"/>
        <v/>
      </c>
      <c r="B68" s="459" t="s">
        <v>496</v>
      </c>
      <c r="C68" s="460"/>
      <c r="D68" s="460"/>
      <c r="E68" s="460"/>
      <c r="F68" s="295">
        <v>0</v>
      </c>
      <c r="G68" s="206"/>
      <c r="H68" s="208"/>
      <c r="I68" s="208"/>
      <c r="J68" s="71" t="s">
        <v>187</v>
      </c>
      <c r="K68" s="226">
        <f>SUM(K65:K67)</f>
        <v>91.091000000000008</v>
      </c>
      <c r="L68" s="235"/>
      <c r="M68" s="462" t="s">
        <v>187</v>
      </c>
      <c r="N68" s="463"/>
      <c r="O68" s="244">
        <f>SUM(O65:O67)</f>
        <v>0.32</v>
      </c>
      <c r="P68" s="296"/>
      <c r="Q68" s="296"/>
      <c r="R68" s="297"/>
      <c r="S68" s="248">
        <f>SUM(S65:S67)</f>
        <v>19.603200000000001</v>
      </c>
      <c r="T68" s="246">
        <f>SUM(T65:T67)</f>
        <v>110.69420000000001</v>
      </c>
      <c r="U68" s="214">
        <f>SUM(U65:U67)</f>
        <v>77.077000000000012</v>
      </c>
      <c r="V68" s="205">
        <f>SUM(V65:V67)</f>
        <v>8.9600000000000009</v>
      </c>
      <c r="W68" s="102"/>
      <c r="X68" s="2"/>
      <c r="Y68" s="2"/>
      <c r="Z68" s="21"/>
      <c r="AA68" s="21"/>
      <c r="AB68" s="21"/>
      <c r="AC68" s="21"/>
      <c r="AD68" s="21"/>
      <c r="AE68" s="21"/>
      <c r="AF68" s="21"/>
      <c r="AT68" s="22"/>
      <c r="AU68" s="22"/>
    </row>
    <row r="69" spans="1:47" s="101" customFormat="1" ht="5" customHeight="1" thickBot="1" x14ac:dyDescent="0.25">
      <c r="A69" s="275"/>
      <c r="B69" s="276"/>
      <c r="C69" s="276"/>
      <c r="D69" s="276"/>
      <c r="E69" s="276"/>
      <c r="F69" s="277"/>
      <c r="G69" s="278"/>
      <c r="H69" s="279"/>
      <c r="I69" s="279"/>
      <c r="J69" s="280"/>
      <c r="K69" s="281"/>
      <c r="L69" s="282"/>
      <c r="M69" s="280"/>
      <c r="N69" s="280"/>
      <c r="O69" s="283"/>
      <c r="P69" s="283"/>
      <c r="Q69" s="283"/>
      <c r="R69" s="284"/>
      <c r="S69" s="285"/>
      <c r="T69" s="286"/>
      <c r="U69" s="281"/>
      <c r="V69" s="287"/>
      <c r="W69" s="288"/>
      <c r="X69" s="289"/>
      <c r="Y69" s="289"/>
      <c r="Z69" s="289"/>
      <c r="AA69" s="289"/>
      <c r="AB69" s="290"/>
      <c r="AC69" s="289"/>
      <c r="AD69" s="289"/>
      <c r="AE69" s="289"/>
      <c r="AF69" s="289"/>
      <c r="AG69" s="121"/>
      <c r="AH69" s="121"/>
      <c r="AS69" s="291"/>
      <c r="AT69" s="22"/>
      <c r="AU69" s="22"/>
    </row>
    <row r="70" spans="1:47" ht="25" customHeight="1" thickBot="1" x14ac:dyDescent="0.25">
      <c r="A70" s="23" t="str">
        <f t="shared" si="36"/>
        <v/>
      </c>
      <c r="B70" s="532" t="s">
        <v>433</v>
      </c>
      <c r="C70" s="533"/>
      <c r="D70" s="533"/>
      <c r="E70" s="533"/>
      <c r="F70" s="533"/>
      <c r="G70" s="533"/>
      <c r="H70" s="533"/>
      <c r="I70" s="533"/>
      <c r="J70" s="533"/>
      <c r="K70" s="534"/>
      <c r="L70" s="236"/>
      <c r="M70" s="484" t="str">
        <f>B70</f>
        <v>Plastering &amp; finishing</v>
      </c>
      <c r="N70" s="485"/>
      <c r="O70" s="485"/>
      <c r="P70" s="485"/>
      <c r="Q70" s="485"/>
      <c r="R70" s="485"/>
      <c r="S70" s="486"/>
      <c r="T70" s="487"/>
      <c r="U70" s="480" t="str">
        <f>M70</f>
        <v>Plastering &amp; finishing</v>
      </c>
      <c r="V70" s="481"/>
      <c r="W70" s="27"/>
      <c r="X70" s="2"/>
      <c r="Y70" s="2"/>
      <c r="Z70" s="21"/>
      <c r="AA70" s="21"/>
      <c r="AB70" s="21"/>
      <c r="AC70" s="21"/>
      <c r="AD70" s="21"/>
      <c r="AE70" s="21"/>
      <c r="AF70" s="21"/>
      <c r="AT70" s="22"/>
      <c r="AU70" s="22"/>
    </row>
    <row r="71" spans="1:47" ht="15" customHeight="1" thickBot="1" x14ac:dyDescent="0.25">
      <c r="A71" s="23" t="str">
        <f t="shared" si="36"/>
        <v/>
      </c>
      <c r="B71" s="450" t="s">
        <v>15</v>
      </c>
      <c r="C71" s="451"/>
      <c r="D71" s="451"/>
      <c r="E71" s="452"/>
      <c r="F71" s="93">
        <v>0</v>
      </c>
      <c r="G71" s="34" t="s">
        <v>142</v>
      </c>
      <c r="H71" s="325">
        <v>14</v>
      </c>
      <c r="I71" s="257">
        <f t="shared" ref="I71:I78" si="43">(H71/100)*(100+$F$79)</f>
        <v>14.000000000000002</v>
      </c>
      <c r="J71" s="258">
        <v>0.3</v>
      </c>
      <c r="K71" s="298">
        <f t="shared" ref="K71:K77" si="44">F71*I71*(1+J71)</f>
        <v>0</v>
      </c>
      <c r="L71" s="229"/>
      <c r="M71" s="198" t="str">
        <f>B71</f>
        <v>Construct stud wall to perimiter</v>
      </c>
      <c r="N71" s="58">
        <v>0.4</v>
      </c>
      <c r="O71" s="233">
        <f>F71*N71</f>
        <v>0</v>
      </c>
      <c r="P71" s="257">
        <f t="shared" ref="P71:P78" si="45">$D$139</f>
        <v>30.63</v>
      </c>
      <c r="Q71" s="257">
        <f t="shared" ref="Q71:Q78" si="46">(P71/100)*(100+$F$79)</f>
        <v>30.630000000000003</v>
      </c>
      <c r="R71" s="259">
        <v>1</v>
      </c>
      <c r="S71" s="299">
        <f t="shared" ref="S71:S78" si="47">(O71*Q71*(1+R71))</f>
        <v>0</v>
      </c>
      <c r="T71" s="234">
        <f>K71+S71</f>
        <v>0</v>
      </c>
      <c r="U71" s="225">
        <f t="shared" ref="U71:U78" si="48">F71*H71*1.1</f>
        <v>0</v>
      </c>
      <c r="V71" s="222">
        <f t="shared" ref="V71:V78" si="49">O71*$E$139</f>
        <v>0</v>
      </c>
      <c r="W71" s="27"/>
      <c r="X71" s="2"/>
      <c r="Y71" s="2"/>
      <c r="Z71" s="21"/>
      <c r="AA71" s="21"/>
      <c r="AB71" s="21"/>
      <c r="AC71" s="21"/>
      <c r="AD71" s="21"/>
      <c r="AE71" s="21"/>
      <c r="AF71" s="21"/>
      <c r="AT71" s="26">
        <f t="shared" ref="AT71:AT78" si="50">IF(F71&lt;&gt;"",1,0)</f>
        <v>1</v>
      </c>
      <c r="AU71" s="26">
        <f t="shared" ref="AU71:AU78" si="51">IF(AND(SUM(AT:AT)&gt;0,F71=""),1,0)</f>
        <v>0</v>
      </c>
    </row>
    <row r="72" spans="1:47" ht="15" customHeight="1" thickBot="1" x14ac:dyDescent="0.25">
      <c r="A72" s="23" t="str">
        <f t="shared" si="36"/>
        <v/>
      </c>
      <c r="B72" s="469" t="s">
        <v>33</v>
      </c>
      <c r="C72" s="470"/>
      <c r="D72" s="470"/>
      <c r="E72" s="513"/>
      <c r="F72" s="94">
        <v>0</v>
      </c>
      <c r="G72" s="34" t="s">
        <v>142</v>
      </c>
      <c r="H72" s="325">
        <f>(8.24/1.098)*1.3</f>
        <v>9.7559198542805099</v>
      </c>
      <c r="I72" s="257">
        <f t="shared" si="43"/>
        <v>9.7559198542805099</v>
      </c>
      <c r="J72" s="258">
        <v>0.3</v>
      </c>
      <c r="K72" s="298">
        <f t="shared" si="44"/>
        <v>0</v>
      </c>
      <c r="L72" s="229"/>
      <c r="M72" s="198" t="str">
        <f t="shared" ref="M72:M78" si="52">B72</f>
        <v>Plasterboarding (inc dab/screws)</v>
      </c>
      <c r="N72" s="58">
        <v>0.4</v>
      </c>
      <c r="O72" s="233">
        <f>F72*N72</f>
        <v>0</v>
      </c>
      <c r="P72" s="257">
        <f t="shared" si="45"/>
        <v>30.63</v>
      </c>
      <c r="Q72" s="257">
        <f t="shared" si="46"/>
        <v>30.630000000000003</v>
      </c>
      <c r="R72" s="259">
        <v>1</v>
      </c>
      <c r="S72" s="299">
        <f t="shared" si="47"/>
        <v>0</v>
      </c>
      <c r="T72" s="234">
        <f t="shared" ref="T72:T78" si="53">K72+S72</f>
        <v>0</v>
      </c>
      <c r="U72" s="225">
        <f t="shared" si="48"/>
        <v>0</v>
      </c>
      <c r="V72" s="222">
        <f t="shared" si="49"/>
        <v>0</v>
      </c>
      <c r="W72" s="27"/>
      <c r="X72" s="2"/>
      <c r="Y72" s="2"/>
      <c r="Z72" s="21"/>
      <c r="AA72" s="21"/>
      <c r="AB72" s="21"/>
      <c r="AC72" s="21"/>
      <c r="AD72" s="21"/>
      <c r="AE72" s="21"/>
      <c r="AF72" s="21"/>
      <c r="AT72" s="26">
        <f t="shared" si="50"/>
        <v>1</v>
      </c>
      <c r="AU72" s="26">
        <f t="shared" si="51"/>
        <v>0</v>
      </c>
    </row>
    <row r="73" spans="1:47" ht="15" customHeight="1" thickBot="1" x14ac:dyDescent="0.25">
      <c r="A73" s="23" t="str">
        <f t="shared" si="36"/>
        <v/>
      </c>
      <c r="B73" s="450" t="s">
        <v>559</v>
      </c>
      <c r="C73" s="451"/>
      <c r="D73" s="451"/>
      <c r="E73" s="452"/>
      <c r="F73" s="95">
        <v>0</v>
      </c>
      <c r="G73" s="34" t="s">
        <v>142</v>
      </c>
      <c r="H73" s="325">
        <f>IF(F73=0,0,((_xlfn.CEILING.MATH(F73,3.5625)*((196.67/7.125)*1.1))/F73)+((_xlfn.CEILING.MATH(F73,7.125)*((38.5/7.125)*1.1))/F73))</f>
        <v>0</v>
      </c>
      <c r="I73" s="257">
        <f t="shared" si="43"/>
        <v>0</v>
      </c>
      <c r="J73" s="258">
        <v>0.3</v>
      </c>
      <c r="K73" s="298">
        <f t="shared" si="44"/>
        <v>0</v>
      </c>
      <c r="L73" s="220"/>
      <c r="M73" s="198" t="str">
        <f t="shared" si="52"/>
        <v>Warmline Internal Wall Insulation</v>
      </c>
      <c r="N73" s="233">
        <f>IF(OR(F73="",F73=0),0,IF(F73&lt;7,2.5/F73,(20/60)))</f>
        <v>0</v>
      </c>
      <c r="O73" s="233">
        <f>F73*N73</f>
        <v>0</v>
      </c>
      <c r="P73" s="257">
        <f t="shared" si="45"/>
        <v>30.63</v>
      </c>
      <c r="Q73" s="257">
        <f t="shared" si="46"/>
        <v>30.630000000000003</v>
      </c>
      <c r="R73" s="259">
        <v>1</v>
      </c>
      <c r="S73" s="299">
        <f t="shared" si="47"/>
        <v>0</v>
      </c>
      <c r="T73" s="234">
        <f t="shared" si="53"/>
        <v>0</v>
      </c>
      <c r="U73" s="225">
        <f>F73*H73*1.1</f>
        <v>0</v>
      </c>
      <c r="V73" s="222">
        <f t="shared" si="49"/>
        <v>0</v>
      </c>
      <c r="W73" s="367"/>
      <c r="X73" s="2"/>
      <c r="Y73" s="2"/>
      <c r="Z73" s="21"/>
      <c r="AA73" s="21"/>
      <c r="AB73" s="21"/>
      <c r="AC73" s="21"/>
      <c r="AD73" s="21"/>
      <c r="AE73" s="21"/>
      <c r="AF73" s="21"/>
      <c r="AT73" s="26">
        <f t="shared" si="50"/>
        <v>1</v>
      </c>
      <c r="AU73" s="26">
        <f t="shared" si="51"/>
        <v>0</v>
      </c>
    </row>
    <row r="74" spans="1:47" ht="15" customHeight="1" thickBot="1" x14ac:dyDescent="0.25">
      <c r="A74" s="23" t="str">
        <f t="shared" ref="A74" si="54">IF(AU74=1,"X","")</f>
        <v/>
      </c>
      <c r="B74" s="450" t="s">
        <v>16</v>
      </c>
      <c r="C74" s="451"/>
      <c r="D74" s="451"/>
      <c r="E74" s="452"/>
      <c r="F74" s="95">
        <v>0</v>
      </c>
      <c r="G74" s="34" t="s">
        <v>142</v>
      </c>
      <c r="H74" s="325">
        <f>IF(F74=0,0,(_xlfn.CEILING.MATH(F74,10)*((12.08/10)*1.1))/F74)</f>
        <v>0</v>
      </c>
      <c r="I74" s="257">
        <f t="shared" si="43"/>
        <v>0</v>
      </c>
      <c r="J74" s="258">
        <v>0.3</v>
      </c>
      <c r="K74" s="298">
        <f t="shared" si="44"/>
        <v>0</v>
      </c>
      <c r="L74" s="220"/>
      <c r="M74" s="198" t="str">
        <f t="shared" si="52"/>
        <v>Skimming walls (multi finish plaster)</v>
      </c>
      <c r="N74" s="233">
        <f>4/15</f>
        <v>0.26666666666666666</v>
      </c>
      <c r="O74" s="233">
        <f>ROUNDUP(F74/15,0)*4</f>
        <v>0</v>
      </c>
      <c r="P74" s="257">
        <f t="shared" si="45"/>
        <v>30.63</v>
      </c>
      <c r="Q74" s="257">
        <f t="shared" si="46"/>
        <v>30.630000000000003</v>
      </c>
      <c r="R74" s="259">
        <v>1</v>
      </c>
      <c r="S74" s="299">
        <f t="shared" ref="S74" si="55">(O74*Q74*(1+R74))</f>
        <v>0</v>
      </c>
      <c r="T74" s="234">
        <f t="shared" ref="T74" si="56">K74+S74</f>
        <v>0</v>
      </c>
      <c r="U74" s="225">
        <f t="shared" ref="U74" si="57">F74*H74*1.1</f>
        <v>0</v>
      </c>
      <c r="V74" s="222">
        <f t="shared" si="49"/>
        <v>0</v>
      </c>
      <c r="W74" s="27"/>
      <c r="X74" s="2"/>
      <c r="Y74" s="2"/>
      <c r="Z74" s="21"/>
      <c r="AA74" s="21"/>
      <c r="AB74" s="21"/>
      <c r="AC74" s="21"/>
      <c r="AD74" s="21"/>
      <c r="AE74" s="21"/>
      <c r="AF74" s="21"/>
      <c r="AT74" s="26">
        <f t="shared" si="50"/>
        <v>1</v>
      </c>
      <c r="AU74" s="26">
        <f t="shared" si="51"/>
        <v>0</v>
      </c>
    </row>
    <row r="75" spans="1:47" ht="15" customHeight="1" thickBot="1" x14ac:dyDescent="0.25">
      <c r="A75" s="23" t="str">
        <f t="shared" si="36"/>
        <v/>
      </c>
      <c r="B75" s="450" t="s">
        <v>566</v>
      </c>
      <c r="C75" s="451"/>
      <c r="D75" s="451"/>
      <c r="E75" s="451"/>
      <c r="F75" s="95">
        <v>0</v>
      </c>
      <c r="G75" s="34" t="s">
        <v>142</v>
      </c>
      <c r="H75" s="325">
        <f>1*1.1</f>
        <v>1.1000000000000001</v>
      </c>
      <c r="I75" s="257">
        <f t="shared" si="43"/>
        <v>1.1000000000000001</v>
      </c>
      <c r="J75" s="258">
        <v>0.3</v>
      </c>
      <c r="K75" s="298">
        <f t="shared" si="44"/>
        <v>0</v>
      </c>
      <c r="L75" s="220"/>
      <c r="M75" s="198" t="str">
        <f t="shared" si="52"/>
        <v>Plastering Stop Bead - 3m length</v>
      </c>
      <c r="N75" s="58">
        <v>0</v>
      </c>
      <c r="O75" s="233">
        <f>F75*N75</f>
        <v>0</v>
      </c>
      <c r="P75" s="257">
        <f t="shared" si="45"/>
        <v>30.63</v>
      </c>
      <c r="Q75" s="257">
        <f t="shared" si="46"/>
        <v>30.630000000000003</v>
      </c>
      <c r="R75" s="259">
        <v>1</v>
      </c>
      <c r="S75" s="299">
        <f t="shared" si="47"/>
        <v>0</v>
      </c>
      <c r="T75" s="234">
        <f t="shared" si="53"/>
        <v>0</v>
      </c>
      <c r="U75" s="225">
        <f t="shared" ref="U75" si="58">F75*H75*1.1</f>
        <v>0</v>
      </c>
      <c r="V75" s="222">
        <f t="shared" si="49"/>
        <v>0</v>
      </c>
      <c r="W75" s="27"/>
      <c r="X75" s="2"/>
      <c r="Y75" s="2"/>
      <c r="Z75" s="21"/>
      <c r="AA75" s="21"/>
      <c r="AB75" s="21"/>
      <c r="AC75" s="21"/>
      <c r="AD75" s="21"/>
      <c r="AE75" s="21"/>
      <c r="AF75" s="21"/>
      <c r="AT75" s="26">
        <f t="shared" si="50"/>
        <v>1</v>
      </c>
      <c r="AU75" s="26">
        <f t="shared" si="51"/>
        <v>0</v>
      </c>
    </row>
    <row r="76" spans="1:47" ht="15" customHeight="1" thickBot="1" x14ac:dyDescent="0.25">
      <c r="A76" s="23" t="str">
        <f t="shared" ref="A76" si="59">IF(AU76=1,"X","")</f>
        <v/>
      </c>
      <c r="B76" s="450" t="s">
        <v>567</v>
      </c>
      <c r="C76" s="451"/>
      <c r="D76" s="451"/>
      <c r="E76" s="451"/>
      <c r="F76" s="95">
        <v>0</v>
      </c>
      <c r="G76" s="34" t="s">
        <v>142</v>
      </c>
      <c r="H76" s="325">
        <f>1.66*1.1</f>
        <v>1.8260000000000001</v>
      </c>
      <c r="I76" s="257">
        <f t="shared" si="43"/>
        <v>1.8260000000000003</v>
      </c>
      <c r="J76" s="258">
        <v>0.3</v>
      </c>
      <c r="K76" s="298">
        <f t="shared" si="44"/>
        <v>0</v>
      </c>
      <c r="L76" s="220"/>
      <c r="M76" s="198" t="str">
        <f t="shared" si="52"/>
        <v>Plastering Thin Coat Angle/Corner Bead - 2.4m length</v>
      </c>
      <c r="N76" s="58">
        <v>0</v>
      </c>
      <c r="O76" s="233">
        <f>F76*N76</f>
        <v>0</v>
      </c>
      <c r="P76" s="257">
        <f t="shared" si="45"/>
        <v>30.63</v>
      </c>
      <c r="Q76" s="257">
        <f t="shared" si="46"/>
        <v>30.630000000000003</v>
      </c>
      <c r="R76" s="259">
        <v>1</v>
      </c>
      <c r="S76" s="299">
        <f t="shared" ref="S76" si="60">(O76*Q76*(1+R76))</f>
        <v>0</v>
      </c>
      <c r="T76" s="234">
        <f t="shared" ref="T76" si="61">K76+S76</f>
        <v>0</v>
      </c>
      <c r="U76" s="225">
        <f t="shared" ref="U76" si="62">F76*H76*1.1</f>
        <v>0</v>
      </c>
      <c r="V76" s="222">
        <f t="shared" si="49"/>
        <v>0</v>
      </c>
      <c r="W76" s="27"/>
      <c r="X76" s="2"/>
      <c r="Y76" s="2"/>
      <c r="Z76" s="21"/>
      <c r="AA76" s="21"/>
      <c r="AB76" s="21"/>
      <c r="AC76" s="21"/>
      <c r="AD76" s="21"/>
      <c r="AE76" s="21"/>
      <c r="AF76" s="21"/>
      <c r="AT76" s="26">
        <f t="shared" si="50"/>
        <v>1</v>
      </c>
      <c r="AU76" s="26">
        <f t="shared" si="51"/>
        <v>0</v>
      </c>
    </row>
    <row r="77" spans="1:47" ht="15" customHeight="1" thickBot="1" x14ac:dyDescent="0.25">
      <c r="A77" s="23" t="str">
        <f t="shared" si="36"/>
        <v/>
      </c>
      <c r="B77" s="450" t="s">
        <v>568</v>
      </c>
      <c r="C77" s="451"/>
      <c r="D77" s="451"/>
      <c r="E77" s="451"/>
      <c r="F77" s="95">
        <v>0</v>
      </c>
      <c r="G77" s="34" t="s">
        <v>142</v>
      </c>
      <c r="H77" s="325">
        <f>2.5*1.1</f>
        <v>2.75</v>
      </c>
      <c r="I77" s="257">
        <f t="shared" si="43"/>
        <v>2.75</v>
      </c>
      <c r="J77" s="258">
        <v>0.3</v>
      </c>
      <c r="K77" s="298">
        <f t="shared" si="44"/>
        <v>0</v>
      </c>
      <c r="L77" s="220"/>
      <c r="M77" s="198" t="str">
        <f t="shared" si="52"/>
        <v>Plastering Thin Coat Angle/Corner Bead - 3m length</v>
      </c>
      <c r="N77" s="58">
        <v>0</v>
      </c>
      <c r="O77" s="233">
        <f>F77*N77</f>
        <v>0</v>
      </c>
      <c r="P77" s="257">
        <f t="shared" si="45"/>
        <v>30.63</v>
      </c>
      <c r="Q77" s="257">
        <f t="shared" si="46"/>
        <v>30.630000000000003</v>
      </c>
      <c r="R77" s="259">
        <v>1</v>
      </c>
      <c r="S77" s="299">
        <f t="shared" si="47"/>
        <v>0</v>
      </c>
      <c r="T77" s="234">
        <f t="shared" si="53"/>
        <v>0</v>
      </c>
      <c r="U77" s="225">
        <f t="shared" si="48"/>
        <v>0</v>
      </c>
      <c r="V77" s="222">
        <f t="shared" si="49"/>
        <v>0</v>
      </c>
      <c r="W77" s="27"/>
      <c r="X77" s="2"/>
      <c r="Y77" s="2"/>
      <c r="Z77" s="21"/>
      <c r="AA77" s="21"/>
      <c r="AB77" s="21"/>
      <c r="AC77" s="21"/>
      <c r="AD77" s="21"/>
      <c r="AE77" s="21"/>
      <c r="AF77" s="21"/>
      <c r="AT77" s="26">
        <f t="shared" si="50"/>
        <v>1</v>
      </c>
      <c r="AU77" s="26">
        <f t="shared" si="51"/>
        <v>0</v>
      </c>
    </row>
    <row r="78" spans="1:47" ht="15" customHeight="1" thickBot="1" x14ac:dyDescent="0.25">
      <c r="A78" s="23" t="str">
        <f t="shared" si="36"/>
        <v/>
      </c>
      <c r="B78" s="450" t="s">
        <v>176</v>
      </c>
      <c r="C78" s="451"/>
      <c r="D78" s="451"/>
      <c r="E78" s="452"/>
      <c r="F78" s="95">
        <v>0</v>
      </c>
      <c r="G78" s="34" t="s">
        <v>3</v>
      </c>
      <c r="H78" s="44">
        <v>0</v>
      </c>
      <c r="I78" s="257">
        <f t="shared" si="43"/>
        <v>0</v>
      </c>
      <c r="J78" s="258">
        <v>0</v>
      </c>
      <c r="K78" s="298">
        <f t="shared" ref="K78" si="63">F78*I78*(1+J78)</f>
        <v>0</v>
      </c>
      <c r="L78" s="220"/>
      <c r="M78" s="198" t="str">
        <f t="shared" si="52"/>
        <v>Difficulty hours (fireplace, corners etc)</v>
      </c>
      <c r="N78" s="233">
        <v>1</v>
      </c>
      <c r="O78" s="233">
        <f>F78*N78</f>
        <v>0</v>
      </c>
      <c r="P78" s="257">
        <f t="shared" si="45"/>
        <v>30.63</v>
      </c>
      <c r="Q78" s="257">
        <f t="shared" si="46"/>
        <v>30.630000000000003</v>
      </c>
      <c r="R78" s="259">
        <v>1</v>
      </c>
      <c r="S78" s="299">
        <f t="shared" si="47"/>
        <v>0</v>
      </c>
      <c r="T78" s="234">
        <f t="shared" si="53"/>
        <v>0</v>
      </c>
      <c r="U78" s="225">
        <f t="shared" si="48"/>
        <v>0</v>
      </c>
      <c r="V78" s="222">
        <f t="shared" si="49"/>
        <v>0</v>
      </c>
      <c r="W78" s="27"/>
      <c r="X78" s="2"/>
      <c r="Y78" s="2"/>
      <c r="Z78" s="21"/>
      <c r="AA78" s="21"/>
      <c r="AB78" s="21"/>
      <c r="AC78" s="21"/>
      <c r="AD78" s="21"/>
      <c r="AE78" s="21"/>
      <c r="AF78" s="21"/>
      <c r="AT78" s="26">
        <f t="shared" si="50"/>
        <v>1</v>
      </c>
      <c r="AU78" s="26">
        <f t="shared" si="51"/>
        <v>0</v>
      </c>
    </row>
    <row r="79" spans="1:47" ht="17" thickBot="1" x14ac:dyDescent="0.25">
      <c r="A79" s="23" t="str">
        <f t="shared" si="36"/>
        <v/>
      </c>
      <c r="B79" s="459" t="s">
        <v>496</v>
      </c>
      <c r="C79" s="460"/>
      <c r="D79" s="460"/>
      <c r="E79" s="460"/>
      <c r="F79" s="295">
        <v>0</v>
      </c>
      <c r="G79" s="206"/>
      <c r="H79" s="208"/>
      <c r="I79" s="208"/>
      <c r="J79" s="71" t="s">
        <v>187</v>
      </c>
      <c r="K79" s="232">
        <f>SUM(K71:K78)</f>
        <v>0</v>
      </c>
      <c r="L79" s="221"/>
      <c r="M79" s="462" t="s">
        <v>187</v>
      </c>
      <c r="N79" s="463"/>
      <c r="O79" s="244">
        <f>SUM(O71:O78)</f>
        <v>0</v>
      </c>
      <c r="P79" s="296"/>
      <c r="Q79" s="296"/>
      <c r="R79" s="297"/>
      <c r="S79" s="248">
        <f>SUM(S71:S78)</f>
        <v>0</v>
      </c>
      <c r="T79" s="246">
        <f>SUM(T71:T78)</f>
        <v>0</v>
      </c>
      <c r="U79" s="214">
        <f>SUM(U71:U78)</f>
        <v>0</v>
      </c>
      <c r="V79" s="205">
        <f>SUM(V71:V78)</f>
        <v>0</v>
      </c>
      <c r="W79" s="102"/>
      <c r="X79" s="2"/>
      <c r="Y79" s="2"/>
      <c r="Z79" s="21"/>
      <c r="AA79" s="21"/>
      <c r="AB79" s="21"/>
      <c r="AC79" s="21"/>
      <c r="AD79" s="21"/>
      <c r="AE79" s="21"/>
      <c r="AF79" s="21"/>
      <c r="AT79" s="22"/>
      <c r="AU79" s="22"/>
    </row>
    <row r="80" spans="1:47" s="101" customFormat="1" ht="5" customHeight="1" thickBot="1" x14ac:dyDescent="0.25">
      <c r="A80" s="275"/>
      <c r="B80" s="276"/>
      <c r="C80" s="276"/>
      <c r="D80" s="276"/>
      <c r="E80" s="276"/>
      <c r="F80" s="277"/>
      <c r="G80" s="278"/>
      <c r="H80" s="279"/>
      <c r="I80" s="279"/>
      <c r="J80" s="280"/>
      <c r="K80" s="281"/>
      <c r="L80" s="282"/>
      <c r="M80" s="280"/>
      <c r="N80" s="280"/>
      <c r="O80" s="283"/>
      <c r="P80" s="283"/>
      <c r="Q80" s="283"/>
      <c r="R80" s="284"/>
      <c r="S80" s="285"/>
      <c r="T80" s="286"/>
      <c r="U80" s="281"/>
      <c r="V80" s="287"/>
      <c r="W80" s="288"/>
      <c r="X80" s="289"/>
      <c r="Y80" s="289"/>
      <c r="Z80" s="289"/>
      <c r="AA80" s="289"/>
      <c r="AB80" s="290"/>
      <c r="AC80" s="289"/>
      <c r="AD80" s="289"/>
      <c r="AE80" s="289"/>
      <c r="AF80" s="289"/>
      <c r="AG80" s="121"/>
      <c r="AH80" s="121"/>
      <c r="AS80" s="291"/>
      <c r="AT80" s="22"/>
      <c r="AU80" s="22"/>
    </row>
    <row r="81" spans="1:47" ht="25" customHeight="1" x14ac:dyDescent="0.2">
      <c r="A81" s="23" t="str">
        <f t="shared" si="36"/>
        <v/>
      </c>
      <c r="B81" s="505" t="s">
        <v>74</v>
      </c>
      <c r="C81" s="506"/>
      <c r="D81" s="506"/>
      <c r="E81" s="506"/>
      <c r="F81" s="552" t="s">
        <v>497</v>
      </c>
      <c r="G81" s="552"/>
      <c r="H81" s="552"/>
      <c r="I81" s="552"/>
      <c r="J81" s="552"/>
      <c r="K81" s="553"/>
      <c r="L81" s="236"/>
      <c r="M81" s="484" t="str">
        <f>B81</f>
        <v>Floor Joists LM @ 400mm centres</v>
      </c>
      <c r="N81" s="485"/>
      <c r="O81" s="485"/>
      <c r="P81" s="485"/>
      <c r="Q81" s="485"/>
      <c r="R81" s="485"/>
      <c r="S81" s="486"/>
      <c r="T81" s="487"/>
      <c r="U81" s="480" t="str">
        <f>M81</f>
        <v>Floor Joists LM @ 400mm centres</v>
      </c>
      <c r="V81" s="481"/>
      <c r="W81" s="27"/>
      <c r="X81" s="2"/>
      <c r="Y81" s="2"/>
      <c r="Z81" s="21"/>
      <c r="AA81" s="21"/>
      <c r="AB81" s="21"/>
      <c r="AC81" s="21"/>
      <c r="AD81" s="21"/>
      <c r="AE81" s="21"/>
      <c r="AF81" s="21"/>
      <c r="AT81" s="22"/>
      <c r="AU81" s="22"/>
    </row>
    <row r="82" spans="1:47" s="20" customFormat="1" ht="15.5" customHeight="1" thickBot="1" x14ac:dyDescent="0.2">
      <c r="A82" s="23" t="str">
        <f t="shared" si="36"/>
        <v/>
      </c>
      <c r="B82" s="558" t="s">
        <v>75</v>
      </c>
      <c r="C82" s="559"/>
      <c r="D82" s="52" t="s">
        <v>81</v>
      </c>
      <c r="E82" s="51" t="s">
        <v>68</v>
      </c>
      <c r="F82" s="500"/>
      <c r="G82" s="501"/>
      <c r="H82" s="501"/>
      <c r="I82" s="501"/>
      <c r="J82" s="501"/>
      <c r="K82" s="502"/>
      <c r="L82" s="47"/>
      <c r="M82" s="503"/>
      <c r="N82" s="504"/>
      <c r="O82" s="504"/>
      <c r="P82" s="504"/>
      <c r="Q82" s="504"/>
      <c r="R82" s="504"/>
      <c r="S82" s="212"/>
      <c r="T82" s="241"/>
      <c r="U82" s="53"/>
      <c r="V82" s="54"/>
      <c r="W82" s="27"/>
      <c r="X82" s="2"/>
      <c r="Y82" s="2"/>
      <c r="Z82" s="21"/>
      <c r="AA82" s="21"/>
      <c r="AB82" s="21"/>
      <c r="AC82" s="21"/>
      <c r="AD82" s="21"/>
      <c r="AE82" s="21"/>
      <c r="AF82" s="21"/>
      <c r="AH82" s="16"/>
      <c r="AI82" s="16"/>
      <c r="AT82" s="22"/>
      <c r="AU82" s="22"/>
    </row>
    <row r="83" spans="1:47" s="57" customFormat="1" ht="15" customHeight="1" thickBot="1" x14ac:dyDescent="0.2">
      <c r="A83" s="23" t="str">
        <f t="shared" si="36"/>
        <v/>
      </c>
      <c r="B83" s="428" t="s">
        <v>62</v>
      </c>
      <c r="C83" s="429"/>
      <c r="D83" s="13">
        <v>4.3</v>
      </c>
      <c r="E83" s="13">
        <v>11</v>
      </c>
      <c r="F83" s="98">
        <f>D83*E83</f>
        <v>47.3</v>
      </c>
      <c r="G83" s="34" t="s">
        <v>144</v>
      </c>
      <c r="H83" s="56">
        <v>5.46</v>
      </c>
      <c r="I83" s="257">
        <f t="shared" ref="I83:I92" si="64">(H83/100)*(100+$F$101)</f>
        <v>5.46</v>
      </c>
      <c r="J83" s="258">
        <v>0.3</v>
      </c>
      <c r="K83" s="298">
        <f t="shared" ref="K83:K92" si="65">F83*I83*(1+J83)</f>
        <v>335.73539999999997</v>
      </c>
      <c r="L83" s="239"/>
      <c r="M83" s="256" t="str">
        <f>B83</f>
        <v>Joists, 100 x 50</v>
      </c>
      <c r="N83" s="245">
        <v>0.25</v>
      </c>
      <c r="O83" s="233">
        <f t="shared" ref="O83:O89" si="66">F83*N83</f>
        <v>11.824999999999999</v>
      </c>
      <c r="P83" s="257">
        <f t="shared" ref="P83:P92" si="67">$D$139</f>
        <v>30.63</v>
      </c>
      <c r="Q83" s="257">
        <f t="shared" ref="Q83:Q92" si="68">(P83/100)*(100+$F$101)</f>
        <v>30.630000000000003</v>
      </c>
      <c r="R83" s="259">
        <v>1</v>
      </c>
      <c r="S83" s="299">
        <f t="shared" ref="S83:S92" si="69">(O83*Q83*(1+R83))</f>
        <v>724.39949999999999</v>
      </c>
      <c r="T83" s="234">
        <f t="shared" ref="T83:T92" si="70">K83+S83</f>
        <v>1060.1349</v>
      </c>
      <c r="U83" s="225">
        <f t="shared" ref="U83:U92" si="71">F83*H83*1.1</f>
        <v>284.0838</v>
      </c>
      <c r="V83" s="222">
        <f t="shared" ref="V83:V92" si="72">O83*$E$139</f>
        <v>331.09999999999997</v>
      </c>
      <c r="W83" s="27"/>
      <c r="X83" s="2"/>
      <c r="Y83" s="2"/>
      <c r="Z83" s="21"/>
      <c r="AA83" s="21"/>
      <c r="AB83" s="21"/>
      <c r="AC83" s="21"/>
      <c r="AD83" s="21"/>
      <c r="AE83" s="21"/>
      <c r="AF83" s="21"/>
      <c r="AH83" s="16"/>
      <c r="AI83" s="16"/>
      <c r="AT83" s="26">
        <f t="shared" ref="AT83:AT88" si="73">IF(OR(D83&lt;&gt;"",E83&lt;&gt;""),1,0)</f>
        <v>1</v>
      </c>
      <c r="AU83" s="26">
        <f t="shared" ref="AU83:AU88" si="74">IF(AND(SUM(AT:AT)&gt;0,OR(D83="",E83="")),1,0)</f>
        <v>0</v>
      </c>
    </row>
    <row r="84" spans="1:47" s="57" customFormat="1" ht="15" customHeight="1" thickBot="1" x14ac:dyDescent="0.2">
      <c r="A84" s="23" t="str">
        <f t="shared" si="36"/>
        <v/>
      </c>
      <c r="B84" s="428" t="s">
        <v>63</v>
      </c>
      <c r="C84" s="429"/>
      <c r="D84" s="13">
        <v>0</v>
      </c>
      <c r="E84" s="13">
        <v>0</v>
      </c>
      <c r="F84" s="98">
        <f t="shared" ref="F84:F90" si="75">D84*E84</f>
        <v>0</v>
      </c>
      <c r="G84" s="34" t="s">
        <v>144</v>
      </c>
      <c r="H84" s="56">
        <v>6.5</v>
      </c>
      <c r="I84" s="257">
        <f t="shared" si="64"/>
        <v>6.5</v>
      </c>
      <c r="J84" s="258">
        <v>0.3</v>
      </c>
      <c r="K84" s="298">
        <f t="shared" si="65"/>
        <v>0</v>
      </c>
      <c r="L84" s="239"/>
      <c r="M84" s="256" t="str">
        <f t="shared" ref="M84:M88" si="76">B84</f>
        <v>Joists, 125 x 50</v>
      </c>
      <c r="N84" s="245">
        <v>0.25</v>
      </c>
      <c r="O84" s="233">
        <f t="shared" si="66"/>
        <v>0</v>
      </c>
      <c r="P84" s="257">
        <f t="shared" si="67"/>
        <v>30.63</v>
      </c>
      <c r="Q84" s="257">
        <f t="shared" si="68"/>
        <v>30.630000000000003</v>
      </c>
      <c r="R84" s="259">
        <v>1</v>
      </c>
      <c r="S84" s="299">
        <f t="shared" si="69"/>
        <v>0</v>
      </c>
      <c r="T84" s="234">
        <f t="shared" si="70"/>
        <v>0</v>
      </c>
      <c r="U84" s="225">
        <f t="shared" si="71"/>
        <v>0</v>
      </c>
      <c r="V84" s="222">
        <f t="shared" si="72"/>
        <v>0</v>
      </c>
      <c r="W84" s="27"/>
      <c r="X84" s="2"/>
      <c r="Y84" s="2"/>
      <c r="Z84" s="21"/>
      <c r="AA84" s="21"/>
      <c r="AB84" s="21"/>
      <c r="AC84" s="21"/>
      <c r="AD84" s="21"/>
      <c r="AE84" s="21"/>
      <c r="AF84" s="21"/>
      <c r="AH84" s="16"/>
      <c r="AI84" s="16"/>
      <c r="AT84" s="26">
        <f t="shared" si="73"/>
        <v>1</v>
      </c>
      <c r="AU84" s="26">
        <f t="shared" si="74"/>
        <v>0</v>
      </c>
    </row>
    <row r="85" spans="1:47" s="57" customFormat="1" ht="15" customHeight="1" thickBot="1" x14ac:dyDescent="0.2">
      <c r="A85" s="23" t="str">
        <f t="shared" si="36"/>
        <v/>
      </c>
      <c r="B85" s="428" t="s">
        <v>64</v>
      </c>
      <c r="C85" s="429"/>
      <c r="D85" s="13">
        <v>0</v>
      </c>
      <c r="E85" s="13">
        <v>0</v>
      </c>
      <c r="F85" s="98">
        <f t="shared" si="75"/>
        <v>0</v>
      </c>
      <c r="G85" s="34" t="s">
        <v>144</v>
      </c>
      <c r="H85" s="56">
        <v>7.7</v>
      </c>
      <c r="I85" s="257">
        <f t="shared" si="64"/>
        <v>7.7</v>
      </c>
      <c r="J85" s="258">
        <v>0.3</v>
      </c>
      <c r="K85" s="298">
        <f t="shared" si="65"/>
        <v>0</v>
      </c>
      <c r="L85" s="239"/>
      <c r="M85" s="256" t="str">
        <f t="shared" si="76"/>
        <v>Joists, 150 x 50</v>
      </c>
      <c r="N85" s="245">
        <v>0.25</v>
      </c>
      <c r="O85" s="233">
        <f t="shared" si="66"/>
        <v>0</v>
      </c>
      <c r="P85" s="257">
        <f t="shared" si="67"/>
        <v>30.63</v>
      </c>
      <c r="Q85" s="257">
        <f t="shared" si="68"/>
        <v>30.630000000000003</v>
      </c>
      <c r="R85" s="259">
        <v>1</v>
      </c>
      <c r="S85" s="299">
        <f t="shared" si="69"/>
        <v>0</v>
      </c>
      <c r="T85" s="234">
        <f t="shared" si="70"/>
        <v>0</v>
      </c>
      <c r="U85" s="225">
        <f t="shared" si="71"/>
        <v>0</v>
      </c>
      <c r="V85" s="222">
        <f t="shared" si="72"/>
        <v>0</v>
      </c>
      <c r="W85" s="27"/>
      <c r="X85" s="2"/>
      <c r="Y85" s="2"/>
      <c r="Z85" s="21"/>
      <c r="AA85" s="21"/>
      <c r="AB85" s="21"/>
      <c r="AC85" s="21"/>
      <c r="AD85" s="21"/>
      <c r="AE85" s="21"/>
      <c r="AF85" s="21"/>
      <c r="AH85" s="16"/>
      <c r="AI85" s="16"/>
      <c r="AT85" s="26">
        <f t="shared" si="73"/>
        <v>1</v>
      </c>
      <c r="AU85" s="26">
        <f t="shared" si="74"/>
        <v>0</v>
      </c>
    </row>
    <row r="86" spans="1:47" s="57" customFormat="1" ht="15" customHeight="1" thickBot="1" x14ac:dyDescent="0.2">
      <c r="A86" s="23" t="str">
        <f t="shared" si="36"/>
        <v/>
      </c>
      <c r="B86" s="428" t="s">
        <v>65</v>
      </c>
      <c r="C86" s="429"/>
      <c r="D86" s="13">
        <v>0</v>
      </c>
      <c r="E86" s="13">
        <v>0</v>
      </c>
      <c r="F86" s="98">
        <f t="shared" si="75"/>
        <v>0</v>
      </c>
      <c r="G86" s="34" t="s">
        <v>144</v>
      </c>
      <c r="H86" s="56">
        <v>8</v>
      </c>
      <c r="I86" s="257">
        <f t="shared" si="64"/>
        <v>8</v>
      </c>
      <c r="J86" s="258">
        <v>0.3</v>
      </c>
      <c r="K86" s="298">
        <f t="shared" si="65"/>
        <v>0</v>
      </c>
      <c r="L86" s="239"/>
      <c r="M86" s="256" t="str">
        <f t="shared" si="76"/>
        <v>Joists, 175 x 50</v>
      </c>
      <c r="N86" s="245">
        <v>0.3</v>
      </c>
      <c r="O86" s="233">
        <f t="shared" si="66"/>
        <v>0</v>
      </c>
      <c r="P86" s="257">
        <f t="shared" si="67"/>
        <v>30.63</v>
      </c>
      <c r="Q86" s="257">
        <f t="shared" si="68"/>
        <v>30.630000000000003</v>
      </c>
      <c r="R86" s="259">
        <v>1</v>
      </c>
      <c r="S86" s="299">
        <f t="shared" si="69"/>
        <v>0</v>
      </c>
      <c r="T86" s="234">
        <f t="shared" si="70"/>
        <v>0</v>
      </c>
      <c r="U86" s="225">
        <f t="shared" si="71"/>
        <v>0</v>
      </c>
      <c r="V86" s="222">
        <f t="shared" si="72"/>
        <v>0</v>
      </c>
      <c r="W86" s="27"/>
      <c r="X86" s="2"/>
      <c r="Y86" s="2"/>
      <c r="Z86" s="21"/>
      <c r="AA86" s="21"/>
      <c r="AB86" s="21"/>
      <c r="AC86" s="21"/>
      <c r="AD86" s="21"/>
      <c r="AE86" s="21"/>
      <c r="AF86" s="21"/>
      <c r="AH86" s="16"/>
      <c r="AI86" s="16"/>
      <c r="AT86" s="26">
        <f t="shared" si="73"/>
        <v>1</v>
      </c>
      <c r="AU86" s="26">
        <f t="shared" si="74"/>
        <v>0</v>
      </c>
    </row>
    <row r="87" spans="1:47" s="57" customFormat="1" ht="15" customHeight="1" thickBot="1" x14ac:dyDescent="0.2">
      <c r="A87" s="23" t="str">
        <f t="shared" si="36"/>
        <v/>
      </c>
      <c r="B87" s="428" t="s">
        <v>66</v>
      </c>
      <c r="C87" s="429"/>
      <c r="D87" s="13">
        <v>0</v>
      </c>
      <c r="E87" s="13">
        <v>0</v>
      </c>
      <c r="F87" s="98">
        <f t="shared" si="75"/>
        <v>0</v>
      </c>
      <c r="G87" s="34" t="s">
        <v>144</v>
      </c>
      <c r="H87" s="56">
        <v>8.9</v>
      </c>
      <c r="I87" s="257">
        <f t="shared" si="64"/>
        <v>8.9</v>
      </c>
      <c r="J87" s="258">
        <v>0.3</v>
      </c>
      <c r="K87" s="298">
        <f t="shared" si="65"/>
        <v>0</v>
      </c>
      <c r="L87" s="239"/>
      <c r="M87" s="256" t="str">
        <f t="shared" si="76"/>
        <v>Joists, 200 x 50</v>
      </c>
      <c r="N87" s="245">
        <v>0.3</v>
      </c>
      <c r="O87" s="233">
        <f t="shared" si="66"/>
        <v>0</v>
      </c>
      <c r="P87" s="257">
        <f t="shared" si="67"/>
        <v>30.63</v>
      </c>
      <c r="Q87" s="257">
        <f t="shared" si="68"/>
        <v>30.630000000000003</v>
      </c>
      <c r="R87" s="259">
        <v>1</v>
      </c>
      <c r="S87" s="299">
        <f t="shared" si="69"/>
        <v>0</v>
      </c>
      <c r="T87" s="234">
        <f t="shared" si="70"/>
        <v>0</v>
      </c>
      <c r="U87" s="225">
        <f t="shared" si="71"/>
        <v>0</v>
      </c>
      <c r="V87" s="222">
        <f t="shared" si="72"/>
        <v>0</v>
      </c>
      <c r="W87" s="27"/>
      <c r="X87" s="2"/>
      <c r="Y87" s="2"/>
      <c r="Z87" s="21"/>
      <c r="AA87" s="21"/>
      <c r="AB87" s="21"/>
      <c r="AC87" s="21"/>
      <c r="AD87" s="21"/>
      <c r="AE87" s="21"/>
      <c r="AF87" s="21"/>
      <c r="AH87" s="16"/>
      <c r="AI87" s="16"/>
      <c r="AT87" s="26">
        <f t="shared" si="73"/>
        <v>1</v>
      </c>
      <c r="AU87" s="26">
        <f t="shared" si="74"/>
        <v>0</v>
      </c>
    </row>
    <row r="88" spans="1:47" s="57" customFormat="1" ht="15" customHeight="1" thickBot="1" x14ac:dyDescent="0.2">
      <c r="A88" s="23" t="str">
        <f t="shared" si="36"/>
        <v/>
      </c>
      <c r="B88" s="428" t="s">
        <v>67</v>
      </c>
      <c r="C88" s="429"/>
      <c r="D88" s="13">
        <v>0</v>
      </c>
      <c r="E88" s="13">
        <v>0</v>
      </c>
      <c r="F88" s="98">
        <f t="shared" si="75"/>
        <v>0</v>
      </c>
      <c r="G88" s="34" t="s">
        <v>144</v>
      </c>
      <c r="H88" s="56">
        <v>9.5</v>
      </c>
      <c r="I88" s="257">
        <f t="shared" si="64"/>
        <v>9.5</v>
      </c>
      <c r="J88" s="258">
        <v>0.3</v>
      </c>
      <c r="K88" s="298">
        <f t="shared" si="65"/>
        <v>0</v>
      </c>
      <c r="L88" s="239"/>
      <c r="M88" s="256" t="str">
        <f t="shared" si="76"/>
        <v>Joists, 225 x 50</v>
      </c>
      <c r="N88" s="245">
        <v>0.4</v>
      </c>
      <c r="O88" s="233">
        <f t="shared" si="66"/>
        <v>0</v>
      </c>
      <c r="P88" s="257">
        <f t="shared" si="67"/>
        <v>30.63</v>
      </c>
      <c r="Q88" s="257">
        <f t="shared" si="68"/>
        <v>30.630000000000003</v>
      </c>
      <c r="R88" s="259">
        <v>1</v>
      </c>
      <c r="S88" s="299">
        <f t="shared" si="69"/>
        <v>0</v>
      </c>
      <c r="T88" s="234">
        <f t="shared" si="70"/>
        <v>0</v>
      </c>
      <c r="U88" s="225">
        <f t="shared" si="71"/>
        <v>0</v>
      </c>
      <c r="V88" s="222">
        <f t="shared" si="72"/>
        <v>0</v>
      </c>
      <c r="W88" s="27"/>
      <c r="X88" s="2"/>
      <c r="Y88" s="2"/>
      <c r="Z88" s="21"/>
      <c r="AA88" s="21"/>
      <c r="AB88" s="21"/>
      <c r="AC88" s="21"/>
      <c r="AD88" s="21"/>
      <c r="AE88" s="21"/>
      <c r="AF88" s="21"/>
      <c r="AH88" s="16"/>
      <c r="AI88" s="16"/>
      <c r="AT88" s="26">
        <f t="shared" si="73"/>
        <v>1</v>
      </c>
      <c r="AU88" s="26">
        <f t="shared" si="74"/>
        <v>0</v>
      </c>
    </row>
    <row r="89" spans="1:47" s="20" customFormat="1" ht="14.5" customHeight="1" thickBot="1" x14ac:dyDescent="0.2">
      <c r="A89" s="23" t="str">
        <f t="shared" si="36"/>
        <v/>
      </c>
      <c r="B89" s="426" t="s">
        <v>148</v>
      </c>
      <c r="C89" s="427"/>
      <c r="D89" s="13">
        <v>11</v>
      </c>
      <c r="E89" s="58">
        <v>1</v>
      </c>
      <c r="F89" s="98">
        <f>D89*E89</f>
        <v>11</v>
      </c>
      <c r="G89" s="34" t="s">
        <v>141</v>
      </c>
      <c r="H89" s="14">
        <v>3</v>
      </c>
      <c r="I89" s="257">
        <f t="shared" si="64"/>
        <v>3</v>
      </c>
      <c r="J89" s="258">
        <v>0.3</v>
      </c>
      <c r="K89" s="298">
        <f t="shared" si="65"/>
        <v>42.9</v>
      </c>
      <c r="L89" s="40"/>
      <c r="M89" s="198" t="s">
        <v>149</v>
      </c>
      <c r="N89" s="58">
        <v>0.15</v>
      </c>
      <c r="O89" s="233">
        <f t="shared" si="66"/>
        <v>1.65</v>
      </c>
      <c r="P89" s="257">
        <f t="shared" si="67"/>
        <v>30.63</v>
      </c>
      <c r="Q89" s="257">
        <f t="shared" si="68"/>
        <v>30.630000000000003</v>
      </c>
      <c r="R89" s="259">
        <v>1</v>
      </c>
      <c r="S89" s="299">
        <f t="shared" si="69"/>
        <v>101.07900000000001</v>
      </c>
      <c r="T89" s="234">
        <f t="shared" si="70"/>
        <v>143.97900000000001</v>
      </c>
      <c r="U89" s="225">
        <f t="shared" si="71"/>
        <v>36.300000000000004</v>
      </c>
      <c r="V89" s="222">
        <f t="shared" si="72"/>
        <v>46.199999999999996</v>
      </c>
      <c r="W89" s="27"/>
      <c r="X89" s="2"/>
      <c r="Y89" s="2"/>
      <c r="Z89" s="21"/>
      <c r="AA89" s="21"/>
      <c r="AB89" s="21"/>
      <c r="AC89" s="21"/>
      <c r="AD89" s="21"/>
      <c r="AE89" s="21"/>
      <c r="AF89" s="21"/>
      <c r="AH89" s="16"/>
      <c r="AI89" s="16"/>
      <c r="AS89" s="61"/>
      <c r="AT89" s="26">
        <f>IF(D89&lt;&gt;"",1,0)</f>
        <v>1</v>
      </c>
      <c r="AU89" s="26">
        <f>IF(AND(SUM(AT:AT)&gt;0,D89=""),1,0)</f>
        <v>0</v>
      </c>
    </row>
    <row r="90" spans="1:47" s="20" customFormat="1" ht="14.5" customHeight="1" thickBot="1" x14ac:dyDescent="0.2">
      <c r="A90" s="23" t="str">
        <f t="shared" si="36"/>
        <v/>
      </c>
      <c r="B90" s="426" t="s">
        <v>69</v>
      </c>
      <c r="C90" s="427"/>
      <c r="D90" s="13">
        <v>2</v>
      </c>
      <c r="E90" s="58">
        <v>1</v>
      </c>
      <c r="F90" s="98">
        <f t="shared" si="75"/>
        <v>2</v>
      </c>
      <c r="G90" s="34" t="s">
        <v>141</v>
      </c>
      <c r="H90" s="14">
        <v>4.84</v>
      </c>
      <c r="I90" s="257">
        <f t="shared" si="64"/>
        <v>4.84</v>
      </c>
      <c r="J90" s="258">
        <v>0.3</v>
      </c>
      <c r="K90" s="298">
        <f t="shared" si="65"/>
        <v>12.584</v>
      </c>
      <c r="L90" s="40"/>
      <c r="M90" s="198" t="s">
        <v>57</v>
      </c>
      <c r="N90" s="58">
        <v>0.4</v>
      </c>
      <c r="O90" s="233">
        <f>F90*N90</f>
        <v>0.8</v>
      </c>
      <c r="P90" s="257">
        <f t="shared" si="67"/>
        <v>30.63</v>
      </c>
      <c r="Q90" s="257">
        <f t="shared" si="68"/>
        <v>30.630000000000003</v>
      </c>
      <c r="R90" s="259">
        <v>1</v>
      </c>
      <c r="S90" s="299">
        <f t="shared" si="69"/>
        <v>49.00800000000001</v>
      </c>
      <c r="T90" s="234">
        <f t="shared" si="70"/>
        <v>61.592000000000013</v>
      </c>
      <c r="U90" s="225">
        <f t="shared" si="71"/>
        <v>10.648</v>
      </c>
      <c r="V90" s="222">
        <f t="shared" si="72"/>
        <v>22.400000000000002</v>
      </c>
      <c r="W90" s="27"/>
      <c r="X90" s="2"/>
      <c r="Y90" s="2"/>
      <c r="Z90" s="21"/>
      <c r="AA90" s="21"/>
      <c r="AB90" s="21"/>
      <c r="AC90" s="21"/>
      <c r="AD90" s="21"/>
      <c r="AE90" s="21"/>
      <c r="AF90" s="21"/>
      <c r="AH90" s="16"/>
      <c r="AI90" s="16"/>
      <c r="AT90" s="26">
        <f>IF(D90&lt;&gt;"",1,0)</f>
        <v>1</v>
      </c>
      <c r="AU90" s="26">
        <f>IF(AND(SUM(AT:AT)&gt;0,D90=""),1,0)</f>
        <v>0</v>
      </c>
    </row>
    <row r="91" spans="1:47" s="20" customFormat="1" ht="14.5" customHeight="1" thickBot="1" x14ac:dyDescent="0.2">
      <c r="A91" s="23" t="str">
        <f t="shared" si="36"/>
        <v/>
      </c>
      <c r="B91" s="426" t="s">
        <v>180</v>
      </c>
      <c r="C91" s="427"/>
      <c r="D91" s="13">
        <v>0</v>
      </c>
      <c r="E91" s="58">
        <v>1</v>
      </c>
      <c r="F91" s="98">
        <f>D91*E91</f>
        <v>0</v>
      </c>
      <c r="G91" s="34" t="s">
        <v>146</v>
      </c>
      <c r="H91" s="14">
        <v>36</v>
      </c>
      <c r="I91" s="257">
        <f t="shared" si="64"/>
        <v>36</v>
      </c>
      <c r="J91" s="258">
        <v>0.3</v>
      </c>
      <c r="K91" s="298">
        <f t="shared" si="65"/>
        <v>0</v>
      </c>
      <c r="L91" s="40"/>
      <c r="M91" s="198" t="str">
        <f>B91</f>
        <v>Bower beams (pair)</v>
      </c>
      <c r="N91" s="58">
        <v>1.5</v>
      </c>
      <c r="O91" s="233">
        <f t="shared" ref="O91" si="77">F91*N91</f>
        <v>0</v>
      </c>
      <c r="P91" s="257">
        <f t="shared" si="67"/>
        <v>30.63</v>
      </c>
      <c r="Q91" s="257">
        <f t="shared" si="68"/>
        <v>30.630000000000003</v>
      </c>
      <c r="R91" s="259">
        <v>1</v>
      </c>
      <c r="S91" s="299">
        <f t="shared" si="69"/>
        <v>0</v>
      </c>
      <c r="T91" s="234">
        <f t="shared" si="70"/>
        <v>0</v>
      </c>
      <c r="U91" s="225">
        <f t="shared" si="71"/>
        <v>0</v>
      </c>
      <c r="V91" s="222">
        <f t="shared" si="72"/>
        <v>0</v>
      </c>
      <c r="W91" s="27"/>
      <c r="X91" s="2"/>
      <c r="Y91" s="2"/>
      <c r="Z91" s="21"/>
      <c r="AA91" s="21"/>
      <c r="AB91" s="21"/>
      <c r="AC91" s="21"/>
      <c r="AD91" s="21"/>
      <c r="AE91" s="21"/>
      <c r="AF91" s="21"/>
      <c r="AH91" s="16"/>
      <c r="AI91" s="16"/>
      <c r="AS91" s="61"/>
      <c r="AT91" s="26">
        <f>IF(D91&lt;&gt;"",1,0)</f>
        <v>1</v>
      </c>
      <c r="AU91" s="26">
        <f>IF(AND(SUM(AT:AT)&gt;0,D91=""),1,0)</f>
        <v>0</v>
      </c>
    </row>
    <row r="92" spans="1:47" s="20" customFormat="1" ht="14.5" customHeight="1" thickBot="1" x14ac:dyDescent="0.2">
      <c r="A92" s="23" t="str">
        <f t="shared" ref="A92:A125" si="78">IF(AU92=1,"X","")</f>
        <v/>
      </c>
      <c r="B92" s="426" t="s">
        <v>181</v>
      </c>
      <c r="C92" s="427"/>
      <c r="D92" s="13">
        <v>0</v>
      </c>
      <c r="E92" s="58">
        <v>1</v>
      </c>
      <c r="F92" s="98">
        <f t="shared" ref="F92" si="79">D92*E92</f>
        <v>0</v>
      </c>
      <c r="G92" s="34" t="s">
        <v>146</v>
      </c>
      <c r="H92" s="14">
        <v>42</v>
      </c>
      <c r="I92" s="257">
        <f t="shared" si="64"/>
        <v>42</v>
      </c>
      <c r="J92" s="258">
        <v>0.3</v>
      </c>
      <c r="K92" s="298">
        <f t="shared" si="65"/>
        <v>0</v>
      </c>
      <c r="L92" s="40"/>
      <c r="M92" s="198" t="str">
        <f>B92</f>
        <v>Flitch plates (pair)</v>
      </c>
      <c r="N92" s="58">
        <v>1.5</v>
      </c>
      <c r="O92" s="233">
        <f>F92*N92</f>
        <v>0</v>
      </c>
      <c r="P92" s="257">
        <f t="shared" si="67"/>
        <v>30.63</v>
      </c>
      <c r="Q92" s="257">
        <f t="shared" si="68"/>
        <v>30.630000000000003</v>
      </c>
      <c r="R92" s="259">
        <v>1</v>
      </c>
      <c r="S92" s="299">
        <f t="shared" si="69"/>
        <v>0</v>
      </c>
      <c r="T92" s="234">
        <f t="shared" si="70"/>
        <v>0</v>
      </c>
      <c r="U92" s="225">
        <f t="shared" si="71"/>
        <v>0</v>
      </c>
      <c r="V92" s="222">
        <f t="shared" si="72"/>
        <v>0</v>
      </c>
      <c r="W92" s="27"/>
      <c r="X92" s="2"/>
      <c r="Y92" s="2"/>
      <c r="Z92" s="21"/>
      <c r="AA92" s="21"/>
      <c r="AB92" s="21"/>
      <c r="AC92" s="21"/>
      <c r="AD92" s="21"/>
      <c r="AE92" s="21"/>
      <c r="AF92" s="21"/>
      <c r="AH92" s="16"/>
      <c r="AI92" s="16"/>
      <c r="AT92" s="26">
        <f>IF(D92&lt;&gt;"",1,0)</f>
        <v>1</v>
      </c>
      <c r="AU92" s="26">
        <f>IF(AND(SUM(AT:AT)&gt;0,D92=""),1,0)</f>
        <v>0</v>
      </c>
    </row>
    <row r="93" spans="1:47" s="20" customFormat="1" ht="25" customHeight="1" thickBot="1" x14ac:dyDescent="0.2">
      <c r="A93" s="23" t="str">
        <f t="shared" si="78"/>
        <v/>
      </c>
      <c r="B93" s="495" t="s">
        <v>76</v>
      </c>
      <c r="C93" s="496"/>
      <c r="D93" s="496"/>
      <c r="E93" s="496"/>
      <c r="F93" s="496"/>
      <c r="G93" s="496"/>
      <c r="H93" s="496"/>
      <c r="I93" s="496"/>
      <c r="J93" s="496"/>
      <c r="K93" s="497"/>
      <c r="L93" s="40"/>
      <c r="M93" s="590" t="str">
        <f>B93</f>
        <v>Flooring deck type (M2)</v>
      </c>
      <c r="N93" s="591"/>
      <c r="O93" s="591"/>
      <c r="P93" s="591"/>
      <c r="Q93" s="591"/>
      <c r="R93" s="591"/>
      <c r="S93" s="516"/>
      <c r="T93" s="592"/>
      <c r="U93" s="593" t="str">
        <f>M93</f>
        <v>Flooring deck type (M2)</v>
      </c>
      <c r="V93" s="594"/>
      <c r="W93" s="27"/>
      <c r="X93" s="2"/>
      <c r="Y93" s="2"/>
      <c r="Z93" s="21"/>
      <c r="AA93" s="21"/>
      <c r="AB93" s="21"/>
      <c r="AC93" s="21"/>
      <c r="AD93" s="21"/>
      <c r="AE93" s="21"/>
      <c r="AF93" s="21"/>
      <c r="AH93" s="16"/>
      <c r="AI93" s="16"/>
      <c r="AT93" s="22"/>
      <c r="AU93" s="22"/>
    </row>
    <row r="94" spans="1:47" s="20" customFormat="1" ht="15" customHeight="1" thickBot="1" x14ac:dyDescent="0.2">
      <c r="A94" s="23" t="str">
        <f t="shared" si="78"/>
        <v/>
      </c>
      <c r="B94" s="453" t="s">
        <v>70</v>
      </c>
      <c r="C94" s="454"/>
      <c r="D94" s="454"/>
      <c r="E94" s="461"/>
      <c r="F94" s="13">
        <v>0</v>
      </c>
      <c r="G94" s="34" t="s">
        <v>142</v>
      </c>
      <c r="H94" s="14">
        <v>18</v>
      </c>
      <c r="I94" s="257">
        <f t="shared" ref="I94:I100" si="80">(H94/100)*(100+$F$101)</f>
        <v>18</v>
      </c>
      <c r="J94" s="258">
        <v>0.3</v>
      </c>
      <c r="K94" s="298">
        <f t="shared" ref="K94:K100" si="81">F94*I94*(1+J94)</f>
        <v>0</v>
      </c>
      <c r="L94" s="46"/>
      <c r="M94" s="198" t="str">
        <f>B94</f>
        <v>Install Weyrock flooring 18mm (M2)</v>
      </c>
      <c r="N94" s="58">
        <v>0.3</v>
      </c>
      <c r="O94" s="233">
        <f t="shared" ref="O94:O100" si="82">F94*N94</f>
        <v>0</v>
      </c>
      <c r="P94" s="257">
        <f t="shared" ref="P94:P100" si="83">$D$139</f>
        <v>30.63</v>
      </c>
      <c r="Q94" s="257">
        <f t="shared" ref="Q94:Q100" si="84">(P94/100)*(100+$F$101)</f>
        <v>30.630000000000003</v>
      </c>
      <c r="R94" s="259">
        <v>1</v>
      </c>
      <c r="S94" s="299">
        <f t="shared" ref="S94:S100" si="85">(O94*Q94*(1+R94))</f>
        <v>0</v>
      </c>
      <c r="T94" s="234">
        <f t="shared" ref="T94:T100" si="86">K94+S94</f>
        <v>0</v>
      </c>
      <c r="U94" s="225">
        <f t="shared" ref="U94:U100" si="87">F94*H94*1.1</f>
        <v>0</v>
      </c>
      <c r="V94" s="222">
        <f t="shared" ref="V94:V100" si="88">O94*$E$139</f>
        <v>0</v>
      </c>
      <c r="W94" s="27"/>
      <c r="X94" s="2"/>
      <c r="Y94" s="2"/>
      <c r="Z94" s="21"/>
      <c r="AA94" s="21"/>
      <c r="AB94" s="21"/>
      <c r="AC94" s="21"/>
      <c r="AD94" s="21"/>
      <c r="AE94" s="21"/>
      <c r="AF94" s="21"/>
      <c r="AH94" s="16"/>
      <c r="AI94" s="16"/>
      <c r="AT94" s="26">
        <f t="shared" ref="AT94:AT100" si="89">IF(F94&lt;&gt;"",1,0)</f>
        <v>1</v>
      </c>
      <c r="AU94" s="26">
        <f t="shared" ref="AU94:AU100" si="90">IF(AND(SUM(AT:AT)&gt;0,F94=""),1,0)</f>
        <v>0</v>
      </c>
    </row>
    <row r="95" spans="1:47" s="20" customFormat="1" ht="15" customHeight="1" thickBot="1" x14ac:dyDescent="0.2">
      <c r="A95" s="23" t="str">
        <f t="shared" si="78"/>
        <v/>
      </c>
      <c r="B95" s="453" t="s">
        <v>71</v>
      </c>
      <c r="C95" s="454"/>
      <c r="D95" s="454"/>
      <c r="E95" s="461"/>
      <c r="F95" s="13">
        <v>16</v>
      </c>
      <c r="G95" s="34" t="s">
        <v>142</v>
      </c>
      <c r="H95" s="15">
        <v>22</v>
      </c>
      <c r="I95" s="257">
        <f t="shared" si="80"/>
        <v>22</v>
      </c>
      <c r="J95" s="258">
        <v>0.3</v>
      </c>
      <c r="K95" s="298">
        <f t="shared" si="81"/>
        <v>457.6</v>
      </c>
      <c r="L95" s="46"/>
      <c r="M95" s="198" t="str">
        <f t="shared" ref="M95:M100" si="91">B95</f>
        <v>Install Weyrock flooring 22mm (M2)</v>
      </c>
      <c r="N95" s="58">
        <v>0.32500000000000001</v>
      </c>
      <c r="O95" s="233">
        <f t="shared" si="82"/>
        <v>5.2</v>
      </c>
      <c r="P95" s="257">
        <f t="shared" si="83"/>
        <v>30.63</v>
      </c>
      <c r="Q95" s="257">
        <f t="shared" si="84"/>
        <v>30.630000000000003</v>
      </c>
      <c r="R95" s="259">
        <v>1</v>
      </c>
      <c r="S95" s="299">
        <f t="shared" si="85"/>
        <v>318.55200000000002</v>
      </c>
      <c r="T95" s="234">
        <f t="shared" si="86"/>
        <v>776.15200000000004</v>
      </c>
      <c r="U95" s="225">
        <f t="shared" si="87"/>
        <v>387.20000000000005</v>
      </c>
      <c r="V95" s="222">
        <f t="shared" si="88"/>
        <v>145.6</v>
      </c>
      <c r="W95" s="27"/>
      <c r="X95" s="2"/>
      <c r="Y95" s="2"/>
      <c r="Z95" s="21"/>
      <c r="AA95" s="21"/>
      <c r="AB95" s="21"/>
      <c r="AC95" s="21"/>
      <c r="AD95" s="21"/>
      <c r="AE95" s="21"/>
      <c r="AF95" s="21"/>
      <c r="AH95" s="16"/>
      <c r="AI95" s="16"/>
      <c r="AT95" s="26">
        <f t="shared" si="89"/>
        <v>1</v>
      </c>
      <c r="AU95" s="26">
        <f t="shared" si="90"/>
        <v>0</v>
      </c>
    </row>
    <row r="96" spans="1:47" s="20" customFormat="1" ht="14.5" customHeight="1" thickBot="1" x14ac:dyDescent="0.2">
      <c r="A96" s="23" t="str">
        <f t="shared" si="78"/>
        <v/>
      </c>
      <c r="B96" s="453" t="s">
        <v>72</v>
      </c>
      <c r="C96" s="454"/>
      <c r="D96" s="454"/>
      <c r="E96" s="461"/>
      <c r="F96" s="13">
        <v>0</v>
      </c>
      <c r="G96" s="34" t="s">
        <v>142</v>
      </c>
      <c r="H96" s="62">
        <v>46.3</v>
      </c>
      <c r="I96" s="257">
        <f t="shared" si="80"/>
        <v>46.3</v>
      </c>
      <c r="J96" s="258">
        <v>0.3</v>
      </c>
      <c r="K96" s="298">
        <f t="shared" si="81"/>
        <v>0</v>
      </c>
      <c r="L96" s="46"/>
      <c r="M96" s="198" t="str">
        <f t="shared" si="91"/>
        <v>Install std T&amp;G Floorboards (M2)</v>
      </c>
      <c r="N96" s="58">
        <v>0.2</v>
      </c>
      <c r="O96" s="233">
        <f t="shared" si="82"/>
        <v>0</v>
      </c>
      <c r="P96" s="257">
        <f t="shared" si="83"/>
        <v>30.63</v>
      </c>
      <c r="Q96" s="257">
        <f t="shared" si="84"/>
        <v>30.630000000000003</v>
      </c>
      <c r="R96" s="259">
        <v>1</v>
      </c>
      <c r="S96" s="299">
        <f t="shared" si="85"/>
        <v>0</v>
      </c>
      <c r="T96" s="234">
        <f t="shared" si="86"/>
        <v>0</v>
      </c>
      <c r="U96" s="225">
        <f t="shared" si="87"/>
        <v>0</v>
      </c>
      <c r="V96" s="222">
        <f t="shared" si="88"/>
        <v>0</v>
      </c>
      <c r="W96" s="27"/>
      <c r="X96" s="2"/>
      <c r="Y96" s="2"/>
      <c r="Z96" s="21"/>
      <c r="AA96" s="21"/>
      <c r="AB96" s="21"/>
      <c r="AC96" s="21"/>
      <c r="AD96" s="21"/>
      <c r="AE96" s="21"/>
      <c r="AF96" s="21"/>
      <c r="AH96" s="16"/>
      <c r="AI96" s="16"/>
      <c r="AT96" s="26">
        <f t="shared" si="89"/>
        <v>1</v>
      </c>
      <c r="AU96" s="26">
        <f t="shared" si="90"/>
        <v>0</v>
      </c>
    </row>
    <row r="97" spans="1:47" s="20" customFormat="1" ht="15" customHeight="1" thickBot="1" x14ac:dyDescent="0.2">
      <c r="A97" s="23" t="str">
        <f t="shared" ref="A97:A99" si="92">IF(AU97=1,"X","")</f>
        <v/>
      </c>
      <c r="B97" s="453" t="s">
        <v>73</v>
      </c>
      <c r="C97" s="454"/>
      <c r="D97" s="454"/>
      <c r="E97" s="454"/>
      <c r="F97" s="13">
        <v>0</v>
      </c>
      <c r="G97" s="34" t="s">
        <v>142</v>
      </c>
      <c r="H97" s="14">
        <v>52.8</v>
      </c>
      <c r="I97" s="257">
        <f t="shared" si="80"/>
        <v>52.800000000000004</v>
      </c>
      <c r="J97" s="258">
        <v>0.3</v>
      </c>
      <c r="K97" s="298">
        <f t="shared" si="81"/>
        <v>0</v>
      </c>
      <c r="L97" s="46"/>
      <c r="M97" s="198" t="str">
        <f t="shared" si="91"/>
        <v>Install victorian T&amp;G Floorboards (M2)</v>
      </c>
      <c r="N97" s="58">
        <v>0.2</v>
      </c>
      <c r="O97" s="233">
        <f t="shared" si="82"/>
        <v>0</v>
      </c>
      <c r="P97" s="257">
        <f t="shared" si="83"/>
        <v>30.63</v>
      </c>
      <c r="Q97" s="257">
        <f t="shared" si="84"/>
        <v>30.630000000000003</v>
      </c>
      <c r="R97" s="259">
        <v>1</v>
      </c>
      <c r="S97" s="299">
        <f t="shared" ref="S97:S99" si="93">(O97*Q97*(1+R97))</f>
        <v>0</v>
      </c>
      <c r="T97" s="234">
        <f t="shared" ref="T97:T99" si="94">K97+S97</f>
        <v>0</v>
      </c>
      <c r="U97" s="225">
        <f t="shared" ref="U97:U99" si="95">F97*H97*1.1</f>
        <v>0</v>
      </c>
      <c r="V97" s="222">
        <f t="shared" si="88"/>
        <v>0</v>
      </c>
      <c r="W97" s="27"/>
      <c r="X97" s="2"/>
      <c r="Y97" s="2"/>
      <c r="Z97" s="21"/>
      <c r="AA97" s="21"/>
      <c r="AB97" s="21"/>
      <c r="AC97" s="21"/>
      <c r="AD97" s="21"/>
      <c r="AE97" s="21"/>
      <c r="AF97" s="21"/>
      <c r="AH97" s="16"/>
      <c r="AI97" s="16"/>
      <c r="AT97" s="26">
        <f t="shared" si="89"/>
        <v>1</v>
      </c>
      <c r="AU97" s="26">
        <f t="shared" si="90"/>
        <v>0</v>
      </c>
    </row>
    <row r="98" spans="1:47" s="20" customFormat="1" ht="15" customHeight="1" thickBot="1" x14ac:dyDescent="0.2">
      <c r="A98" s="23" t="str">
        <f>IF(AU98=1,"X","")</f>
        <v/>
      </c>
      <c r="B98" s="453" t="s">
        <v>579</v>
      </c>
      <c r="C98" s="454"/>
      <c r="D98" s="454"/>
      <c r="E98" s="454"/>
      <c r="F98" s="13">
        <v>0</v>
      </c>
      <c r="G98" s="34" t="s">
        <v>142</v>
      </c>
      <c r="H98" s="14">
        <v>49.99</v>
      </c>
      <c r="I98" s="257">
        <f t="shared" si="80"/>
        <v>49.99</v>
      </c>
      <c r="J98" s="258">
        <v>0.3</v>
      </c>
      <c r="K98" s="298">
        <f t="shared" ref="K98" si="96">F98*I98*(1+J98)</f>
        <v>0</v>
      </c>
      <c r="L98" s="46"/>
      <c r="M98" s="198" t="str">
        <f t="shared" ref="M98" si="97">B98</f>
        <v>Install Engineered Flooring sheet (M2)</v>
      </c>
      <c r="N98" s="58">
        <v>0.2</v>
      </c>
      <c r="O98" s="233">
        <f t="shared" ref="O98" si="98">F98*N98</f>
        <v>0</v>
      </c>
      <c r="P98" s="257">
        <f t="shared" si="83"/>
        <v>30.63</v>
      </c>
      <c r="Q98" s="257">
        <f t="shared" si="84"/>
        <v>30.630000000000003</v>
      </c>
      <c r="R98" s="259">
        <v>1</v>
      </c>
      <c r="S98" s="299">
        <f t="shared" ref="S98" si="99">(O98*Q98*(1+R98))</f>
        <v>0</v>
      </c>
      <c r="T98" s="234">
        <f t="shared" ref="T98" si="100">K98+S98</f>
        <v>0</v>
      </c>
      <c r="U98" s="225">
        <f t="shared" ref="U98" si="101">F98*H98*1.1</f>
        <v>0</v>
      </c>
      <c r="V98" s="222">
        <f t="shared" si="88"/>
        <v>0</v>
      </c>
      <c r="W98" s="27"/>
      <c r="X98" s="2"/>
      <c r="Y98" s="2"/>
      <c r="Z98" s="21"/>
      <c r="AA98" s="21"/>
      <c r="AB98" s="21"/>
      <c r="AC98" s="21"/>
      <c r="AD98" s="21"/>
      <c r="AE98" s="21"/>
      <c r="AF98" s="21"/>
      <c r="AH98" s="16"/>
      <c r="AI98" s="16"/>
      <c r="AT98" s="26">
        <f t="shared" ref="AT98" si="102">IF(F98&lt;&gt;"",1,0)</f>
        <v>1</v>
      </c>
      <c r="AU98" s="26">
        <f t="shared" si="90"/>
        <v>0</v>
      </c>
    </row>
    <row r="99" spans="1:47" s="20" customFormat="1" ht="15" customHeight="1" thickBot="1" x14ac:dyDescent="0.2">
      <c r="A99" s="23" t="str">
        <f t="shared" si="92"/>
        <v/>
      </c>
      <c r="B99" s="453" t="s">
        <v>569</v>
      </c>
      <c r="C99" s="454"/>
      <c r="D99" s="454"/>
      <c r="E99" s="461"/>
      <c r="F99" s="13">
        <v>0</v>
      </c>
      <c r="G99" s="34" t="s">
        <v>142</v>
      </c>
      <c r="H99" s="332">
        <v>6.8</v>
      </c>
      <c r="I99" s="257">
        <f t="shared" si="80"/>
        <v>6.8000000000000007</v>
      </c>
      <c r="J99" s="258">
        <v>0.3</v>
      </c>
      <c r="K99" s="298">
        <f t="shared" si="81"/>
        <v>0</v>
      </c>
      <c r="L99" s="46"/>
      <c r="M99" s="198" t="str">
        <f t="shared" ref="M99" si="103">B99</f>
        <v>Provide insulation to suspended flooring</v>
      </c>
      <c r="N99" s="58">
        <v>0.2</v>
      </c>
      <c r="O99" s="233">
        <f t="shared" si="82"/>
        <v>0</v>
      </c>
      <c r="P99" s="257">
        <f t="shared" si="83"/>
        <v>30.63</v>
      </c>
      <c r="Q99" s="257">
        <f t="shared" si="84"/>
        <v>30.630000000000003</v>
      </c>
      <c r="R99" s="259">
        <v>1</v>
      </c>
      <c r="S99" s="299">
        <f t="shared" si="93"/>
        <v>0</v>
      </c>
      <c r="T99" s="234">
        <f t="shared" si="94"/>
        <v>0</v>
      </c>
      <c r="U99" s="225">
        <f t="shared" si="95"/>
        <v>0</v>
      </c>
      <c r="V99" s="222">
        <f t="shared" si="88"/>
        <v>0</v>
      </c>
      <c r="W99" s="27"/>
      <c r="X99" s="2"/>
      <c r="Y99" s="2"/>
      <c r="Z99" s="21"/>
      <c r="AA99" s="21"/>
      <c r="AB99" s="21"/>
      <c r="AC99" s="21"/>
      <c r="AD99" s="21"/>
      <c r="AE99" s="21"/>
      <c r="AF99" s="21"/>
      <c r="AH99" s="16"/>
      <c r="AI99" s="16"/>
      <c r="AT99" s="26">
        <f t="shared" si="89"/>
        <v>1</v>
      </c>
      <c r="AU99" s="26">
        <f t="shared" si="90"/>
        <v>0</v>
      </c>
    </row>
    <row r="100" spans="1:47" s="20" customFormat="1" ht="15" customHeight="1" thickBot="1" x14ac:dyDescent="0.2">
      <c r="A100" s="23" t="str">
        <f t="shared" si="78"/>
        <v/>
      </c>
      <c r="B100" s="450" t="s">
        <v>570</v>
      </c>
      <c r="C100" s="451"/>
      <c r="D100" s="451"/>
      <c r="E100" s="451"/>
      <c r="F100" s="13">
        <v>0</v>
      </c>
      <c r="G100" s="34" t="s">
        <v>3</v>
      </c>
      <c r="H100" s="325">
        <v>0</v>
      </c>
      <c r="I100" s="257">
        <f t="shared" si="80"/>
        <v>0</v>
      </c>
      <c r="J100" s="258">
        <v>0</v>
      </c>
      <c r="K100" s="298">
        <f t="shared" si="81"/>
        <v>0</v>
      </c>
      <c r="L100" s="46"/>
      <c r="M100" s="198" t="str">
        <f t="shared" si="91"/>
        <v>Difficulty hours (additional hours if required)</v>
      </c>
      <c r="N100" s="233">
        <v>1</v>
      </c>
      <c r="O100" s="233">
        <f t="shared" si="82"/>
        <v>0</v>
      </c>
      <c r="P100" s="257">
        <f t="shared" si="83"/>
        <v>30.63</v>
      </c>
      <c r="Q100" s="257">
        <f t="shared" si="84"/>
        <v>30.630000000000003</v>
      </c>
      <c r="R100" s="259">
        <v>1</v>
      </c>
      <c r="S100" s="299">
        <f t="shared" si="85"/>
        <v>0</v>
      </c>
      <c r="T100" s="234">
        <f t="shared" si="86"/>
        <v>0</v>
      </c>
      <c r="U100" s="225">
        <f t="shared" si="87"/>
        <v>0</v>
      </c>
      <c r="V100" s="222">
        <f t="shared" si="88"/>
        <v>0</v>
      </c>
      <c r="W100" s="27"/>
      <c r="X100" s="2"/>
      <c r="Y100" s="2"/>
      <c r="Z100" s="21"/>
      <c r="AA100" s="21"/>
      <c r="AB100" s="21"/>
      <c r="AC100" s="21"/>
      <c r="AD100" s="21"/>
      <c r="AE100" s="21"/>
      <c r="AF100" s="21"/>
      <c r="AH100" s="16"/>
      <c r="AI100" s="16"/>
      <c r="AT100" s="26">
        <f t="shared" si="89"/>
        <v>1</v>
      </c>
      <c r="AU100" s="26">
        <f t="shared" si="90"/>
        <v>0</v>
      </c>
    </row>
    <row r="101" spans="1:47" ht="17" thickBot="1" x14ac:dyDescent="0.25">
      <c r="A101" s="23" t="str">
        <f t="shared" si="78"/>
        <v/>
      </c>
      <c r="B101" s="459" t="s">
        <v>496</v>
      </c>
      <c r="C101" s="460"/>
      <c r="D101" s="460"/>
      <c r="E101" s="460"/>
      <c r="F101" s="295">
        <v>0</v>
      </c>
      <c r="G101" s="31"/>
      <c r="H101" s="213"/>
      <c r="I101" s="213"/>
      <c r="J101" s="71" t="s">
        <v>187</v>
      </c>
      <c r="K101" s="227">
        <f>SUM(K83:K100)</f>
        <v>848.81939999999997</v>
      </c>
      <c r="L101" s="240"/>
      <c r="M101" s="462" t="s">
        <v>187</v>
      </c>
      <c r="N101" s="463"/>
      <c r="O101" s="244">
        <f>SUM(O83:O100)</f>
        <v>19.475000000000001</v>
      </c>
      <c r="P101" s="296"/>
      <c r="Q101" s="296"/>
      <c r="R101" s="297"/>
      <c r="S101" s="248">
        <f>SUM(S83:S100)</f>
        <v>1193.0385000000001</v>
      </c>
      <c r="T101" s="246">
        <f>SUM(T83:T100)</f>
        <v>2041.8579000000002</v>
      </c>
      <c r="U101" s="214">
        <f>SUM(U83:U100)</f>
        <v>718.23180000000002</v>
      </c>
      <c r="V101" s="205">
        <f>SUM(V83:V100)</f>
        <v>545.29999999999995</v>
      </c>
      <c r="W101" s="102"/>
      <c r="X101" s="2"/>
      <c r="Y101" s="2"/>
      <c r="Z101" s="21"/>
      <c r="AA101" s="21"/>
      <c r="AB101" s="21"/>
      <c r="AC101" s="21"/>
      <c r="AD101" s="21"/>
      <c r="AE101" s="21"/>
      <c r="AF101" s="21"/>
      <c r="AT101" s="22"/>
      <c r="AU101" s="22"/>
    </row>
    <row r="102" spans="1:47" s="101" customFormat="1" ht="5" customHeight="1" thickBot="1" x14ac:dyDescent="0.25">
      <c r="A102" s="275"/>
      <c r="B102" s="276"/>
      <c r="C102" s="276"/>
      <c r="D102" s="276"/>
      <c r="E102" s="276"/>
      <c r="F102" s="277"/>
      <c r="G102" s="278"/>
      <c r="H102" s="279"/>
      <c r="I102" s="279"/>
      <c r="J102" s="280"/>
      <c r="K102" s="281"/>
      <c r="L102" s="282"/>
      <c r="M102" s="280"/>
      <c r="N102" s="280"/>
      <c r="O102" s="283"/>
      <c r="P102" s="283"/>
      <c r="Q102" s="283"/>
      <c r="R102" s="284"/>
      <c r="S102" s="285"/>
      <c r="T102" s="286"/>
      <c r="U102" s="281"/>
      <c r="V102" s="287"/>
      <c r="W102" s="288"/>
      <c r="X102" s="289"/>
      <c r="Y102" s="289"/>
      <c r="Z102" s="289"/>
      <c r="AA102" s="289"/>
      <c r="AB102" s="290"/>
      <c r="AC102" s="289"/>
      <c r="AD102" s="289"/>
      <c r="AE102" s="289"/>
      <c r="AF102" s="289"/>
      <c r="AG102" s="121"/>
      <c r="AH102" s="121"/>
      <c r="AS102" s="291"/>
      <c r="AT102" s="22"/>
      <c r="AU102" s="22"/>
    </row>
    <row r="103" spans="1:47" s="20" customFormat="1" ht="25" customHeight="1" thickBot="1" x14ac:dyDescent="0.2">
      <c r="A103" s="23" t="str">
        <f t="shared" si="78"/>
        <v/>
      </c>
      <c r="B103" s="442" t="s">
        <v>434</v>
      </c>
      <c r="C103" s="443"/>
      <c r="D103" s="443"/>
      <c r="E103" s="443"/>
      <c r="F103" s="443"/>
      <c r="G103" s="443"/>
      <c r="H103" s="443"/>
      <c r="I103" s="443"/>
      <c r="J103" s="443"/>
      <c r="K103" s="444"/>
      <c r="L103" s="211"/>
      <c r="M103" s="484" t="str">
        <f>B103</f>
        <v xml:space="preserve">Timber Treatments </v>
      </c>
      <c r="N103" s="485"/>
      <c r="O103" s="485"/>
      <c r="P103" s="485"/>
      <c r="Q103" s="485"/>
      <c r="R103" s="485"/>
      <c r="S103" s="486"/>
      <c r="T103" s="487"/>
      <c r="U103" s="480" t="str">
        <f>M103</f>
        <v xml:space="preserve">Timber Treatments </v>
      </c>
      <c r="V103" s="481"/>
      <c r="W103" s="27"/>
      <c r="X103" s="2"/>
      <c r="Y103" s="2"/>
      <c r="Z103" s="21"/>
      <c r="AA103" s="21"/>
      <c r="AB103" s="21"/>
      <c r="AC103" s="21"/>
      <c r="AD103" s="21"/>
      <c r="AE103" s="21"/>
      <c r="AF103" s="21"/>
      <c r="AH103" s="16"/>
      <c r="AI103" s="16"/>
      <c r="AT103" s="22"/>
      <c r="AU103" s="22"/>
    </row>
    <row r="104" spans="1:47" s="20" customFormat="1" ht="15" customHeight="1" thickBot="1" x14ac:dyDescent="0.2">
      <c r="A104" s="23" t="str">
        <f t="shared" si="78"/>
        <v/>
      </c>
      <c r="B104" s="469" t="s">
        <v>82</v>
      </c>
      <c r="C104" s="470"/>
      <c r="D104" s="470"/>
      <c r="E104" s="470"/>
      <c r="F104" s="13">
        <v>0</v>
      </c>
      <c r="G104" s="34" t="s">
        <v>142</v>
      </c>
      <c r="H104" s="14">
        <v>0</v>
      </c>
      <c r="I104" s="257">
        <f>(H104/100)*(100+$F$111)</f>
        <v>0</v>
      </c>
      <c r="J104" s="258">
        <v>0.3</v>
      </c>
      <c r="K104" s="298">
        <f>F104*I104*(1+J104)</f>
        <v>0</v>
      </c>
      <c r="L104" s="46"/>
      <c r="M104" s="199" t="s">
        <v>82</v>
      </c>
      <c r="N104" s="58">
        <v>0.15</v>
      </c>
      <c r="O104" s="233">
        <f t="shared" ref="O104:O110" si="104">F104*N104</f>
        <v>0</v>
      </c>
      <c r="P104" s="257">
        <f t="shared" ref="P104:P110" si="105">$D$139</f>
        <v>30.63</v>
      </c>
      <c r="Q104" s="257">
        <f>(P104/100)*(100+$F$111)</f>
        <v>30.630000000000003</v>
      </c>
      <c r="R104" s="259">
        <v>1</v>
      </c>
      <c r="S104" s="299">
        <f t="shared" ref="S104:S110" si="106">(O104*Q104*(1+R104))</f>
        <v>0</v>
      </c>
      <c r="T104" s="234">
        <f t="shared" ref="T104:T110" si="107">K104+S104</f>
        <v>0</v>
      </c>
      <c r="U104" s="225">
        <f t="shared" ref="U104:U110" si="108">F104*H104*1.1</f>
        <v>0</v>
      </c>
      <c r="V104" s="222">
        <f t="shared" ref="V104:V110" si="109">O104*$E$139</f>
        <v>0</v>
      </c>
      <c r="W104" s="27"/>
      <c r="X104" s="2"/>
      <c r="Y104" s="2"/>
      <c r="Z104" s="21"/>
      <c r="AA104" s="21"/>
      <c r="AB104" s="21"/>
      <c r="AC104" s="21"/>
      <c r="AD104" s="21"/>
      <c r="AE104" s="21"/>
      <c r="AF104" s="21"/>
      <c r="AH104" s="16"/>
      <c r="AI104" s="16"/>
      <c r="AT104" s="26">
        <f t="shared" ref="AT104:AT110" si="110">IF(F104&lt;&gt;"",1,0)</f>
        <v>1</v>
      </c>
      <c r="AU104" s="26">
        <f t="shared" ref="AU104:AU110" si="111">IF(AND(SUM(AT:AT)&gt;0,F104=""),1,0)</f>
        <v>0</v>
      </c>
    </row>
    <row r="105" spans="1:47" s="20" customFormat="1" ht="15" customHeight="1" thickBot="1" x14ac:dyDescent="0.2">
      <c r="A105" s="23" t="str">
        <f t="shared" si="78"/>
        <v/>
      </c>
      <c r="B105" s="469" t="s">
        <v>473</v>
      </c>
      <c r="C105" s="470"/>
      <c r="D105" s="470"/>
      <c r="E105" s="470"/>
      <c r="F105" s="13">
        <v>0</v>
      </c>
      <c r="G105" s="34" t="s">
        <v>142</v>
      </c>
      <c r="H105" s="14">
        <v>35</v>
      </c>
      <c r="I105" s="257">
        <f>(H105/100)*(100+$F$111)</f>
        <v>35</v>
      </c>
      <c r="J105" s="258">
        <v>0.3</v>
      </c>
      <c r="K105" s="231">
        <f>((ROUNDUP(F105/10,0))*I105)*(1+J104)</f>
        <v>0</v>
      </c>
      <c r="L105" s="46"/>
      <c r="M105" s="199" t="s">
        <v>474</v>
      </c>
      <c r="N105" s="58">
        <v>0.05</v>
      </c>
      <c r="O105" s="233">
        <f t="shared" si="104"/>
        <v>0</v>
      </c>
      <c r="P105" s="257">
        <f t="shared" si="105"/>
        <v>30.63</v>
      </c>
      <c r="Q105" s="257">
        <f>(P105/100)*(100+$F$111)</f>
        <v>30.630000000000003</v>
      </c>
      <c r="R105" s="259">
        <v>1</v>
      </c>
      <c r="S105" s="299">
        <f t="shared" si="106"/>
        <v>0</v>
      </c>
      <c r="T105" s="234">
        <f t="shared" si="107"/>
        <v>0</v>
      </c>
      <c r="U105" s="225">
        <f>(ROUNDUP(F105/10,0)*H105*1.1)</f>
        <v>0</v>
      </c>
      <c r="V105" s="222">
        <f t="shared" si="109"/>
        <v>0</v>
      </c>
      <c r="W105" s="27"/>
      <c r="X105" s="2"/>
      <c r="Y105" s="2"/>
      <c r="Z105" s="21"/>
      <c r="AA105" s="21"/>
      <c r="AB105" s="21"/>
      <c r="AC105" s="21"/>
      <c r="AD105" s="21"/>
      <c r="AE105" s="21"/>
      <c r="AF105" s="21"/>
      <c r="AH105" s="16"/>
      <c r="AI105" s="16"/>
      <c r="AT105" s="26">
        <f t="shared" si="110"/>
        <v>1</v>
      </c>
      <c r="AU105" s="26">
        <f t="shared" si="111"/>
        <v>0</v>
      </c>
    </row>
    <row r="106" spans="1:47" s="20" customFormat="1" ht="30" customHeight="1" thickBot="1" x14ac:dyDescent="0.2">
      <c r="A106" s="23" t="str">
        <f t="shared" si="78"/>
        <v/>
      </c>
      <c r="B106" s="469" t="s">
        <v>160</v>
      </c>
      <c r="C106" s="470"/>
      <c r="D106" s="470"/>
      <c r="E106" s="470"/>
      <c r="F106" s="13">
        <v>0</v>
      </c>
      <c r="G106" s="34" t="s">
        <v>142</v>
      </c>
      <c r="H106" s="14">
        <v>22</v>
      </c>
      <c r="I106" s="257">
        <f>(H106/100)*(100+$F$111)</f>
        <v>22</v>
      </c>
      <c r="J106" s="258">
        <v>0.3</v>
      </c>
      <c r="K106" s="231">
        <f>((ROUNDUP(F106/25,0))*I106)*(1+J104)</f>
        <v>0</v>
      </c>
      <c r="L106" s="46"/>
      <c r="M106" s="199" t="s">
        <v>84</v>
      </c>
      <c r="N106" s="58">
        <v>0.02</v>
      </c>
      <c r="O106" s="233">
        <f t="shared" si="104"/>
        <v>0</v>
      </c>
      <c r="P106" s="257">
        <f t="shared" si="105"/>
        <v>30.63</v>
      </c>
      <c r="Q106" s="257">
        <f>(P106/100)*(100+$F$111)</f>
        <v>30.630000000000003</v>
      </c>
      <c r="R106" s="259">
        <v>1</v>
      </c>
      <c r="S106" s="299">
        <f t="shared" si="106"/>
        <v>0</v>
      </c>
      <c r="T106" s="234">
        <f t="shared" si="107"/>
        <v>0</v>
      </c>
      <c r="U106" s="225">
        <f>ROUNDUP(F106/25,0)*H106*1.1</f>
        <v>0</v>
      </c>
      <c r="V106" s="222">
        <f t="shared" si="109"/>
        <v>0</v>
      </c>
      <c r="W106" s="27"/>
      <c r="X106" s="2"/>
      <c r="Y106" s="2"/>
      <c r="Z106" s="21"/>
      <c r="AA106" s="21"/>
      <c r="AB106" s="21"/>
      <c r="AC106" s="21"/>
      <c r="AD106" s="21"/>
      <c r="AE106" s="21"/>
      <c r="AF106" s="21"/>
      <c r="AH106" s="16"/>
      <c r="AI106" s="16"/>
      <c r="AT106" s="26">
        <f t="shared" si="110"/>
        <v>1</v>
      </c>
      <c r="AU106" s="26">
        <f t="shared" si="111"/>
        <v>0</v>
      </c>
    </row>
    <row r="107" spans="1:47" s="20" customFormat="1" ht="24.75" customHeight="1" thickBot="1" x14ac:dyDescent="0.2">
      <c r="A107" s="23" t="str">
        <f t="shared" si="78"/>
        <v/>
      </c>
      <c r="B107" s="524" t="s">
        <v>83</v>
      </c>
      <c r="C107" s="556"/>
      <c r="D107" s="556"/>
      <c r="E107" s="557"/>
      <c r="F107" s="13">
        <v>0</v>
      </c>
      <c r="G107" s="34" t="s">
        <v>142</v>
      </c>
      <c r="H107" s="14">
        <v>2.2200000000000002</v>
      </c>
      <c r="I107" s="257">
        <f>(H107/100)*(100+$F$111)</f>
        <v>2.2200000000000002</v>
      </c>
      <c r="J107" s="258">
        <v>0.3</v>
      </c>
      <c r="K107" s="231">
        <f>((ROUNDUP(F107/4,0))*I107)*(1+J104)</f>
        <v>0</v>
      </c>
      <c r="L107" s="46"/>
      <c r="M107" s="199" t="s">
        <v>85</v>
      </c>
      <c r="N107" s="58">
        <v>0.25</v>
      </c>
      <c r="O107" s="233">
        <f t="shared" si="104"/>
        <v>0</v>
      </c>
      <c r="P107" s="257">
        <f t="shared" si="105"/>
        <v>30.63</v>
      </c>
      <c r="Q107" s="257">
        <f>(P107/100)*(100+$F$111)</f>
        <v>30.630000000000003</v>
      </c>
      <c r="R107" s="259">
        <v>1</v>
      </c>
      <c r="S107" s="299">
        <f t="shared" si="106"/>
        <v>0</v>
      </c>
      <c r="T107" s="234">
        <f t="shared" si="107"/>
        <v>0</v>
      </c>
      <c r="U107" s="225">
        <f>ROUNDUP(F107/4,0)*H107*1.1</f>
        <v>0</v>
      </c>
      <c r="V107" s="222">
        <f t="shared" si="109"/>
        <v>0</v>
      </c>
      <c r="W107" s="27"/>
      <c r="X107" s="2"/>
      <c r="Y107" s="2"/>
      <c r="Z107" s="21"/>
      <c r="AA107" s="21"/>
      <c r="AB107" s="21"/>
      <c r="AC107" s="21"/>
      <c r="AD107" s="21"/>
      <c r="AE107" s="21"/>
      <c r="AF107" s="21"/>
      <c r="AH107" s="16"/>
      <c r="AI107" s="16"/>
      <c r="AT107" s="26">
        <f t="shared" si="110"/>
        <v>1</v>
      </c>
      <c r="AU107" s="26">
        <f t="shared" si="111"/>
        <v>0</v>
      </c>
    </row>
    <row r="108" spans="1:47" s="20" customFormat="1" ht="15" customHeight="1" thickBot="1" x14ac:dyDescent="0.2">
      <c r="A108" s="23" t="str">
        <f>IF(AU108=1,"X","")</f>
        <v/>
      </c>
      <c r="B108" s="453" t="s">
        <v>472</v>
      </c>
      <c r="C108" s="454"/>
      <c r="D108" s="454"/>
      <c r="E108" s="454"/>
      <c r="F108" s="13">
        <v>16</v>
      </c>
      <c r="G108" s="34" t="s">
        <v>142</v>
      </c>
      <c r="H108" s="14">
        <v>1</v>
      </c>
      <c r="I108" s="257">
        <f>(H108/100)*(100+$F$101)</f>
        <v>1</v>
      </c>
      <c r="J108" s="258">
        <v>0.3</v>
      </c>
      <c r="K108" s="298">
        <f>F108*I108*(1+J108)</f>
        <v>20.8</v>
      </c>
      <c r="L108" s="46"/>
      <c r="M108" s="198" t="s">
        <v>472</v>
      </c>
      <c r="N108" s="58">
        <v>0.05</v>
      </c>
      <c r="O108" s="233">
        <f>F108*N108</f>
        <v>0.8</v>
      </c>
      <c r="P108" s="257">
        <f t="shared" si="105"/>
        <v>30.63</v>
      </c>
      <c r="Q108" s="257">
        <f>(P108/100)*(100+$F$101)</f>
        <v>30.630000000000003</v>
      </c>
      <c r="R108" s="259">
        <v>1</v>
      </c>
      <c r="S108" s="299">
        <f>(O108*Q108*(1+R108))</f>
        <v>49.00800000000001</v>
      </c>
      <c r="T108" s="234">
        <f>K108+S108</f>
        <v>69.808000000000007</v>
      </c>
      <c r="U108" s="225">
        <f>F108*H108*1.1</f>
        <v>17.600000000000001</v>
      </c>
      <c r="V108" s="222">
        <f t="shared" si="109"/>
        <v>22.400000000000002</v>
      </c>
      <c r="W108" s="27"/>
      <c r="X108" s="2"/>
      <c r="Y108" s="2"/>
      <c r="Z108" s="21"/>
      <c r="AA108" s="21"/>
      <c r="AB108" s="21"/>
      <c r="AC108" s="21"/>
      <c r="AD108" s="21"/>
      <c r="AE108" s="21"/>
      <c r="AF108" s="21"/>
      <c r="AH108" s="16"/>
      <c r="AI108" s="16"/>
      <c r="AT108" s="26">
        <f>IF(F108&lt;&gt;"",1,0)</f>
        <v>1</v>
      </c>
      <c r="AU108" s="26">
        <f t="shared" si="111"/>
        <v>0</v>
      </c>
    </row>
    <row r="109" spans="1:47" s="20" customFormat="1" ht="18" customHeight="1" thickBot="1" x14ac:dyDescent="0.2">
      <c r="A109" s="23" t="str">
        <f t="shared" si="78"/>
        <v/>
      </c>
      <c r="B109" s="524" t="s">
        <v>156</v>
      </c>
      <c r="C109" s="556"/>
      <c r="D109" s="556"/>
      <c r="E109" s="557"/>
      <c r="F109" s="13">
        <v>0</v>
      </c>
      <c r="G109" s="34" t="s">
        <v>141</v>
      </c>
      <c r="H109" s="14">
        <v>0.2</v>
      </c>
      <c r="I109" s="257">
        <f>(H109/100)*(100+$F$111)</f>
        <v>0.2</v>
      </c>
      <c r="J109" s="258">
        <v>0.3</v>
      </c>
      <c r="K109" s="298">
        <f>F109*I109*(1+J109)</f>
        <v>0</v>
      </c>
      <c r="L109" s="46"/>
      <c r="M109" s="199" t="s">
        <v>157</v>
      </c>
      <c r="N109" s="58">
        <v>0.1</v>
      </c>
      <c r="O109" s="233">
        <f t="shared" si="104"/>
        <v>0</v>
      </c>
      <c r="P109" s="257">
        <f t="shared" si="105"/>
        <v>30.63</v>
      </c>
      <c r="Q109" s="257">
        <f>(P109/100)*(100+$F$111)</f>
        <v>30.630000000000003</v>
      </c>
      <c r="R109" s="259">
        <v>1</v>
      </c>
      <c r="S109" s="299">
        <f t="shared" si="106"/>
        <v>0</v>
      </c>
      <c r="T109" s="234">
        <f t="shared" si="107"/>
        <v>0</v>
      </c>
      <c r="U109" s="225">
        <f t="shared" si="108"/>
        <v>0</v>
      </c>
      <c r="V109" s="222">
        <f t="shared" si="109"/>
        <v>0</v>
      </c>
      <c r="W109" s="27"/>
      <c r="X109" s="2"/>
      <c r="Y109" s="2"/>
      <c r="Z109" s="21"/>
      <c r="AA109" s="21"/>
      <c r="AB109" s="21"/>
      <c r="AC109" s="21"/>
      <c r="AD109" s="21"/>
      <c r="AE109" s="21"/>
      <c r="AF109" s="21"/>
      <c r="AH109" s="16"/>
      <c r="AI109" s="16"/>
      <c r="AT109" s="26">
        <f t="shared" si="110"/>
        <v>1</v>
      </c>
      <c r="AU109" s="26">
        <f t="shared" si="111"/>
        <v>0</v>
      </c>
    </row>
    <row r="110" spans="1:47" s="20" customFormat="1" ht="28.5" customHeight="1" thickBot="1" x14ac:dyDescent="0.2">
      <c r="A110" s="23" t="str">
        <f t="shared" si="78"/>
        <v/>
      </c>
      <c r="B110" s="469" t="s">
        <v>158</v>
      </c>
      <c r="C110" s="470"/>
      <c r="D110" s="470"/>
      <c r="E110" s="470"/>
      <c r="F110" s="13">
        <v>0</v>
      </c>
      <c r="G110" s="34" t="s">
        <v>141</v>
      </c>
      <c r="H110" s="14">
        <v>2</v>
      </c>
      <c r="I110" s="257">
        <f>(H110/100)*(100+$F$111)</f>
        <v>2</v>
      </c>
      <c r="J110" s="258">
        <v>0.3</v>
      </c>
      <c r="K110" s="298">
        <f>F110*I110*(1+J110)</f>
        <v>0</v>
      </c>
      <c r="L110" s="46"/>
      <c r="M110" s="199" t="s">
        <v>159</v>
      </c>
      <c r="N110" s="58">
        <v>0.2</v>
      </c>
      <c r="O110" s="233">
        <f t="shared" si="104"/>
        <v>0</v>
      </c>
      <c r="P110" s="257">
        <f t="shared" si="105"/>
        <v>30.63</v>
      </c>
      <c r="Q110" s="257">
        <f>(P110/100)*(100+$F$111)</f>
        <v>30.630000000000003</v>
      </c>
      <c r="R110" s="259">
        <v>1</v>
      </c>
      <c r="S110" s="299">
        <f t="shared" si="106"/>
        <v>0</v>
      </c>
      <c r="T110" s="234">
        <f t="shared" si="107"/>
        <v>0</v>
      </c>
      <c r="U110" s="225">
        <f t="shared" si="108"/>
        <v>0</v>
      </c>
      <c r="V110" s="222">
        <f t="shared" si="109"/>
        <v>0</v>
      </c>
      <c r="W110" s="27"/>
      <c r="X110" s="2"/>
      <c r="Y110" s="2"/>
      <c r="Z110" s="21"/>
      <c r="AA110" s="21"/>
      <c r="AB110" s="21"/>
      <c r="AC110" s="21"/>
      <c r="AD110" s="21"/>
      <c r="AE110" s="21"/>
      <c r="AF110" s="21"/>
      <c r="AH110" s="16"/>
      <c r="AI110" s="16"/>
      <c r="AT110" s="26">
        <f t="shared" si="110"/>
        <v>1</v>
      </c>
      <c r="AU110" s="26">
        <f t="shared" si="111"/>
        <v>0</v>
      </c>
    </row>
    <row r="111" spans="1:47" ht="17" thickBot="1" x14ac:dyDescent="0.25">
      <c r="A111" s="23" t="str">
        <f t="shared" si="78"/>
        <v/>
      </c>
      <c r="B111" s="459" t="s">
        <v>496</v>
      </c>
      <c r="C111" s="460"/>
      <c r="D111" s="460"/>
      <c r="E111" s="460"/>
      <c r="F111" s="295">
        <v>0</v>
      </c>
      <c r="G111" s="83"/>
      <c r="H111" s="207"/>
      <c r="I111" s="207"/>
      <c r="J111" s="71" t="s">
        <v>187</v>
      </c>
      <c r="K111" s="232">
        <f>SUM(K104:K110)</f>
        <v>20.8</v>
      </c>
      <c r="L111" s="235"/>
      <c r="M111" s="462" t="s">
        <v>187</v>
      </c>
      <c r="N111" s="463"/>
      <c r="O111" s="244">
        <f>SUM(O104:O110)</f>
        <v>0.8</v>
      </c>
      <c r="P111" s="296"/>
      <c r="Q111" s="296"/>
      <c r="R111" s="297"/>
      <c r="S111" s="248">
        <f>SUM(S104:S110)</f>
        <v>49.00800000000001</v>
      </c>
      <c r="T111" s="246">
        <f>SUM(T104:T110)</f>
        <v>69.808000000000007</v>
      </c>
      <c r="U111" s="214">
        <f>SUM(U104:U110)</f>
        <v>17.600000000000001</v>
      </c>
      <c r="V111" s="205">
        <f>SUM(V104:V110)</f>
        <v>22.400000000000002</v>
      </c>
      <c r="W111" s="102"/>
      <c r="X111" s="2"/>
      <c r="Y111" s="2"/>
      <c r="Z111" s="21"/>
      <c r="AA111" s="21"/>
      <c r="AB111" s="21"/>
      <c r="AC111" s="21"/>
      <c r="AD111" s="21"/>
      <c r="AE111" s="21"/>
      <c r="AF111" s="21"/>
      <c r="AT111" s="22"/>
      <c r="AU111" s="22"/>
    </row>
    <row r="112" spans="1:47" s="101" customFormat="1" ht="5" customHeight="1" thickBot="1" x14ac:dyDescent="0.25">
      <c r="A112" s="275"/>
      <c r="B112" s="276"/>
      <c r="C112" s="276"/>
      <c r="D112" s="276"/>
      <c r="E112" s="276"/>
      <c r="F112" s="277"/>
      <c r="G112" s="278"/>
      <c r="H112" s="279"/>
      <c r="I112" s="279"/>
      <c r="J112" s="280"/>
      <c r="K112" s="281"/>
      <c r="L112" s="282"/>
      <c r="M112" s="280"/>
      <c r="N112" s="280"/>
      <c r="O112" s="283"/>
      <c r="P112" s="283"/>
      <c r="Q112" s="283"/>
      <c r="R112" s="284"/>
      <c r="S112" s="285"/>
      <c r="T112" s="286"/>
      <c r="U112" s="281"/>
      <c r="V112" s="287"/>
      <c r="W112" s="288"/>
      <c r="X112" s="289"/>
      <c r="Y112" s="289"/>
      <c r="Z112" s="289"/>
      <c r="AA112" s="289"/>
      <c r="AB112" s="290"/>
      <c r="AC112" s="289"/>
      <c r="AD112" s="289"/>
      <c r="AE112" s="289"/>
      <c r="AF112" s="289"/>
      <c r="AG112" s="121"/>
      <c r="AH112" s="121"/>
      <c r="AS112" s="291"/>
      <c r="AT112" s="22"/>
      <c r="AU112" s="22"/>
    </row>
    <row r="113" spans="1:47" ht="25" customHeight="1" thickBot="1" x14ac:dyDescent="0.25">
      <c r="A113" s="23" t="str">
        <f t="shared" si="78"/>
        <v/>
      </c>
      <c r="B113" s="442" t="s">
        <v>89</v>
      </c>
      <c r="C113" s="443"/>
      <c r="D113" s="443"/>
      <c r="E113" s="443"/>
      <c r="F113" s="443"/>
      <c r="G113" s="443"/>
      <c r="H113" s="443"/>
      <c r="I113" s="443"/>
      <c r="J113" s="443"/>
      <c r="K113" s="444"/>
      <c r="L113" s="32"/>
      <c r="M113" s="484" t="str">
        <f>B113</f>
        <v>Airbricks</v>
      </c>
      <c r="N113" s="485"/>
      <c r="O113" s="485"/>
      <c r="P113" s="485"/>
      <c r="Q113" s="485"/>
      <c r="R113" s="485"/>
      <c r="S113" s="486"/>
      <c r="T113" s="487"/>
      <c r="U113" s="480" t="str">
        <f>M113</f>
        <v>Airbricks</v>
      </c>
      <c r="V113" s="481"/>
      <c r="W113" s="27"/>
      <c r="X113" s="2"/>
      <c r="Y113" s="2"/>
      <c r="Z113" s="21"/>
      <c r="AA113" s="21"/>
      <c r="AB113" s="21"/>
      <c r="AC113" s="21"/>
      <c r="AD113" s="21"/>
      <c r="AE113" s="21"/>
      <c r="AF113" s="21"/>
      <c r="AT113" s="22"/>
      <c r="AU113" s="22"/>
    </row>
    <row r="114" spans="1:47" ht="17" thickBot="1" x14ac:dyDescent="0.25">
      <c r="A114" s="23" t="str">
        <f t="shared" si="78"/>
        <v/>
      </c>
      <c r="B114" s="450" t="s">
        <v>86</v>
      </c>
      <c r="C114" s="451"/>
      <c r="D114" s="451"/>
      <c r="E114" s="451"/>
      <c r="F114" s="13">
        <v>4</v>
      </c>
      <c r="G114" s="34" t="s">
        <v>141</v>
      </c>
      <c r="H114" s="14">
        <v>16</v>
      </c>
      <c r="I114" s="257">
        <f>(H114/100)*(100+$F$117)</f>
        <v>16</v>
      </c>
      <c r="J114" s="258">
        <v>0.3</v>
      </c>
      <c r="K114" s="298">
        <f>F114*I114*(1+J114)</f>
        <v>83.2</v>
      </c>
      <c r="L114" s="229"/>
      <c r="M114" s="198" t="s">
        <v>86</v>
      </c>
      <c r="N114" s="58">
        <v>0.5</v>
      </c>
      <c r="O114" s="233">
        <f>F114*N114</f>
        <v>2</v>
      </c>
      <c r="P114" s="257">
        <f t="shared" ref="P114:P116" si="112">$D$139</f>
        <v>30.63</v>
      </c>
      <c r="Q114" s="257">
        <f>(P114/100)*(100+$F$117)</f>
        <v>30.630000000000003</v>
      </c>
      <c r="R114" s="259">
        <v>1</v>
      </c>
      <c r="S114" s="299">
        <f t="shared" ref="S114:S116" si="113">(O114*Q114*(1+R114))</f>
        <v>122.52000000000001</v>
      </c>
      <c r="T114" s="234">
        <f t="shared" ref="T114:T116" si="114">K114+S114</f>
        <v>205.72000000000003</v>
      </c>
      <c r="U114" s="225">
        <f t="shared" ref="U114:U116" si="115">F114*H114*1.1</f>
        <v>70.400000000000006</v>
      </c>
      <c r="V114" s="222">
        <f t="shared" ref="V114:V116" si="116">O114*$E$139</f>
        <v>56</v>
      </c>
      <c r="W114" s="27"/>
      <c r="X114" s="2"/>
      <c r="Y114" s="2"/>
      <c r="Z114" s="21"/>
      <c r="AA114" s="21"/>
      <c r="AB114" s="21"/>
      <c r="AC114" s="21"/>
      <c r="AD114" s="21"/>
      <c r="AE114" s="21"/>
      <c r="AF114" s="21"/>
      <c r="AT114" s="26">
        <f>IF(F114&lt;&gt;"",1,0)</f>
        <v>1</v>
      </c>
      <c r="AU114" s="26">
        <f>IF(AND(SUM(AT:AT)&gt;0,F114=""),1,0)</f>
        <v>0</v>
      </c>
    </row>
    <row r="115" spans="1:47" ht="17" thickBot="1" x14ac:dyDescent="0.25">
      <c r="A115" s="23" t="str">
        <f t="shared" si="78"/>
        <v/>
      </c>
      <c r="B115" s="450" t="s">
        <v>471</v>
      </c>
      <c r="C115" s="451"/>
      <c r="D115" s="451"/>
      <c r="E115" s="451"/>
      <c r="F115" s="13">
        <v>0</v>
      </c>
      <c r="G115" s="34" t="s">
        <v>141</v>
      </c>
      <c r="H115" s="14">
        <v>16</v>
      </c>
      <c r="I115" s="257">
        <f t="shared" ref="I115:I116" si="117">(H115/100)*(100+$F$117)</f>
        <v>16</v>
      </c>
      <c r="J115" s="258">
        <v>0.3</v>
      </c>
      <c r="K115" s="298">
        <f>F115*I115*(1+J115)</f>
        <v>0</v>
      </c>
      <c r="L115" s="229"/>
      <c r="M115" s="198" t="s">
        <v>87</v>
      </c>
      <c r="N115" s="58">
        <v>1</v>
      </c>
      <c r="O115" s="233">
        <f>F115*N115</f>
        <v>0</v>
      </c>
      <c r="P115" s="257">
        <f t="shared" si="112"/>
        <v>30.63</v>
      </c>
      <c r="Q115" s="257">
        <f t="shared" ref="Q115:Q116" si="118">(P115/100)*(100+$F$117)</f>
        <v>30.630000000000003</v>
      </c>
      <c r="R115" s="259">
        <v>1</v>
      </c>
      <c r="S115" s="299">
        <f t="shared" si="113"/>
        <v>0</v>
      </c>
      <c r="T115" s="234">
        <f t="shared" si="114"/>
        <v>0</v>
      </c>
      <c r="U115" s="225">
        <f t="shared" si="115"/>
        <v>0</v>
      </c>
      <c r="V115" s="222">
        <f t="shared" si="116"/>
        <v>0</v>
      </c>
      <c r="W115" s="27"/>
      <c r="X115" s="2"/>
      <c r="Y115" s="2"/>
      <c r="Z115" s="21"/>
      <c r="AA115" s="21"/>
      <c r="AB115" s="21"/>
      <c r="AC115" s="21"/>
      <c r="AD115" s="21"/>
      <c r="AE115" s="21"/>
      <c r="AF115" s="21"/>
      <c r="AT115" s="26">
        <f>IF(F115&lt;&gt;"",1,0)</f>
        <v>1</v>
      </c>
      <c r="AU115" s="26">
        <f>IF(AND(SUM(AT:AT)&gt;0,F115=""),1,0)</f>
        <v>0</v>
      </c>
    </row>
    <row r="116" spans="1:47" ht="17" thickBot="1" x14ac:dyDescent="0.25">
      <c r="A116" s="23" t="str">
        <f t="shared" si="78"/>
        <v/>
      </c>
      <c r="B116" s="450" t="s">
        <v>88</v>
      </c>
      <c r="C116" s="451"/>
      <c r="D116" s="451"/>
      <c r="E116" s="451"/>
      <c r="F116" s="13">
        <v>2</v>
      </c>
      <c r="G116" s="34" t="s">
        <v>141</v>
      </c>
      <c r="H116" s="14">
        <v>16</v>
      </c>
      <c r="I116" s="257">
        <f t="shared" si="117"/>
        <v>16</v>
      </c>
      <c r="J116" s="258">
        <v>0.3</v>
      </c>
      <c r="K116" s="298">
        <f>F116*I116*(1+J116)</f>
        <v>41.6</v>
      </c>
      <c r="L116" s="229"/>
      <c r="M116" s="198" t="s">
        <v>88</v>
      </c>
      <c r="N116" s="58">
        <v>2</v>
      </c>
      <c r="O116" s="233">
        <f>F116*N116</f>
        <v>4</v>
      </c>
      <c r="P116" s="257">
        <f t="shared" si="112"/>
        <v>30.63</v>
      </c>
      <c r="Q116" s="257">
        <f t="shared" si="118"/>
        <v>30.630000000000003</v>
      </c>
      <c r="R116" s="259">
        <v>1</v>
      </c>
      <c r="S116" s="299">
        <f t="shared" si="113"/>
        <v>245.04000000000002</v>
      </c>
      <c r="T116" s="234">
        <f t="shared" si="114"/>
        <v>286.64000000000004</v>
      </c>
      <c r="U116" s="225">
        <f t="shared" si="115"/>
        <v>35.200000000000003</v>
      </c>
      <c r="V116" s="222">
        <f t="shared" si="116"/>
        <v>112</v>
      </c>
      <c r="W116" s="27"/>
      <c r="X116" s="2"/>
      <c r="Y116" s="2"/>
      <c r="Z116" s="21"/>
      <c r="AA116" s="21"/>
      <c r="AB116" s="21"/>
      <c r="AC116" s="21"/>
      <c r="AD116" s="21"/>
      <c r="AE116" s="21"/>
      <c r="AF116" s="21"/>
      <c r="AT116" s="26">
        <f>IF(F116&lt;&gt;"",1,0)</f>
        <v>1</v>
      </c>
      <c r="AU116" s="26">
        <f>IF(AND(SUM(AT:AT)&gt;0,F116=""),1,0)</f>
        <v>0</v>
      </c>
    </row>
    <row r="117" spans="1:47" ht="17" thickBot="1" x14ac:dyDescent="0.25">
      <c r="A117" s="23" t="str">
        <f t="shared" si="78"/>
        <v/>
      </c>
      <c r="B117" s="459" t="s">
        <v>496</v>
      </c>
      <c r="C117" s="460"/>
      <c r="D117" s="460"/>
      <c r="E117" s="460"/>
      <c r="F117" s="295">
        <v>0</v>
      </c>
      <c r="G117" s="83"/>
      <c r="H117" s="207"/>
      <c r="I117" s="207"/>
      <c r="J117" s="71" t="s">
        <v>187</v>
      </c>
      <c r="K117" s="232">
        <f>SUM(K114:K116)</f>
        <v>124.80000000000001</v>
      </c>
      <c r="L117" s="235"/>
      <c r="M117" s="462" t="s">
        <v>187</v>
      </c>
      <c r="N117" s="463"/>
      <c r="O117" s="244">
        <f>SUM(O114:O116)</f>
        <v>6</v>
      </c>
      <c r="P117" s="296"/>
      <c r="Q117" s="296"/>
      <c r="R117" s="297"/>
      <c r="S117" s="248">
        <f>SUM(S114:S116)</f>
        <v>367.56000000000006</v>
      </c>
      <c r="T117" s="246">
        <f>SUM(T114:T116)</f>
        <v>492.36000000000007</v>
      </c>
      <c r="U117" s="214">
        <f>SUM(U114:U116)</f>
        <v>105.60000000000001</v>
      </c>
      <c r="V117" s="205">
        <f>SUM(V114:V116)</f>
        <v>168</v>
      </c>
      <c r="W117" s="102"/>
      <c r="X117" s="2"/>
      <c r="Y117" s="2"/>
      <c r="Z117" s="21"/>
      <c r="AA117" s="21"/>
      <c r="AB117" s="21"/>
      <c r="AC117" s="21"/>
      <c r="AD117" s="21"/>
      <c r="AE117" s="21"/>
      <c r="AF117" s="21"/>
      <c r="AT117" s="22"/>
      <c r="AU117" s="22"/>
    </row>
    <row r="118" spans="1:47" s="101" customFormat="1" ht="5" customHeight="1" thickBot="1" x14ac:dyDescent="0.25">
      <c r="A118" s="275"/>
      <c r="B118" s="276"/>
      <c r="C118" s="276"/>
      <c r="D118" s="276"/>
      <c r="E118" s="276"/>
      <c r="F118" s="277"/>
      <c r="G118" s="278"/>
      <c r="H118" s="279"/>
      <c r="I118" s="279"/>
      <c r="J118" s="280"/>
      <c r="K118" s="281"/>
      <c r="L118" s="282"/>
      <c r="M118" s="280"/>
      <c r="N118" s="280"/>
      <c r="O118" s="283"/>
      <c r="P118" s="283"/>
      <c r="Q118" s="283"/>
      <c r="R118" s="284"/>
      <c r="S118" s="285"/>
      <c r="T118" s="286"/>
      <c r="U118" s="281"/>
      <c r="V118" s="287"/>
      <c r="W118" s="288"/>
      <c r="X118" s="289"/>
      <c r="Y118" s="289"/>
      <c r="Z118" s="289"/>
      <c r="AA118" s="289"/>
      <c r="AB118" s="290"/>
      <c r="AC118" s="289"/>
      <c r="AD118" s="289"/>
      <c r="AE118" s="289"/>
      <c r="AF118" s="289"/>
      <c r="AG118" s="121"/>
      <c r="AH118" s="121"/>
      <c r="AS118" s="291"/>
      <c r="AT118" s="22"/>
      <c r="AU118" s="22"/>
    </row>
    <row r="119" spans="1:47" ht="25" customHeight="1" thickBot="1" x14ac:dyDescent="0.25">
      <c r="A119" s="23" t="str">
        <f t="shared" si="78"/>
        <v/>
      </c>
      <c r="B119" s="442" t="s">
        <v>37</v>
      </c>
      <c r="C119" s="443"/>
      <c r="D119" s="443"/>
      <c r="E119" s="443"/>
      <c r="F119" s="443"/>
      <c r="G119" s="443"/>
      <c r="H119" s="443"/>
      <c r="I119" s="443"/>
      <c r="J119" s="443"/>
      <c r="K119" s="444"/>
      <c r="L119" s="209"/>
      <c r="M119" s="484" t="str">
        <f>B119</f>
        <v>Skip hire 8yd</v>
      </c>
      <c r="N119" s="485"/>
      <c r="O119" s="485"/>
      <c r="P119" s="485"/>
      <c r="Q119" s="485"/>
      <c r="R119" s="485"/>
      <c r="S119" s="486"/>
      <c r="T119" s="487"/>
      <c r="U119" s="507" t="str">
        <f>M119</f>
        <v>Skip hire 8yd</v>
      </c>
      <c r="V119" s="481"/>
      <c r="W119" s="27"/>
      <c r="X119" s="2"/>
      <c r="Y119" s="2"/>
      <c r="Z119" s="21"/>
      <c r="AA119" s="21"/>
      <c r="AB119" s="21"/>
      <c r="AC119" s="21"/>
      <c r="AD119" s="21"/>
      <c r="AE119" s="21"/>
      <c r="AF119" s="21"/>
      <c r="AT119" s="22"/>
      <c r="AU119" s="22"/>
    </row>
    <row r="120" spans="1:47" ht="15" customHeight="1" thickBot="1" x14ac:dyDescent="0.25">
      <c r="A120" s="23" t="str">
        <f t="shared" si="78"/>
        <v/>
      </c>
      <c r="B120" s="457" t="s">
        <v>18</v>
      </c>
      <c r="C120" s="458"/>
      <c r="D120" s="458"/>
      <c r="E120" s="458"/>
      <c r="F120" s="13">
        <v>0</v>
      </c>
      <c r="G120" s="216" t="s">
        <v>141</v>
      </c>
      <c r="H120" s="217">
        <v>270</v>
      </c>
      <c r="I120" s="305">
        <f>H120</f>
        <v>270</v>
      </c>
      <c r="J120" s="313">
        <v>0.3</v>
      </c>
      <c r="K120" s="314">
        <f>F120*I120*(1+J120)</f>
        <v>0</v>
      </c>
      <c r="L120" s="210"/>
      <c r="M120" s="242" t="str">
        <f>B120</f>
        <v>Rubbish removal skips</v>
      </c>
      <c r="N120" s="228">
        <v>0</v>
      </c>
      <c r="O120" s="244">
        <v>0</v>
      </c>
      <c r="P120" s="305">
        <f t="shared" ref="P120" si="119">$D$139</f>
        <v>30.63</v>
      </c>
      <c r="Q120" s="305">
        <f>P120</f>
        <v>30.63</v>
      </c>
      <c r="R120" s="306">
        <v>1</v>
      </c>
      <c r="S120" s="307">
        <f>(O120*Q120*(1+R120))</f>
        <v>0</v>
      </c>
      <c r="T120" s="246">
        <f t="shared" ref="T120" si="120">K120+S120</f>
        <v>0</v>
      </c>
      <c r="U120" s="243">
        <v>0</v>
      </c>
      <c r="V120" s="222">
        <f>O120*$E$139</f>
        <v>0</v>
      </c>
      <c r="W120" s="27"/>
      <c r="X120" s="2"/>
      <c r="Y120" s="2"/>
      <c r="Z120" s="21"/>
      <c r="AA120" s="21"/>
      <c r="AB120" s="21"/>
      <c r="AC120" s="21"/>
      <c r="AD120" s="21"/>
      <c r="AE120" s="21"/>
      <c r="AF120" s="21"/>
      <c r="AT120" s="26">
        <f>IF(F120&lt;&gt;"",1,0)</f>
        <v>1</v>
      </c>
      <c r="AU120" s="26">
        <f>IF(AND(SUM(AT:AT)&gt;0,F120=""),1,0)</f>
        <v>0</v>
      </c>
    </row>
    <row r="121" spans="1:47" s="101" customFormat="1" ht="5" customHeight="1" x14ac:dyDescent="0.2">
      <c r="A121" s="275"/>
      <c r="B121" s="308"/>
      <c r="C121" s="308"/>
      <c r="D121" s="308"/>
      <c r="E121" s="308"/>
      <c r="F121" s="309"/>
      <c r="G121" s="310"/>
      <c r="H121" s="311"/>
      <c r="I121" s="311"/>
      <c r="J121" s="300"/>
      <c r="K121" s="312"/>
      <c r="L121" s="282"/>
      <c r="M121" s="300"/>
      <c r="N121" s="300"/>
      <c r="O121" s="301"/>
      <c r="P121" s="301"/>
      <c r="Q121" s="301"/>
      <c r="R121" s="302"/>
      <c r="S121" s="303"/>
      <c r="T121" s="304"/>
      <c r="U121" s="281"/>
      <c r="V121" s="287"/>
      <c r="W121" s="288"/>
      <c r="X121" s="289"/>
      <c r="Y121" s="289"/>
      <c r="Z121" s="289"/>
      <c r="AA121" s="289"/>
      <c r="AB121" s="290"/>
      <c r="AC121" s="289"/>
      <c r="AD121" s="289"/>
      <c r="AE121" s="289"/>
      <c r="AF121" s="289"/>
      <c r="AG121" s="121"/>
      <c r="AH121" s="121"/>
      <c r="AS121" s="291"/>
      <c r="AT121" s="22"/>
      <c r="AU121" s="22"/>
    </row>
    <row r="122" spans="1:47" ht="16" thickBot="1" x14ac:dyDescent="0.25">
      <c r="A122" s="23" t="str">
        <f t="shared" si="78"/>
        <v/>
      </c>
      <c r="B122" s="455"/>
      <c r="C122" s="456"/>
      <c r="D122" s="456"/>
      <c r="E122" s="456"/>
      <c r="F122" s="456"/>
      <c r="G122" s="38"/>
      <c r="H122" s="46"/>
      <c r="I122" s="46"/>
      <c r="J122" s="46"/>
      <c r="K122" s="215"/>
      <c r="L122" s="45"/>
      <c r="M122" s="82"/>
      <c r="N122" s="71"/>
      <c r="O122" s="71"/>
      <c r="P122" s="71"/>
      <c r="Q122" s="71"/>
      <c r="R122" s="71"/>
      <c r="S122" s="71"/>
      <c r="T122" s="146"/>
      <c r="U122" s="145"/>
      <c r="V122" s="73"/>
      <c r="AT122" s="22"/>
      <c r="AU122" s="22"/>
    </row>
    <row r="123" spans="1:47" ht="12.5" customHeight="1" thickBot="1" x14ac:dyDescent="0.25">
      <c r="A123" s="23" t="str">
        <f t="shared" si="78"/>
        <v/>
      </c>
      <c r="B123" s="37"/>
      <c r="C123" s="38"/>
      <c r="D123" s="38"/>
      <c r="E123" s="545" t="s">
        <v>19</v>
      </c>
      <c r="F123" s="546"/>
      <c r="G123" s="546"/>
      <c r="H123" s="546"/>
      <c r="I123" s="546"/>
      <c r="J123" s="547"/>
      <c r="K123" s="66">
        <f>K26+K39+K55+K62+K68+K79+K101+K111+K117+K120</f>
        <v>1210.3103999999998</v>
      </c>
      <c r="L123" s="132"/>
      <c r="M123" s="445" t="s">
        <v>54</v>
      </c>
      <c r="N123" s="446"/>
      <c r="O123" s="446"/>
      <c r="P123" s="446"/>
      <c r="Q123" s="446"/>
      <c r="R123" s="446"/>
      <c r="S123" s="446"/>
      <c r="T123" s="446"/>
      <c r="U123" s="498" t="s">
        <v>77</v>
      </c>
      <c r="V123" s="499"/>
      <c r="AT123" s="22"/>
      <c r="AU123" s="22"/>
    </row>
    <row r="124" spans="1:47" ht="17" thickTop="1" thickBot="1" x14ac:dyDescent="0.25">
      <c r="A124" s="23" t="str">
        <f t="shared" si="78"/>
        <v/>
      </c>
      <c r="B124" s="37"/>
      <c r="C124" s="38"/>
      <c r="D124" s="38"/>
      <c r="E124" s="545" t="s">
        <v>20</v>
      </c>
      <c r="F124" s="546"/>
      <c r="G124" s="547"/>
      <c r="H124" s="67">
        <f>O124</f>
        <v>34.915000000000006</v>
      </c>
      <c r="I124" s="67"/>
      <c r="J124" s="67"/>
      <c r="K124" s="66">
        <f>S26+S39+S55+S62+S68+S79+S101+S111+S117+S120</f>
        <v>2138.8929000000003</v>
      </c>
      <c r="L124" s="132"/>
      <c r="M124" s="140" t="s">
        <v>17</v>
      </c>
      <c r="N124" s="32"/>
      <c r="O124" s="141">
        <f>O26+O39+O55+O62+O111+O68+O79++O101+O117</f>
        <v>34.915000000000006</v>
      </c>
      <c r="P124" s="274"/>
      <c r="Q124" s="274"/>
      <c r="R124" s="142"/>
      <c r="S124" s="142"/>
      <c r="T124" s="143"/>
      <c r="U124" s="138">
        <f>U26+U39+U55+U62+U68+U79+U101+U111+U117</f>
        <v>953.70880000000011</v>
      </c>
      <c r="V124" s="65">
        <f>V26+V39+V55+V62+V68+V79+V101+V111+V117</f>
        <v>977.62</v>
      </c>
      <c r="AT124" s="22">
        <v>1</v>
      </c>
      <c r="AU124" s="22"/>
    </row>
    <row r="125" spans="1:47" ht="17" thickTop="1" thickBot="1" x14ac:dyDescent="0.25">
      <c r="A125" s="23" t="str">
        <f t="shared" si="78"/>
        <v/>
      </c>
      <c r="B125" s="37"/>
      <c r="C125" s="38"/>
      <c r="D125" s="38"/>
      <c r="E125" s="68"/>
      <c r="F125" s="28"/>
      <c r="G125" s="28"/>
      <c r="H125" s="69" t="s">
        <v>38</v>
      </c>
      <c r="I125" s="69"/>
      <c r="J125" s="43"/>
      <c r="K125" s="362">
        <f>(F139*C139)+((K130*K131)*2)*J139</f>
        <v>198.27600000000001</v>
      </c>
      <c r="L125" s="132"/>
      <c r="M125" s="64" t="s">
        <v>41</v>
      </c>
      <c r="N125" s="36"/>
      <c r="O125" s="30">
        <f>K130*K131*2*K132/30</f>
        <v>5.2</v>
      </c>
      <c r="P125" s="30"/>
      <c r="Q125" s="30"/>
      <c r="R125" s="39"/>
      <c r="S125" s="39"/>
      <c r="T125" s="60"/>
      <c r="U125" s="134"/>
      <c r="V125" s="33"/>
      <c r="AT125" s="22"/>
      <c r="AU125" s="22"/>
    </row>
    <row r="126" spans="1:47" ht="17" thickTop="1" thickBot="1" x14ac:dyDescent="0.25">
      <c r="A126" s="23" t="str">
        <f t="shared" ref="A126:A133" si="121">IF(AU126=1,"X","")</f>
        <v/>
      </c>
      <c r="B126" s="37"/>
      <c r="C126" s="38"/>
      <c r="D126" s="38"/>
      <c r="E126" s="63"/>
      <c r="F126" s="28"/>
      <c r="G126" s="28"/>
      <c r="H126" s="74" t="s">
        <v>21</v>
      </c>
      <c r="I126" s="74"/>
      <c r="J126" s="40"/>
      <c r="K126" s="75">
        <f>SUM(K123:K125)</f>
        <v>3547.4793</v>
      </c>
      <c r="L126" s="132"/>
      <c r="M126" s="64" t="s">
        <v>55</v>
      </c>
      <c r="N126" s="36"/>
      <c r="O126" s="133">
        <f>SUM(O124:O125)</f>
        <v>40.115000000000009</v>
      </c>
      <c r="P126" s="30"/>
      <c r="Q126" s="30"/>
      <c r="R126" s="39"/>
      <c r="S126" s="39"/>
      <c r="T126" s="60"/>
      <c r="U126" s="134" t="s">
        <v>38</v>
      </c>
      <c r="V126" s="33">
        <f>K130*(K131*2)*0.45</f>
        <v>35.1</v>
      </c>
      <c r="AT126" s="22"/>
      <c r="AU126" s="22"/>
    </row>
    <row r="127" spans="1:47" ht="17" thickTop="1" thickBot="1" x14ac:dyDescent="0.25">
      <c r="A127" s="23" t="str">
        <f t="shared" si="121"/>
        <v/>
      </c>
      <c r="B127" s="37"/>
      <c r="C127" s="38"/>
      <c r="D127" s="38"/>
      <c r="E127" s="63"/>
      <c r="F127" s="28"/>
      <c r="G127" s="28"/>
      <c r="H127" s="74" t="s">
        <v>22</v>
      </c>
      <c r="I127" s="74"/>
      <c r="J127" s="40"/>
      <c r="K127" s="77">
        <f>K126*0.2</f>
        <v>709.49585999999999</v>
      </c>
      <c r="L127" s="132"/>
      <c r="M127" s="64"/>
      <c r="N127" s="36"/>
      <c r="O127" s="36"/>
      <c r="P127" s="36"/>
      <c r="Q127" s="36"/>
      <c r="R127" s="36"/>
      <c r="S127" s="36"/>
      <c r="T127" s="59"/>
      <c r="U127" s="137" t="s">
        <v>49</v>
      </c>
      <c r="V127" s="136">
        <f>U124+V124+V126</f>
        <v>1966.4288000000001</v>
      </c>
      <c r="AT127" s="22"/>
      <c r="AU127" s="22"/>
    </row>
    <row r="128" spans="1:47" ht="17" thickTop="1" thickBot="1" x14ac:dyDescent="0.25">
      <c r="A128" s="23" t="str">
        <f t="shared" si="121"/>
        <v/>
      </c>
      <c r="B128" s="37"/>
      <c r="C128" s="38"/>
      <c r="D128" s="38"/>
      <c r="E128" s="63"/>
      <c r="F128" s="28"/>
      <c r="G128" s="28"/>
      <c r="H128" s="78" t="s">
        <v>36</v>
      </c>
      <c r="I128" s="78"/>
      <c r="J128" s="40"/>
      <c r="K128" s="79">
        <f>SUM(K126:K127)</f>
        <v>4256.97516</v>
      </c>
      <c r="L128" s="132"/>
      <c r="M128" s="70"/>
      <c r="N128" s="71"/>
      <c r="O128" s="71"/>
      <c r="P128" s="71"/>
      <c r="Q128" s="71"/>
      <c r="R128" s="71"/>
      <c r="S128" s="71"/>
      <c r="T128" s="144"/>
      <c r="U128" s="139"/>
      <c r="V128" s="135"/>
      <c r="AT128" s="22"/>
      <c r="AU128" s="22"/>
    </row>
    <row r="129" spans="1:47" ht="10.5" customHeight="1" thickBot="1" x14ac:dyDescent="0.25">
      <c r="A129" s="23" t="str">
        <f t="shared" si="121"/>
        <v/>
      </c>
      <c r="B129" s="37"/>
      <c r="C129" s="38"/>
      <c r="D129" s="38"/>
      <c r="E129" s="38"/>
      <c r="F129" s="28"/>
      <c r="G129" s="28"/>
      <c r="H129" s="40"/>
      <c r="I129" s="40"/>
      <c r="J129" s="40"/>
      <c r="K129" s="40"/>
      <c r="L129" s="80"/>
      <c r="M129" s="570" t="s">
        <v>211</v>
      </c>
      <c r="N129" s="571"/>
      <c r="O129" s="571"/>
      <c r="P129" s="571"/>
      <c r="Q129" s="571"/>
      <c r="R129" s="571"/>
      <c r="S129" s="571"/>
      <c r="T129" s="571"/>
      <c r="U129" s="571"/>
      <c r="V129" s="572"/>
      <c r="AT129" s="22"/>
      <c r="AU129" s="22"/>
    </row>
    <row r="130" spans="1:47" ht="22" customHeight="1" thickBot="1" x14ac:dyDescent="0.25">
      <c r="A130" s="23" t="str">
        <f t="shared" si="121"/>
        <v/>
      </c>
      <c r="B130" s="37"/>
      <c r="C130" s="38"/>
      <c r="D130" s="38"/>
      <c r="E130" s="38"/>
      <c r="F130" s="28"/>
      <c r="G130" s="28"/>
      <c r="H130" s="40"/>
      <c r="I130" s="40"/>
      <c r="J130" s="36" t="s">
        <v>39</v>
      </c>
      <c r="K130" s="81">
        <f>(ROUNDUP((O124/6.5)/K132,0))</f>
        <v>3</v>
      </c>
      <c r="L130" s="29"/>
      <c r="M130" s="573"/>
      <c r="N130" s="574"/>
      <c r="O130" s="574"/>
      <c r="P130" s="574"/>
      <c r="Q130" s="574"/>
      <c r="R130" s="574"/>
      <c r="S130" s="574"/>
      <c r="T130" s="574"/>
      <c r="U130" s="574"/>
      <c r="V130" s="575"/>
      <c r="AT130" s="22"/>
      <c r="AU130" s="22"/>
    </row>
    <row r="131" spans="1:47" ht="22" customHeight="1" thickBot="1" x14ac:dyDescent="0.25">
      <c r="A131" s="23" t="str">
        <f t="shared" si="121"/>
        <v/>
      </c>
      <c r="B131" s="37"/>
      <c r="C131" s="38"/>
      <c r="D131" s="38"/>
      <c r="E131" s="38"/>
      <c r="F131" s="28"/>
      <c r="G131" s="28"/>
      <c r="H131" s="40"/>
      <c r="I131" s="40"/>
      <c r="J131" s="36" t="s">
        <v>79</v>
      </c>
      <c r="K131" s="109">
        <f>IF([1]Details!$C$12=0,"",[1]Details!$C$12)</f>
        <v>13</v>
      </c>
      <c r="L131" s="29"/>
      <c r="M131" s="576" t="s">
        <v>475</v>
      </c>
      <c r="N131" s="577"/>
      <c r="O131" s="577"/>
      <c r="P131" s="577"/>
      <c r="Q131" s="577"/>
      <c r="R131" s="578"/>
      <c r="S131" s="490" t="s">
        <v>188</v>
      </c>
      <c r="T131" s="491"/>
      <c r="U131" s="488">
        <f>SUMIFS('CF CSV Upload'!P:P,'CF CSV Upload'!L:L,"No",'CF CSV Upload'!Q:Q,"Yes")</f>
        <v>3547.4793000000004</v>
      </c>
      <c r="V131" s="489"/>
      <c r="W131" s="99"/>
      <c r="AT131" s="26">
        <f>IF(K131&lt;&gt;"",1,0)</f>
        <v>1</v>
      </c>
      <c r="AU131" s="26">
        <f>IF(AND(SUM(AT:AT)&gt;0,K131=""),1,0)</f>
        <v>0</v>
      </c>
    </row>
    <row r="132" spans="1:47" ht="22" customHeight="1" thickBot="1" x14ac:dyDescent="0.25">
      <c r="A132" s="23" t="str">
        <f t="shared" si="121"/>
        <v/>
      </c>
      <c r="B132" s="37"/>
      <c r="C132" s="38"/>
      <c r="D132" s="38"/>
      <c r="E132" s="38"/>
      <c r="F132" s="28"/>
      <c r="G132" s="28"/>
      <c r="H132" s="40"/>
      <c r="I132" s="40"/>
      <c r="J132" s="36" t="s">
        <v>61</v>
      </c>
      <c r="K132" s="96">
        <v>2</v>
      </c>
      <c r="L132" s="29"/>
      <c r="M132" s="579"/>
      <c r="N132" s="580"/>
      <c r="O132" s="580"/>
      <c r="P132" s="580"/>
      <c r="Q132" s="580"/>
      <c r="R132" s="581"/>
      <c r="S132" s="490" t="s">
        <v>212</v>
      </c>
      <c r="T132" s="491"/>
      <c r="U132" s="488">
        <f>U131*0.2</f>
        <v>709.49586000000011</v>
      </c>
      <c r="V132" s="489"/>
      <c r="W132" s="99"/>
      <c r="X132" s="99"/>
      <c r="AT132" s="26">
        <f>IF(K132&lt;&gt;"",1,0)</f>
        <v>1</v>
      </c>
      <c r="AU132" s="26">
        <f>IF(AND(SUM(AT:AT)&gt;0,K132=""),1,0)</f>
        <v>0</v>
      </c>
    </row>
    <row r="133" spans="1:47" ht="19.5" customHeight="1" thickBot="1" x14ac:dyDescent="0.25">
      <c r="A133" s="23" t="str">
        <f t="shared" si="121"/>
        <v/>
      </c>
      <c r="B133" s="82"/>
      <c r="C133" s="83"/>
      <c r="D133" s="83"/>
      <c r="E133" s="84"/>
      <c r="F133" s="31"/>
      <c r="G133" s="31"/>
      <c r="H133" s="72"/>
      <c r="I133" s="72"/>
      <c r="J133" s="72"/>
      <c r="K133" s="72"/>
      <c r="L133" s="85"/>
      <c r="M133" s="582"/>
      <c r="N133" s="583"/>
      <c r="O133" s="583"/>
      <c r="P133" s="583"/>
      <c r="Q133" s="583"/>
      <c r="R133" s="584"/>
      <c r="S133" s="554" t="s">
        <v>59</v>
      </c>
      <c r="T133" s="555"/>
      <c r="U133" s="568">
        <f>U131+U132</f>
        <v>4256.9751600000009</v>
      </c>
      <c r="V133" s="569"/>
      <c r="AT133" s="22"/>
      <c r="AU133" s="22"/>
    </row>
    <row r="134" spans="1:47" ht="16" thickBot="1" x14ac:dyDescent="0.25">
      <c r="N134" s="76"/>
      <c r="V134" s="359"/>
      <c r="AE134" s="16"/>
      <c r="AF134" s="16"/>
      <c r="AH134"/>
      <c r="AS134" s="360"/>
      <c r="AT134" s="24"/>
      <c r="AU134" s="24"/>
    </row>
    <row r="135" spans="1:47" ht="16" thickBot="1" x14ac:dyDescent="0.25">
      <c r="A135" s="275" t="str">
        <f t="shared" ref="A135" si="122">IF(AU135=1,"X","")</f>
        <v/>
      </c>
      <c r="B135" s="560" t="s">
        <v>556</v>
      </c>
      <c r="C135" s="561"/>
      <c r="D135" s="561"/>
      <c r="E135" s="561"/>
      <c r="F135" s="562" t="s">
        <v>562</v>
      </c>
      <c r="G135" s="563"/>
      <c r="H135" s="563"/>
      <c r="I135" s="563"/>
      <c r="J135" s="563"/>
      <c r="K135" s="563"/>
      <c r="L135" s="564"/>
      <c r="M135" s="565" t="s">
        <v>557</v>
      </c>
      <c r="N135" s="566"/>
      <c r="O135" s="566"/>
      <c r="P135" s="566"/>
      <c r="Q135" s="566"/>
      <c r="R135" s="566"/>
      <c r="S135" s="566"/>
      <c r="T135" s="566"/>
      <c r="U135" s="566"/>
      <c r="V135" s="567"/>
      <c r="X135" s="2"/>
      <c r="Y135" s="2"/>
      <c r="Z135" s="21"/>
      <c r="AA135" s="21"/>
      <c r="AB135" s="21"/>
      <c r="AC135" s="2"/>
      <c r="AD135" s="2"/>
      <c r="AE135" s="21"/>
      <c r="AF135" s="21"/>
      <c r="AH135"/>
      <c r="AS135" s="21"/>
      <c r="AT135" s="26">
        <f>IF(F135&lt;&gt;"",1,0)</f>
        <v>1</v>
      </c>
      <c r="AU135" s="26">
        <f>IF(AND(SUM(AT:AT)&gt;0,F135=""),1,0)</f>
        <v>0</v>
      </c>
    </row>
    <row r="136" spans="1:47" ht="22" customHeight="1" thickBot="1" x14ac:dyDescent="0.25">
      <c r="B136" s="551" t="s">
        <v>80</v>
      </c>
      <c r="C136" s="551"/>
      <c r="D136" s="551"/>
      <c r="E136" s="551"/>
      <c r="F136" s="551"/>
      <c r="G136" s="551"/>
      <c r="H136" s="551"/>
      <c r="I136" s="551"/>
      <c r="J136" s="551"/>
      <c r="K136" s="551"/>
      <c r="L136" s="551"/>
      <c r="N136" s="76"/>
      <c r="O136" s="76"/>
      <c r="P136" s="76"/>
      <c r="Q136" s="76"/>
    </row>
    <row r="137" spans="1:47" ht="27.75" customHeight="1" x14ac:dyDescent="0.2">
      <c r="C137" s="543" t="s">
        <v>558</v>
      </c>
      <c r="D137" s="543" t="s">
        <v>150</v>
      </c>
      <c r="E137" s="421" t="s">
        <v>546</v>
      </c>
      <c r="F137" s="423" t="s">
        <v>60</v>
      </c>
      <c r="G137" s="424"/>
      <c r="H137" s="424"/>
      <c r="I137" s="424"/>
      <c r="J137" s="424"/>
      <c r="K137" s="425"/>
      <c r="N137" s="76"/>
      <c r="V137" s="1">
        <f>U133-K128</f>
        <v>0</v>
      </c>
    </row>
    <row r="138" spans="1:47" s="87" customFormat="1" ht="27.75" customHeight="1" x14ac:dyDescent="0.2">
      <c r="C138" s="544"/>
      <c r="D138" s="544"/>
      <c r="E138" s="422"/>
      <c r="F138" s="351" t="s">
        <v>3</v>
      </c>
      <c r="G138" s="352"/>
      <c r="H138" s="352" t="s">
        <v>58</v>
      </c>
      <c r="I138" s="352"/>
      <c r="J138" s="353" t="s">
        <v>78</v>
      </c>
      <c r="K138" s="354" t="s">
        <v>59</v>
      </c>
      <c r="L138" s="88"/>
      <c r="N138" s="88"/>
      <c r="O138" s="89"/>
      <c r="P138" s="89"/>
      <c r="Q138" s="89"/>
      <c r="R138" s="88"/>
      <c r="S138" s="88"/>
      <c r="T138" s="90"/>
      <c r="V138" s="91"/>
    </row>
    <row r="139" spans="1:47" s="20" customFormat="1" ht="18.75" customHeight="1" thickBot="1" x14ac:dyDescent="0.25">
      <c r="C139" s="349">
        <f>D139</f>
        <v>30.63</v>
      </c>
      <c r="D139" s="349">
        <v>30.63</v>
      </c>
      <c r="E139" s="350">
        <v>28</v>
      </c>
      <c r="F139" s="355">
        <f>O125</f>
        <v>5.2</v>
      </c>
      <c r="G139" s="296"/>
      <c r="H139" s="356">
        <f>F139*D139</f>
        <v>159.27600000000001</v>
      </c>
      <c r="I139" s="356"/>
      <c r="J139" s="357">
        <v>0.5</v>
      </c>
      <c r="K139" s="361">
        <f>(F139*C139)+(K130*K131*2)*J139</f>
        <v>198.27600000000001</v>
      </c>
      <c r="L139" s="55"/>
      <c r="N139" s="76"/>
      <c r="O139" s="86"/>
      <c r="P139" s="86"/>
      <c r="Q139" s="86"/>
      <c r="R139" s="76"/>
      <c r="S139" s="76"/>
      <c r="V139" s="1"/>
      <c r="W139" s="55"/>
      <c r="X139" s="55"/>
    </row>
    <row r="140" spans="1:47" x14ac:dyDescent="0.2">
      <c r="N140" s="76"/>
    </row>
    <row r="141" spans="1:47" x14ac:dyDescent="0.2">
      <c r="N141" s="76"/>
    </row>
    <row r="142" spans="1:47" x14ac:dyDescent="0.2">
      <c r="N142" s="76"/>
    </row>
    <row r="143" spans="1:47" x14ac:dyDescent="0.2">
      <c r="N143" s="76"/>
    </row>
    <row r="144" spans="1:47" x14ac:dyDescent="0.2">
      <c r="N144" s="76"/>
    </row>
    <row r="145" spans="14:14" x14ac:dyDescent="0.2">
      <c r="N145" s="76"/>
    </row>
    <row r="146" spans="14:14" x14ac:dyDescent="0.2">
      <c r="N146" s="76"/>
    </row>
    <row r="147" spans="14:14" x14ac:dyDescent="0.2">
      <c r="N147" s="76"/>
    </row>
    <row r="148" spans="14:14" x14ac:dyDescent="0.2">
      <c r="N148" s="76"/>
    </row>
    <row r="149" spans="14:14" x14ac:dyDescent="0.2">
      <c r="N149" s="76"/>
    </row>
    <row r="150" spans="14:14" x14ac:dyDescent="0.2">
      <c r="N150" s="76"/>
    </row>
    <row r="151" spans="14:14" x14ac:dyDescent="0.2">
      <c r="N151" s="76"/>
    </row>
    <row r="152" spans="14:14" x14ac:dyDescent="0.2">
      <c r="N152" s="76"/>
    </row>
    <row r="153" spans="14:14" x14ac:dyDescent="0.2">
      <c r="N153" s="76"/>
    </row>
    <row r="154" spans="14:14" ht="15" customHeight="1" x14ac:dyDescent="0.2">
      <c r="N154" s="76"/>
    </row>
    <row r="155" spans="14:14" x14ac:dyDescent="0.2">
      <c r="N155" s="76"/>
    </row>
    <row r="156" spans="14:14" x14ac:dyDescent="0.2">
      <c r="N156" s="76"/>
    </row>
    <row r="157" spans="14:14" x14ac:dyDescent="0.2">
      <c r="N157" s="76"/>
    </row>
    <row r="158" spans="14:14" x14ac:dyDescent="0.2">
      <c r="N158" s="76"/>
    </row>
    <row r="159" spans="14:14" x14ac:dyDescent="0.2">
      <c r="N159" s="76"/>
    </row>
    <row r="160" spans="14:14" x14ac:dyDescent="0.2">
      <c r="N160" s="76"/>
    </row>
    <row r="161" spans="14:14" x14ac:dyDescent="0.2">
      <c r="N161" s="76"/>
    </row>
    <row r="162" spans="14:14" x14ac:dyDescent="0.2">
      <c r="N162" s="76"/>
    </row>
    <row r="163" spans="14:14" x14ac:dyDescent="0.2">
      <c r="N163" s="76"/>
    </row>
    <row r="164" spans="14:14" x14ac:dyDescent="0.2">
      <c r="N164" s="76"/>
    </row>
    <row r="165" spans="14:14" x14ac:dyDescent="0.2">
      <c r="N165" s="76"/>
    </row>
    <row r="166" spans="14:14" x14ac:dyDescent="0.2">
      <c r="N166" s="76"/>
    </row>
    <row r="167" spans="14:14" x14ac:dyDescent="0.2">
      <c r="N167" s="76"/>
    </row>
    <row r="168" spans="14:14" x14ac:dyDescent="0.2">
      <c r="N168" s="76"/>
    </row>
    <row r="169" spans="14:14" x14ac:dyDescent="0.2">
      <c r="N169" s="76"/>
    </row>
    <row r="170" spans="14:14" x14ac:dyDescent="0.2">
      <c r="N170" s="76"/>
    </row>
    <row r="171" spans="14:14" x14ac:dyDescent="0.2">
      <c r="N171" s="76"/>
    </row>
    <row r="172" spans="14:14" x14ac:dyDescent="0.2">
      <c r="N172" s="76"/>
    </row>
    <row r="173" spans="14:14" x14ac:dyDescent="0.2">
      <c r="N173" s="76"/>
    </row>
    <row r="174" spans="14:14" x14ac:dyDescent="0.2">
      <c r="N174" s="76"/>
    </row>
    <row r="175" spans="14:14" x14ac:dyDescent="0.2">
      <c r="N175" s="76"/>
    </row>
    <row r="176" spans="14:14" x14ac:dyDescent="0.2">
      <c r="N176" s="76"/>
    </row>
    <row r="177" spans="14:14" x14ac:dyDescent="0.2">
      <c r="N177" s="76"/>
    </row>
    <row r="178" spans="14:14" x14ac:dyDescent="0.2">
      <c r="N178" s="76"/>
    </row>
    <row r="179" spans="14:14" x14ac:dyDescent="0.2">
      <c r="N179" s="76"/>
    </row>
    <row r="180" spans="14:14" x14ac:dyDescent="0.2">
      <c r="N180" s="76"/>
    </row>
    <row r="181" spans="14:14" x14ac:dyDescent="0.2">
      <c r="N181" s="76"/>
    </row>
    <row r="182" spans="14:14" x14ac:dyDescent="0.2">
      <c r="N182" s="76"/>
    </row>
    <row r="183" spans="14:14" x14ac:dyDescent="0.2">
      <c r="N183" s="76"/>
    </row>
    <row r="184" spans="14:14" x14ac:dyDescent="0.2">
      <c r="N184" s="76"/>
    </row>
    <row r="185" spans="14:14" x14ac:dyDescent="0.2">
      <c r="N185" s="76"/>
    </row>
    <row r="186" spans="14:14" x14ac:dyDescent="0.2">
      <c r="N186" s="76"/>
    </row>
    <row r="187" spans="14:14" x14ac:dyDescent="0.2">
      <c r="N187" s="76"/>
    </row>
    <row r="188" spans="14:14" x14ac:dyDescent="0.2">
      <c r="N188" s="76"/>
    </row>
    <row r="189" spans="14:14" x14ac:dyDescent="0.2">
      <c r="N189" s="76"/>
    </row>
    <row r="190" spans="14:14" x14ac:dyDescent="0.2">
      <c r="N190" s="76"/>
    </row>
    <row r="191" spans="14:14" x14ac:dyDescent="0.2">
      <c r="N191" s="76"/>
    </row>
    <row r="192" spans="14:14" x14ac:dyDescent="0.2">
      <c r="N192" s="76"/>
    </row>
    <row r="193" spans="14:14" x14ac:dyDescent="0.2">
      <c r="N193" s="76"/>
    </row>
    <row r="194" spans="14:14" x14ac:dyDescent="0.2">
      <c r="N194" s="76"/>
    </row>
    <row r="195" spans="14:14" x14ac:dyDescent="0.2">
      <c r="N195" s="76"/>
    </row>
    <row r="196" spans="14:14" x14ac:dyDescent="0.2">
      <c r="N196" s="76"/>
    </row>
    <row r="197" spans="14:14" x14ac:dyDescent="0.2">
      <c r="N197" s="76"/>
    </row>
    <row r="198" spans="14:14" x14ac:dyDescent="0.2">
      <c r="N198" s="76"/>
    </row>
    <row r="199" spans="14:14" x14ac:dyDescent="0.2">
      <c r="N199" s="76"/>
    </row>
    <row r="200" spans="14:14" x14ac:dyDescent="0.2">
      <c r="N200" s="76"/>
    </row>
    <row r="201" spans="14:14" x14ac:dyDescent="0.2">
      <c r="N201" s="76"/>
    </row>
    <row r="202" spans="14:14" x14ac:dyDescent="0.2">
      <c r="N202" s="76"/>
    </row>
    <row r="203" spans="14:14" x14ac:dyDescent="0.2">
      <c r="N203" s="76"/>
    </row>
    <row r="204" spans="14:14" x14ac:dyDescent="0.2">
      <c r="N204" s="76"/>
    </row>
    <row r="205" spans="14:14" x14ac:dyDescent="0.2">
      <c r="N205" s="76"/>
    </row>
    <row r="206" spans="14:14" x14ac:dyDescent="0.2">
      <c r="N206" s="76"/>
    </row>
    <row r="207" spans="14:14" x14ac:dyDescent="0.2">
      <c r="N207" s="76"/>
    </row>
    <row r="208" spans="14:14" x14ac:dyDescent="0.2">
      <c r="N208" s="76"/>
    </row>
    <row r="209" spans="14:14" x14ac:dyDescent="0.2">
      <c r="N209" s="76"/>
    </row>
    <row r="210" spans="14:14" x14ac:dyDescent="0.2">
      <c r="N210" s="76"/>
    </row>
    <row r="211" spans="14:14" x14ac:dyDescent="0.2">
      <c r="N211" s="76"/>
    </row>
    <row r="212" spans="14:14" x14ac:dyDescent="0.2">
      <c r="N212" s="76"/>
    </row>
    <row r="213" spans="14:14" x14ac:dyDescent="0.2">
      <c r="N213" s="76"/>
    </row>
    <row r="214" spans="14:14" x14ac:dyDescent="0.2">
      <c r="N214" s="76"/>
    </row>
    <row r="215" spans="14:14" x14ac:dyDescent="0.2">
      <c r="N215" s="76"/>
    </row>
    <row r="216" spans="14:14" x14ac:dyDescent="0.2">
      <c r="N216" s="76"/>
    </row>
    <row r="217" spans="14:14" x14ac:dyDescent="0.2">
      <c r="N217" s="76"/>
    </row>
  </sheetData>
  <sheetProtection formatRows="0" autoFilter="0"/>
  <mergeCells count="188">
    <mergeCell ref="B99:E99"/>
    <mergeCell ref="B135:E135"/>
    <mergeCell ref="F135:L135"/>
    <mergeCell ref="M135:V135"/>
    <mergeCell ref="C137:C138"/>
    <mergeCell ref="B25:E25"/>
    <mergeCell ref="B60:E60"/>
    <mergeCell ref="U133:V133"/>
    <mergeCell ref="M129:V130"/>
    <mergeCell ref="M131:R133"/>
    <mergeCell ref="U131:V131"/>
    <mergeCell ref="U52:V52"/>
    <mergeCell ref="F52:K52"/>
    <mergeCell ref="M64:T64"/>
    <mergeCell ref="U64:V64"/>
    <mergeCell ref="M70:T70"/>
    <mergeCell ref="U70:V70"/>
    <mergeCell ref="M81:T81"/>
    <mergeCell ref="U81:V81"/>
    <mergeCell ref="M93:T93"/>
    <mergeCell ref="U93:V93"/>
    <mergeCell ref="M103:T103"/>
    <mergeCell ref="U103:V103"/>
    <mergeCell ref="S132:T132"/>
    <mergeCell ref="S133:T133"/>
    <mergeCell ref="M119:T119"/>
    <mergeCell ref="U119:V119"/>
    <mergeCell ref="B9:D9"/>
    <mergeCell ref="E9:M9"/>
    <mergeCell ref="B10:D10"/>
    <mergeCell ref="E10:M10"/>
    <mergeCell ref="B91:C91"/>
    <mergeCell ref="B92:C92"/>
    <mergeCell ref="B107:E107"/>
    <mergeCell ref="B109:E109"/>
    <mergeCell ref="B100:E100"/>
    <mergeCell ref="B67:E67"/>
    <mergeCell ref="B68:E68"/>
    <mergeCell ref="B72:E72"/>
    <mergeCell ref="B77:E77"/>
    <mergeCell ref="B79:E79"/>
    <mergeCell ref="B82:C82"/>
    <mergeCell ref="B38:E38"/>
    <mergeCell ref="M57:T57"/>
    <mergeCell ref="B11:D11"/>
    <mergeCell ref="E11:M11"/>
    <mergeCell ref="B97:E97"/>
    <mergeCell ref="B13:M13"/>
    <mergeCell ref="B14:D14"/>
    <mergeCell ref="E14:M14"/>
    <mergeCell ref="B52:C52"/>
    <mergeCell ref="M62:N62"/>
    <mergeCell ref="D137:D138"/>
    <mergeCell ref="E123:J123"/>
    <mergeCell ref="E124:G124"/>
    <mergeCell ref="B94:E94"/>
    <mergeCell ref="B95:E95"/>
    <mergeCell ref="B39:E39"/>
    <mergeCell ref="B49:E49"/>
    <mergeCell ref="B71:E71"/>
    <mergeCell ref="B50:E50"/>
    <mergeCell ref="B54:E54"/>
    <mergeCell ref="B55:E55"/>
    <mergeCell ref="B61:E61"/>
    <mergeCell ref="B62:E62"/>
    <mergeCell ref="B65:E65"/>
    <mergeCell ref="B66:E66"/>
    <mergeCell ref="B58:E58"/>
    <mergeCell ref="B136:L136"/>
    <mergeCell ref="B115:E115"/>
    <mergeCell ref="B41:K41"/>
    <mergeCell ref="F81:K81"/>
    <mergeCell ref="L17:L18"/>
    <mergeCell ref="M39:N39"/>
    <mergeCell ref="M20:T20"/>
    <mergeCell ref="M26:N26"/>
    <mergeCell ref="B51:E51"/>
    <mergeCell ref="B53:C53"/>
    <mergeCell ref="B73:E73"/>
    <mergeCell ref="I17:I18"/>
    <mergeCell ref="P17:P18"/>
    <mergeCell ref="Q17:Q18"/>
    <mergeCell ref="B42:E42"/>
    <mergeCell ref="B43:C43"/>
    <mergeCell ref="B44:C44"/>
    <mergeCell ref="B45:C45"/>
    <mergeCell ref="B46:C46"/>
    <mergeCell ref="B47:C47"/>
    <mergeCell ref="B48:E48"/>
    <mergeCell ref="B70:K70"/>
    <mergeCell ref="R17:R18"/>
    <mergeCell ref="T17:T18"/>
    <mergeCell ref="B81:E81"/>
    <mergeCell ref="B24:E24"/>
    <mergeCell ref="B76:E76"/>
    <mergeCell ref="B75:E75"/>
    <mergeCell ref="B74:E74"/>
    <mergeCell ref="U20:V20"/>
    <mergeCell ref="B28:K28"/>
    <mergeCell ref="V17:V18"/>
    <mergeCell ref="U17:U18"/>
    <mergeCell ref="B32:E32"/>
    <mergeCell ref="B33:E33"/>
    <mergeCell ref="B34:E34"/>
    <mergeCell ref="B37:E37"/>
    <mergeCell ref="B35:E35"/>
    <mergeCell ref="B36:E36"/>
    <mergeCell ref="B30:E30"/>
    <mergeCell ref="B26:E26"/>
    <mergeCell ref="B29:E29"/>
    <mergeCell ref="B31:E31"/>
    <mergeCell ref="S17:S18"/>
    <mergeCell ref="M28:T28"/>
    <mergeCell ref="G17:G18"/>
    <mergeCell ref="B57:K57"/>
    <mergeCell ref="B64:K64"/>
    <mergeCell ref="B83:C83"/>
    <mergeCell ref="B86:C86"/>
    <mergeCell ref="U28:V28"/>
    <mergeCell ref="M41:T41"/>
    <mergeCell ref="U41:V41"/>
    <mergeCell ref="U132:V132"/>
    <mergeCell ref="M113:T113"/>
    <mergeCell ref="U113:V113"/>
    <mergeCell ref="M68:N68"/>
    <mergeCell ref="S131:T131"/>
    <mergeCell ref="M55:N55"/>
    <mergeCell ref="M52:T52"/>
    <mergeCell ref="B59:E59"/>
    <mergeCell ref="B78:E78"/>
    <mergeCell ref="B93:K93"/>
    <mergeCell ref="B103:K103"/>
    <mergeCell ref="U123:V123"/>
    <mergeCell ref="F82:K82"/>
    <mergeCell ref="M82:R82"/>
    <mergeCell ref="B90:C90"/>
    <mergeCell ref="M79:N79"/>
    <mergeCell ref="M101:N101"/>
    <mergeCell ref="B114:E114"/>
    <mergeCell ref="M111:N111"/>
    <mergeCell ref="B1:D1"/>
    <mergeCell ref="E1:V1"/>
    <mergeCell ref="B3:M3"/>
    <mergeCell ref="B4:D4"/>
    <mergeCell ref="E4:M4"/>
    <mergeCell ref="B84:C84"/>
    <mergeCell ref="B85:C85"/>
    <mergeCell ref="B87:C87"/>
    <mergeCell ref="B113:K113"/>
    <mergeCell ref="B16:V16"/>
    <mergeCell ref="B20:K20"/>
    <mergeCell ref="B105:E105"/>
    <mergeCell ref="B106:E106"/>
    <mergeCell ref="B110:E110"/>
    <mergeCell ref="B104:E104"/>
    <mergeCell ref="H17:H18"/>
    <mergeCell ref="J17:J18"/>
    <mergeCell ref="K17:K18"/>
    <mergeCell ref="M17:M18"/>
    <mergeCell ref="B17:E18"/>
    <mergeCell ref="N17:N18"/>
    <mergeCell ref="O17:O18"/>
    <mergeCell ref="B98:E98"/>
    <mergeCell ref="U57:V57"/>
    <mergeCell ref="E137:E138"/>
    <mergeCell ref="F137:K137"/>
    <mergeCell ref="B89:C89"/>
    <mergeCell ref="B88:C88"/>
    <mergeCell ref="F17:F18"/>
    <mergeCell ref="B6:M6"/>
    <mergeCell ref="B7:D7"/>
    <mergeCell ref="E7:M7"/>
    <mergeCell ref="B8:D8"/>
    <mergeCell ref="E8:M8"/>
    <mergeCell ref="B119:K119"/>
    <mergeCell ref="M123:T123"/>
    <mergeCell ref="B21:E21"/>
    <mergeCell ref="B22:E22"/>
    <mergeCell ref="B23:E23"/>
    <mergeCell ref="B108:E108"/>
    <mergeCell ref="B116:E116"/>
    <mergeCell ref="B122:F122"/>
    <mergeCell ref="B120:E120"/>
    <mergeCell ref="B101:E101"/>
    <mergeCell ref="B111:E111"/>
    <mergeCell ref="B117:E117"/>
    <mergeCell ref="B96:E96"/>
    <mergeCell ref="M117:N117"/>
  </mergeCells>
  <conditionalFormatting sqref="E1">
    <cfRule type="cellIs" dxfId="52" priority="47" operator="equal">
      <formula>"SHEET COMPLETE"</formula>
    </cfRule>
    <cfRule type="cellIs" dxfId="51" priority="48" operator="equal">
      <formula>"SHEET NOT COMPLETE"</formula>
    </cfRule>
  </conditionalFormatting>
  <conditionalFormatting sqref="F19">
    <cfRule type="cellIs" dxfId="50" priority="45" operator="greaterThan">
      <formula>0</formula>
    </cfRule>
    <cfRule type="cellIs" dxfId="49" priority="46" operator="lessThan">
      <formula>0</formula>
    </cfRule>
  </conditionalFormatting>
  <conditionalFormatting sqref="F27">
    <cfRule type="cellIs" dxfId="48" priority="43" operator="greaterThan">
      <formula>0</formula>
    </cfRule>
    <cfRule type="cellIs" dxfId="47" priority="44" operator="lessThan">
      <formula>0</formula>
    </cfRule>
  </conditionalFormatting>
  <conditionalFormatting sqref="F40">
    <cfRule type="cellIs" dxfId="46" priority="41" operator="greaterThan">
      <formula>0</formula>
    </cfRule>
    <cfRule type="cellIs" dxfId="45" priority="42" operator="lessThan">
      <formula>0</formula>
    </cfRule>
  </conditionalFormatting>
  <conditionalFormatting sqref="F56">
    <cfRule type="cellIs" dxfId="44" priority="39" operator="greaterThan">
      <formula>0</formula>
    </cfRule>
    <cfRule type="cellIs" dxfId="43" priority="40" operator="lessThan">
      <formula>0</formula>
    </cfRule>
  </conditionalFormatting>
  <conditionalFormatting sqref="F63">
    <cfRule type="cellIs" dxfId="42" priority="37" operator="greaterThan">
      <formula>0</formula>
    </cfRule>
    <cfRule type="cellIs" dxfId="41" priority="38" operator="lessThan">
      <formula>0</formula>
    </cfRule>
  </conditionalFormatting>
  <conditionalFormatting sqref="F69">
    <cfRule type="cellIs" dxfId="40" priority="35" operator="greaterThan">
      <formula>0</formula>
    </cfRule>
    <cfRule type="cellIs" dxfId="39" priority="36" operator="lessThan">
      <formula>0</formula>
    </cfRule>
  </conditionalFormatting>
  <conditionalFormatting sqref="F80">
    <cfRule type="cellIs" dxfId="38" priority="33" operator="greaterThan">
      <formula>0</formula>
    </cfRule>
    <cfRule type="cellIs" dxfId="37" priority="34" operator="lessThan">
      <formula>0</formula>
    </cfRule>
  </conditionalFormatting>
  <conditionalFormatting sqref="F102">
    <cfRule type="cellIs" dxfId="36" priority="29" operator="greaterThan">
      <formula>0</formula>
    </cfRule>
    <cfRule type="cellIs" dxfId="35" priority="30" operator="lessThan">
      <formula>0</formula>
    </cfRule>
  </conditionalFormatting>
  <conditionalFormatting sqref="F112">
    <cfRule type="cellIs" dxfId="34" priority="27" operator="greaterThan">
      <formula>0</formula>
    </cfRule>
    <cfRule type="cellIs" dxfId="33" priority="28" operator="lessThan">
      <formula>0</formula>
    </cfRule>
  </conditionalFormatting>
  <conditionalFormatting sqref="F118">
    <cfRule type="cellIs" dxfId="32" priority="23" operator="greaterThan">
      <formula>0</formula>
    </cfRule>
    <cfRule type="cellIs" dxfId="31" priority="24" operator="lessThan">
      <formula>0</formula>
    </cfRule>
  </conditionalFormatting>
  <conditionalFormatting sqref="F121">
    <cfRule type="cellIs" dxfId="30" priority="21" operator="greaterThan">
      <formula>0</formula>
    </cfRule>
    <cfRule type="cellIs" dxfId="29" priority="22" operator="lessThan">
      <formula>0</formula>
    </cfRule>
  </conditionalFormatting>
  <conditionalFormatting sqref="F26">
    <cfRule type="cellIs" dxfId="28" priority="19" operator="greaterThan">
      <formula>0</formula>
    </cfRule>
    <cfRule type="cellIs" dxfId="27" priority="20" operator="lessThan">
      <formula>0</formula>
    </cfRule>
  </conditionalFormatting>
  <conditionalFormatting sqref="F39">
    <cfRule type="cellIs" dxfId="26" priority="17" operator="greaterThan">
      <formula>0</formula>
    </cfRule>
    <cfRule type="cellIs" dxfId="25" priority="18" operator="lessThan">
      <formula>0</formula>
    </cfRule>
  </conditionalFormatting>
  <conditionalFormatting sqref="F55">
    <cfRule type="cellIs" dxfId="24" priority="15" operator="greaterThan">
      <formula>0</formula>
    </cfRule>
    <cfRule type="cellIs" dxfId="23" priority="16" operator="lessThan">
      <formula>0</formula>
    </cfRule>
  </conditionalFormatting>
  <conditionalFormatting sqref="F62">
    <cfRule type="cellIs" dxfId="22" priority="13" operator="greaterThan">
      <formula>0</formula>
    </cfRule>
    <cfRule type="cellIs" dxfId="21" priority="14" operator="lessThan">
      <formula>0</formula>
    </cfRule>
  </conditionalFormatting>
  <conditionalFormatting sqref="F68">
    <cfRule type="cellIs" dxfId="20" priority="11" operator="greaterThan">
      <formula>0</formula>
    </cfRule>
    <cfRule type="cellIs" dxfId="19" priority="12" operator="lessThan">
      <formula>0</formula>
    </cfRule>
  </conditionalFormatting>
  <conditionalFormatting sqref="F79">
    <cfRule type="cellIs" dxfId="18" priority="9" operator="greaterThan">
      <formula>0</formula>
    </cfRule>
    <cfRule type="cellIs" dxfId="17" priority="10" operator="lessThan">
      <formula>0</formula>
    </cfRule>
  </conditionalFormatting>
  <conditionalFormatting sqref="F101">
    <cfRule type="cellIs" dxfId="16" priority="7" operator="greaterThan">
      <formula>0</formula>
    </cfRule>
    <cfRule type="cellIs" dxfId="15" priority="8" operator="lessThan">
      <formula>0</formula>
    </cfRule>
  </conditionalFormatting>
  <conditionalFormatting sqref="F111">
    <cfRule type="cellIs" dxfId="14" priority="5" operator="greaterThan">
      <formula>0</formula>
    </cfRule>
    <cfRule type="cellIs" dxfId="13" priority="6" operator="lessThan">
      <formula>0</formula>
    </cfRule>
  </conditionalFormatting>
  <conditionalFormatting sqref="F117">
    <cfRule type="cellIs" dxfId="12" priority="3" operator="greaterThan">
      <formula>0</formula>
    </cfRule>
    <cfRule type="cellIs" dxfId="11" priority="4" operator="lessThan">
      <formula>0</formula>
    </cfRule>
  </conditionalFormatting>
  <dataValidations count="1">
    <dataValidation type="list" allowBlank="1" showInputMessage="1" showErrorMessage="1" sqref="F135:L135" xr:uid="{71C5F3CE-3B16-43EF-B2AE-C28D05E8C609}">
      <formula1>"Image 1: Default or Miscellaneous, Image 2: Single Male (Young), Image 3: Single Male (Elderly), Image 4: Single Female (Young), Image 5: Single Female (Elderly), Image 6: Young Couple, Image 7: Elderly Couple, Image 8: Family"</formula1>
    </dataValidation>
  </dataValidations>
  <hyperlinks>
    <hyperlink ref="M135:V135" location="'Estimate Coversheet Images'!A1" display="View Images (this link will take you to the the Estimates Coversheet Images Tab)" xr:uid="{8BF44F4C-773A-41A6-8596-E86F52F31A2D}"/>
  </hyperlinks>
  <printOptions horizontalCentered="1" verticalCentered="1"/>
  <pageMargins left="0.25" right="0.25" top="0.75" bottom="0.75" header="0.3" footer="0.3"/>
  <pageSetup paperSize="9" scale="81" orientation="portrait"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14E38BB-1B06-49EE-981F-C5C1E5195CD4}">
          <x14:formula1>
            <xm:f>'Data Lists'!$A$55:$A$63</xm:f>
          </x14:formula1>
          <xm:sqref>G114:G116 G49:G51 G58:G61 G65:G67 G83:G92 G29:G38 G53:G54 G21:G23 G71:G78 G120 G104:G110 G42 G94:G99</xm:sqref>
        </x14:dataValidation>
        <x14:dataValidation type="list" allowBlank="1" showInputMessage="1" showErrorMessage="1" xr:uid="{458E2AEA-65FF-457A-A1E2-46355E6DE3F0}">
          <x14:formula1>
            <xm:f>'Data Lists'!$A$76:$A$131</xm:f>
          </x14:formula1>
          <xm:sqref>F26 F39 F55 F62 F68 F79 F101 F111 F117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3D974-C029-4BF5-8F4A-CD6E1D073F77}">
  <sheetPr codeName="Sheet4">
    <tabColor rgb="FFFFC000"/>
    <pageSetUpPr fitToPage="1"/>
  </sheetPr>
  <dimension ref="B1:H22"/>
  <sheetViews>
    <sheetView topLeftCell="A8" zoomScale="130" zoomScaleNormal="130" workbookViewId="0">
      <selection activeCell="C19" sqref="C19:C20"/>
    </sheetView>
  </sheetViews>
  <sheetFormatPr baseColWidth="10" defaultColWidth="9.1640625" defaultRowHeight="15" x14ac:dyDescent="0.2"/>
  <cols>
    <col min="1" max="1" width="5.33203125" style="110" customWidth="1"/>
    <col min="2" max="2" width="4.5" style="110" customWidth="1"/>
    <col min="3" max="3" width="88.6640625" style="110" customWidth="1"/>
    <col min="4" max="4" width="11.5" style="110" customWidth="1"/>
    <col min="5" max="6" width="16.6640625" style="110" customWidth="1"/>
    <col min="7" max="7" width="12.33203125" style="110" customWidth="1"/>
    <col min="8" max="8" width="8.6640625" style="110" customWidth="1"/>
    <col min="9" max="16384" width="9.1640625" style="110"/>
  </cols>
  <sheetData>
    <row r="1" spans="2:8" ht="16" thickBot="1" x14ac:dyDescent="0.25">
      <c r="B1" s="595" t="str">
        <f>IF(Costing!E1="SHEET NOT COMPLETE","PLEASE COMPLETE COSTING BEFORE SUPPLYING A PRICE","")</f>
        <v/>
      </c>
      <c r="C1" s="595"/>
      <c r="D1" s="595"/>
      <c r="E1" s="595"/>
      <c r="F1" s="595"/>
    </row>
    <row r="2" spans="2:8" ht="42.75" customHeight="1" thickBot="1" x14ac:dyDescent="0.25">
      <c r="B2" s="596" t="s">
        <v>184</v>
      </c>
      <c r="C2" s="597"/>
      <c r="D2" s="598"/>
      <c r="E2" s="598"/>
      <c r="F2" s="599"/>
    </row>
    <row r="3" spans="2:8" ht="26.25" customHeight="1" x14ac:dyDescent="0.2">
      <c r="B3" s="111" t="s">
        <v>185</v>
      </c>
      <c r="C3" s="112" t="s">
        <v>186</v>
      </c>
      <c r="D3" s="148" t="s">
        <v>213</v>
      </c>
      <c r="E3" s="148" t="s">
        <v>214</v>
      </c>
      <c r="F3" s="149" t="s">
        <v>215</v>
      </c>
    </row>
    <row r="4" spans="2:8" ht="20" customHeight="1" x14ac:dyDescent="0.2">
      <c r="B4" s="113">
        <v>1</v>
      </c>
      <c r="C4" s="322" t="s">
        <v>522</v>
      </c>
      <c r="D4" s="323" t="s">
        <v>114</v>
      </c>
      <c r="E4" s="150">
        <f t="shared" ref="E4:E13" si="0">IF(D4="Yes","Optional",F4)</f>
        <v>634.48320000000012</v>
      </c>
      <c r="F4" s="115">
        <f>IF(SUMIFS('CF CSV Upload'!P:P,'CF CSV Upload'!A:A,'Customer Summary'!C4,'CF CSV Upload'!Q:Q,"Yes")=0,"n/a",SUMIFS('CF CSV Upload'!P:P,'CF CSV Upload'!A:A,'Customer Summary'!C4,'CF CSV Upload'!Q:Q,"Yes"))</f>
        <v>634.48320000000012</v>
      </c>
      <c r="G4" s="116"/>
      <c r="H4" s="116"/>
    </row>
    <row r="5" spans="2:8" ht="20" customHeight="1" x14ac:dyDescent="0.2">
      <c r="B5" s="113">
        <f t="shared" ref="B5:B13" si="1">B4+1</f>
        <v>2</v>
      </c>
      <c r="C5" s="322" t="s">
        <v>216</v>
      </c>
      <c r="D5" s="323" t="s">
        <v>114</v>
      </c>
      <c r="E5" s="150" t="str">
        <f t="shared" si="0"/>
        <v>n/a</v>
      </c>
      <c r="F5" s="115" t="str">
        <f>IF(SUMIFS('CF CSV Upload'!P:P,'CF CSV Upload'!A:A,'Customer Summary'!C5,'CF CSV Upload'!Q:Q,"Yes")=0,"n/a",SUMIFS('CF CSV Upload'!P:P,'CF CSV Upload'!A:A,'Customer Summary'!C5,'CF CSV Upload'!Q:Q,"Yes"))</f>
        <v>n/a</v>
      </c>
      <c r="G5" s="116"/>
      <c r="H5" s="116"/>
    </row>
    <row r="6" spans="2:8" ht="20" customHeight="1" x14ac:dyDescent="0.2">
      <c r="B6" s="113">
        <f t="shared" si="1"/>
        <v>3</v>
      </c>
      <c r="C6" s="322" t="s">
        <v>25</v>
      </c>
      <c r="D6" s="323" t="s">
        <v>114</v>
      </c>
      <c r="E6" s="150" t="str">
        <f t="shared" si="0"/>
        <v>n/a</v>
      </c>
      <c r="F6" s="115" t="str">
        <f>IF(SUMIFS('CF CSV Upload'!P:P,'CF CSV Upload'!A:A,'Customer Summary'!C6,'CF CSV Upload'!Q:Q,"Yes")=0,"n/a",SUMIFS('CF CSV Upload'!P:P,'CF CSV Upload'!A:A,'Customer Summary'!C6,'CF CSV Upload'!Q:Q,"Yes"))</f>
        <v>n/a</v>
      </c>
      <c r="G6" s="116"/>
      <c r="H6" s="116"/>
    </row>
    <row r="7" spans="2:8" ht="20" customHeight="1" x14ac:dyDescent="0.2">
      <c r="B7" s="113">
        <f t="shared" si="1"/>
        <v>4</v>
      </c>
      <c r="C7" s="322" t="s">
        <v>42</v>
      </c>
      <c r="D7" s="323" t="s">
        <v>114</v>
      </c>
      <c r="E7" s="150">
        <f t="shared" si="0"/>
        <v>110.69420000000001</v>
      </c>
      <c r="F7" s="115">
        <f>IF(SUMIFS('CF CSV Upload'!P:P,'CF CSV Upload'!A:A,'Customer Summary'!C7,'CF CSV Upload'!Q:Q,"Yes")=0,"n/a",SUMIFS('CF CSV Upload'!P:P,'CF CSV Upload'!A:A,'Customer Summary'!C7,'CF CSV Upload'!Q:Q,"Yes"))</f>
        <v>110.69420000000001</v>
      </c>
      <c r="G7" s="116"/>
      <c r="H7" s="116"/>
    </row>
    <row r="8" spans="2:8" ht="20" customHeight="1" x14ac:dyDescent="0.2">
      <c r="B8" s="113">
        <f t="shared" si="1"/>
        <v>5</v>
      </c>
      <c r="C8" s="322" t="s">
        <v>433</v>
      </c>
      <c r="D8" s="323" t="s">
        <v>114</v>
      </c>
      <c r="E8" s="150" t="str">
        <f t="shared" si="0"/>
        <v>n/a</v>
      </c>
      <c r="F8" s="115" t="str">
        <f>IF(SUMIFS('CF CSV Upload'!P:P,'CF CSV Upload'!A:A,'Customer Summary'!C8,'CF CSV Upload'!Q:Q,"Yes")=0,"n/a",SUMIFS('CF CSV Upload'!P:P,'CF CSV Upload'!A:A,'Customer Summary'!C8,'CF CSV Upload'!Q:Q,"Yes"))</f>
        <v>n/a</v>
      </c>
      <c r="G8" s="116"/>
      <c r="H8" s="116"/>
    </row>
    <row r="9" spans="2:8" ht="20" customHeight="1" x14ac:dyDescent="0.2">
      <c r="B9" s="113">
        <f t="shared" si="1"/>
        <v>6</v>
      </c>
      <c r="C9" s="322" t="s">
        <v>559</v>
      </c>
      <c r="D9" s="323" t="s">
        <v>114</v>
      </c>
      <c r="E9" s="150" t="str">
        <f t="shared" ref="E9" si="2">IF(D9="Yes","Optional",F9)</f>
        <v>n/a</v>
      </c>
      <c r="F9" s="115" t="str">
        <f>IF(SUMIFS('CF CSV Upload'!P:P,'CF CSV Upload'!A:A,'Customer Summary'!C9,'CF CSV Upload'!Q:Q,"Yes")=0,"n/a",SUMIFS('CF CSV Upload'!P:P,'CF CSV Upload'!A:A,'Customer Summary'!C9,'CF CSV Upload'!Q:Q,"Yes"))</f>
        <v>n/a</v>
      </c>
      <c r="G9" s="116"/>
      <c r="H9" s="116"/>
    </row>
    <row r="10" spans="2:8" ht="20" customHeight="1" x14ac:dyDescent="0.2">
      <c r="B10" s="113">
        <f t="shared" si="1"/>
        <v>7</v>
      </c>
      <c r="C10" s="322" t="s">
        <v>116</v>
      </c>
      <c r="D10" s="323" t="s">
        <v>114</v>
      </c>
      <c r="E10" s="150">
        <f t="shared" si="0"/>
        <v>2041.8579</v>
      </c>
      <c r="F10" s="115">
        <f>IF(SUMIFS('CF CSV Upload'!P:P,'CF CSV Upload'!A:A,'Customer Summary'!C10,'CF CSV Upload'!Q:Q,"Yes")=0,"n/a",SUMIFS('CF CSV Upload'!P:P,'CF CSV Upload'!A:A,'Customer Summary'!C10,'CF CSV Upload'!Q:Q,"Yes"))</f>
        <v>2041.8579</v>
      </c>
      <c r="G10" s="116"/>
      <c r="H10" s="116"/>
    </row>
    <row r="11" spans="2:8" ht="20" customHeight="1" x14ac:dyDescent="0.2">
      <c r="B11" s="113">
        <f t="shared" si="1"/>
        <v>8</v>
      </c>
      <c r="C11" s="322" t="s">
        <v>117</v>
      </c>
      <c r="D11" s="323" t="s">
        <v>114</v>
      </c>
      <c r="E11" s="150">
        <f t="shared" si="0"/>
        <v>69.808000000000007</v>
      </c>
      <c r="F11" s="115">
        <f>IF(SUMIFS('CF CSV Upload'!P:P,'CF CSV Upload'!A:A,'Customer Summary'!C11,'CF CSV Upload'!Q:Q,"Yes")=0,"n/a",SUMIFS('CF CSV Upload'!P:P,'CF CSV Upload'!A:A,'Customer Summary'!C11,'CF CSV Upload'!Q:Q,"Yes"))</f>
        <v>69.808000000000007</v>
      </c>
      <c r="G11" s="116"/>
      <c r="H11" s="116"/>
    </row>
    <row r="12" spans="2:8" ht="20" customHeight="1" x14ac:dyDescent="0.2">
      <c r="B12" s="113">
        <f t="shared" si="1"/>
        <v>9</v>
      </c>
      <c r="C12" s="322" t="s">
        <v>89</v>
      </c>
      <c r="D12" s="323" t="s">
        <v>114</v>
      </c>
      <c r="E12" s="150">
        <f t="shared" si="0"/>
        <v>492.36000000000007</v>
      </c>
      <c r="F12" s="115">
        <f>IF(SUMIFS('CF CSV Upload'!P:P,'CF CSV Upload'!A:A,'Customer Summary'!C12,'CF CSV Upload'!Q:Q,"Yes")=0,"n/a",SUMIFS('CF CSV Upload'!P:P,'CF CSV Upload'!A:A,'Customer Summary'!C12,'CF CSV Upload'!Q:Q,"Yes"))</f>
        <v>492.36000000000007</v>
      </c>
      <c r="G12" s="116"/>
      <c r="H12" s="116"/>
    </row>
    <row r="13" spans="2:8" ht="20" customHeight="1" thickBot="1" x14ac:dyDescent="0.25">
      <c r="B13" s="113">
        <f t="shared" si="1"/>
        <v>10</v>
      </c>
      <c r="C13" s="320" t="s">
        <v>521</v>
      </c>
      <c r="D13" s="114" t="s">
        <v>114</v>
      </c>
      <c r="E13" s="150">
        <f t="shared" si="0"/>
        <v>198.27600000000001</v>
      </c>
      <c r="F13" s="115">
        <f>IF(SUMIFS('CF CSV Upload'!P:P,'CF CSV Upload'!A:A,'Customer Summary'!C13,'CF CSV Upload'!Q:Q,"Yes")=0,"n/a",SUMIFS('CF CSV Upload'!P:P,'CF CSV Upload'!A:A,'Customer Summary'!C13,'CF CSV Upload'!Q:Q,"Yes"))</f>
        <v>198.27600000000001</v>
      </c>
      <c r="G13" s="116"/>
      <c r="H13" s="116"/>
    </row>
    <row r="14" spans="2:8" ht="6" customHeight="1" x14ac:dyDescent="0.2">
      <c r="B14" s="600" t="s">
        <v>187</v>
      </c>
      <c r="C14" s="271"/>
      <c r="D14" s="147"/>
      <c r="E14" s="117"/>
      <c r="F14" s="117"/>
    </row>
    <row r="15" spans="2:8" ht="20" customHeight="1" x14ac:dyDescent="0.2">
      <c r="B15" s="601"/>
      <c r="C15" s="603" t="s">
        <v>188</v>
      </c>
      <c r="D15" s="604"/>
      <c r="E15" s="150">
        <f>SUM(E4:E13)</f>
        <v>3547.4793</v>
      </c>
      <c r="F15" s="115">
        <f>SUM(F4:F13)</f>
        <v>3547.4793</v>
      </c>
      <c r="H15" s="116"/>
    </row>
    <row r="16" spans="2:8" ht="20" customHeight="1" x14ac:dyDescent="0.2">
      <c r="B16" s="601"/>
      <c r="C16" s="603" t="s">
        <v>189</v>
      </c>
      <c r="D16" s="604"/>
      <c r="E16" s="150">
        <f>E15*0.2</f>
        <v>709.49585999999999</v>
      </c>
      <c r="F16" s="115">
        <f>F15*0.2</f>
        <v>709.49585999999999</v>
      </c>
    </row>
    <row r="17" spans="2:6" ht="20" customHeight="1" x14ac:dyDescent="0.2">
      <c r="B17" s="601"/>
      <c r="C17" s="603" t="s">
        <v>59</v>
      </c>
      <c r="D17" s="604"/>
      <c r="E17" s="150">
        <f>SUM(E15:E16)</f>
        <v>4256.97516</v>
      </c>
      <c r="F17" s="115">
        <f>SUM(F15:F16)</f>
        <v>4256.97516</v>
      </c>
    </row>
    <row r="18" spans="2:6" ht="6" customHeight="1" x14ac:dyDescent="0.2">
      <c r="B18" s="601"/>
      <c r="C18" s="272"/>
      <c r="D18" s="118"/>
      <c r="E18" s="268"/>
      <c r="F18" s="119"/>
    </row>
    <row r="19" spans="2:6" ht="20" customHeight="1" x14ac:dyDescent="0.2">
      <c r="B19" s="601"/>
      <c r="C19" s="605" t="s">
        <v>190</v>
      </c>
      <c r="D19" s="269" t="s">
        <v>488</v>
      </c>
      <c r="E19" s="150">
        <f>E20/6*5</f>
        <v>1064.24379</v>
      </c>
      <c r="F19" s="115">
        <f>F20/6*5</f>
        <v>1064.24379</v>
      </c>
    </row>
    <row r="20" spans="2:6" ht="20" customHeight="1" thickBot="1" x14ac:dyDescent="0.25">
      <c r="B20" s="602"/>
      <c r="C20" s="606"/>
      <c r="D20" s="270" t="s">
        <v>489</v>
      </c>
      <c r="E20" s="273">
        <f>E17*0.3</f>
        <v>1277.0925479999999</v>
      </c>
      <c r="F20" s="120">
        <f>F17*0.3</f>
        <v>1277.0925479999999</v>
      </c>
    </row>
    <row r="22" spans="2:6" x14ac:dyDescent="0.2">
      <c r="E22" s="116"/>
    </row>
  </sheetData>
  <sheetProtection formatRows="0" autoFilter="0"/>
  <mergeCells count="7">
    <mergeCell ref="B1:F1"/>
    <mergeCell ref="B2:F2"/>
    <mergeCell ref="B14:B20"/>
    <mergeCell ref="C15:D15"/>
    <mergeCell ref="C16:D16"/>
    <mergeCell ref="C17:D17"/>
    <mergeCell ref="C19:C20"/>
  </mergeCells>
  <conditionalFormatting sqref="B1:F1">
    <cfRule type="cellIs" dxfId="10" priority="5" operator="equal">
      <formula>"PLEASE COMPLETE COSTING BEFORE SUPPLYING A PRICE"</formula>
    </cfRule>
  </conditionalFormatting>
  <conditionalFormatting sqref="D4:D13">
    <cfRule type="cellIs" dxfId="9" priority="4" operator="equal">
      <formula>"Yes"</formula>
    </cfRule>
  </conditionalFormatting>
  <conditionalFormatting sqref="E4:E13">
    <cfRule type="cellIs" dxfId="8" priority="2" operator="equal">
      <formula>"n/a"</formula>
    </cfRule>
    <cfRule type="cellIs" dxfId="7" priority="3" operator="equal">
      <formula>"Optional"</formula>
    </cfRule>
  </conditionalFormatting>
  <conditionalFormatting sqref="F4:F13">
    <cfRule type="cellIs" dxfId="6" priority="1" operator="equal">
      <formula>"n/a"</formula>
    </cfRule>
  </conditionalFormatting>
  <dataValidations count="1">
    <dataValidation type="list" allowBlank="1" showInputMessage="1" showErrorMessage="1" sqref="D4:D13" xr:uid="{DC2609D0-DFAC-41A8-B390-175A2F20EBC1}">
      <formula1>"No, Yes"</formula1>
    </dataValidation>
  </dataValidations>
  <pageMargins left="0.7" right="0.7" top="0.75" bottom="0.75" header="0.3" footer="0.3"/>
  <pageSetup paperSize="9" scale="94"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1413682B-0AD7-4A06-9DDE-EFD8750F3F50}">
          <x14:formula1>
            <xm:f>'Data Lists'!$A$15:$A$38</xm:f>
          </x14:formula1>
          <xm:sqref>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FCADF-7272-4A17-A5CB-D0D98C0CD676}">
  <sheetPr codeName="Sheet10">
    <tabColor rgb="FF00B0F0"/>
  </sheetPr>
  <dimension ref="A1:I1"/>
  <sheetViews>
    <sheetView workbookViewId="0">
      <selection activeCell="D19" sqref="D19"/>
    </sheetView>
  </sheetViews>
  <sheetFormatPr baseColWidth="10" defaultColWidth="8.83203125" defaultRowHeight="15" x14ac:dyDescent="0.2"/>
  <sheetData>
    <row r="1" spans="1:9" x14ac:dyDescent="0.2">
      <c r="A1" s="318" t="s">
        <v>499</v>
      </c>
      <c r="B1" s="97"/>
      <c r="C1" s="97"/>
      <c r="D1" s="97"/>
      <c r="E1" s="97"/>
      <c r="F1" s="97"/>
      <c r="G1" s="97"/>
      <c r="H1" s="97"/>
      <c r="I1" s="97"/>
    </row>
  </sheetData>
  <sheetProtection formatRows="0" autoFilter="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030C4-5776-413B-88BD-99406E468FDB}">
  <sheetPr codeName="Sheet11"/>
  <dimension ref="B1:K40"/>
  <sheetViews>
    <sheetView workbookViewId="0">
      <selection activeCell="P14" sqref="P14"/>
    </sheetView>
  </sheetViews>
  <sheetFormatPr baseColWidth="10" defaultColWidth="8.83203125" defaultRowHeight="15" x14ac:dyDescent="0.2"/>
  <cols>
    <col min="1" max="1" width="2.6640625" customWidth="1"/>
    <col min="10" max="10" width="9.1640625" customWidth="1"/>
  </cols>
  <sheetData>
    <row r="1" spans="2:11" ht="20" customHeight="1" x14ac:dyDescent="0.2">
      <c r="B1" s="621" t="s">
        <v>507</v>
      </c>
      <c r="C1" s="621"/>
      <c r="D1" s="621"/>
      <c r="E1" s="621"/>
      <c r="F1" s="621"/>
      <c r="G1" s="621"/>
      <c r="H1" s="621"/>
      <c r="I1" s="621"/>
      <c r="J1" s="621"/>
    </row>
    <row r="2" spans="2:11" ht="5" customHeight="1" x14ac:dyDescent="0.2"/>
    <row r="3" spans="2:11" x14ac:dyDescent="0.2">
      <c r="B3" s="617" t="s">
        <v>503</v>
      </c>
      <c r="C3" s="617"/>
      <c r="D3" s="617"/>
      <c r="E3" s="617"/>
      <c r="F3" s="617"/>
      <c r="G3" s="617"/>
      <c r="H3" s="617"/>
      <c r="I3" s="617"/>
      <c r="J3" s="617"/>
      <c r="K3" s="617"/>
    </row>
    <row r="4" spans="2:11" x14ac:dyDescent="0.2">
      <c r="B4" s="617" t="s">
        <v>502</v>
      </c>
      <c r="C4" s="617"/>
      <c r="D4" s="617"/>
      <c r="E4" s="617"/>
      <c r="F4" s="617"/>
      <c r="G4" s="617"/>
      <c r="H4" s="617"/>
      <c r="I4" s="617"/>
      <c r="J4" s="617"/>
      <c r="K4" s="617"/>
    </row>
    <row r="5" spans="2:11" x14ac:dyDescent="0.2">
      <c r="B5" s="617" t="s">
        <v>508</v>
      </c>
      <c r="C5" s="617"/>
      <c r="D5" s="617"/>
      <c r="E5" s="617"/>
      <c r="F5" s="617"/>
      <c r="G5" s="617"/>
      <c r="H5" s="617"/>
      <c r="I5" s="617"/>
      <c r="J5" s="617"/>
      <c r="K5" s="617"/>
    </row>
    <row r="6" spans="2:11" x14ac:dyDescent="0.2">
      <c r="B6" s="617" t="s">
        <v>509</v>
      </c>
      <c r="C6" s="617"/>
      <c r="D6" s="617"/>
      <c r="E6" s="617"/>
      <c r="F6" s="617"/>
      <c r="G6" s="617"/>
      <c r="H6" s="617"/>
      <c r="I6" s="617"/>
      <c r="J6" s="617"/>
      <c r="K6" s="617"/>
    </row>
    <row r="7" spans="2:11" x14ac:dyDescent="0.2">
      <c r="B7" s="617" t="s">
        <v>510</v>
      </c>
      <c r="C7" s="617"/>
      <c r="D7" s="617"/>
      <c r="E7" s="617"/>
      <c r="F7" s="617"/>
      <c r="G7" s="617"/>
      <c r="H7" s="617"/>
      <c r="I7" s="617"/>
      <c r="J7" s="617"/>
      <c r="K7" s="617"/>
    </row>
    <row r="8" spans="2:11" x14ac:dyDescent="0.2">
      <c r="B8" s="617" t="s">
        <v>511</v>
      </c>
      <c r="C8" s="617"/>
      <c r="D8" s="617"/>
      <c r="E8" s="617"/>
      <c r="F8" s="617"/>
      <c r="G8" s="617"/>
      <c r="H8" s="617"/>
      <c r="I8" s="617"/>
      <c r="J8" s="617"/>
      <c r="K8" s="617"/>
    </row>
    <row r="9" spans="2:11" x14ac:dyDescent="0.2">
      <c r="B9" s="617" t="s">
        <v>512</v>
      </c>
      <c r="C9" s="617"/>
      <c r="D9" s="617"/>
      <c r="E9" s="617"/>
      <c r="F9" s="617"/>
      <c r="G9" s="617"/>
      <c r="H9" s="617"/>
      <c r="I9" s="617"/>
      <c r="J9" s="617"/>
      <c r="K9" s="617"/>
    </row>
    <row r="10" spans="2:11" ht="5" customHeight="1" x14ac:dyDescent="0.2"/>
    <row r="11" spans="2:11" x14ac:dyDescent="0.2">
      <c r="B11" t="s">
        <v>530</v>
      </c>
    </row>
    <row r="12" spans="2:11" ht="5" customHeight="1" x14ac:dyDescent="0.2"/>
    <row r="13" spans="2:11" x14ac:dyDescent="0.2">
      <c r="B13" s="618" t="s">
        <v>513</v>
      </c>
      <c r="C13" s="618"/>
      <c r="D13" s="618"/>
      <c r="E13" s="618"/>
      <c r="F13" s="618"/>
      <c r="G13" s="618"/>
      <c r="H13" s="618"/>
      <c r="I13" s="619" t="s">
        <v>531</v>
      </c>
      <c r="J13" s="620"/>
      <c r="K13" s="261" t="s">
        <v>532</v>
      </c>
    </row>
    <row r="14" spans="2:11" ht="25" customHeight="1" x14ac:dyDescent="0.2">
      <c r="B14" s="616" t="s">
        <v>533</v>
      </c>
      <c r="C14" s="616"/>
      <c r="D14" s="616"/>
      <c r="E14" s="616"/>
      <c r="F14" s="616"/>
      <c r="G14" s="616"/>
      <c r="H14" s="616"/>
      <c r="I14" s="612"/>
      <c r="J14" s="613"/>
      <c r="K14" s="263"/>
    </row>
    <row r="15" spans="2:11" ht="25" customHeight="1" x14ac:dyDescent="0.2">
      <c r="B15" s="616" t="s">
        <v>534</v>
      </c>
      <c r="C15" s="616"/>
      <c r="D15" s="616"/>
      <c r="E15" s="616"/>
      <c r="F15" s="616"/>
      <c r="G15" s="616"/>
      <c r="H15" s="616"/>
      <c r="I15" s="612"/>
      <c r="J15" s="613"/>
      <c r="K15" s="263"/>
    </row>
    <row r="16" spans="2:11" ht="25" customHeight="1" x14ac:dyDescent="0.2">
      <c r="B16" s="616" t="s">
        <v>535</v>
      </c>
      <c r="C16" s="616"/>
      <c r="D16" s="616"/>
      <c r="E16" s="616"/>
      <c r="F16" s="616"/>
      <c r="G16" s="616"/>
      <c r="H16" s="616"/>
      <c r="I16" s="612"/>
      <c r="J16" s="613"/>
      <c r="K16" s="263"/>
    </row>
    <row r="17" spans="2:11" ht="25" customHeight="1" x14ac:dyDescent="0.2">
      <c r="B17" s="616" t="s">
        <v>536</v>
      </c>
      <c r="C17" s="616"/>
      <c r="D17" s="616"/>
      <c r="E17" s="616"/>
      <c r="F17" s="616"/>
      <c r="G17" s="616"/>
      <c r="H17" s="616"/>
      <c r="I17" s="612"/>
      <c r="J17" s="613"/>
      <c r="K17" s="263"/>
    </row>
    <row r="18" spans="2:11" ht="25" customHeight="1" x14ac:dyDescent="0.2">
      <c r="B18" s="616" t="s">
        <v>537</v>
      </c>
      <c r="C18" s="616"/>
      <c r="D18" s="616"/>
      <c r="E18" s="616"/>
      <c r="F18" s="616"/>
      <c r="G18" s="616"/>
      <c r="H18" s="616"/>
      <c r="I18" s="612"/>
      <c r="J18" s="613"/>
      <c r="K18" s="263"/>
    </row>
    <row r="19" spans="2:11" ht="25" customHeight="1" x14ac:dyDescent="0.2">
      <c r="B19" s="616" t="s">
        <v>538</v>
      </c>
      <c r="C19" s="616"/>
      <c r="D19" s="616"/>
      <c r="E19" s="616"/>
      <c r="F19" s="616"/>
      <c r="G19" s="616"/>
      <c r="H19" s="616"/>
      <c r="I19" s="612"/>
      <c r="J19" s="613"/>
    </row>
    <row r="20" spans="2:11" ht="25" customHeight="1" x14ac:dyDescent="0.2">
      <c r="B20" s="611" t="s">
        <v>539</v>
      </c>
      <c r="C20" s="611"/>
      <c r="D20" s="611"/>
      <c r="E20" s="611"/>
      <c r="F20" s="611"/>
      <c r="G20" s="611"/>
      <c r="H20" s="611"/>
      <c r="I20" s="612"/>
      <c r="J20" s="613"/>
    </row>
    <row r="21" spans="2:11" ht="25" customHeight="1" x14ac:dyDescent="0.2">
      <c r="B21" s="611" t="s">
        <v>59</v>
      </c>
      <c r="C21" s="611"/>
      <c r="D21" s="611"/>
      <c r="E21" s="611"/>
      <c r="F21" s="611"/>
      <c r="G21" s="611"/>
      <c r="H21" s="611"/>
      <c r="I21" s="612"/>
      <c r="J21" s="613"/>
    </row>
    <row r="22" spans="2:11" ht="25" customHeight="1" x14ac:dyDescent="0.2">
      <c r="B22" s="611" t="s">
        <v>540</v>
      </c>
      <c r="C22" s="611"/>
      <c r="D22" s="611"/>
      <c r="E22" s="611"/>
      <c r="F22" s="611"/>
      <c r="G22" s="611"/>
      <c r="H22" s="611"/>
      <c r="I22" s="612"/>
      <c r="J22" s="613"/>
    </row>
    <row r="23" spans="2:11" ht="5" customHeight="1" x14ac:dyDescent="0.2"/>
    <row r="24" spans="2:11" ht="36" customHeight="1" x14ac:dyDescent="0.2">
      <c r="B24" s="614" t="s">
        <v>514</v>
      </c>
      <c r="C24" s="614"/>
      <c r="D24" s="614"/>
      <c r="E24" s="614"/>
      <c r="F24" s="614"/>
      <c r="G24" s="614"/>
      <c r="H24" s="614"/>
      <c r="I24" s="614"/>
      <c r="J24" s="614"/>
      <c r="K24" s="614"/>
    </row>
    <row r="25" spans="2:11" x14ac:dyDescent="0.2">
      <c r="B25" s="615" t="s">
        <v>515</v>
      </c>
      <c r="C25" s="615"/>
      <c r="D25" s="615"/>
      <c r="E25" s="615"/>
      <c r="F25" s="615"/>
      <c r="G25" s="615"/>
      <c r="H25" s="615"/>
      <c r="I25" s="615"/>
      <c r="J25" s="615"/>
    </row>
    <row r="26" spans="2:11" ht="5" customHeight="1" x14ac:dyDescent="0.2"/>
    <row r="27" spans="2:11" ht="37.5" customHeight="1" x14ac:dyDescent="0.2">
      <c r="B27" s="614" t="s">
        <v>516</v>
      </c>
      <c r="C27" s="614"/>
      <c r="D27" s="614"/>
      <c r="E27" s="614"/>
      <c r="F27" s="614"/>
      <c r="G27" s="614"/>
      <c r="H27" s="614"/>
      <c r="I27" s="614"/>
      <c r="J27" s="614"/>
      <c r="K27" s="614"/>
    </row>
    <row r="28" spans="2:11" ht="5" customHeight="1" x14ac:dyDescent="0.2"/>
    <row r="29" spans="2:11" ht="26.25" customHeight="1" x14ac:dyDescent="0.2">
      <c r="B29" s="607" t="s">
        <v>517</v>
      </c>
      <c r="C29" s="607"/>
      <c r="D29" s="608"/>
      <c r="E29" s="609"/>
      <c r="F29" s="609"/>
      <c r="G29" s="609"/>
      <c r="H29" s="610"/>
      <c r="I29" s="321" t="s">
        <v>518</v>
      </c>
      <c r="J29" s="607"/>
      <c r="K29" s="607"/>
    </row>
    <row r="31" spans="2:11" ht="53.25" customHeight="1" x14ac:dyDescent="0.2"/>
    <row r="34" ht="5" customHeight="1" x14ac:dyDescent="0.2"/>
    <row r="35" ht="36" customHeight="1" x14ac:dyDescent="0.2"/>
    <row r="37" ht="5" customHeight="1" x14ac:dyDescent="0.2"/>
    <row r="38" ht="37.5" customHeight="1" x14ac:dyDescent="0.2"/>
    <row r="39" ht="5" customHeight="1" x14ac:dyDescent="0.2"/>
    <row r="40" ht="26.25" customHeight="1" x14ac:dyDescent="0.2"/>
  </sheetData>
  <sheetProtection formatRows="0" autoFilter="0"/>
  <mergeCells count="41">
    <mergeCell ref="B5:C5"/>
    <mergeCell ref="D5:K5"/>
    <mergeCell ref="B1:J1"/>
    <mergeCell ref="B3:C3"/>
    <mergeCell ref="D3:K3"/>
    <mergeCell ref="B4:C4"/>
    <mergeCell ref="D4:K4"/>
    <mergeCell ref="B6:C6"/>
    <mergeCell ref="D6:K6"/>
    <mergeCell ref="B7:C7"/>
    <mergeCell ref="D7:K7"/>
    <mergeCell ref="B8:C8"/>
    <mergeCell ref="D8:K8"/>
    <mergeCell ref="B9:C9"/>
    <mergeCell ref="D9:K9"/>
    <mergeCell ref="B14:H14"/>
    <mergeCell ref="I14:J14"/>
    <mergeCell ref="B15:H15"/>
    <mergeCell ref="I15:J15"/>
    <mergeCell ref="B13:H13"/>
    <mergeCell ref="I13:J13"/>
    <mergeCell ref="B16:H16"/>
    <mergeCell ref="I16:J16"/>
    <mergeCell ref="B17:H17"/>
    <mergeCell ref="I17:J17"/>
    <mergeCell ref="B18:H18"/>
    <mergeCell ref="I18:J18"/>
    <mergeCell ref="B19:H19"/>
    <mergeCell ref="I19:J19"/>
    <mergeCell ref="B20:H20"/>
    <mergeCell ref="I20:J20"/>
    <mergeCell ref="B21:H21"/>
    <mergeCell ref="I21:J21"/>
    <mergeCell ref="B29:C29"/>
    <mergeCell ref="D29:H29"/>
    <mergeCell ref="J29:K29"/>
    <mergeCell ref="B22:H22"/>
    <mergeCell ref="I22:J22"/>
    <mergeCell ref="B24:K24"/>
    <mergeCell ref="B25:J25"/>
    <mergeCell ref="B27:K27"/>
  </mergeCells>
  <hyperlinks>
    <hyperlink ref="B25" r:id="rId1" xr:uid="{D3A108E3-715D-43CF-A8E6-8A9D443A7421}"/>
  </hyperlinks>
  <pageMargins left="0.23622047244094491" right="0.43307086614173229" top="0.74803149606299213" bottom="0.74803149606299213" header="0.31496062992125984" footer="0.31496062992125984"/>
  <pageSetup orientation="portrait" r:id="rId2"/>
  <headerFooter>
    <oddHeader>&amp;R&amp;G</oddHeader>
  </headerFooter>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C1D2A-5B63-441E-983F-A1C3024BBC24}">
  <sheetPr codeName="Sheet6">
    <tabColor rgb="FF7030A0"/>
  </sheetPr>
  <dimension ref="A1:K25"/>
  <sheetViews>
    <sheetView topLeftCell="A15" zoomScaleNormal="100" workbookViewId="0">
      <selection activeCell="A25" sqref="A25:XFD25"/>
    </sheetView>
  </sheetViews>
  <sheetFormatPr baseColWidth="10" defaultColWidth="9.1640625" defaultRowHeight="14" x14ac:dyDescent="0.15"/>
  <cols>
    <col min="1" max="5" width="9.1640625" style="178"/>
    <col min="6" max="6" width="7.5" style="178" customWidth="1"/>
    <col min="7" max="8" width="9.1640625" style="178"/>
    <col min="9" max="9" width="13.6640625" style="178" customWidth="1"/>
    <col min="10" max="10" width="2.6640625" style="178" customWidth="1"/>
    <col min="11" max="11" width="45.1640625" style="178" customWidth="1"/>
    <col min="12" max="12" width="2.6640625" style="178" customWidth="1"/>
    <col min="13" max="16384" width="9.1640625" style="178"/>
  </cols>
  <sheetData>
    <row r="1" spans="1:11" ht="44.25" customHeight="1" x14ac:dyDescent="0.15">
      <c r="A1" s="627" t="s">
        <v>359</v>
      </c>
      <c r="B1" s="627"/>
      <c r="C1" s="627"/>
      <c r="D1" s="627"/>
      <c r="E1" s="627"/>
      <c r="F1" s="627"/>
      <c r="G1" s="627"/>
      <c r="H1" s="627"/>
      <c r="I1" s="627"/>
      <c r="K1" s="188"/>
    </row>
    <row r="2" spans="1:11" x14ac:dyDescent="0.15">
      <c r="A2" s="384" t="s">
        <v>360</v>
      </c>
      <c r="B2" s="384"/>
      <c r="C2" s="384"/>
      <c r="D2" s="384"/>
      <c r="E2" s="384"/>
      <c r="F2" s="384"/>
      <c r="G2" s="384"/>
      <c r="H2" s="384"/>
      <c r="I2" s="384"/>
    </row>
    <row r="3" spans="1:11" x14ac:dyDescent="0.15">
      <c r="A3" s="623" t="s">
        <v>418</v>
      </c>
      <c r="B3" s="623"/>
      <c r="C3" s="623"/>
      <c r="D3" s="623"/>
      <c r="E3" s="623"/>
      <c r="F3" s="623"/>
      <c r="G3" s="623"/>
      <c r="H3" s="623"/>
      <c r="I3" s="623"/>
    </row>
    <row r="4" spans="1:11" x14ac:dyDescent="0.15">
      <c r="A4" s="622"/>
      <c r="B4" s="622"/>
      <c r="C4" s="622"/>
      <c r="D4" s="622"/>
      <c r="E4" s="622"/>
      <c r="F4" s="622"/>
      <c r="G4" s="622"/>
      <c r="H4" s="622"/>
      <c r="I4" s="622"/>
    </row>
    <row r="5" spans="1:11" x14ac:dyDescent="0.15">
      <c r="A5" s="384" t="s">
        <v>361</v>
      </c>
      <c r="B5" s="384"/>
      <c r="C5" s="384"/>
      <c r="D5" s="384"/>
      <c r="E5" s="384"/>
      <c r="F5" s="384"/>
      <c r="G5" s="384"/>
      <c r="H5" s="384"/>
      <c r="I5" s="384"/>
    </row>
    <row r="6" spans="1:11" x14ac:dyDescent="0.15">
      <c r="A6" s="623" t="s">
        <v>420</v>
      </c>
      <c r="B6" s="623"/>
      <c r="C6" s="623"/>
      <c r="D6" s="623"/>
      <c r="E6" s="623"/>
      <c r="F6" s="623"/>
      <c r="G6" s="623"/>
      <c r="H6" s="623"/>
      <c r="I6" s="623"/>
    </row>
    <row r="7" spans="1:11" x14ac:dyDescent="0.15">
      <c r="A7" s="622"/>
      <c r="B7" s="622"/>
      <c r="C7" s="622"/>
      <c r="D7" s="622"/>
      <c r="E7" s="622"/>
      <c r="F7" s="622"/>
      <c r="G7" s="622"/>
      <c r="H7" s="622"/>
      <c r="I7" s="622"/>
    </row>
    <row r="8" spans="1:11" ht="32.25" customHeight="1" x14ac:dyDescent="0.15">
      <c r="A8" s="625" t="s">
        <v>421</v>
      </c>
      <c r="B8" s="625"/>
      <c r="C8" s="625"/>
      <c r="D8" s="625"/>
      <c r="E8" s="625"/>
      <c r="F8" s="625"/>
      <c r="G8" s="625"/>
      <c r="H8" s="625"/>
      <c r="I8" s="625"/>
    </row>
    <row r="9" spans="1:11" x14ac:dyDescent="0.15">
      <c r="A9" s="622"/>
      <c r="B9" s="622"/>
      <c r="C9" s="622"/>
      <c r="D9" s="622"/>
      <c r="E9" s="622"/>
      <c r="F9" s="622"/>
      <c r="G9" s="622"/>
      <c r="H9" s="622"/>
      <c r="I9" s="622"/>
    </row>
    <row r="10" spans="1:11" x14ac:dyDescent="0.15">
      <c r="A10" s="626" t="s">
        <v>362</v>
      </c>
      <c r="B10" s="626"/>
      <c r="C10" s="626"/>
      <c r="D10" s="626"/>
      <c r="E10" s="626"/>
      <c r="F10" s="626"/>
      <c r="G10" s="626"/>
      <c r="H10" s="626"/>
      <c r="I10" s="626"/>
    </row>
    <row r="11" spans="1:11" x14ac:dyDescent="0.15">
      <c r="A11" s="623" t="str">
        <f>Costing!E8</f>
        <v>57 Stothard Street</v>
      </c>
      <c r="B11" s="623"/>
      <c r="C11" s="623"/>
      <c r="D11" s="623"/>
      <c r="E11" s="623"/>
      <c r="F11" s="623"/>
      <c r="G11" s="623"/>
      <c r="H11" s="623"/>
      <c r="I11" s="623"/>
    </row>
    <row r="12" spans="1:11" x14ac:dyDescent="0.15">
      <c r="A12" s="623" t="str">
        <f>Costing!E9</f>
        <v>Jarrow</v>
      </c>
      <c r="B12" s="623"/>
      <c r="C12" s="623"/>
      <c r="D12" s="623"/>
      <c r="E12" s="623"/>
      <c r="F12" s="623"/>
      <c r="G12" s="623"/>
      <c r="H12" s="623"/>
      <c r="I12" s="623"/>
    </row>
    <row r="13" spans="1:11" x14ac:dyDescent="0.15">
      <c r="A13" s="623" t="str">
        <f>Costing!E10</f>
        <v>Tyne &amp; Wear</v>
      </c>
      <c r="B13" s="623"/>
      <c r="C13" s="623"/>
      <c r="D13" s="623"/>
      <c r="E13" s="623"/>
      <c r="F13" s="623"/>
      <c r="G13" s="623"/>
      <c r="H13" s="623"/>
      <c r="I13" s="623"/>
    </row>
    <row r="14" spans="1:11" x14ac:dyDescent="0.15">
      <c r="A14" s="623" t="str">
        <f>Costing!E11</f>
        <v>NE32 3AN</v>
      </c>
      <c r="B14" s="623"/>
      <c r="C14" s="623"/>
      <c r="D14" s="623"/>
      <c r="E14" s="623"/>
      <c r="F14" s="623"/>
      <c r="G14" s="623"/>
      <c r="H14" s="623"/>
      <c r="I14" s="623"/>
    </row>
    <row r="15" spans="1:11" x14ac:dyDescent="0.15">
      <c r="A15" s="622"/>
      <c r="B15" s="622"/>
      <c r="C15" s="622"/>
      <c r="D15" s="622"/>
      <c r="E15" s="622"/>
      <c r="F15" s="622"/>
      <c r="G15" s="622"/>
      <c r="H15" s="622"/>
      <c r="I15" s="622"/>
    </row>
    <row r="16" spans="1:11" ht="50.25" customHeight="1" x14ac:dyDescent="0.15">
      <c r="A16" s="625" t="s">
        <v>363</v>
      </c>
      <c r="B16" s="625"/>
      <c r="C16" s="625"/>
      <c r="D16" s="625"/>
      <c r="E16" s="625"/>
      <c r="F16" s="625"/>
      <c r="G16" s="625"/>
      <c r="H16" s="625"/>
      <c r="I16" s="625"/>
    </row>
    <row r="17" spans="1:9" ht="135" customHeight="1" x14ac:dyDescent="0.15">
      <c r="A17" s="625" t="s">
        <v>422</v>
      </c>
      <c r="B17" s="625"/>
      <c r="C17" s="625"/>
      <c r="D17" s="625"/>
      <c r="E17" s="625"/>
      <c r="F17" s="625"/>
      <c r="G17" s="625"/>
      <c r="H17" s="625"/>
      <c r="I17" s="625"/>
    </row>
    <row r="18" spans="1:9" ht="30.75" customHeight="1" x14ac:dyDescent="0.15">
      <c r="A18" s="625" t="s">
        <v>423</v>
      </c>
      <c r="B18" s="625"/>
      <c r="C18" s="625"/>
      <c r="D18" s="625"/>
      <c r="E18" s="625"/>
      <c r="F18" s="625"/>
      <c r="G18" s="625"/>
      <c r="H18" s="625"/>
      <c r="I18" s="625"/>
    </row>
    <row r="19" spans="1:9" ht="26.25" customHeight="1" x14ac:dyDescent="0.15">
      <c r="A19" s="626" t="s">
        <v>364</v>
      </c>
      <c r="B19" s="626"/>
      <c r="C19" s="626"/>
      <c r="D19" s="626"/>
      <c r="E19" s="626"/>
      <c r="F19" s="626"/>
      <c r="G19" s="626"/>
      <c r="H19" s="626"/>
      <c r="I19" s="626"/>
    </row>
    <row r="20" spans="1:9" ht="48" customHeight="1" x14ac:dyDescent="0.15">
      <c r="A20" s="625" t="s">
        <v>424</v>
      </c>
      <c r="B20" s="625"/>
      <c r="C20" s="625"/>
      <c r="D20" s="625"/>
      <c r="E20" s="625"/>
      <c r="F20" s="625"/>
      <c r="G20" s="625"/>
      <c r="H20" s="625"/>
      <c r="I20" s="625"/>
    </row>
    <row r="21" spans="1:9" ht="39.75" customHeight="1" x14ac:dyDescent="0.15">
      <c r="A21" s="625" t="s">
        <v>425</v>
      </c>
      <c r="B21" s="625"/>
      <c r="C21" s="625"/>
      <c r="D21" s="625"/>
      <c r="E21" s="625"/>
      <c r="F21" s="625"/>
      <c r="G21" s="625"/>
      <c r="H21" s="625"/>
      <c r="I21" s="625"/>
    </row>
    <row r="22" spans="1:9" x14ac:dyDescent="0.15">
      <c r="A22" s="622"/>
      <c r="B22" s="622"/>
      <c r="C22" s="622"/>
      <c r="D22" s="622"/>
      <c r="E22" s="622"/>
      <c r="F22" s="622"/>
      <c r="G22" s="622"/>
      <c r="H22" s="622"/>
      <c r="I22" s="622"/>
    </row>
    <row r="23" spans="1:9" ht="20" customHeight="1" x14ac:dyDescent="0.15">
      <c r="A23" s="623" t="s">
        <v>365</v>
      </c>
      <c r="B23" s="623"/>
      <c r="C23" s="623"/>
      <c r="D23" s="623"/>
      <c r="E23" s="623"/>
      <c r="F23" s="623"/>
      <c r="G23" s="623"/>
      <c r="H23" s="623"/>
      <c r="I23" s="623"/>
    </row>
    <row r="24" spans="1:9" ht="20" customHeight="1" x14ac:dyDescent="0.15">
      <c r="A24" s="623" t="s">
        <v>378</v>
      </c>
      <c r="B24" s="623"/>
      <c r="C24" s="623"/>
      <c r="D24" s="623"/>
      <c r="E24" s="623"/>
      <c r="F24" s="623"/>
      <c r="G24" s="623"/>
      <c r="H24" s="623"/>
      <c r="I24" s="623"/>
    </row>
    <row r="25" spans="1:9" ht="20" customHeight="1" x14ac:dyDescent="0.15">
      <c r="A25" s="363" t="s">
        <v>563</v>
      </c>
      <c r="B25" s="363"/>
      <c r="C25" s="363"/>
      <c r="D25" s="363"/>
      <c r="E25" s="624" t="s">
        <v>377</v>
      </c>
      <c r="F25" s="624"/>
      <c r="G25" s="624"/>
      <c r="H25" s="624"/>
      <c r="I25" s="624"/>
    </row>
  </sheetData>
  <sheetProtection formatRows="0" autoFilter="0"/>
  <mergeCells count="25">
    <mergeCell ref="A12:I12"/>
    <mergeCell ref="A13:I13"/>
    <mergeCell ref="A7:I7"/>
    <mergeCell ref="A8:I8"/>
    <mergeCell ref="A9:I9"/>
    <mergeCell ref="A10:I10"/>
    <mergeCell ref="A11:I11"/>
    <mergeCell ref="A6:I6"/>
    <mergeCell ref="A1:I1"/>
    <mergeCell ref="A2:I2"/>
    <mergeCell ref="A3:I3"/>
    <mergeCell ref="A4:I4"/>
    <mergeCell ref="A5:I5"/>
    <mergeCell ref="A22:I22"/>
    <mergeCell ref="A23:I23"/>
    <mergeCell ref="A24:I24"/>
    <mergeCell ref="E25:I25"/>
    <mergeCell ref="A14:I14"/>
    <mergeCell ref="A15:I15"/>
    <mergeCell ref="A16:I16"/>
    <mergeCell ref="A17:I17"/>
    <mergeCell ref="A21:I21"/>
    <mergeCell ref="A19:I19"/>
    <mergeCell ref="A20:I20"/>
    <mergeCell ref="A18:I18"/>
  </mergeCells>
  <hyperlinks>
    <hyperlink ref="E25" r:id="rId1" xr:uid="{52C8E039-F134-4E6A-8D61-C4F6A0FEAC6E}"/>
  </hyperlink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3A65-5109-471F-BB0A-317A5E366C55}">
  <sheetPr codeName="Sheet7">
    <tabColor rgb="FF7030A0"/>
  </sheetPr>
  <dimension ref="A1:K33"/>
  <sheetViews>
    <sheetView zoomScaleNormal="100" workbookViewId="0">
      <selection activeCell="A13" sqref="A13:I13"/>
    </sheetView>
  </sheetViews>
  <sheetFormatPr baseColWidth="10" defaultColWidth="9.1640625" defaultRowHeight="14" x14ac:dyDescent="0.15"/>
  <cols>
    <col min="1" max="5" width="9.1640625" style="178"/>
    <col min="6" max="6" width="7.5" style="178" customWidth="1"/>
    <col min="7" max="8" width="9.1640625" style="178"/>
    <col min="9" max="9" width="13.6640625" style="178" customWidth="1"/>
    <col min="10" max="10" width="2.6640625" style="178" customWidth="1"/>
    <col min="11" max="11" width="45.1640625" style="178" customWidth="1"/>
    <col min="12" max="12" width="2.6640625" style="178" customWidth="1"/>
    <col min="13" max="16384" width="9.1640625" style="178"/>
  </cols>
  <sheetData>
    <row r="1" spans="1:11" ht="44.25" customHeight="1" x14ac:dyDescent="0.15">
      <c r="A1" s="629" t="s">
        <v>373</v>
      </c>
      <c r="B1" s="629"/>
      <c r="C1" s="629"/>
      <c r="D1" s="629"/>
      <c r="E1" s="629"/>
      <c r="F1" s="629"/>
      <c r="G1" s="629"/>
      <c r="H1" s="629"/>
      <c r="I1" s="629"/>
      <c r="K1" s="188"/>
    </row>
    <row r="2" spans="1:11" x14ac:dyDescent="0.15">
      <c r="A2" s="622"/>
      <c r="B2" s="622"/>
      <c r="C2" s="622"/>
      <c r="D2" s="622"/>
      <c r="E2" s="622"/>
      <c r="F2" s="622"/>
      <c r="G2" s="622"/>
      <c r="H2" s="622"/>
      <c r="I2" s="622"/>
    </row>
    <row r="3" spans="1:11" x14ac:dyDescent="0.15">
      <c r="A3" s="626" t="s">
        <v>371</v>
      </c>
      <c r="B3" s="626"/>
      <c r="C3" s="626"/>
      <c r="D3" s="626"/>
      <c r="E3" s="626"/>
      <c r="F3" s="626"/>
      <c r="G3" s="626"/>
      <c r="H3" s="626"/>
      <c r="I3" s="626"/>
    </row>
    <row r="4" spans="1:11" x14ac:dyDescent="0.15">
      <c r="A4" s="623" t="str">
        <f>Costing!E8</f>
        <v>57 Stothard Street</v>
      </c>
      <c r="B4" s="623"/>
      <c r="C4" s="623"/>
      <c r="D4" s="623"/>
      <c r="E4" s="623"/>
      <c r="F4" s="623"/>
      <c r="G4" s="623"/>
      <c r="H4" s="623"/>
      <c r="I4" s="623"/>
    </row>
    <row r="5" spans="1:11" x14ac:dyDescent="0.15">
      <c r="A5" s="623" t="str">
        <f>Costing!E9</f>
        <v>Jarrow</v>
      </c>
      <c r="B5" s="623"/>
      <c r="C5" s="623"/>
      <c r="D5" s="623"/>
      <c r="E5" s="623"/>
      <c r="F5" s="623"/>
      <c r="G5" s="623"/>
      <c r="H5" s="623"/>
      <c r="I5" s="623"/>
    </row>
    <row r="6" spans="1:11" x14ac:dyDescent="0.15">
      <c r="A6" s="623" t="str">
        <f>Costing!E10</f>
        <v>Tyne &amp; Wear</v>
      </c>
      <c r="B6" s="623"/>
      <c r="C6" s="623"/>
      <c r="D6" s="623"/>
      <c r="E6" s="623"/>
      <c r="F6" s="623"/>
      <c r="G6" s="623"/>
      <c r="H6" s="623"/>
      <c r="I6" s="623"/>
    </row>
    <row r="7" spans="1:11" x14ac:dyDescent="0.15">
      <c r="A7" s="623" t="str">
        <f>Costing!E11</f>
        <v>NE32 3AN</v>
      </c>
      <c r="B7" s="623"/>
      <c r="C7" s="623"/>
      <c r="D7" s="623"/>
      <c r="E7" s="623"/>
      <c r="F7" s="623"/>
      <c r="G7" s="623"/>
      <c r="H7" s="623"/>
      <c r="I7" s="623"/>
    </row>
    <row r="8" spans="1:11" x14ac:dyDescent="0.15">
      <c r="A8" s="622"/>
      <c r="B8" s="622"/>
      <c r="C8" s="622"/>
      <c r="D8" s="622"/>
      <c r="E8" s="622"/>
      <c r="F8" s="622"/>
      <c r="G8" s="622"/>
      <c r="H8" s="622"/>
      <c r="I8" s="622"/>
    </row>
    <row r="9" spans="1:11" x14ac:dyDescent="0.15">
      <c r="A9" s="623" t="s">
        <v>372</v>
      </c>
      <c r="B9" s="623"/>
      <c r="C9" s="623"/>
      <c r="D9" s="623"/>
      <c r="E9" s="623"/>
      <c r="F9" s="623"/>
      <c r="G9" s="623"/>
      <c r="H9" s="623"/>
      <c r="I9" s="623"/>
    </row>
    <row r="10" spans="1:11" x14ac:dyDescent="0.15">
      <c r="A10" s="622"/>
      <c r="B10" s="622"/>
      <c r="C10" s="622"/>
      <c r="D10" s="622"/>
      <c r="E10" s="622"/>
      <c r="F10" s="622"/>
      <c r="G10" s="622"/>
      <c r="H10" s="622"/>
      <c r="I10" s="622"/>
    </row>
    <row r="11" spans="1:11" ht="78" customHeight="1" x14ac:dyDescent="0.15">
      <c r="A11" s="625" t="s">
        <v>379</v>
      </c>
      <c r="B11" s="625"/>
      <c r="C11" s="625"/>
      <c r="D11" s="625"/>
      <c r="E11" s="625"/>
      <c r="F11" s="625"/>
      <c r="G11" s="625"/>
      <c r="H11" s="625"/>
      <c r="I11" s="625"/>
    </row>
    <row r="12" spans="1:11" ht="6" customHeight="1" x14ac:dyDescent="0.15">
      <c r="A12" s="628"/>
      <c r="B12" s="628"/>
      <c r="C12" s="628"/>
      <c r="D12" s="628"/>
      <c r="E12" s="628"/>
      <c r="F12" s="628"/>
      <c r="G12" s="628"/>
      <c r="H12" s="628"/>
      <c r="I12" s="628"/>
    </row>
    <row r="13" spans="1:11" ht="63.75" customHeight="1" x14ac:dyDescent="0.15">
      <c r="A13" s="625" t="s">
        <v>386</v>
      </c>
      <c r="B13" s="625"/>
      <c r="C13" s="625"/>
      <c r="D13" s="625"/>
      <c r="E13" s="625"/>
      <c r="F13" s="625"/>
      <c r="G13" s="625"/>
      <c r="H13" s="625"/>
      <c r="I13" s="625"/>
    </row>
    <row r="14" spans="1:11" ht="6" customHeight="1" x14ac:dyDescent="0.15">
      <c r="A14" s="628"/>
      <c r="B14" s="628"/>
      <c r="C14" s="628"/>
      <c r="D14" s="628"/>
      <c r="E14" s="628"/>
      <c r="F14" s="628"/>
      <c r="G14" s="628"/>
      <c r="H14" s="628"/>
      <c r="I14" s="628"/>
    </row>
    <row r="15" spans="1:11" ht="63" customHeight="1" x14ac:dyDescent="0.15">
      <c r="A15" s="625" t="s">
        <v>387</v>
      </c>
      <c r="B15" s="625"/>
      <c r="C15" s="625"/>
      <c r="D15" s="625"/>
      <c r="E15" s="625"/>
      <c r="F15" s="625"/>
      <c r="G15" s="625"/>
      <c r="H15" s="625"/>
      <c r="I15" s="625"/>
    </row>
    <row r="16" spans="1:11" ht="6" customHeight="1" x14ac:dyDescent="0.15">
      <c r="A16" s="628"/>
      <c r="B16" s="628"/>
      <c r="C16" s="628"/>
      <c r="D16" s="628"/>
      <c r="E16" s="628"/>
      <c r="F16" s="628"/>
      <c r="G16" s="628"/>
      <c r="H16" s="628"/>
      <c r="I16" s="628"/>
    </row>
    <row r="17" spans="1:9" ht="32.25" customHeight="1" x14ac:dyDescent="0.15">
      <c r="A17" s="625" t="s">
        <v>383</v>
      </c>
      <c r="B17" s="625"/>
      <c r="C17" s="625"/>
      <c r="D17" s="625"/>
      <c r="E17" s="625"/>
      <c r="F17" s="625"/>
      <c r="G17" s="625"/>
      <c r="H17" s="625"/>
      <c r="I17" s="625"/>
    </row>
    <row r="18" spans="1:9" ht="6" customHeight="1" x14ac:dyDescent="0.15">
      <c r="A18" s="628"/>
      <c r="B18" s="628"/>
      <c r="C18" s="628"/>
      <c r="D18" s="628"/>
      <c r="E18" s="628"/>
      <c r="F18" s="628"/>
      <c r="G18" s="628"/>
      <c r="H18" s="628"/>
      <c r="I18" s="628"/>
    </row>
    <row r="19" spans="1:9" ht="33" customHeight="1" x14ac:dyDescent="0.15">
      <c r="A19" s="625" t="s">
        <v>380</v>
      </c>
      <c r="B19" s="625"/>
      <c r="C19" s="625"/>
      <c r="D19" s="625"/>
      <c r="E19" s="625"/>
      <c r="F19" s="625"/>
      <c r="G19" s="625"/>
      <c r="H19" s="625"/>
      <c r="I19" s="625"/>
    </row>
    <row r="20" spans="1:9" ht="6" customHeight="1" x14ac:dyDescent="0.15">
      <c r="A20" s="628"/>
      <c r="B20" s="628"/>
      <c r="C20" s="628"/>
      <c r="D20" s="628"/>
      <c r="E20" s="628"/>
      <c r="F20" s="628"/>
      <c r="G20" s="628"/>
      <c r="H20" s="628"/>
      <c r="I20" s="628"/>
    </row>
    <row r="21" spans="1:9" ht="36.75" customHeight="1" x14ac:dyDescent="0.15">
      <c r="A21" s="625" t="s">
        <v>384</v>
      </c>
      <c r="B21" s="625"/>
      <c r="C21" s="625"/>
      <c r="D21" s="625"/>
      <c r="E21" s="625"/>
      <c r="F21" s="625"/>
      <c r="G21" s="625"/>
      <c r="H21" s="625"/>
      <c r="I21" s="625"/>
    </row>
    <row r="22" spans="1:9" ht="6" customHeight="1" x14ac:dyDescent="0.15">
      <c r="A22" s="628"/>
      <c r="B22" s="628"/>
      <c r="C22" s="628"/>
      <c r="D22" s="628"/>
      <c r="E22" s="628"/>
      <c r="F22" s="628"/>
      <c r="G22" s="628"/>
      <c r="H22" s="628"/>
      <c r="I22" s="628"/>
    </row>
    <row r="23" spans="1:9" ht="37.5" customHeight="1" x14ac:dyDescent="0.15">
      <c r="A23" s="625" t="s">
        <v>381</v>
      </c>
      <c r="B23" s="625"/>
      <c r="C23" s="625"/>
      <c r="D23" s="625"/>
      <c r="E23" s="625"/>
      <c r="F23" s="625"/>
      <c r="G23" s="625"/>
      <c r="H23" s="625"/>
      <c r="I23" s="625"/>
    </row>
    <row r="24" spans="1:9" ht="6" customHeight="1" x14ac:dyDescent="0.15">
      <c r="A24" s="628"/>
      <c r="B24" s="628"/>
      <c r="C24" s="628"/>
      <c r="D24" s="628"/>
      <c r="E24" s="628"/>
      <c r="F24" s="628"/>
      <c r="G24" s="628"/>
      <c r="H24" s="628"/>
      <c r="I24" s="628"/>
    </row>
    <row r="25" spans="1:9" ht="37.5" customHeight="1" x14ac:dyDescent="0.15">
      <c r="A25" s="625" t="s">
        <v>382</v>
      </c>
      <c r="B25" s="625"/>
      <c r="C25" s="625"/>
      <c r="D25" s="625"/>
      <c r="E25" s="625"/>
      <c r="F25" s="625"/>
      <c r="G25" s="625"/>
      <c r="H25" s="625"/>
      <c r="I25" s="625"/>
    </row>
    <row r="26" spans="1:9" ht="6" customHeight="1" x14ac:dyDescent="0.15">
      <c r="A26" s="628"/>
      <c r="B26" s="628"/>
      <c r="C26" s="628"/>
      <c r="D26" s="628"/>
      <c r="E26" s="628"/>
      <c r="F26" s="628"/>
      <c r="G26" s="628"/>
      <c r="H26" s="628"/>
      <c r="I26" s="628"/>
    </row>
    <row r="27" spans="1:9" ht="33.75" customHeight="1" x14ac:dyDescent="0.15">
      <c r="A27" s="625" t="s">
        <v>385</v>
      </c>
      <c r="B27" s="625"/>
      <c r="C27" s="625"/>
      <c r="D27" s="625"/>
      <c r="E27" s="625"/>
      <c r="F27" s="625"/>
      <c r="G27" s="625"/>
      <c r="H27" s="625"/>
      <c r="I27" s="625"/>
    </row>
    <row r="28" spans="1:9" x14ac:dyDescent="0.15">
      <c r="A28" s="622"/>
      <c r="B28" s="622"/>
      <c r="C28" s="622"/>
      <c r="D28" s="622"/>
      <c r="E28" s="622"/>
      <c r="F28" s="622"/>
      <c r="G28" s="622"/>
      <c r="H28" s="622"/>
      <c r="I28" s="622"/>
    </row>
    <row r="29" spans="1:9" ht="20" customHeight="1" x14ac:dyDescent="0.15">
      <c r="A29" s="623" t="s">
        <v>376</v>
      </c>
      <c r="B29" s="623"/>
      <c r="C29" s="623"/>
      <c r="D29" s="623"/>
      <c r="E29" s="623"/>
      <c r="F29" s="623"/>
      <c r="G29" s="623"/>
      <c r="H29" s="623"/>
      <c r="I29" s="623"/>
    </row>
    <row r="30" spans="1:9" ht="20" customHeight="1" x14ac:dyDescent="0.15">
      <c r="A30" s="623" t="s">
        <v>374</v>
      </c>
      <c r="B30" s="623"/>
      <c r="C30" s="623"/>
      <c r="D30" s="623"/>
      <c r="E30" s="623"/>
      <c r="F30" s="623"/>
      <c r="G30" s="623"/>
      <c r="H30" s="623"/>
      <c r="I30" s="623"/>
    </row>
    <row r="31" spans="1:9" ht="20" customHeight="1" x14ac:dyDescent="0.15">
      <c r="A31" s="623" t="s">
        <v>375</v>
      </c>
      <c r="B31" s="623"/>
      <c r="C31" s="623"/>
      <c r="D31" s="623"/>
      <c r="E31" s="623"/>
      <c r="F31" s="623"/>
      <c r="G31" s="623"/>
      <c r="H31" s="623"/>
      <c r="I31" s="623"/>
    </row>
    <row r="32" spans="1:9" ht="20" customHeight="1" x14ac:dyDescent="0.15">
      <c r="A32" s="623" t="s">
        <v>378</v>
      </c>
      <c r="B32" s="623"/>
      <c r="C32" s="623"/>
      <c r="D32" s="623"/>
      <c r="E32" s="623"/>
      <c r="F32" s="623"/>
      <c r="G32" s="623"/>
      <c r="H32" s="623"/>
      <c r="I32" s="623"/>
    </row>
    <row r="33" spans="1:9" ht="20" customHeight="1" x14ac:dyDescent="0.15">
      <c r="A33" s="363" t="s">
        <v>563</v>
      </c>
      <c r="B33" s="363"/>
      <c r="C33" s="363"/>
      <c r="D33" s="363"/>
      <c r="E33" s="624" t="s">
        <v>377</v>
      </c>
      <c r="F33" s="624"/>
      <c r="G33" s="624"/>
      <c r="H33" s="624"/>
      <c r="I33" s="624"/>
    </row>
  </sheetData>
  <sheetProtection formatRows="0" autoFilter="0"/>
  <mergeCells count="33">
    <mergeCell ref="A32:I32"/>
    <mergeCell ref="A22:I22"/>
    <mergeCell ref="E33:I33"/>
    <mergeCell ref="A31:I31"/>
    <mergeCell ref="A30:I30"/>
    <mergeCell ref="A1:I1"/>
    <mergeCell ref="A9:I9"/>
    <mergeCell ref="A16:I16"/>
    <mergeCell ref="A24:I24"/>
    <mergeCell ref="A10:I10"/>
    <mergeCell ref="A11:I11"/>
    <mergeCell ref="A2:I2"/>
    <mergeCell ref="A3:I3"/>
    <mergeCell ref="A4:I4"/>
    <mergeCell ref="A5:I5"/>
    <mergeCell ref="A6:I6"/>
    <mergeCell ref="A7:I7"/>
    <mergeCell ref="A8:I8"/>
    <mergeCell ref="A13:I13"/>
    <mergeCell ref="A14:I14"/>
    <mergeCell ref="A12:I12"/>
    <mergeCell ref="A15:I15"/>
    <mergeCell ref="A27:I27"/>
    <mergeCell ref="A28:I28"/>
    <mergeCell ref="A25:I25"/>
    <mergeCell ref="A29:I29"/>
    <mergeCell ref="A26:I26"/>
    <mergeCell ref="A17:I17"/>
    <mergeCell ref="A18:I18"/>
    <mergeCell ref="A20:I20"/>
    <mergeCell ref="A19:I19"/>
    <mergeCell ref="A21:I21"/>
    <mergeCell ref="A23:I23"/>
  </mergeCells>
  <hyperlinks>
    <hyperlink ref="E33" r:id="rId1" xr:uid="{78F4C59C-E8DE-498D-8435-0B240022EEB9}"/>
  </hyperlinks>
  <pageMargins left="0.70866141732283472" right="0.70866141732283472" top="0.74803149606299213" bottom="0.74803149606299213" header="0.31496062992125984" footer="0.31496062992125984"/>
  <pageSetup paperSize="9" orientation="portrait" r:id="rId2"/>
  <headerFooter>
    <oddHeader>&amp;R&amp;G</oddHeader>
  </headerFooter>
  <drawing r:id="rId3"/>
  <legacyDrawingHF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619FA-F0F9-4094-86CD-64FCC03A49CB}">
  <sheetPr codeName="Sheet12">
    <pageSetUpPr fitToPage="1"/>
  </sheetPr>
  <dimension ref="B1:H22"/>
  <sheetViews>
    <sheetView workbookViewId="0">
      <selection activeCell="L10" sqref="L10"/>
    </sheetView>
  </sheetViews>
  <sheetFormatPr baseColWidth="10" defaultColWidth="9.1640625" defaultRowHeight="15" x14ac:dyDescent="0.2"/>
  <cols>
    <col min="1" max="1" width="5.33203125" style="4" customWidth="1"/>
    <col min="2" max="2" width="4.5" style="4" customWidth="1"/>
    <col min="3" max="3" width="61.1640625" style="4" customWidth="1"/>
    <col min="4" max="4" width="21" style="4" customWidth="1"/>
    <col min="5" max="5" width="62" style="4" customWidth="1"/>
    <col min="6" max="6" width="8.83203125" style="4" customWidth="1"/>
    <col min="7" max="7" width="15.33203125" style="4" customWidth="1"/>
    <col min="8" max="16384" width="9.1640625" style="4"/>
  </cols>
  <sheetData>
    <row r="1" spans="2:8" ht="10" customHeight="1" thickBot="1" x14ac:dyDescent="0.25"/>
    <row r="2" spans="2:8" ht="42.75" customHeight="1" thickBot="1" x14ac:dyDescent="0.25">
      <c r="B2" s="596" t="s">
        <v>501</v>
      </c>
      <c r="C2" s="597"/>
      <c r="D2" s="598"/>
      <c r="E2" s="599"/>
    </row>
    <row r="3" spans="2:8" ht="18" x14ac:dyDescent="0.2">
      <c r="B3" s="632" t="s">
        <v>541</v>
      </c>
      <c r="C3" s="633"/>
      <c r="D3" s="633"/>
      <c r="E3" s="634"/>
    </row>
    <row r="4" spans="2:8" x14ac:dyDescent="0.2">
      <c r="B4" s="635" t="s">
        <v>95</v>
      </c>
      <c r="C4" s="636"/>
      <c r="D4" s="636" t="str">
        <f>Costing!E4</f>
        <v>MAR57NE323AN</v>
      </c>
      <c r="E4" s="637"/>
    </row>
    <row r="5" spans="2:8" x14ac:dyDescent="0.2">
      <c r="B5" s="635" t="s">
        <v>502</v>
      </c>
      <c r="C5" s="636"/>
      <c r="D5" s="636" t="str">
        <f>Costing!E7</f>
        <v>Keli Martin</v>
      </c>
      <c r="E5" s="637"/>
    </row>
    <row r="6" spans="2:8" x14ac:dyDescent="0.2">
      <c r="B6" s="635" t="s">
        <v>574</v>
      </c>
      <c r="C6" s="636"/>
      <c r="D6" s="636" t="str">
        <f>Costing!E8</f>
        <v>57 Stothard Street</v>
      </c>
      <c r="E6" s="637"/>
    </row>
    <row r="7" spans="2:8" x14ac:dyDescent="0.2">
      <c r="B7" s="635" t="s">
        <v>575</v>
      </c>
      <c r="C7" s="636"/>
      <c r="D7" s="636" t="str">
        <f>Costing!E9</f>
        <v>Jarrow</v>
      </c>
      <c r="E7" s="637"/>
    </row>
    <row r="8" spans="2:8" x14ac:dyDescent="0.2">
      <c r="B8" s="635" t="s">
        <v>576</v>
      </c>
      <c r="C8" s="636"/>
      <c r="D8" s="636" t="str">
        <f>Costing!E10</f>
        <v>Tyne &amp; Wear</v>
      </c>
      <c r="E8" s="637"/>
    </row>
    <row r="9" spans="2:8" ht="16" thickBot="1" x14ac:dyDescent="0.25">
      <c r="B9" s="638" t="s">
        <v>577</v>
      </c>
      <c r="C9" s="630"/>
      <c r="D9" s="630" t="str">
        <f>Costing!E11</f>
        <v>NE32 3AN</v>
      </c>
      <c r="E9" s="631"/>
    </row>
    <row r="10" spans="2:8" ht="41.25" customHeight="1" x14ac:dyDescent="0.2">
      <c r="B10" s="111" t="s">
        <v>185</v>
      </c>
      <c r="C10" s="112" t="s">
        <v>542</v>
      </c>
      <c r="D10" s="148" t="s">
        <v>543</v>
      </c>
      <c r="E10" s="149" t="s">
        <v>544</v>
      </c>
      <c r="G10" s="335" t="s">
        <v>545</v>
      </c>
    </row>
    <row r="11" spans="2:8" ht="20" customHeight="1" x14ac:dyDescent="0.2">
      <c r="B11" s="113">
        <v>1</v>
      </c>
      <c r="C11" s="322" t="str">
        <f>'Customer Summary'!C4</f>
        <v>Stripping out of items as required to proceed with works</v>
      </c>
      <c r="D11" s="336">
        <f>Costing!V26+Costing!V39</f>
        <v>232.96</v>
      </c>
      <c r="E11" s="337"/>
      <c r="F11" s="338"/>
      <c r="G11" s="339">
        <f>Costing!O26+Costing!O39</f>
        <v>8.32</v>
      </c>
      <c r="H11" s="340"/>
    </row>
    <row r="12" spans="2:8" ht="20" customHeight="1" x14ac:dyDescent="0.2">
      <c r="B12" s="113">
        <f t="shared" ref="B12:B19" si="0">B11+1</f>
        <v>2</v>
      </c>
      <c r="C12" s="322" t="str">
        <f>'Customer Summary'!C5</f>
        <v>Walls (Install membrane system)</v>
      </c>
      <c r="D12" s="336">
        <f>Costing!V55</f>
        <v>0</v>
      </c>
      <c r="E12" s="337"/>
      <c r="F12" s="338"/>
      <c r="G12" s="339">
        <f>Costing!O55</f>
        <v>0</v>
      </c>
      <c r="H12" s="340"/>
    </row>
    <row r="13" spans="2:8" ht="20" customHeight="1" x14ac:dyDescent="0.2">
      <c r="B13" s="113">
        <f t="shared" si="0"/>
        <v>3</v>
      </c>
      <c r="C13" s="322" t="str">
        <f>'Customer Summary'!C6</f>
        <v>Cementitious tanking system</v>
      </c>
      <c r="D13" s="336">
        <f>Costing!V62</f>
        <v>0</v>
      </c>
      <c r="E13" s="337"/>
      <c r="F13" s="338"/>
      <c r="G13" s="339">
        <f>Costing!O62</f>
        <v>0</v>
      </c>
      <c r="H13" s="340"/>
    </row>
    <row r="14" spans="2:8" ht="20" customHeight="1" x14ac:dyDescent="0.2">
      <c r="B14" s="113">
        <f t="shared" si="0"/>
        <v>4</v>
      </c>
      <c r="C14" s="322" t="str">
        <f>'Customer Summary'!C7</f>
        <v xml:space="preserve">Floor - Liquid Resin floor Membranes </v>
      </c>
      <c r="D14" s="336">
        <f>Costing!V68</f>
        <v>8.9600000000000009</v>
      </c>
      <c r="E14" s="337"/>
      <c r="F14" s="338"/>
      <c r="G14" s="339">
        <f>Costing!O68</f>
        <v>0.32</v>
      </c>
      <c r="H14" s="340"/>
    </row>
    <row r="15" spans="2:8" ht="20" customHeight="1" x14ac:dyDescent="0.2">
      <c r="B15" s="113">
        <f t="shared" si="0"/>
        <v>5</v>
      </c>
      <c r="C15" s="322" t="str">
        <f>'Customer Summary'!C8</f>
        <v>Plastering &amp; finishing</v>
      </c>
      <c r="D15" s="336">
        <f>Costing!V79-D16</f>
        <v>0</v>
      </c>
      <c r="E15" s="337"/>
      <c r="F15" s="338"/>
      <c r="G15" s="339">
        <f>Costing!O79-G16</f>
        <v>0</v>
      </c>
      <c r="H15" s="340"/>
    </row>
    <row r="16" spans="2:8" ht="20" customHeight="1" x14ac:dyDescent="0.2">
      <c r="B16" s="113">
        <f t="shared" si="0"/>
        <v>6</v>
      </c>
      <c r="C16" s="322" t="str">
        <f>'Customer Summary'!C9</f>
        <v>Warmline Internal Wall Insulation</v>
      </c>
      <c r="D16" s="336">
        <f>Costing!V73</f>
        <v>0</v>
      </c>
      <c r="E16" s="337"/>
      <c r="F16" s="338"/>
      <c r="G16" s="339">
        <f>Costing!O73</f>
        <v>0</v>
      </c>
      <c r="H16" s="340"/>
    </row>
    <row r="17" spans="2:8" ht="20" customHeight="1" x14ac:dyDescent="0.2">
      <c r="B17" s="113">
        <f t="shared" si="0"/>
        <v>7</v>
      </c>
      <c r="C17" s="322" t="str">
        <f>'Customer Summary'!C10</f>
        <v>Floor Joists &amp; Floor Decking</v>
      </c>
      <c r="D17" s="336">
        <f>Costing!V101</f>
        <v>545.29999999999995</v>
      </c>
      <c r="E17" s="337"/>
      <c r="F17" s="338"/>
      <c r="G17" s="339">
        <f>Costing!O101</f>
        <v>19.475000000000001</v>
      </c>
      <c r="H17" s="340"/>
    </row>
    <row r="18" spans="2:8" ht="20" customHeight="1" x14ac:dyDescent="0.2">
      <c r="B18" s="113">
        <f t="shared" si="0"/>
        <v>8</v>
      </c>
      <c r="C18" s="322" t="str">
        <f>'Customer Summary'!C11</f>
        <v>Timber Treatments</v>
      </c>
      <c r="D18" s="336">
        <f>Costing!V111</f>
        <v>22.400000000000002</v>
      </c>
      <c r="E18" s="337"/>
      <c r="F18" s="338"/>
      <c r="G18" s="339">
        <f>Costing!O111</f>
        <v>0.8</v>
      </c>
      <c r="H18" s="340"/>
    </row>
    <row r="19" spans="2:8" ht="20" customHeight="1" thickBot="1" x14ac:dyDescent="0.25">
      <c r="B19" s="113">
        <f t="shared" si="0"/>
        <v>9</v>
      </c>
      <c r="C19" s="322" t="str">
        <f>'Customer Summary'!C12</f>
        <v>Airbricks</v>
      </c>
      <c r="D19" s="336">
        <f>Costing!V117</f>
        <v>168</v>
      </c>
      <c r="E19" s="337"/>
      <c r="F19" s="338"/>
      <c r="G19" s="339">
        <f>Costing!O117</f>
        <v>6</v>
      </c>
      <c r="H19" s="340"/>
    </row>
    <row r="20" spans="2:8" ht="3" customHeight="1" x14ac:dyDescent="0.2">
      <c r="B20" s="341"/>
      <c r="C20" s="271"/>
      <c r="D20" s="117"/>
      <c r="E20" s="117"/>
      <c r="G20" s="342"/>
    </row>
    <row r="21" spans="2:8" ht="20" customHeight="1" thickBot="1" x14ac:dyDescent="0.25">
      <c r="B21" s="343"/>
      <c r="C21" s="324" t="s">
        <v>59</v>
      </c>
      <c r="D21" s="150">
        <f>SUM(D11:D20)</f>
        <v>977.62</v>
      </c>
      <c r="E21" s="119"/>
      <c r="G21" s="339">
        <f>SUM(G11:G20)</f>
        <v>34.915000000000006</v>
      </c>
    </row>
    <row r="22" spans="2:8" ht="3" customHeight="1" thickBot="1" x14ac:dyDescent="0.25">
      <c r="B22" s="344"/>
      <c r="C22" s="345"/>
      <c r="D22" s="346"/>
      <c r="E22" s="347"/>
      <c r="G22" s="348"/>
    </row>
  </sheetData>
  <sheetProtection formatRows="0" autoFilter="0"/>
  <mergeCells count="14">
    <mergeCell ref="D9:E9"/>
    <mergeCell ref="B2:E2"/>
    <mergeCell ref="B3:E3"/>
    <mergeCell ref="B4:C4"/>
    <mergeCell ref="D4:E4"/>
    <mergeCell ref="B5:C5"/>
    <mergeCell ref="D5:E5"/>
    <mergeCell ref="B6:C6"/>
    <mergeCell ref="D6:E6"/>
    <mergeCell ref="B7:C7"/>
    <mergeCell ref="D7:E7"/>
    <mergeCell ref="B8:C8"/>
    <mergeCell ref="D8:E8"/>
    <mergeCell ref="B9:C9"/>
  </mergeCells>
  <conditionalFormatting sqref="D11:D19">
    <cfRule type="cellIs" dxfId="5" priority="5" operator="equal">
      <formula>"n/a"</formula>
    </cfRule>
    <cfRule type="cellIs" dxfId="4" priority="6" operator="equal">
      <formula>"Optional"</formula>
    </cfRule>
  </conditionalFormatting>
  <conditionalFormatting sqref="G11:G19">
    <cfRule type="cellIs" dxfId="3" priority="3" operator="equal">
      <formula>"n/a"</formula>
    </cfRule>
    <cfRule type="cellIs" dxfId="2" priority="4" operator="equal">
      <formula>"Optional"</formula>
    </cfRule>
  </conditionalFormatting>
  <conditionalFormatting sqref="G21">
    <cfRule type="cellIs" dxfId="1" priority="1" operator="equal">
      <formula>"n/a"</formula>
    </cfRule>
    <cfRule type="cellIs" dxfId="0" priority="2" operator="equal">
      <formula>"Optional"</formula>
    </cfRule>
  </conditionalFormatting>
  <dataValidations count="1">
    <dataValidation type="list" allowBlank="1" showInputMessage="1" showErrorMessage="1" sqref="B84:B86 B40:B42 B34:B37 D3 B52:B61 B25:B31 B45:B49 B10:B13 G5 B16:B22 B79:B81 B70:B76 B64:B67" xr:uid="{FD8D3CDC-CC9F-46D4-B6F6-393D9983C7A7}">
      <formula1>"No,Yes"</formula1>
    </dataValidation>
  </dataValidations>
  <pageMargins left="0.7" right="0.7" top="0.75" bottom="0.75" header="0.3" footer="0.3"/>
  <pageSetup scale="8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44831-2F58-4BFC-BEC6-BA28F2A7E804}">
  <sheetPr codeName="Sheet13">
    <pageSetUpPr fitToPage="1"/>
  </sheetPr>
  <dimension ref="A1:I53"/>
  <sheetViews>
    <sheetView workbookViewId="0">
      <selection activeCell="G10" sqref="G10"/>
    </sheetView>
  </sheetViews>
  <sheetFormatPr baseColWidth="10" defaultColWidth="8.83203125" defaultRowHeight="15" x14ac:dyDescent="0.2"/>
  <cols>
    <col min="1" max="1" width="5.1640625" customWidth="1"/>
    <col min="2" max="2" width="16.5" customWidth="1"/>
    <col min="3" max="3" width="9.1640625" customWidth="1"/>
    <col min="6" max="7" width="10.6640625" customWidth="1"/>
    <col min="8" max="8" width="65.6640625" customWidth="1"/>
  </cols>
  <sheetData>
    <row r="1" spans="2:8" ht="26" x14ac:dyDescent="0.2">
      <c r="B1" s="319" t="s">
        <v>504</v>
      </c>
      <c r="C1" s="319"/>
    </row>
    <row r="3" spans="2:8" ht="29.25" customHeight="1" x14ac:dyDescent="0.2">
      <c r="B3" s="358" t="s">
        <v>547</v>
      </c>
    </row>
    <row r="4" spans="2:8" s="24" customFormat="1" x14ac:dyDescent="0.2">
      <c r="B4"/>
      <c r="C4"/>
      <c r="D4"/>
      <c r="E4"/>
      <c r="F4"/>
      <c r="G4"/>
      <c r="H4"/>
    </row>
    <row r="5" spans="2:8" s="24" customFormat="1" x14ac:dyDescent="0.2">
      <c r="B5"/>
      <c r="C5"/>
      <c r="D5"/>
      <c r="E5"/>
      <c r="F5"/>
      <c r="G5"/>
      <c r="H5"/>
    </row>
    <row r="6" spans="2:8" s="24" customFormat="1" x14ac:dyDescent="0.2">
      <c r="B6"/>
      <c r="C6"/>
      <c r="D6"/>
      <c r="E6"/>
      <c r="F6"/>
      <c r="G6"/>
      <c r="H6"/>
    </row>
    <row r="7" spans="2:8" s="24" customFormat="1" x14ac:dyDescent="0.2">
      <c r="B7"/>
      <c r="C7"/>
      <c r="D7"/>
      <c r="E7"/>
      <c r="F7"/>
      <c r="G7"/>
      <c r="H7"/>
    </row>
    <row r="8" spans="2:8" s="24" customFormat="1" x14ac:dyDescent="0.2">
      <c r="B8"/>
      <c r="C8"/>
      <c r="D8"/>
      <c r="E8"/>
      <c r="F8"/>
      <c r="G8"/>
      <c r="H8"/>
    </row>
    <row r="9" spans="2:8" s="24" customFormat="1" x14ac:dyDescent="0.2">
      <c r="B9"/>
      <c r="C9"/>
      <c r="D9"/>
      <c r="E9"/>
      <c r="F9"/>
      <c r="G9"/>
      <c r="H9"/>
    </row>
    <row r="10" spans="2:8" s="24" customFormat="1" x14ac:dyDescent="0.2">
      <c r="B10"/>
      <c r="C10"/>
      <c r="D10"/>
      <c r="E10"/>
      <c r="F10"/>
      <c r="G10"/>
      <c r="H10"/>
    </row>
    <row r="11" spans="2:8" s="24" customFormat="1" x14ac:dyDescent="0.2">
      <c r="B11"/>
      <c r="C11"/>
      <c r="D11"/>
      <c r="E11"/>
      <c r="F11"/>
      <c r="G11"/>
      <c r="H11"/>
    </row>
    <row r="12" spans="2:8" s="24" customFormat="1" x14ac:dyDescent="0.2">
      <c r="B12"/>
      <c r="C12"/>
      <c r="D12"/>
      <c r="E12"/>
      <c r="F12"/>
      <c r="G12"/>
      <c r="H12"/>
    </row>
    <row r="13" spans="2:8" s="24" customFormat="1" ht="20.25" customHeight="1" x14ac:dyDescent="0.2">
      <c r="B13"/>
      <c r="C13"/>
      <c r="D13"/>
      <c r="E13"/>
      <c r="F13"/>
      <c r="G13"/>
      <c r="H13"/>
    </row>
    <row r="14" spans="2:8" s="24" customFormat="1" x14ac:dyDescent="0.2">
      <c r="B14"/>
      <c r="C14"/>
      <c r="D14"/>
      <c r="E14"/>
      <c r="F14"/>
      <c r="G14"/>
      <c r="H14"/>
    </row>
    <row r="15" spans="2:8" s="24" customFormat="1" x14ac:dyDescent="0.2">
      <c r="B15"/>
      <c r="C15"/>
      <c r="D15"/>
      <c r="E15"/>
      <c r="F15"/>
      <c r="G15"/>
      <c r="H15"/>
    </row>
    <row r="16" spans="2:8" s="24" customFormat="1" ht="15" customHeight="1" x14ac:dyDescent="0.2">
      <c r="B16"/>
      <c r="C16"/>
      <c r="D16"/>
      <c r="E16"/>
      <c r="F16"/>
      <c r="G16"/>
      <c r="H16"/>
    </row>
    <row r="17" spans="1:9" s="24" customFormat="1" ht="14.25" customHeight="1" x14ac:dyDescent="0.2">
      <c r="B17"/>
      <c r="C17"/>
      <c r="D17"/>
      <c r="E17"/>
      <c r="F17"/>
      <c r="G17"/>
      <c r="H17"/>
    </row>
    <row r="18" spans="1:9" s="24" customFormat="1" ht="14.25" customHeight="1" x14ac:dyDescent="0.2">
      <c r="B18"/>
      <c r="C18"/>
      <c r="D18"/>
      <c r="E18"/>
      <c r="F18"/>
      <c r="G18"/>
      <c r="H18"/>
    </row>
    <row r="19" spans="1:9" s="24" customFormat="1" ht="15" customHeight="1" x14ac:dyDescent="0.2">
      <c r="B19"/>
      <c r="C19"/>
      <c r="D19"/>
      <c r="E19"/>
      <c r="F19"/>
      <c r="G19"/>
      <c r="H19"/>
    </row>
    <row r="20" spans="1:9" s="24" customFormat="1" x14ac:dyDescent="0.2">
      <c r="B20"/>
      <c r="C20"/>
      <c r="D20"/>
      <c r="E20"/>
      <c r="F20"/>
      <c r="G20"/>
      <c r="H20"/>
    </row>
    <row r="21" spans="1:9" s="24" customFormat="1" x14ac:dyDescent="0.2">
      <c r="A21"/>
      <c r="B21"/>
      <c r="C21"/>
      <c r="D21"/>
      <c r="E21"/>
      <c r="F21"/>
      <c r="G21"/>
      <c r="H21"/>
      <c r="I21"/>
    </row>
    <row r="22" spans="1:9" s="24" customFormat="1" x14ac:dyDescent="0.2">
      <c r="A22"/>
      <c r="B22"/>
      <c r="C22"/>
      <c r="D22"/>
      <c r="E22"/>
      <c r="F22"/>
      <c r="G22"/>
      <c r="H22"/>
      <c r="I22"/>
    </row>
    <row r="23" spans="1:9" s="24" customFormat="1" x14ac:dyDescent="0.2">
      <c r="A23"/>
      <c r="B23"/>
      <c r="C23"/>
      <c r="D23"/>
      <c r="E23"/>
      <c r="F23"/>
      <c r="G23"/>
      <c r="H23"/>
      <c r="I23"/>
    </row>
    <row r="24" spans="1:9" s="24" customFormat="1" x14ac:dyDescent="0.2">
      <c r="A24"/>
      <c r="B24"/>
      <c r="C24"/>
      <c r="D24"/>
      <c r="E24"/>
      <c r="F24"/>
      <c r="G24"/>
      <c r="H24"/>
      <c r="I24"/>
    </row>
    <row r="26" spans="1:9" s="24" customFormat="1" x14ac:dyDescent="0.2">
      <c r="A26"/>
      <c r="B26"/>
      <c r="C26"/>
      <c r="D26"/>
      <c r="E26"/>
      <c r="F26"/>
      <c r="G26"/>
      <c r="H26"/>
      <c r="I26"/>
    </row>
    <row r="27" spans="1:9" s="24" customFormat="1" x14ac:dyDescent="0.2">
      <c r="A27"/>
      <c r="B27"/>
      <c r="C27"/>
      <c r="D27"/>
      <c r="E27"/>
      <c r="F27"/>
      <c r="G27"/>
      <c r="H27"/>
      <c r="I27"/>
    </row>
    <row r="28" spans="1:9" s="24" customFormat="1" x14ac:dyDescent="0.2">
      <c r="A28"/>
      <c r="B28"/>
      <c r="C28"/>
      <c r="D28"/>
      <c r="E28"/>
      <c r="F28"/>
      <c r="G28"/>
      <c r="H28"/>
      <c r="I28"/>
    </row>
    <row r="29" spans="1:9" s="24" customFormat="1" x14ac:dyDescent="0.2">
      <c r="A29"/>
      <c r="B29"/>
      <c r="C29"/>
      <c r="D29"/>
      <c r="E29"/>
      <c r="F29"/>
      <c r="G29"/>
      <c r="H29"/>
      <c r="I29"/>
    </row>
    <row r="30" spans="1:9" s="24" customFormat="1" x14ac:dyDescent="0.2">
      <c r="A30"/>
      <c r="B30"/>
      <c r="C30"/>
      <c r="D30"/>
      <c r="E30"/>
      <c r="F30"/>
      <c r="G30"/>
      <c r="H30"/>
      <c r="I30"/>
    </row>
    <row r="31" spans="1:9" s="24" customFormat="1" x14ac:dyDescent="0.2">
      <c r="A31"/>
      <c r="B31"/>
      <c r="C31"/>
      <c r="D31"/>
      <c r="E31"/>
      <c r="F31"/>
      <c r="G31"/>
      <c r="H31"/>
      <c r="I31"/>
    </row>
    <row r="32" spans="1:9" s="24" customFormat="1" x14ac:dyDescent="0.2">
      <c r="A32"/>
      <c r="B32"/>
      <c r="C32"/>
      <c r="D32"/>
      <c r="E32"/>
      <c r="F32"/>
      <c r="G32"/>
      <c r="H32"/>
      <c r="I32"/>
    </row>
    <row r="33" spans="1:9" s="24" customFormat="1" x14ac:dyDescent="0.2">
      <c r="A33"/>
      <c r="B33"/>
      <c r="C33"/>
      <c r="D33"/>
      <c r="E33"/>
      <c r="F33"/>
      <c r="G33"/>
      <c r="H33"/>
      <c r="I33"/>
    </row>
    <row r="34" spans="1:9" s="24" customFormat="1" x14ac:dyDescent="0.2">
      <c r="A34"/>
      <c r="B34"/>
      <c r="C34"/>
      <c r="D34"/>
      <c r="E34"/>
      <c r="F34"/>
      <c r="G34"/>
      <c r="H34"/>
      <c r="I34"/>
    </row>
    <row r="35" spans="1:9" s="24" customFormat="1" x14ac:dyDescent="0.2">
      <c r="A35"/>
      <c r="B35"/>
      <c r="C35"/>
      <c r="D35"/>
      <c r="E35"/>
      <c r="F35"/>
      <c r="G35"/>
      <c r="H35"/>
      <c r="I35"/>
    </row>
    <row r="36" spans="1:9" s="24" customFormat="1" x14ac:dyDescent="0.2">
      <c r="A36"/>
      <c r="B36"/>
      <c r="C36"/>
      <c r="D36"/>
      <c r="E36"/>
      <c r="F36"/>
      <c r="G36"/>
      <c r="H36"/>
      <c r="I36"/>
    </row>
    <row r="37" spans="1:9" s="24" customFormat="1" x14ac:dyDescent="0.2">
      <c r="A37"/>
      <c r="B37"/>
      <c r="C37"/>
      <c r="D37"/>
      <c r="E37"/>
      <c r="F37"/>
      <c r="G37"/>
      <c r="H37"/>
      <c r="I37"/>
    </row>
    <row r="44" spans="1:9" s="24" customFormat="1" x14ac:dyDescent="0.2">
      <c r="A44"/>
      <c r="B44"/>
      <c r="C44"/>
      <c r="D44"/>
      <c r="E44"/>
      <c r="F44"/>
      <c r="G44"/>
      <c r="H44"/>
      <c r="I44"/>
    </row>
    <row r="45" spans="1:9" s="24" customFormat="1" x14ac:dyDescent="0.2">
      <c r="A45"/>
      <c r="B45"/>
      <c r="C45"/>
      <c r="D45"/>
      <c r="E45"/>
      <c r="F45"/>
      <c r="G45"/>
      <c r="H45"/>
      <c r="I45"/>
    </row>
    <row r="46" spans="1:9" s="24" customFormat="1" x14ac:dyDescent="0.2">
      <c r="A46"/>
      <c r="B46"/>
      <c r="C46"/>
      <c r="D46"/>
      <c r="E46"/>
      <c r="F46"/>
      <c r="G46"/>
      <c r="H46"/>
      <c r="I46"/>
    </row>
    <row r="47" spans="1:9" s="24" customFormat="1" x14ac:dyDescent="0.2">
      <c r="A47"/>
      <c r="B47"/>
      <c r="C47"/>
      <c r="D47"/>
      <c r="E47"/>
      <c r="F47"/>
      <c r="G47"/>
      <c r="H47"/>
      <c r="I47"/>
    </row>
    <row r="48" spans="1:9" s="24" customFormat="1" x14ac:dyDescent="0.2">
      <c r="A48"/>
      <c r="B48"/>
      <c r="C48"/>
      <c r="D48"/>
      <c r="E48"/>
      <c r="F48"/>
      <c r="G48"/>
      <c r="H48"/>
      <c r="I48"/>
    </row>
    <row r="49" spans="1:9" s="24" customFormat="1" x14ac:dyDescent="0.2">
      <c r="A49"/>
      <c r="B49"/>
      <c r="C49"/>
      <c r="D49"/>
      <c r="E49"/>
      <c r="F49"/>
      <c r="G49"/>
      <c r="H49"/>
      <c r="I49"/>
    </row>
    <row r="50" spans="1:9" s="24" customFormat="1" x14ac:dyDescent="0.2">
      <c r="A50"/>
      <c r="B50"/>
      <c r="C50"/>
      <c r="D50"/>
      <c r="E50"/>
      <c r="F50"/>
      <c r="G50"/>
      <c r="H50"/>
      <c r="I50"/>
    </row>
    <row r="51" spans="1:9" s="24" customFormat="1" x14ac:dyDescent="0.2">
      <c r="A51"/>
      <c r="B51"/>
      <c r="C51"/>
      <c r="D51"/>
      <c r="E51"/>
      <c r="F51"/>
      <c r="G51"/>
      <c r="H51"/>
      <c r="I51"/>
    </row>
    <row r="52" spans="1:9" s="24" customFormat="1" x14ac:dyDescent="0.2">
      <c r="A52"/>
      <c r="B52"/>
      <c r="C52"/>
      <c r="D52"/>
      <c r="E52"/>
      <c r="F52"/>
      <c r="G52"/>
      <c r="H52"/>
      <c r="I52"/>
    </row>
    <row r="53" spans="1:9" s="24" customFormat="1" x14ac:dyDescent="0.2">
      <c r="A53"/>
      <c r="B53"/>
      <c r="C53"/>
      <c r="D53"/>
      <c r="E53"/>
      <c r="F53"/>
      <c r="G53"/>
      <c r="H53"/>
      <c r="I53"/>
    </row>
  </sheetData>
  <sheetProtection formatRows="0" autoFilter="0"/>
  <pageMargins left="0.7" right="0.7" top="0.75" bottom="0.75" header="0.3" footer="0.3"/>
  <pageSetup paperSize="9" scale="96" orientation="landscape"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52EF3-6BD4-4A9D-A13B-DEA11727FEEB}">
  <sheetPr codeName="Sheet2"/>
  <dimension ref="A1:T171"/>
  <sheetViews>
    <sheetView workbookViewId="0">
      <pane xSplit="1" ySplit="1" topLeftCell="E2" activePane="bottomRight" state="frozen"/>
      <selection pane="topRight" activeCell="B1" sqref="B1"/>
      <selection pane="bottomLeft" activeCell="A2" sqref="A2"/>
      <selection pane="bottomRight" activeCell="H171" sqref="H171"/>
    </sheetView>
  </sheetViews>
  <sheetFormatPr baseColWidth="10" defaultColWidth="8.83203125" defaultRowHeight="15" x14ac:dyDescent="0.2"/>
  <cols>
    <col min="1" max="1" width="74.33203125" customWidth="1"/>
    <col min="2" max="2" width="74" customWidth="1"/>
    <col min="3" max="3" width="57.33203125" customWidth="1"/>
    <col min="4" max="4" width="14.6640625" customWidth="1"/>
    <col min="5" max="5" width="16.5" customWidth="1"/>
    <col min="6" max="6" width="8.6640625" customWidth="1"/>
    <col min="7" max="7" width="28.1640625" customWidth="1"/>
    <col min="8" max="8" width="16.33203125" customWidth="1"/>
    <col min="9" max="9" width="12.5" customWidth="1"/>
    <col min="10" max="10" width="9.83203125" customWidth="1"/>
    <col min="11" max="11" width="9.6640625" customWidth="1"/>
    <col min="12" max="12" width="10.5" customWidth="1"/>
    <col min="13" max="13" width="17.5" customWidth="1"/>
    <col min="14" max="14" width="22.5" style="129" customWidth="1"/>
    <col min="15" max="15" width="38.83203125" style="106" bestFit="1" customWidth="1"/>
    <col min="16" max="16" width="47" style="107" bestFit="1" customWidth="1"/>
    <col min="17" max="17" width="48.5" bestFit="1" customWidth="1"/>
    <col min="20" max="20" width="9.33203125" customWidth="1"/>
  </cols>
  <sheetData>
    <row r="1" spans="1:17" x14ac:dyDescent="0.2">
      <c r="A1" s="315" t="s">
        <v>99</v>
      </c>
      <c r="B1" s="315" t="s">
        <v>529</v>
      </c>
      <c r="C1" s="315" t="s">
        <v>100</v>
      </c>
      <c r="D1" s="315" t="s">
        <v>101</v>
      </c>
      <c r="E1" s="315" t="s">
        <v>102</v>
      </c>
      <c r="F1" s="315" t="s">
        <v>103</v>
      </c>
      <c r="G1" s="315" t="s">
        <v>104</v>
      </c>
      <c r="H1" s="315" t="s">
        <v>105</v>
      </c>
      <c r="I1" s="315" t="s">
        <v>106</v>
      </c>
      <c r="J1" s="315" t="s">
        <v>107</v>
      </c>
      <c r="K1" s="315" t="s">
        <v>108</v>
      </c>
      <c r="L1" s="315" t="s">
        <v>109</v>
      </c>
      <c r="M1" s="315" t="s">
        <v>110</v>
      </c>
      <c r="N1" s="316" t="s">
        <v>182</v>
      </c>
      <c r="O1" s="317" t="s">
        <v>183</v>
      </c>
      <c r="P1" s="316" t="s">
        <v>191</v>
      </c>
      <c r="Q1" s="317" t="s">
        <v>192</v>
      </c>
    </row>
    <row r="2" spans="1:17" x14ac:dyDescent="0.2">
      <c r="A2" t="s">
        <v>522</v>
      </c>
      <c r="C2" t="str">
        <f>Costing!B21 &amp; " - Materials"</f>
        <v>Remove radiators &amp; cap valves - Materials</v>
      </c>
      <c r="D2" s="107">
        <f>Costing!F21</f>
        <v>0</v>
      </c>
      <c r="E2" s="107">
        <f>Costing!I21</f>
        <v>7.0000000000000009</v>
      </c>
      <c r="F2" t="str">
        <f>Costing!G21</f>
        <v>Each</v>
      </c>
      <c r="G2" t="s">
        <v>153</v>
      </c>
      <c r="H2" s="107">
        <f>Costing!J21*100</f>
        <v>30</v>
      </c>
      <c r="I2" t="s">
        <v>111</v>
      </c>
      <c r="J2" t="s">
        <v>112</v>
      </c>
      <c r="K2" t="s">
        <v>113</v>
      </c>
      <c r="L2" t="s">
        <v>113</v>
      </c>
      <c r="M2" t="str">
        <f>IF(J2="MTL","Preservation Shop","")</f>
        <v>Preservation Shop</v>
      </c>
      <c r="N2" s="129">
        <f>D2*E2</f>
        <v>0</v>
      </c>
      <c r="O2" s="131" t="s">
        <v>193</v>
      </c>
      <c r="P2" s="129">
        <f>N2*(1+(H2/100))</f>
        <v>0</v>
      </c>
      <c r="Q2" s="106" t="s">
        <v>114</v>
      </c>
    </row>
    <row r="3" spans="1:17" x14ac:dyDescent="0.2">
      <c r="A3" t="str">
        <f>A2</f>
        <v>Stripping out of items as required to proceed with works</v>
      </c>
      <c r="C3" t="str">
        <f>Costing!B22 &amp; " - Materials"</f>
        <v>Remove socket fronts and isolate - Materials</v>
      </c>
      <c r="D3" s="107">
        <f>Costing!F22</f>
        <v>0</v>
      </c>
      <c r="E3" s="107">
        <f>Costing!I22</f>
        <v>2</v>
      </c>
      <c r="F3" t="str">
        <f>Costing!G22</f>
        <v>Each</v>
      </c>
      <c r="G3" t="s">
        <v>153</v>
      </c>
      <c r="H3" s="107">
        <f>Costing!J22*100</f>
        <v>30</v>
      </c>
      <c r="I3" t="s">
        <v>111</v>
      </c>
      <c r="J3" t="s">
        <v>112</v>
      </c>
      <c r="K3" t="s">
        <v>113</v>
      </c>
      <c r="L3" t="s">
        <v>113</v>
      </c>
      <c r="M3" t="str">
        <f>IF(J3="MTL","Preservation Shop","")</f>
        <v>Preservation Shop</v>
      </c>
      <c r="N3" s="129">
        <f>D3*E3</f>
        <v>0</v>
      </c>
      <c r="O3" s="131" t="s">
        <v>193</v>
      </c>
      <c r="P3" s="129">
        <f t="shared" ref="P3:P31" si="0">N3*(1+(H3/100))</f>
        <v>0</v>
      </c>
      <c r="Q3" s="106" t="s">
        <v>114</v>
      </c>
    </row>
    <row r="4" spans="1:17" x14ac:dyDescent="0.2">
      <c r="A4" t="str">
        <f t="shared" ref="A4:A31" si="1">A3</f>
        <v>Stripping out of items as required to proceed with works</v>
      </c>
      <c r="C4" t="str">
        <f>Costing!B23 &amp; " - Materials"</f>
        <v>Skirting board removal &amp; set aside - Materials</v>
      </c>
      <c r="D4" s="107">
        <f>Costing!F23</f>
        <v>0</v>
      </c>
      <c r="E4" s="107">
        <f>Costing!I23</f>
        <v>0.1</v>
      </c>
      <c r="F4" t="str">
        <f>Costing!G23</f>
        <v>LM</v>
      </c>
      <c r="G4" t="s">
        <v>153</v>
      </c>
      <c r="H4" s="107">
        <f>Costing!J23*100</f>
        <v>30</v>
      </c>
      <c r="I4" t="s">
        <v>111</v>
      </c>
      <c r="J4" t="s">
        <v>112</v>
      </c>
      <c r="K4" t="s">
        <v>113</v>
      </c>
      <c r="L4" t="s">
        <v>114</v>
      </c>
      <c r="M4" t="str">
        <f t="shared" ref="M4" si="2">IF(J4="MTL","Preservation Shop","")</f>
        <v>Preservation Shop</v>
      </c>
      <c r="N4" s="129">
        <f>D4*E4</f>
        <v>0</v>
      </c>
      <c r="O4" s="131" t="s">
        <v>193</v>
      </c>
      <c r="P4" s="129">
        <f t="shared" si="0"/>
        <v>0</v>
      </c>
      <c r="Q4" s="106" t="s">
        <v>114</v>
      </c>
    </row>
    <row r="5" spans="1:17" x14ac:dyDescent="0.2">
      <c r="A5" t="str">
        <f t="shared" si="1"/>
        <v>Stripping out of items as required to proceed with works</v>
      </c>
      <c r="C5" t="str">
        <f>Costing!B24 &amp; " - Materials"</f>
        <v>Strip Wall Paper - Materials</v>
      </c>
      <c r="D5" s="107">
        <f>Costing!F24</f>
        <v>0</v>
      </c>
      <c r="E5" s="107">
        <f>Costing!I24</f>
        <v>0.5</v>
      </c>
      <c r="F5" t="str">
        <f>Costing!G24</f>
        <v>M2</v>
      </c>
      <c r="G5" t="s">
        <v>153</v>
      </c>
      <c r="H5" s="107">
        <f>Costing!J24*100</f>
        <v>30</v>
      </c>
      <c r="I5" t="s">
        <v>111</v>
      </c>
      <c r="J5" t="s">
        <v>112</v>
      </c>
      <c r="K5" t="s">
        <v>113</v>
      </c>
      <c r="L5" t="s">
        <v>114</v>
      </c>
      <c r="M5" t="str">
        <f t="shared" ref="M5" si="3">IF(J5="MTL","Preservation Shop","")</f>
        <v>Preservation Shop</v>
      </c>
      <c r="N5" s="129">
        <f>D5*E5</f>
        <v>0</v>
      </c>
      <c r="O5" s="131" t="s">
        <v>193</v>
      </c>
      <c r="P5" s="129">
        <f t="shared" si="0"/>
        <v>0</v>
      </c>
      <c r="Q5" s="106" t="s">
        <v>114</v>
      </c>
    </row>
    <row r="6" spans="1:17" x14ac:dyDescent="0.2">
      <c r="A6" t="str">
        <f>A4</f>
        <v>Stripping out of items as required to proceed with works</v>
      </c>
      <c r="C6" t="str">
        <f>Costing!B25 &amp; " - Materials"</f>
        <v>Antinox HD Floor Protection Boards – 2.4m x 1.2m - Materials</v>
      </c>
      <c r="D6" s="107">
        <f>Costing!F25</f>
        <v>0</v>
      </c>
      <c r="E6" s="107">
        <f>Costing!I25</f>
        <v>4.5760000000000005</v>
      </c>
      <c r="F6" t="str">
        <f>Costing!G25</f>
        <v>M2</v>
      </c>
      <c r="G6" t="s">
        <v>153</v>
      </c>
      <c r="H6" s="107">
        <f>Costing!J25*100</f>
        <v>30</v>
      </c>
      <c r="I6" t="s">
        <v>111</v>
      </c>
      <c r="J6" t="s">
        <v>112</v>
      </c>
      <c r="K6" t="s">
        <v>113</v>
      </c>
      <c r="L6" t="s">
        <v>114</v>
      </c>
      <c r="M6" t="str">
        <f t="shared" ref="M6" si="4">IF(J6="MTL","Preservation Shop","")</f>
        <v>Preservation Shop</v>
      </c>
      <c r="N6" s="129">
        <f>D6*E6</f>
        <v>0</v>
      </c>
      <c r="O6" s="131" t="s">
        <v>193</v>
      </c>
      <c r="P6" s="129">
        <f t="shared" si="0"/>
        <v>0</v>
      </c>
      <c r="Q6" s="106" t="s">
        <v>114</v>
      </c>
    </row>
    <row r="7" spans="1:17" ht="15.75" customHeight="1" x14ac:dyDescent="0.2">
      <c r="A7" t="str">
        <f t="shared" si="1"/>
        <v>Stripping out of items as required to proceed with works</v>
      </c>
      <c r="C7" t="str">
        <f>Costing!B29</f>
        <v>Remove carpet/tiles/overlays</v>
      </c>
      <c r="D7" s="107">
        <f>Costing!F29</f>
        <v>0</v>
      </c>
      <c r="E7" s="107">
        <f>Costing!I29</f>
        <v>0</v>
      </c>
      <c r="F7" t="str">
        <f>Costing!G29</f>
        <v>M2</v>
      </c>
      <c r="G7" t="s">
        <v>153</v>
      </c>
      <c r="H7" s="107">
        <f>Costing!J29*100</f>
        <v>0</v>
      </c>
      <c r="I7" t="s">
        <v>111</v>
      </c>
      <c r="J7" t="s">
        <v>112</v>
      </c>
      <c r="K7" t="s">
        <v>113</v>
      </c>
      <c r="L7" t="s">
        <v>114</v>
      </c>
      <c r="M7" t="str">
        <f>IF(J7="MTL","Preservation Shop","")</f>
        <v>Preservation Shop</v>
      </c>
      <c r="N7" s="129">
        <f t="shared" ref="N7:N106" si="5">D7*E7</f>
        <v>0</v>
      </c>
      <c r="O7" s="131" t="s">
        <v>193</v>
      </c>
      <c r="P7" s="129">
        <f t="shared" si="0"/>
        <v>0</v>
      </c>
      <c r="Q7" s="106" t="s">
        <v>114</v>
      </c>
    </row>
    <row r="8" spans="1:17" ht="15.75" customHeight="1" x14ac:dyDescent="0.2">
      <c r="A8" t="str">
        <f t="shared" si="1"/>
        <v>Stripping out of items as required to proceed with works</v>
      </c>
      <c r="C8" t="str">
        <f>Costing!B30</f>
        <v>Remove plaster/render (Walls)</v>
      </c>
      <c r="D8" s="107">
        <f>Costing!F30</f>
        <v>0</v>
      </c>
      <c r="E8" s="107">
        <f>Costing!I30</f>
        <v>0</v>
      </c>
      <c r="F8" t="str">
        <f>Costing!G30</f>
        <v>M2</v>
      </c>
      <c r="G8" t="s">
        <v>153</v>
      </c>
      <c r="H8" s="107">
        <f>Costing!J30*100</f>
        <v>0</v>
      </c>
      <c r="I8" t="s">
        <v>111</v>
      </c>
      <c r="J8" t="s">
        <v>112</v>
      </c>
      <c r="K8" t="s">
        <v>113</v>
      </c>
      <c r="L8" t="s">
        <v>114</v>
      </c>
      <c r="M8" t="str">
        <f>IF(J8="MTL","Preservation Shop","")</f>
        <v>Preservation Shop</v>
      </c>
      <c r="N8" s="129">
        <f t="shared" si="5"/>
        <v>0</v>
      </c>
      <c r="O8" s="131" t="s">
        <v>193</v>
      </c>
      <c r="P8" s="129">
        <f t="shared" si="0"/>
        <v>0</v>
      </c>
      <c r="Q8" s="106" t="s">
        <v>114</v>
      </c>
    </row>
    <row r="9" spans="1:17" ht="15.75" customHeight="1" x14ac:dyDescent="0.2">
      <c r="A9" t="str">
        <f t="shared" si="1"/>
        <v>Stripping out of items as required to proceed with works</v>
      </c>
      <c r="C9" t="str">
        <f>Costing!B31</f>
        <v>Removal of stud walls etc (Bag &amp; cart away)</v>
      </c>
      <c r="D9" s="107">
        <f>Costing!F31</f>
        <v>0</v>
      </c>
      <c r="E9" s="107">
        <f>Costing!I31</f>
        <v>0</v>
      </c>
      <c r="F9" t="str">
        <f>Costing!G31</f>
        <v>M2</v>
      </c>
      <c r="G9" t="s">
        <v>153</v>
      </c>
      <c r="H9" s="107">
        <f>Costing!J31*100</f>
        <v>0</v>
      </c>
      <c r="I9" t="s">
        <v>111</v>
      </c>
      <c r="J9" t="s">
        <v>112</v>
      </c>
      <c r="K9" t="s">
        <v>113</v>
      </c>
      <c r="L9" t="s">
        <v>114</v>
      </c>
      <c r="M9" t="str">
        <f t="shared" ref="M9:M126" si="6">IF(J9="MTL","Preservation Shop","")</f>
        <v>Preservation Shop</v>
      </c>
      <c r="N9" s="129">
        <f t="shared" si="5"/>
        <v>0</v>
      </c>
      <c r="O9" s="131" t="s">
        <v>193</v>
      </c>
      <c r="P9" s="129">
        <f t="shared" si="0"/>
        <v>0</v>
      </c>
      <c r="Q9" s="106" t="s">
        <v>114</v>
      </c>
    </row>
    <row r="10" spans="1:17" ht="15.75" customHeight="1" x14ac:dyDescent="0.2">
      <c r="A10" t="str">
        <f t="shared" si="1"/>
        <v>Stripping out of items as required to proceed with works</v>
      </c>
      <c r="C10" t="str">
        <f>Costing!B32</f>
        <v>Plaster &amp; stud Removal (Ceilings)</v>
      </c>
      <c r="D10" s="107">
        <f>Costing!F32</f>
        <v>0</v>
      </c>
      <c r="E10" s="107">
        <f>Costing!I32</f>
        <v>0</v>
      </c>
      <c r="F10" t="str">
        <f>Costing!G32</f>
        <v>M2</v>
      </c>
      <c r="G10" t="s">
        <v>153</v>
      </c>
      <c r="H10" s="107">
        <f>Costing!J32*100</f>
        <v>0</v>
      </c>
      <c r="I10" t="s">
        <v>111</v>
      </c>
      <c r="J10" t="s">
        <v>112</v>
      </c>
      <c r="K10" t="s">
        <v>113</v>
      </c>
      <c r="L10" t="s">
        <v>114</v>
      </c>
      <c r="M10" t="str">
        <f t="shared" si="6"/>
        <v>Preservation Shop</v>
      </c>
      <c r="N10" s="129">
        <f t="shared" si="5"/>
        <v>0</v>
      </c>
      <c r="O10" s="131" t="s">
        <v>193</v>
      </c>
      <c r="P10" s="129">
        <f t="shared" si="0"/>
        <v>0</v>
      </c>
      <c r="Q10" s="106" t="s">
        <v>114</v>
      </c>
    </row>
    <row r="11" spans="1:17" ht="15.75" customHeight="1" x14ac:dyDescent="0.2">
      <c r="A11" t="str">
        <f t="shared" si="1"/>
        <v>Stripping out of items as required to proceed with works</v>
      </c>
      <c r="C11" t="str">
        <f>Costing!B33</f>
        <v>Strip out existing timber floor (GF)</v>
      </c>
      <c r="D11" s="107">
        <f>Costing!F33</f>
        <v>16</v>
      </c>
      <c r="E11" s="107">
        <f>Costing!I33</f>
        <v>0</v>
      </c>
      <c r="F11" t="str">
        <f>Costing!G33</f>
        <v>M2</v>
      </c>
      <c r="G11" t="s">
        <v>153</v>
      </c>
      <c r="H11" s="107">
        <f>Costing!J33*100</f>
        <v>0</v>
      </c>
      <c r="I11" t="s">
        <v>111</v>
      </c>
      <c r="J11" t="s">
        <v>112</v>
      </c>
      <c r="K11" t="s">
        <v>113</v>
      </c>
      <c r="L11" t="s">
        <v>114</v>
      </c>
      <c r="M11" t="str">
        <f t="shared" si="6"/>
        <v>Preservation Shop</v>
      </c>
      <c r="N11" s="129">
        <f t="shared" si="5"/>
        <v>0</v>
      </c>
      <c r="O11" s="131" t="s">
        <v>193</v>
      </c>
      <c r="P11" s="129">
        <f t="shared" si="0"/>
        <v>0</v>
      </c>
      <c r="Q11" s="106" t="s">
        <v>114</v>
      </c>
    </row>
    <row r="12" spans="1:17" ht="15.75" customHeight="1" x14ac:dyDescent="0.2">
      <c r="A12" t="str">
        <f t="shared" si="1"/>
        <v>Stripping out of items as required to proceed with works</v>
      </c>
      <c r="C12" t="str">
        <f>Costing!B34</f>
        <v>Scrape back/clear sub floors</v>
      </c>
      <c r="D12" s="107">
        <f>Costing!F34</f>
        <v>0</v>
      </c>
      <c r="E12" s="107">
        <f>Costing!I34</f>
        <v>0</v>
      </c>
      <c r="F12" t="str">
        <f>Costing!G34</f>
        <v>M2</v>
      </c>
      <c r="G12" t="s">
        <v>153</v>
      </c>
      <c r="H12" s="107">
        <f>Costing!J34*100</f>
        <v>0</v>
      </c>
      <c r="I12" t="s">
        <v>111</v>
      </c>
      <c r="J12" t="s">
        <v>112</v>
      </c>
      <c r="K12" t="s">
        <v>113</v>
      </c>
      <c r="L12" t="s">
        <v>114</v>
      </c>
      <c r="M12" t="str">
        <f t="shared" si="6"/>
        <v>Preservation Shop</v>
      </c>
      <c r="N12" s="129">
        <f t="shared" si="5"/>
        <v>0</v>
      </c>
      <c r="O12" s="131" t="s">
        <v>193</v>
      </c>
      <c r="P12" s="129">
        <f t="shared" si="0"/>
        <v>0</v>
      </c>
      <c r="Q12" s="106" t="s">
        <v>114</v>
      </c>
    </row>
    <row r="13" spans="1:17" ht="15.75" customHeight="1" x14ac:dyDescent="0.2">
      <c r="A13" t="str">
        <f t="shared" si="1"/>
        <v>Stripping out of items as required to proceed with works</v>
      </c>
      <c r="C13" t="str">
        <f>Costing!B35</f>
        <v>Grind back mortar courses on brickwork</v>
      </c>
      <c r="D13" s="107">
        <f>Costing!F35</f>
        <v>0</v>
      </c>
      <c r="E13" s="107">
        <f>Costing!I35</f>
        <v>0</v>
      </c>
      <c r="F13" t="str">
        <f>Costing!G35</f>
        <v>M2</v>
      </c>
      <c r="G13" t="s">
        <v>153</v>
      </c>
      <c r="H13" s="107">
        <f>Costing!J35*100</f>
        <v>0</v>
      </c>
      <c r="I13" t="s">
        <v>111</v>
      </c>
      <c r="J13" t="s">
        <v>112</v>
      </c>
      <c r="K13" t="s">
        <v>113</v>
      </c>
      <c r="L13" t="s">
        <v>114</v>
      </c>
      <c r="M13" t="str">
        <f t="shared" si="6"/>
        <v>Preservation Shop</v>
      </c>
      <c r="N13" s="129">
        <f t="shared" si="5"/>
        <v>0</v>
      </c>
      <c r="O13" s="131" t="s">
        <v>193</v>
      </c>
      <c r="P13" s="129">
        <f t="shared" si="0"/>
        <v>0</v>
      </c>
      <c r="Q13" s="106" t="s">
        <v>114</v>
      </c>
    </row>
    <row r="14" spans="1:17" ht="15.75" customHeight="1" x14ac:dyDescent="0.2">
      <c r="A14" t="str">
        <f t="shared" si="1"/>
        <v>Stripping out of items as required to proceed with works</v>
      </c>
      <c r="C14" t="str">
        <f>Costing!B36</f>
        <v>Wire scrub brickwork faces</v>
      </c>
      <c r="D14" s="107">
        <f>Costing!F36</f>
        <v>0</v>
      </c>
      <c r="E14" s="107">
        <f>Costing!I36</f>
        <v>0</v>
      </c>
      <c r="F14" t="str">
        <f>Costing!G36</f>
        <v>M2</v>
      </c>
      <c r="G14" t="s">
        <v>153</v>
      </c>
      <c r="H14" s="107">
        <f>Costing!J36*100</f>
        <v>0</v>
      </c>
      <c r="I14" t="s">
        <v>111</v>
      </c>
      <c r="J14" t="s">
        <v>112</v>
      </c>
      <c r="K14" t="s">
        <v>113</v>
      </c>
      <c r="L14" t="s">
        <v>114</v>
      </c>
      <c r="M14" t="str">
        <f t="shared" si="6"/>
        <v>Preservation Shop</v>
      </c>
      <c r="N14" s="129">
        <f t="shared" si="5"/>
        <v>0</v>
      </c>
      <c r="O14" s="131" t="s">
        <v>193</v>
      </c>
      <c r="P14" s="129">
        <f t="shared" si="0"/>
        <v>0</v>
      </c>
      <c r="Q14" s="106" t="s">
        <v>114</v>
      </c>
    </row>
    <row r="15" spans="1:17" ht="15.75" customHeight="1" x14ac:dyDescent="0.2">
      <c r="A15" t="str">
        <f t="shared" si="1"/>
        <v>Stripping out of items as required to proceed with works</v>
      </c>
      <c r="C15" t="str">
        <f>Costing!B37</f>
        <v xml:space="preserve">Bag up debris &amp; cart outside </v>
      </c>
      <c r="D15" s="107">
        <f>Costing!F37</f>
        <v>32</v>
      </c>
      <c r="E15" s="107">
        <f>Costing!I37</f>
        <v>1</v>
      </c>
      <c r="F15" t="str">
        <f>Costing!G37</f>
        <v>Bags</v>
      </c>
      <c r="G15" t="s">
        <v>153</v>
      </c>
      <c r="H15" s="107">
        <f>Costing!J37*100</f>
        <v>30</v>
      </c>
      <c r="I15" t="s">
        <v>111</v>
      </c>
      <c r="J15" t="s">
        <v>112</v>
      </c>
      <c r="K15" t="s">
        <v>113</v>
      </c>
      <c r="L15" t="s">
        <v>114</v>
      </c>
      <c r="M15" t="str">
        <f t="shared" si="6"/>
        <v>Preservation Shop</v>
      </c>
      <c r="N15" s="129">
        <f t="shared" si="5"/>
        <v>32</v>
      </c>
      <c r="O15" s="131" t="s">
        <v>193</v>
      </c>
      <c r="P15" s="129">
        <f t="shared" si="0"/>
        <v>41.6</v>
      </c>
      <c r="Q15" s="106" t="s">
        <v>114</v>
      </c>
    </row>
    <row r="16" spans="1:17" ht="15.75" customHeight="1" x14ac:dyDescent="0.2">
      <c r="A16" t="str">
        <f t="shared" si="1"/>
        <v>Stripping out of items as required to proceed with works</v>
      </c>
      <c r="C16" t="str">
        <f>Costing!B38</f>
        <v>Disposal via licensed transfer agent</v>
      </c>
      <c r="D16" s="107">
        <f>Costing!F38</f>
        <v>32</v>
      </c>
      <c r="E16" s="107">
        <f>Costing!I38</f>
        <v>2</v>
      </c>
      <c r="F16" t="str">
        <f>Costing!G38</f>
        <v>Bags</v>
      </c>
      <c r="G16" t="s">
        <v>153</v>
      </c>
      <c r="H16" s="107">
        <f>Costing!J38*100</f>
        <v>30</v>
      </c>
      <c r="I16" t="s">
        <v>111</v>
      </c>
      <c r="J16" t="s">
        <v>112</v>
      </c>
      <c r="K16" t="s">
        <v>113</v>
      </c>
      <c r="L16" t="s">
        <v>114</v>
      </c>
      <c r="M16" t="str">
        <f t="shared" si="6"/>
        <v>Preservation Shop</v>
      </c>
      <c r="N16" s="129">
        <f t="shared" si="5"/>
        <v>64</v>
      </c>
      <c r="O16" s="131" t="s">
        <v>193</v>
      </c>
      <c r="P16" s="129">
        <f t="shared" si="0"/>
        <v>83.2</v>
      </c>
      <c r="Q16" s="106" t="s">
        <v>114</v>
      </c>
    </row>
    <row r="17" spans="1:20" x14ac:dyDescent="0.2">
      <c r="A17" t="str">
        <f>A31</f>
        <v>Stripping out of items as required to proceed with works</v>
      </c>
      <c r="C17" t="str">
        <f>Costing!M21 &amp; " - Labour"</f>
        <v>Remove radiators &amp; cap valves - Labour</v>
      </c>
      <c r="D17" s="107">
        <f>Costing!O21</f>
        <v>0</v>
      </c>
      <c r="E17" s="107">
        <f>Costing!Q21</f>
        <v>30.630000000000003</v>
      </c>
      <c r="F17" t="s">
        <v>3</v>
      </c>
      <c r="G17" t="s">
        <v>152</v>
      </c>
      <c r="H17" s="107">
        <f>Costing!R21*100</f>
        <v>100</v>
      </c>
      <c r="I17" t="s">
        <v>111</v>
      </c>
      <c r="J17" t="s">
        <v>115</v>
      </c>
      <c r="K17" t="s">
        <v>113</v>
      </c>
      <c r="L17" t="s">
        <v>113</v>
      </c>
      <c r="M17" t="str">
        <f>IF(J17="MTL","Preservation Shop","")</f>
        <v/>
      </c>
      <c r="N17" s="129">
        <f>D17*E17</f>
        <v>0</v>
      </c>
      <c r="O17" s="131" t="s">
        <v>193</v>
      </c>
      <c r="P17" s="129">
        <f t="shared" si="0"/>
        <v>0</v>
      </c>
      <c r="Q17" s="106" t="s">
        <v>114</v>
      </c>
    </row>
    <row r="18" spans="1:20" x14ac:dyDescent="0.2">
      <c r="A18" t="str">
        <f>A17</f>
        <v>Stripping out of items as required to proceed with works</v>
      </c>
      <c r="C18" t="str">
        <f>Costing!M22 &amp; " - Labour"</f>
        <v>Remove socket fronts and isolate - Labour</v>
      </c>
      <c r="D18" s="107">
        <f>Costing!O22</f>
        <v>0</v>
      </c>
      <c r="E18" s="107">
        <f>Costing!Q22</f>
        <v>30.630000000000003</v>
      </c>
      <c r="F18" t="s">
        <v>3</v>
      </c>
      <c r="G18" t="s">
        <v>152</v>
      </c>
      <c r="H18" s="107">
        <f>Costing!R22*100</f>
        <v>100</v>
      </c>
      <c r="I18" t="s">
        <v>111</v>
      </c>
      <c r="J18" t="s">
        <v>115</v>
      </c>
      <c r="K18" t="s">
        <v>113</v>
      </c>
      <c r="L18" t="s">
        <v>113</v>
      </c>
      <c r="M18" t="str">
        <f>IF(J18="MTL","Preservation Shop","")</f>
        <v/>
      </c>
      <c r="N18" s="129">
        <f>D18*E18</f>
        <v>0</v>
      </c>
      <c r="O18" s="131" t="s">
        <v>193</v>
      </c>
      <c r="P18" s="129">
        <f t="shared" si="0"/>
        <v>0</v>
      </c>
      <c r="Q18" s="106" t="s">
        <v>114</v>
      </c>
    </row>
    <row r="19" spans="1:20" ht="15.75" customHeight="1" x14ac:dyDescent="0.2">
      <c r="A19" t="str">
        <f>A18</f>
        <v>Stripping out of items as required to proceed with works</v>
      </c>
      <c r="C19" t="str">
        <f>Costing!M23 &amp; " - Labour"</f>
        <v>Skirting board removal &amp; set aside - Labour</v>
      </c>
      <c r="D19" s="107">
        <f>Costing!O23</f>
        <v>0</v>
      </c>
      <c r="E19" s="107">
        <f>Costing!Q23</f>
        <v>30.630000000000003</v>
      </c>
      <c r="F19" t="s">
        <v>3</v>
      </c>
      <c r="G19" t="s">
        <v>152</v>
      </c>
      <c r="H19" s="107">
        <f>Costing!R23*100</f>
        <v>100</v>
      </c>
      <c r="I19" t="s">
        <v>111</v>
      </c>
      <c r="J19" t="s">
        <v>115</v>
      </c>
      <c r="K19" t="s">
        <v>113</v>
      </c>
      <c r="L19" t="s">
        <v>114</v>
      </c>
      <c r="M19" t="str">
        <f>IF(J19="MTL","Preservation Shop","")</f>
        <v/>
      </c>
      <c r="N19" s="129">
        <f>D19*E19</f>
        <v>0</v>
      </c>
      <c r="O19" s="131" t="s">
        <v>193</v>
      </c>
      <c r="P19" s="129">
        <f t="shared" si="0"/>
        <v>0</v>
      </c>
      <c r="Q19" s="106" t="s">
        <v>114</v>
      </c>
    </row>
    <row r="20" spans="1:20" ht="15.75" customHeight="1" x14ac:dyDescent="0.2">
      <c r="A20" t="str">
        <f>A19</f>
        <v>Stripping out of items as required to proceed with works</v>
      </c>
      <c r="C20" t="str">
        <f>Costing!M24 &amp; " - Labour"</f>
        <v>Strip Wall Paper - Labour</v>
      </c>
      <c r="D20" s="107">
        <f>Costing!O24</f>
        <v>0</v>
      </c>
      <c r="E20" s="107">
        <f>Costing!Q24</f>
        <v>30.630000000000003</v>
      </c>
      <c r="F20" t="s">
        <v>3</v>
      </c>
      <c r="G20" t="s">
        <v>152</v>
      </c>
      <c r="H20" s="107">
        <f>Costing!R24*100</f>
        <v>100</v>
      </c>
      <c r="I20" t="s">
        <v>111</v>
      </c>
      <c r="J20" t="s">
        <v>115</v>
      </c>
      <c r="K20" t="s">
        <v>113</v>
      </c>
      <c r="L20" t="s">
        <v>114</v>
      </c>
      <c r="M20" t="str">
        <f>IF(J20="MTL","Preservation Shop","")</f>
        <v/>
      </c>
      <c r="N20" s="129">
        <f>D20*E20</f>
        <v>0</v>
      </c>
      <c r="O20" s="131" t="s">
        <v>193</v>
      </c>
      <c r="P20" s="129">
        <f t="shared" si="0"/>
        <v>0</v>
      </c>
      <c r="Q20" s="106" t="s">
        <v>114</v>
      </c>
    </row>
    <row r="21" spans="1:20" ht="15.75" customHeight="1" x14ac:dyDescent="0.2">
      <c r="A21" t="str">
        <f>A19</f>
        <v>Stripping out of items as required to proceed with works</v>
      </c>
      <c r="C21" t="str">
        <f>Costing!M25 &amp; " - Labour"</f>
        <v>Antinox HD Floor Protection Boards – 2.4m x 1.2m - Labour</v>
      </c>
      <c r="D21" s="107">
        <f>Costing!O25</f>
        <v>0</v>
      </c>
      <c r="E21" s="107">
        <f>Costing!Q25</f>
        <v>30.630000000000003</v>
      </c>
      <c r="F21" t="s">
        <v>3</v>
      </c>
      <c r="G21" t="s">
        <v>152</v>
      </c>
      <c r="H21" s="107">
        <f>Costing!R25*100</f>
        <v>100</v>
      </c>
      <c r="I21" t="s">
        <v>111</v>
      </c>
      <c r="J21" t="s">
        <v>115</v>
      </c>
      <c r="K21" t="s">
        <v>113</v>
      </c>
      <c r="L21" t="s">
        <v>114</v>
      </c>
      <c r="M21" t="str">
        <f>IF(J21="MTL","Preservation Shop","")</f>
        <v/>
      </c>
      <c r="N21" s="129">
        <f t="shared" ref="N21" si="7">D21*E21</f>
        <v>0</v>
      </c>
      <c r="O21" s="131" t="s">
        <v>193</v>
      </c>
      <c r="P21" s="129">
        <f t="shared" si="0"/>
        <v>0</v>
      </c>
      <c r="Q21" s="106" t="s">
        <v>114</v>
      </c>
    </row>
    <row r="22" spans="1:20" ht="15.75" customHeight="1" x14ac:dyDescent="0.2">
      <c r="A22" t="str">
        <f>A16</f>
        <v>Stripping out of items as required to proceed with works</v>
      </c>
      <c r="C22" t="str">
        <f>Costing!M29</f>
        <v>Remove carpet/tiles/overlays</v>
      </c>
      <c r="D22" s="107">
        <f>Costing!O29</f>
        <v>0</v>
      </c>
      <c r="E22" s="107">
        <f>Costing!Q29</f>
        <v>30.630000000000003</v>
      </c>
      <c r="F22" t="s">
        <v>3</v>
      </c>
      <c r="G22" t="s">
        <v>152</v>
      </c>
      <c r="H22" s="107">
        <f>Costing!R29*100</f>
        <v>100</v>
      </c>
      <c r="I22" t="s">
        <v>111</v>
      </c>
      <c r="J22" t="s">
        <v>115</v>
      </c>
      <c r="K22" t="s">
        <v>113</v>
      </c>
      <c r="L22" t="s">
        <v>114</v>
      </c>
      <c r="M22" t="str">
        <f t="shared" si="6"/>
        <v/>
      </c>
      <c r="N22" s="129">
        <f t="shared" si="5"/>
        <v>0</v>
      </c>
      <c r="O22" s="131" t="s">
        <v>193</v>
      </c>
      <c r="P22" s="129">
        <f t="shared" si="0"/>
        <v>0</v>
      </c>
      <c r="Q22" s="106" t="s">
        <v>114</v>
      </c>
      <c r="T22" s="107"/>
    </row>
    <row r="23" spans="1:20" ht="15.75" customHeight="1" x14ac:dyDescent="0.2">
      <c r="A23" t="str">
        <f t="shared" si="1"/>
        <v>Stripping out of items as required to proceed with works</v>
      </c>
      <c r="C23" t="str">
        <f>Costing!M30</f>
        <v>Plaster/render Removal (Walls)</v>
      </c>
      <c r="D23" s="107">
        <f>Costing!O30</f>
        <v>0</v>
      </c>
      <c r="E23" s="107">
        <f>Costing!Q30</f>
        <v>30.630000000000003</v>
      </c>
      <c r="F23" t="s">
        <v>3</v>
      </c>
      <c r="G23" t="s">
        <v>152</v>
      </c>
      <c r="H23" s="107">
        <f>Costing!R30*100</f>
        <v>100</v>
      </c>
      <c r="I23" t="s">
        <v>111</v>
      </c>
      <c r="J23" t="s">
        <v>115</v>
      </c>
      <c r="K23" t="s">
        <v>113</v>
      </c>
      <c r="L23" t="s">
        <v>114</v>
      </c>
      <c r="M23" t="str">
        <f t="shared" ref="M23" si="8">IF(J23="MTL","Preservation Shop","")</f>
        <v/>
      </c>
      <c r="N23" s="129">
        <f t="shared" si="5"/>
        <v>0</v>
      </c>
      <c r="O23" s="131" t="s">
        <v>193</v>
      </c>
      <c r="P23" s="129">
        <f t="shared" si="0"/>
        <v>0</v>
      </c>
      <c r="Q23" s="106" t="s">
        <v>114</v>
      </c>
      <c r="T23" s="107"/>
    </row>
    <row r="24" spans="1:20" ht="15.75" customHeight="1" x14ac:dyDescent="0.2">
      <c r="A24" t="str">
        <f t="shared" si="1"/>
        <v>Stripping out of items as required to proceed with works</v>
      </c>
      <c r="C24" t="str">
        <f>Costing!M31</f>
        <v>Removal of stud walls etc</v>
      </c>
      <c r="D24" s="107">
        <f>Costing!O31</f>
        <v>0</v>
      </c>
      <c r="E24" s="107">
        <f>Costing!Q31</f>
        <v>30.630000000000003</v>
      </c>
      <c r="F24" t="s">
        <v>3</v>
      </c>
      <c r="G24" t="s">
        <v>152</v>
      </c>
      <c r="H24" s="107">
        <f>Costing!R31*100</f>
        <v>100</v>
      </c>
      <c r="I24" t="s">
        <v>111</v>
      </c>
      <c r="J24" t="s">
        <v>115</v>
      </c>
      <c r="K24" t="s">
        <v>113</v>
      </c>
      <c r="L24" t="s">
        <v>114</v>
      </c>
      <c r="M24" t="str">
        <f t="shared" si="6"/>
        <v/>
      </c>
      <c r="N24" s="129">
        <f t="shared" si="5"/>
        <v>0</v>
      </c>
      <c r="O24" s="131" t="s">
        <v>193</v>
      </c>
      <c r="P24" s="129">
        <f t="shared" si="0"/>
        <v>0</v>
      </c>
      <c r="Q24" s="106" t="s">
        <v>114</v>
      </c>
      <c r="T24" s="107"/>
    </row>
    <row r="25" spans="1:20" ht="15.75" customHeight="1" x14ac:dyDescent="0.2">
      <c r="A25" t="str">
        <f t="shared" si="1"/>
        <v>Stripping out of items as required to proceed with works</v>
      </c>
      <c r="C25" t="str">
        <f>Costing!M32</f>
        <v>Plaster/render Removal (Ceilings)</v>
      </c>
      <c r="D25" s="107">
        <f>Costing!O32</f>
        <v>0</v>
      </c>
      <c r="E25" s="107">
        <f>Costing!Q32</f>
        <v>30.630000000000003</v>
      </c>
      <c r="F25" t="s">
        <v>3</v>
      </c>
      <c r="G25" t="s">
        <v>152</v>
      </c>
      <c r="H25" s="107">
        <f>Costing!R32*100</f>
        <v>100</v>
      </c>
      <c r="I25" t="s">
        <v>111</v>
      </c>
      <c r="J25" t="s">
        <v>115</v>
      </c>
      <c r="K25" t="s">
        <v>113</v>
      </c>
      <c r="L25" t="s">
        <v>114</v>
      </c>
      <c r="M25" t="str">
        <f t="shared" si="6"/>
        <v/>
      </c>
      <c r="N25" s="129">
        <f t="shared" si="5"/>
        <v>0</v>
      </c>
      <c r="O25" s="131" t="s">
        <v>193</v>
      </c>
      <c r="P25" s="129">
        <f t="shared" si="0"/>
        <v>0</v>
      </c>
      <c r="Q25" s="106" t="s">
        <v>114</v>
      </c>
      <c r="T25" s="107"/>
    </row>
    <row r="26" spans="1:20" ht="15.75" customHeight="1" x14ac:dyDescent="0.2">
      <c r="A26" t="str">
        <f t="shared" si="1"/>
        <v>Stripping out of items as required to proceed with works</v>
      </c>
      <c r="C26" t="str">
        <f>Costing!M33</f>
        <v>Strip out existing timber floor (GF)</v>
      </c>
      <c r="D26" s="107">
        <f>Costing!O33</f>
        <v>8</v>
      </c>
      <c r="E26" s="107">
        <f>Costing!Q33</f>
        <v>30.630000000000003</v>
      </c>
      <c r="F26" t="s">
        <v>3</v>
      </c>
      <c r="G26" t="s">
        <v>152</v>
      </c>
      <c r="H26" s="107">
        <f>Costing!R33*100</f>
        <v>100</v>
      </c>
      <c r="I26" t="s">
        <v>111</v>
      </c>
      <c r="J26" t="s">
        <v>115</v>
      </c>
      <c r="K26" t="s">
        <v>113</v>
      </c>
      <c r="L26" t="s">
        <v>114</v>
      </c>
      <c r="M26" t="str">
        <f t="shared" si="6"/>
        <v/>
      </c>
      <c r="N26" s="129">
        <f t="shared" si="5"/>
        <v>245.04000000000002</v>
      </c>
      <c r="O26" s="131" t="s">
        <v>193</v>
      </c>
      <c r="P26" s="129">
        <f t="shared" si="0"/>
        <v>490.08000000000004</v>
      </c>
      <c r="Q26" s="106" t="s">
        <v>114</v>
      </c>
      <c r="T26" s="107"/>
    </row>
    <row r="27" spans="1:20" ht="15.75" customHeight="1" x14ac:dyDescent="0.2">
      <c r="A27" t="str">
        <f t="shared" si="1"/>
        <v>Stripping out of items as required to proceed with works</v>
      </c>
      <c r="C27" t="str">
        <f>Costing!M34</f>
        <v>Scrape back/clear sub floors</v>
      </c>
      <c r="D27" s="107">
        <f>Costing!O34</f>
        <v>0</v>
      </c>
      <c r="E27" s="107">
        <f>Costing!Q34</f>
        <v>30.630000000000003</v>
      </c>
      <c r="F27" t="s">
        <v>3</v>
      </c>
      <c r="G27" t="s">
        <v>152</v>
      </c>
      <c r="H27" s="107">
        <f>Costing!R34*100</f>
        <v>100</v>
      </c>
      <c r="I27" t="s">
        <v>111</v>
      </c>
      <c r="J27" t="s">
        <v>115</v>
      </c>
      <c r="K27" t="s">
        <v>113</v>
      </c>
      <c r="L27" t="s">
        <v>114</v>
      </c>
      <c r="M27" t="str">
        <f t="shared" si="6"/>
        <v/>
      </c>
      <c r="N27" s="129">
        <f t="shared" si="5"/>
        <v>0</v>
      </c>
      <c r="O27" s="131" t="s">
        <v>193</v>
      </c>
      <c r="P27" s="129">
        <f t="shared" si="0"/>
        <v>0</v>
      </c>
      <c r="Q27" s="106" t="s">
        <v>114</v>
      </c>
      <c r="T27" s="107"/>
    </row>
    <row r="28" spans="1:20" ht="15.75" customHeight="1" x14ac:dyDescent="0.2">
      <c r="A28" t="str">
        <f t="shared" si="1"/>
        <v>Stripping out of items as required to proceed with works</v>
      </c>
      <c r="C28" t="str">
        <f>Costing!M35</f>
        <v>Grind back mortar</v>
      </c>
      <c r="D28" s="107">
        <f>Costing!O35</f>
        <v>0</v>
      </c>
      <c r="E28" s="107">
        <f>Costing!Q35</f>
        <v>30.630000000000003</v>
      </c>
      <c r="F28" t="s">
        <v>3</v>
      </c>
      <c r="G28" t="s">
        <v>152</v>
      </c>
      <c r="H28" s="107">
        <f>Costing!R35*100</f>
        <v>100</v>
      </c>
      <c r="I28" t="s">
        <v>111</v>
      </c>
      <c r="J28" t="s">
        <v>115</v>
      </c>
      <c r="K28" t="s">
        <v>113</v>
      </c>
      <c r="L28" t="s">
        <v>114</v>
      </c>
      <c r="M28" t="str">
        <f t="shared" ref="M28:M29" si="9">IF(J28="MTL","Preservation Shop","")</f>
        <v/>
      </c>
      <c r="N28" s="129">
        <f t="shared" si="5"/>
        <v>0</v>
      </c>
      <c r="O28" s="131" t="s">
        <v>193</v>
      </c>
      <c r="P28" s="129">
        <f t="shared" si="0"/>
        <v>0</v>
      </c>
      <c r="Q28" s="106" t="s">
        <v>114</v>
      </c>
      <c r="T28" s="107"/>
    </row>
    <row r="29" spans="1:20" ht="15.75" customHeight="1" x14ac:dyDescent="0.2">
      <c r="A29" t="str">
        <f t="shared" si="1"/>
        <v>Stripping out of items as required to proceed with works</v>
      </c>
      <c r="C29" t="str">
        <f>Costing!M36</f>
        <v>Wire brush</v>
      </c>
      <c r="D29" s="107">
        <f>Costing!O36</f>
        <v>0</v>
      </c>
      <c r="E29" s="107">
        <f>Costing!Q36</f>
        <v>30.630000000000003</v>
      </c>
      <c r="F29" t="s">
        <v>3</v>
      </c>
      <c r="G29" t="s">
        <v>152</v>
      </c>
      <c r="H29" s="107">
        <f>Costing!R36*100</f>
        <v>100</v>
      </c>
      <c r="I29" t="s">
        <v>111</v>
      </c>
      <c r="J29" t="s">
        <v>115</v>
      </c>
      <c r="K29" t="s">
        <v>113</v>
      </c>
      <c r="L29" t="s">
        <v>114</v>
      </c>
      <c r="M29" t="str">
        <f t="shared" si="9"/>
        <v/>
      </c>
      <c r="N29" s="129">
        <f t="shared" si="5"/>
        <v>0</v>
      </c>
      <c r="O29" s="131" t="s">
        <v>193</v>
      </c>
      <c r="P29" s="129">
        <f t="shared" si="0"/>
        <v>0</v>
      </c>
      <c r="Q29" s="106" t="s">
        <v>114</v>
      </c>
      <c r="T29" s="107"/>
    </row>
    <row r="30" spans="1:20" ht="15.75" customHeight="1" x14ac:dyDescent="0.2">
      <c r="A30" t="str">
        <f t="shared" si="1"/>
        <v>Stripping out of items as required to proceed with works</v>
      </c>
      <c r="C30" t="str">
        <f>Costing!M37</f>
        <v xml:space="preserve">Bag up debris cart outside </v>
      </c>
      <c r="D30" s="107">
        <f>Costing!O37</f>
        <v>0.32</v>
      </c>
      <c r="E30" s="107">
        <f>Costing!Q37</f>
        <v>30.630000000000003</v>
      </c>
      <c r="F30" t="s">
        <v>3</v>
      </c>
      <c r="G30" t="s">
        <v>152</v>
      </c>
      <c r="H30" s="107">
        <f>Costing!R37*100</f>
        <v>100</v>
      </c>
      <c r="I30" t="s">
        <v>111</v>
      </c>
      <c r="J30" t="s">
        <v>115</v>
      </c>
      <c r="K30" t="s">
        <v>113</v>
      </c>
      <c r="L30" t="s">
        <v>114</v>
      </c>
      <c r="M30" t="str">
        <f t="shared" si="6"/>
        <v/>
      </c>
      <c r="N30" s="129">
        <f t="shared" si="5"/>
        <v>9.8016000000000005</v>
      </c>
      <c r="O30" s="131" t="s">
        <v>193</v>
      </c>
      <c r="P30" s="129">
        <f t="shared" si="0"/>
        <v>19.603200000000001</v>
      </c>
      <c r="Q30" s="106" t="s">
        <v>114</v>
      </c>
      <c r="T30" s="107"/>
    </row>
    <row r="31" spans="1:20" ht="15.75" customHeight="1" x14ac:dyDescent="0.2">
      <c r="A31" t="str">
        <f t="shared" si="1"/>
        <v>Stripping out of items as required to proceed with works</v>
      </c>
      <c r="C31" t="str">
        <f>Costing!M38</f>
        <v>Disposal via licensed transfer agent</v>
      </c>
      <c r="D31" s="107">
        <f>Costing!O38</f>
        <v>0</v>
      </c>
      <c r="E31" s="107">
        <f>Costing!Q38</f>
        <v>30.630000000000003</v>
      </c>
      <c r="F31" t="s">
        <v>3</v>
      </c>
      <c r="G31" t="s">
        <v>152</v>
      </c>
      <c r="H31" s="107">
        <f>Costing!R38*100</f>
        <v>100</v>
      </c>
      <c r="I31" t="s">
        <v>111</v>
      </c>
      <c r="J31" t="s">
        <v>115</v>
      </c>
      <c r="K31" t="s">
        <v>113</v>
      </c>
      <c r="L31" t="s">
        <v>114</v>
      </c>
      <c r="M31" t="str">
        <f t="shared" si="6"/>
        <v/>
      </c>
      <c r="N31" s="129">
        <f t="shared" si="5"/>
        <v>0</v>
      </c>
      <c r="O31" s="131" t="s">
        <v>193</v>
      </c>
      <c r="P31" s="129">
        <f t="shared" si="0"/>
        <v>0</v>
      </c>
      <c r="Q31" s="106" t="s">
        <v>114</v>
      </c>
      <c r="T31" s="107"/>
    </row>
    <row r="32" spans="1:20" s="125" customFormat="1" x14ac:dyDescent="0.2">
      <c r="A32" s="125" t="str">
        <f>A21</f>
        <v>Stripping out of items as required to proceed with works</v>
      </c>
      <c r="C32" s="125" t="s">
        <v>194</v>
      </c>
      <c r="D32" s="126">
        <v>1</v>
      </c>
      <c r="E32" s="126">
        <f>N32</f>
        <v>96</v>
      </c>
      <c r="F32" s="125" t="s">
        <v>195</v>
      </c>
      <c r="G32" s="125" t="s">
        <v>153</v>
      </c>
      <c r="H32" s="126">
        <f>((P32-N32)/N32)*100</f>
        <v>30.000000000000011</v>
      </c>
      <c r="I32" s="125" t="s">
        <v>111</v>
      </c>
      <c r="J32" s="125" t="s">
        <v>112</v>
      </c>
      <c r="K32" s="125" t="s">
        <v>113</v>
      </c>
      <c r="L32" s="125" t="s">
        <v>114</v>
      </c>
      <c r="M32" s="125" t="str">
        <f t="shared" si="6"/>
        <v>Preservation Shop</v>
      </c>
      <c r="N32" s="127">
        <f>SUM(N2:N16)</f>
        <v>96</v>
      </c>
      <c r="O32" s="128" t="str">
        <f t="shared" ref="O32:O33" si="10">IF(N32=0,"DELETE","LEAVE")</f>
        <v>LEAVE</v>
      </c>
      <c r="P32" s="127">
        <f>SUM(P2:P16)</f>
        <v>124.80000000000001</v>
      </c>
      <c r="Q32" s="128" t="s">
        <v>113</v>
      </c>
    </row>
    <row r="33" spans="1:17" s="125" customFormat="1" x14ac:dyDescent="0.2">
      <c r="A33" s="125" t="str">
        <f>A32</f>
        <v>Stripping out of items as required to proceed with works</v>
      </c>
      <c r="C33" s="125" t="s">
        <v>196</v>
      </c>
      <c r="D33" s="126">
        <f>SUM(D22:D31)</f>
        <v>8.32</v>
      </c>
      <c r="E33" s="126">
        <f>N33/D33</f>
        <v>30.630000000000003</v>
      </c>
      <c r="F33" s="125" t="s">
        <v>3</v>
      </c>
      <c r="G33" s="125" t="s">
        <v>152</v>
      </c>
      <c r="H33" s="126">
        <f>((P33-N33)/N33)*100</f>
        <v>100</v>
      </c>
      <c r="I33" s="125" t="s">
        <v>111</v>
      </c>
      <c r="J33" s="125" t="s">
        <v>115</v>
      </c>
      <c r="K33" s="125" t="s">
        <v>113</v>
      </c>
      <c r="L33" s="125" t="s">
        <v>114</v>
      </c>
      <c r="M33" s="125" t="str">
        <f t="shared" si="6"/>
        <v/>
      </c>
      <c r="N33" s="127">
        <f>SUM(N17:N31)</f>
        <v>254.84160000000003</v>
      </c>
      <c r="O33" s="128" t="str">
        <f t="shared" si="10"/>
        <v>LEAVE</v>
      </c>
      <c r="P33" s="127">
        <f>SUM(P17:P31)</f>
        <v>509.68320000000006</v>
      </c>
      <c r="Q33" s="128" t="s">
        <v>113</v>
      </c>
    </row>
    <row r="34" spans="1:17" x14ac:dyDescent="0.2">
      <c r="A34" s="121"/>
      <c r="B34" s="121"/>
      <c r="C34" s="121"/>
      <c r="D34" s="122"/>
      <c r="E34" s="122"/>
      <c r="F34" s="121"/>
      <c r="G34" s="121"/>
      <c r="H34" s="122"/>
      <c r="I34" s="121"/>
      <c r="J34" s="121"/>
      <c r="K34" s="121"/>
      <c r="L34" s="121"/>
      <c r="M34" s="121"/>
      <c r="N34" s="130"/>
      <c r="O34" s="124" t="s">
        <v>193</v>
      </c>
      <c r="P34" s="130"/>
      <c r="Q34" s="123"/>
    </row>
    <row r="35" spans="1:17" ht="15.75" customHeight="1" x14ac:dyDescent="0.2">
      <c r="A35" t="str">
        <f>'Customer Summary'!C5</f>
        <v>Walls (Install membrane system)</v>
      </c>
      <c r="C35" t="str">
        <f>Costing!B42</f>
        <v>Apply 2 x Brunosol + 1 x Wykabor 20.1</v>
      </c>
      <c r="D35" s="107">
        <f>Costing!F42</f>
        <v>0</v>
      </c>
      <c r="E35" s="107">
        <f>Costing!I42</f>
        <v>5.5</v>
      </c>
      <c r="F35" t="str">
        <f>Costing!G42</f>
        <v>M2</v>
      </c>
      <c r="G35" t="s">
        <v>153</v>
      </c>
      <c r="H35" s="107">
        <f>Costing!J42*100</f>
        <v>30</v>
      </c>
      <c r="I35" t="s">
        <v>111</v>
      </c>
      <c r="J35" t="s">
        <v>112</v>
      </c>
      <c r="K35" t="s">
        <v>113</v>
      </c>
      <c r="L35" t="s">
        <v>114</v>
      </c>
      <c r="M35" t="str">
        <f t="shared" si="6"/>
        <v>Preservation Shop</v>
      </c>
      <c r="N35" s="129">
        <f t="shared" si="5"/>
        <v>0</v>
      </c>
      <c r="O35" s="131" t="s">
        <v>193</v>
      </c>
      <c r="P35" s="129">
        <f t="shared" ref="P35:P58" si="11">N35*(1+(H35/100))</f>
        <v>0</v>
      </c>
      <c r="Q35" s="106" t="s">
        <v>114</v>
      </c>
    </row>
    <row r="36" spans="1:17" ht="15.75" customHeight="1" x14ac:dyDescent="0.2">
      <c r="A36" t="str">
        <f>A35</f>
        <v>Walls (Install membrane system)</v>
      </c>
      <c r="C36" t="str">
        <f>Costing!B43</f>
        <v>Wall membrane CM3  - 1mtr</v>
      </c>
      <c r="D36" s="107">
        <f>Costing!F43</f>
        <v>0</v>
      </c>
      <c r="E36" s="107">
        <f>Costing!I43</f>
        <v>0</v>
      </c>
      <c r="F36" t="str">
        <f>Costing!G43</f>
        <v>M2</v>
      </c>
      <c r="G36" t="s">
        <v>153</v>
      </c>
      <c r="H36" s="107">
        <f>Costing!J43*100</f>
        <v>30</v>
      </c>
      <c r="I36" t="s">
        <v>111</v>
      </c>
      <c r="J36" t="s">
        <v>112</v>
      </c>
      <c r="K36" t="s">
        <v>113</v>
      </c>
      <c r="L36" t="s">
        <v>114</v>
      </c>
      <c r="M36" t="str">
        <f t="shared" ref="M36" si="12">IF(J36="MTL","Preservation Shop","")</f>
        <v>Preservation Shop</v>
      </c>
      <c r="N36" s="129">
        <f t="shared" ref="N36" si="13">D36*E36</f>
        <v>0</v>
      </c>
      <c r="O36" s="131" t="s">
        <v>193</v>
      </c>
      <c r="P36" s="129">
        <f t="shared" si="11"/>
        <v>0</v>
      </c>
      <c r="Q36" s="106" t="s">
        <v>114</v>
      </c>
    </row>
    <row r="37" spans="1:17" ht="15.75" customHeight="1" x14ac:dyDescent="0.2">
      <c r="A37" t="str">
        <f t="shared" ref="A37:A60" si="14">A36</f>
        <v>Walls (Install membrane system)</v>
      </c>
      <c r="C37" t="str">
        <f>Costing!B44</f>
        <v>Wall membrane CM3  - 1.2mtr</v>
      </c>
      <c r="D37" s="107">
        <f>Costing!F44</f>
        <v>0</v>
      </c>
      <c r="E37" s="107">
        <f>Costing!I44</f>
        <v>0</v>
      </c>
      <c r="F37" t="str">
        <f>Costing!G44</f>
        <v>M2</v>
      </c>
      <c r="G37" t="s">
        <v>153</v>
      </c>
      <c r="H37" s="107">
        <f>Costing!J44*100</f>
        <v>30</v>
      </c>
      <c r="I37" t="s">
        <v>111</v>
      </c>
      <c r="J37" t="s">
        <v>112</v>
      </c>
      <c r="K37" t="s">
        <v>113</v>
      </c>
      <c r="L37" t="s">
        <v>114</v>
      </c>
      <c r="M37" t="str">
        <f t="shared" ref="M37:M38" si="15">IF(J37="MTL","Preservation Shop","")</f>
        <v>Preservation Shop</v>
      </c>
      <c r="N37" s="129">
        <f t="shared" ref="N37:N38" si="16">D37*E37</f>
        <v>0</v>
      </c>
      <c r="O37" s="131" t="s">
        <v>193</v>
      </c>
      <c r="P37" s="129">
        <f t="shared" si="11"/>
        <v>0</v>
      </c>
      <c r="Q37" s="106" t="s">
        <v>114</v>
      </c>
    </row>
    <row r="38" spans="1:17" ht="15.75" customHeight="1" x14ac:dyDescent="0.2">
      <c r="A38" t="str">
        <f t="shared" si="14"/>
        <v>Walls (Install membrane system)</v>
      </c>
      <c r="C38" t="str">
        <f>Costing!B45</f>
        <v>Wall membrane CM3  - 2mtr #1</v>
      </c>
      <c r="D38" s="107">
        <f>Costing!F45</f>
        <v>0</v>
      </c>
      <c r="E38" s="107">
        <f>Costing!I45</f>
        <v>0</v>
      </c>
      <c r="F38" t="str">
        <f>Costing!G45</f>
        <v>M2</v>
      </c>
      <c r="G38" t="s">
        <v>153</v>
      </c>
      <c r="H38" s="107">
        <f>Costing!J45*100</f>
        <v>30</v>
      </c>
      <c r="I38" t="s">
        <v>111</v>
      </c>
      <c r="J38" t="s">
        <v>112</v>
      </c>
      <c r="K38" t="s">
        <v>113</v>
      </c>
      <c r="L38" t="s">
        <v>114</v>
      </c>
      <c r="M38" t="str">
        <f t="shared" si="15"/>
        <v>Preservation Shop</v>
      </c>
      <c r="N38" s="129">
        <f t="shared" si="16"/>
        <v>0</v>
      </c>
      <c r="O38" s="131" t="s">
        <v>193</v>
      </c>
      <c r="P38" s="129">
        <f t="shared" si="11"/>
        <v>0</v>
      </c>
      <c r="Q38" s="106" t="s">
        <v>114</v>
      </c>
    </row>
    <row r="39" spans="1:17" ht="15.75" customHeight="1" x14ac:dyDescent="0.2">
      <c r="A39" t="str">
        <f t="shared" si="14"/>
        <v>Walls (Install membrane system)</v>
      </c>
      <c r="C39" t="str">
        <f>Costing!B46</f>
        <v>Wall membrane CM3  - 2mtr #2</v>
      </c>
      <c r="D39" s="107">
        <f>Costing!F46</f>
        <v>0</v>
      </c>
      <c r="E39" s="107">
        <f>Costing!I46</f>
        <v>0</v>
      </c>
      <c r="F39" t="str">
        <f>Costing!G46</f>
        <v>M2</v>
      </c>
      <c r="G39" t="s">
        <v>153</v>
      </c>
      <c r="H39" s="107">
        <f>Costing!J46*100</f>
        <v>30</v>
      </c>
      <c r="I39" t="s">
        <v>111</v>
      </c>
      <c r="J39" t="s">
        <v>112</v>
      </c>
      <c r="K39" t="s">
        <v>113</v>
      </c>
      <c r="L39" t="s">
        <v>114</v>
      </c>
      <c r="M39" t="str">
        <f t="shared" ref="M39:M41" si="17">IF(J39="MTL","Preservation Shop","")</f>
        <v>Preservation Shop</v>
      </c>
      <c r="N39" s="129">
        <f t="shared" ref="N39:N41" si="18">D39*E39</f>
        <v>0</v>
      </c>
      <c r="O39" s="131" t="s">
        <v>193</v>
      </c>
      <c r="P39" s="129">
        <f t="shared" si="11"/>
        <v>0</v>
      </c>
      <c r="Q39" s="106" t="s">
        <v>114</v>
      </c>
    </row>
    <row r="40" spans="1:17" ht="15.75" customHeight="1" x14ac:dyDescent="0.2">
      <c r="A40" t="str">
        <f t="shared" si="14"/>
        <v>Walls (Install membrane system)</v>
      </c>
      <c r="C40" t="str">
        <f>Costing!B47</f>
        <v>Wall membrane CM3  - 2mtr #3</v>
      </c>
      <c r="D40" s="107">
        <f>Costing!F47</f>
        <v>0</v>
      </c>
      <c r="E40" s="107">
        <f>Costing!I47</f>
        <v>0</v>
      </c>
      <c r="F40" t="str">
        <f>Costing!G47</f>
        <v>M2</v>
      </c>
      <c r="G40" t="s">
        <v>153</v>
      </c>
      <c r="H40" s="107">
        <f>Costing!J47*100</f>
        <v>30</v>
      </c>
      <c r="I40" t="s">
        <v>111</v>
      </c>
      <c r="J40" t="s">
        <v>112</v>
      </c>
      <c r="K40" t="s">
        <v>113</v>
      </c>
      <c r="L40" t="s">
        <v>114</v>
      </c>
      <c r="M40" t="str">
        <f t="shared" si="17"/>
        <v>Preservation Shop</v>
      </c>
      <c r="N40" s="129">
        <f t="shared" si="18"/>
        <v>0</v>
      </c>
      <c r="O40" s="131" t="s">
        <v>193</v>
      </c>
      <c r="P40" s="129">
        <f t="shared" si="11"/>
        <v>0</v>
      </c>
      <c r="Q40" s="106" t="s">
        <v>114</v>
      </c>
    </row>
    <row r="41" spans="1:17" ht="15.75" customHeight="1" x14ac:dyDescent="0.2">
      <c r="A41" t="str">
        <f t="shared" si="14"/>
        <v>Walls (Install membrane system)</v>
      </c>
      <c r="C41" t="str">
        <f>Costing!B48</f>
        <v>Wall membrane CM3 - Subtotals for above 3 lines</v>
      </c>
      <c r="D41" s="107">
        <f>Costing!F48</f>
        <v>0</v>
      </c>
      <c r="E41" s="107">
        <f>Costing!I48</f>
        <v>0</v>
      </c>
      <c r="F41" t="str">
        <f>Costing!G48</f>
        <v>M2</v>
      </c>
      <c r="G41" t="s">
        <v>153</v>
      </c>
      <c r="H41" s="107">
        <f>Costing!J48*100</f>
        <v>30</v>
      </c>
      <c r="I41" t="s">
        <v>111</v>
      </c>
      <c r="J41" t="s">
        <v>112</v>
      </c>
      <c r="K41" t="s">
        <v>113</v>
      </c>
      <c r="L41" t="s">
        <v>114</v>
      </c>
      <c r="M41" t="str">
        <f t="shared" si="17"/>
        <v>Preservation Shop</v>
      </c>
      <c r="N41" s="129">
        <f t="shared" si="18"/>
        <v>0</v>
      </c>
      <c r="O41" s="131" t="s">
        <v>193</v>
      </c>
      <c r="P41" s="129">
        <f t="shared" si="11"/>
        <v>0</v>
      </c>
      <c r="Q41" s="106" t="s">
        <v>114</v>
      </c>
    </row>
    <row r="42" spans="1:17" ht="15.75" customHeight="1" x14ac:dyDescent="0.2">
      <c r="A42" t="str">
        <f t="shared" si="14"/>
        <v>Walls (Install membrane system)</v>
      </c>
      <c r="C42" t="str">
        <f>Costing!B49</f>
        <v>Membrane plugs for m2 listed</v>
      </c>
      <c r="D42" s="107">
        <f>Costing!F49</f>
        <v>0</v>
      </c>
      <c r="E42" s="107">
        <f>Costing!I49</f>
        <v>0</v>
      </c>
      <c r="F42" t="str">
        <f>Costing!G49</f>
        <v>M2</v>
      </c>
      <c r="G42" t="s">
        <v>153</v>
      </c>
      <c r="H42" s="107">
        <f>Costing!J49*100</f>
        <v>30</v>
      </c>
      <c r="I42" t="s">
        <v>111</v>
      </c>
      <c r="J42" t="s">
        <v>112</v>
      </c>
      <c r="K42" t="s">
        <v>113</v>
      </c>
      <c r="L42" t="s">
        <v>114</v>
      </c>
      <c r="M42" t="str">
        <f t="shared" si="6"/>
        <v>Preservation Shop</v>
      </c>
      <c r="N42" s="129">
        <f t="shared" si="5"/>
        <v>0</v>
      </c>
      <c r="O42" s="131" t="s">
        <v>193</v>
      </c>
      <c r="P42" s="129">
        <f t="shared" si="11"/>
        <v>0</v>
      </c>
      <c r="Q42" s="106" t="s">
        <v>114</v>
      </c>
    </row>
    <row r="43" spans="1:17" ht="15.75" customHeight="1" x14ac:dyDescent="0.2">
      <c r="A43" t="str">
        <f t="shared" si="14"/>
        <v>Walls (Install membrane system)</v>
      </c>
      <c r="C43" t="str">
        <f>Costing!B50</f>
        <v>Sealing Tape Lm</v>
      </c>
      <c r="D43" s="107">
        <f>Costing!F50</f>
        <v>0</v>
      </c>
      <c r="E43" s="107">
        <f>Costing!I50</f>
        <v>0</v>
      </c>
      <c r="F43" t="str">
        <f>Costing!G50</f>
        <v>LM</v>
      </c>
      <c r="G43" t="s">
        <v>153</v>
      </c>
      <c r="H43" s="107">
        <f>Costing!J50*100</f>
        <v>30</v>
      </c>
      <c r="I43" t="s">
        <v>111</v>
      </c>
      <c r="J43" t="s">
        <v>112</v>
      </c>
      <c r="K43" t="s">
        <v>113</v>
      </c>
      <c r="L43" t="s">
        <v>114</v>
      </c>
      <c r="M43" t="str">
        <f t="shared" si="6"/>
        <v>Preservation Shop</v>
      </c>
      <c r="N43" s="129">
        <f t="shared" si="5"/>
        <v>0</v>
      </c>
      <c r="O43" s="131" t="s">
        <v>193</v>
      </c>
      <c r="P43" s="129">
        <f t="shared" si="11"/>
        <v>0</v>
      </c>
      <c r="Q43" s="106" t="s">
        <v>114</v>
      </c>
    </row>
    <row r="44" spans="1:17" ht="15.75" customHeight="1" x14ac:dyDescent="0.2">
      <c r="A44" t="str">
        <f t="shared" si="14"/>
        <v>Walls (Install membrane system)</v>
      </c>
      <c r="C44" t="str">
        <f>Costing!B51</f>
        <v>Technoseal Lm</v>
      </c>
      <c r="D44" s="107">
        <f>Costing!F51</f>
        <v>0</v>
      </c>
      <c r="E44" s="107">
        <f>Costing!I51</f>
        <v>1</v>
      </c>
      <c r="F44" t="str">
        <f>Costing!G51</f>
        <v>LM</v>
      </c>
      <c r="G44" t="s">
        <v>153</v>
      </c>
      <c r="H44" s="107">
        <f>Costing!J51*100</f>
        <v>30</v>
      </c>
      <c r="I44" t="s">
        <v>111</v>
      </c>
      <c r="J44" t="s">
        <v>112</v>
      </c>
      <c r="K44" t="s">
        <v>113</v>
      </c>
      <c r="L44" t="s">
        <v>114</v>
      </c>
      <c r="M44" t="str">
        <f t="shared" ref="M44" si="19">IF(J44="MTL","Preservation Shop","")</f>
        <v>Preservation Shop</v>
      </c>
      <c r="N44" s="129">
        <f t="shared" si="5"/>
        <v>0</v>
      </c>
      <c r="O44" s="131" t="s">
        <v>193</v>
      </c>
      <c r="P44" s="129">
        <f t="shared" si="11"/>
        <v>0</v>
      </c>
      <c r="Q44" s="106" t="s">
        <v>114</v>
      </c>
    </row>
    <row r="45" spans="1:17" ht="15.75" customHeight="1" x14ac:dyDescent="0.2">
      <c r="A45" t="str">
        <f t="shared" si="14"/>
        <v>Walls (Install membrane system)</v>
      </c>
      <c r="C45" t="str">
        <f>Costing!B53</f>
        <v>Overtape Lm</v>
      </c>
      <c r="D45" s="107">
        <f>Costing!F53</f>
        <v>0</v>
      </c>
      <c r="E45" s="107">
        <f>Costing!I53</f>
        <v>0</v>
      </c>
      <c r="F45" t="str">
        <f>Costing!G53</f>
        <v>LM</v>
      </c>
      <c r="G45" t="s">
        <v>153</v>
      </c>
      <c r="H45" s="107">
        <f>Costing!J53*100</f>
        <v>30</v>
      </c>
      <c r="I45" t="s">
        <v>111</v>
      </c>
      <c r="J45" t="s">
        <v>112</v>
      </c>
      <c r="K45" t="s">
        <v>113</v>
      </c>
      <c r="L45" t="s">
        <v>114</v>
      </c>
      <c r="M45" t="str">
        <f t="shared" si="6"/>
        <v>Preservation Shop</v>
      </c>
      <c r="N45" s="129">
        <f t="shared" si="5"/>
        <v>0</v>
      </c>
      <c r="O45" s="131" t="s">
        <v>193</v>
      </c>
      <c r="P45" s="129">
        <f t="shared" si="11"/>
        <v>0</v>
      </c>
      <c r="Q45" s="106" t="s">
        <v>114</v>
      </c>
    </row>
    <row r="46" spans="1:17" ht="15.75" customHeight="1" x14ac:dyDescent="0.2">
      <c r="A46" t="str">
        <f t="shared" si="14"/>
        <v>Walls (Install membrane system)</v>
      </c>
      <c r="C46" t="str">
        <f>Costing!B54</f>
        <v>Fixing Rope Lm</v>
      </c>
      <c r="D46" s="107">
        <f>Costing!F54</f>
        <v>0</v>
      </c>
      <c r="E46" s="107">
        <f>Costing!I54</f>
        <v>0</v>
      </c>
      <c r="F46" t="str">
        <f>Costing!G54</f>
        <v>LM</v>
      </c>
      <c r="G46" t="s">
        <v>153</v>
      </c>
      <c r="H46" s="107">
        <f>Costing!J54*100</f>
        <v>30</v>
      </c>
      <c r="I46" t="s">
        <v>111</v>
      </c>
      <c r="J46" t="s">
        <v>112</v>
      </c>
      <c r="K46" t="s">
        <v>113</v>
      </c>
      <c r="L46" t="s">
        <v>114</v>
      </c>
      <c r="M46" t="str">
        <f t="shared" si="6"/>
        <v>Preservation Shop</v>
      </c>
      <c r="N46" s="129">
        <f t="shared" si="5"/>
        <v>0</v>
      </c>
      <c r="O46" s="131" t="s">
        <v>193</v>
      </c>
      <c r="P46" s="129">
        <f t="shared" si="11"/>
        <v>0</v>
      </c>
      <c r="Q46" s="106" t="s">
        <v>114</v>
      </c>
    </row>
    <row r="47" spans="1:17" ht="15.75" customHeight="1" x14ac:dyDescent="0.2">
      <c r="A47" t="str">
        <f t="shared" si="14"/>
        <v>Walls (Install membrane system)</v>
      </c>
      <c r="C47" t="str">
        <f>Costing!M42</f>
        <v>Brumasol/Wykabor 20.1</v>
      </c>
      <c r="D47" s="107">
        <f>Costing!O42</f>
        <v>0</v>
      </c>
      <c r="E47" s="107">
        <f>Costing!Q42</f>
        <v>30.630000000000003</v>
      </c>
      <c r="F47" t="s">
        <v>3</v>
      </c>
      <c r="G47" t="s">
        <v>152</v>
      </c>
      <c r="H47" s="107">
        <f>Costing!R42*100</f>
        <v>100</v>
      </c>
      <c r="I47" t="s">
        <v>111</v>
      </c>
      <c r="J47" t="s">
        <v>115</v>
      </c>
      <c r="K47" t="s">
        <v>113</v>
      </c>
      <c r="L47" t="s">
        <v>114</v>
      </c>
      <c r="M47" t="str">
        <f t="shared" si="6"/>
        <v/>
      </c>
      <c r="N47" s="129">
        <f t="shared" si="5"/>
        <v>0</v>
      </c>
      <c r="O47" s="131" t="s">
        <v>193</v>
      </c>
      <c r="P47" s="129">
        <f t="shared" si="11"/>
        <v>0</v>
      </c>
      <c r="Q47" s="106" t="s">
        <v>114</v>
      </c>
    </row>
    <row r="48" spans="1:17" ht="15.75" customHeight="1" x14ac:dyDescent="0.2">
      <c r="A48" t="str">
        <f t="shared" si="14"/>
        <v>Walls (Install membrane system)</v>
      </c>
      <c r="C48" t="str">
        <f>Costing!B43</f>
        <v>Wall membrane CM3  - 1mtr</v>
      </c>
      <c r="D48" s="107">
        <f>Costing!O43</f>
        <v>0</v>
      </c>
      <c r="E48" s="107">
        <f>Costing!Q43</f>
        <v>30.630000000000003</v>
      </c>
      <c r="F48" t="s">
        <v>3</v>
      </c>
      <c r="G48" t="s">
        <v>152</v>
      </c>
      <c r="H48" s="107">
        <f>Costing!R43*100</f>
        <v>100</v>
      </c>
      <c r="I48" t="s">
        <v>111</v>
      </c>
      <c r="J48" t="s">
        <v>115</v>
      </c>
      <c r="K48" t="s">
        <v>113</v>
      </c>
      <c r="L48" t="s">
        <v>114</v>
      </c>
      <c r="M48" t="str">
        <f t="shared" ref="M48" si="20">IF(J48="MTL","Preservation Shop","")</f>
        <v/>
      </c>
      <c r="N48" s="129">
        <f t="shared" ref="N48" si="21">D48*E48</f>
        <v>0</v>
      </c>
      <c r="O48" s="131" t="s">
        <v>193</v>
      </c>
      <c r="P48" s="129">
        <f t="shared" si="11"/>
        <v>0</v>
      </c>
      <c r="Q48" s="106" t="s">
        <v>114</v>
      </c>
    </row>
    <row r="49" spans="1:17" ht="15.75" customHeight="1" x14ac:dyDescent="0.2">
      <c r="A49" t="str">
        <f t="shared" si="14"/>
        <v>Walls (Install membrane system)</v>
      </c>
      <c r="C49" t="str">
        <f>Costing!B44</f>
        <v>Wall membrane CM3  - 1.2mtr</v>
      </c>
      <c r="D49" s="107">
        <f>Costing!O44</f>
        <v>0</v>
      </c>
      <c r="E49" s="107">
        <f>Costing!Q44</f>
        <v>30.630000000000003</v>
      </c>
      <c r="F49" t="s">
        <v>3</v>
      </c>
      <c r="G49" t="s">
        <v>152</v>
      </c>
      <c r="H49" s="107">
        <f>Costing!R44*100</f>
        <v>100</v>
      </c>
      <c r="I49" t="s">
        <v>111</v>
      </c>
      <c r="J49" t="s">
        <v>115</v>
      </c>
      <c r="K49" t="s">
        <v>113</v>
      </c>
      <c r="L49" t="s">
        <v>114</v>
      </c>
      <c r="M49" t="str">
        <f t="shared" ref="M49:M53" si="22">IF(J49="MTL","Preservation Shop","")</f>
        <v/>
      </c>
      <c r="N49" s="129">
        <f t="shared" ref="N49:N53" si="23">D49*E49</f>
        <v>0</v>
      </c>
      <c r="O49" s="131" t="s">
        <v>193</v>
      </c>
      <c r="P49" s="129">
        <f t="shared" si="11"/>
        <v>0</v>
      </c>
      <c r="Q49" s="106" t="s">
        <v>114</v>
      </c>
    </row>
    <row r="50" spans="1:17" ht="15.75" customHeight="1" x14ac:dyDescent="0.2">
      <c r="A50" t="str">
        <f t="shared" si="14"/>
        <v>Walls (Install membrane system)</v>
      </c>
      <c r="C50" t="str">
        <f>Costing!B45</f>
        <v>Wall membrane CM3  - 2mtr #1</v>
      </c>
      <c r="D50" s="107">
        <f>Costing!O45</f>
        <v>0</v>
      </c>
      <c r="E50" s="107">
        <f>Costing!Q45</f>
        <v>30.630000000000003</v>
      </c>
      <c r="F50" t="s">
        <v>3</v>
      </c>
      <c r="G50" t="s">
        <v>152</v>
      </c>
      <c r="H50" s="107">
        <f>Costing!R45*100</f>
        <v>100</v>
      </c>
      <c r="I50" t="s">
        <v>111</v>
      </c>
      <c r="J50" t="s">
        <v>115</v>
      </c>
      <c r="K50" t="s">
        <v>113</v>
      </c>
      <c r="L50" t="s">
        <v>114</v>
      </c>
      <c r="M50" t="str">
        <f t="shared" si="22"/>
        <v/>
      </c>
      <c r="N50" s="129">
        <f t="shared" si="23"/>
        <v>0</v>
      </c>
      <c r="O50" s="131" t="s">
        <v>193</v>
      </c>
      <c r="P50" s="129">
        <f t="shared" si="11"/>
        <v>0</v>
      </c>
      <c r="Q50" s="106" t="s">
        <v>114</v>
      </c>
    </row>
    <row r="51" spans="1:17" ht="15.75" customHeight="1" x14ac:dyDescent="0.2">
      <c r="A51" t="str">
        <f t="shared" si="14"/>
        <v>Walls (Install membrane system)</v>
      </c>
      <c r="C51" t="str">
        <f>Costing!B46</f>
        <v>Wall membrane CM3  - 2mtr #2</v>
      </c>
      <c r="D51" s="107">
        <f>Costing!O46</f>
        <v>0</v>
      </c>
      <c r="E51" s="107">
        <f>Costing!Q46</f>
        <v>30.630000000000003</v>
      </c>
      <c r="F51" t="s">
        <v>3</v>
      </c>
      <c r="G51" t="s">
        <v>152</v>
      </c>
      <c r="H51" s="107">
        <f>Costing!R46*100</f>
        <v>100</v>
      </c>
      <c r="I51" t="s">
        <v>111</v>
      </c>
      <c r="J51" t="s">
        <v>115</v>
      </c>
      <c r="K51" t="s">
        <v>113</v>
      </c>
      <c r="L51" t="s">
        <v>114</v>
      </c>
      <c r="M51" t="str">
        <f t="shared" si="22"/>
        <v/>
      </c>
      <c r="N51" s="129">
        <f t="shared" si="23"/>
        <v>0</v>
      </c>
      <c r="O51" s="131" t="s">
        <v>193</v>
      </c>
      <c r="P51" s="129">
        <f t="shared" si="11"/>
        <v>0</v>
      </c>
      <c r="Q51" s="106" t="s">
        <v>114</v>
      </c>
    </row>
    <row r="52" spans="1:17" ht="15.75" customHeight="1" x14ac:dyDescent="0.2">
      <c r="A52" t="str">
        <f t="shared" si="14"/>
        <v>Walls (Install membrane system)</v>
      </c>
      <c r="C52" t="str">
        <f>Costing!B47</f>
        <v>Wall membrane CM3  - 2mtr #3</v>
      </c>
      <c r="D52" s="107">
        <f>Costing!O47</f>
        <v>0</v>
      </c>
      <c r="E52" s="107">
        <f>Costing!Q47</f>
        <v>30.630000000000003</v>
      </c>
      <c r="F52" t="s">
        <v>3</v>
      </c>
      <c r="G52" t="s">
        <v>152</v>
      </c>
      <c r="H52" s="107">
        <f>Costing!R47*100</f>
        <v>100</v>
      </c>
      <c r="I52" t="s">
        <v>111</v>
      </c>
      <c r="J52" t="s">
        <v>115</v>
      </c>
      <c r="K52" t="s">
        <v>113</v>
      </c>
      <c r="L52" t="s">
        <v>114</v>
      </c>
      <c r="M52" t="str">
        <f t="shared" si="22"/>
        <v/>
      </c>
      <c r="N52" s="129">
        <f t="shared" si="23"/>
        <v>0</v>
      </c>
      <c r="O52" s="131" t="s">
        <v>193</v>
      </c>
      <c r="P52" s="129">
        <f t="shared" si="11"/>
        <v>0</v>
      </c>
      <c r="Q52" s="106" t="s">
        <v>114</v>
      </c>
    </row>
    <row r="53" spans="1:17" ht="15.75" customHeight="1" x14ac:dyDescent="0.2">
      <c r="A53" t="str">
        <f t="shared" si="14"/>
        <v>Walls (Install membrane system)</v>
      </c>
      <c r="C53" t="str">
        <f>Costing!B48</f>
        <v>Wall membrane CM3 - Subtotals for above 3 lines</v>
      </c>
      <c r="D53" s="107">
        <f>Costing!O48</f>
        <v>0</v>
      </c>
      <c r="E53" s="107">
        <f>Costing!Q48</f>
        <v>30.630000000000003</v>
      </c>
      <c r="F53" t="s">
        <v>3</v>
      </c>
      <c r="G53" t="s">
        <v>152</v>
      </c>
      <c r="H53" s="107">
        <f>Costing!R48*100</f>
        <v>100</v>
      </c>
      <c r="I53" t="s">
        <v>111</v>
      </c>
      <c r="J53" t="s">
        <v>115</v>
      </c>
      <c r="K53" t="s">
        <v>113</v>
      </c>
      <c r="L53" t="s">
        <v>114</v>
      </c>
      <c r="M53" t="str">
        <f t="shared" si="22"/>
        <v/>
      </c>
      <c r="N53" s="129">
        <f t="shared" si="23"/>
        <v>0</v>
      </c>
      <c r="O53" s="131" t="s">
        <v>193</v>
      </c>
      <c r="P53" s="129">
        <f t="shared" si="11"/>
        <v>0</v>
      </c>
      <c r="Q53" s="106" t="s">
        <v>114</v>
      </c>
    </row>
    <row r="54" spans="1:17" ht="15.75" customHeight="1" x14ac:dyDescent="0.2">
      <c r="A54" t="str">
        <f t="shared" si="14"/>
        <v>Walls (Install membrane system)</v>
      </c>
      <c r="C54" t="str">
        <f>Costing!M49</f>
        <v>Membrane plugs for m2 listed</v>
      </c>
      <c r="D54" s="107">
        <f>Costing!O49</f>
        <v>0</v>
      </c>
      <c r="E54" s="107">
        <f>Costing!Q49</f>
        <v>30.630000000000003</v>
      </c>
      <c r="F54" t="s">
        <v>3</v>
      </c>
      <c r="G54" t="s">
        <v>152</v>
      </c>
      <c r="H54" s="107">
        <f>Costing!R49*100</f>
        <v>100</v>
      </c>
      <c r="I54" t="s">
        <v>111</v>
      </c>
      <c r="J54" t="s">
        <v>115</v>
      </c>
      <c r="K54" t="s">
        <v>113</v>
      </c>
      <c r="L54" t="s">
        <v>114</v>
      </c>
      <c r="M54" t="str">
        <f t="shared" si="6"/>
        <v/>
      </c>
      <c r="N54" s="129">
        <f t="shared" si="5"/>
        <v>0</v>
      </c>
      <c r="O54" s="131" t="s">
        <v>193</v>
      </c>
      <c r="P54" s="129">
        <f t="shared" si="11"/>
        <v>0</v>
      </c>
      <c r="Q54" s="106" t="s">
        <v>114</v>
      </c>
    </row>
    <row r="55" spans="1:17" ht="15.75" customHeight="1" x14ac:dyDescent="0.2">
      <c r="A55" t="str">
        <f t="shared" si="14"/>
        <v>Walls (Install membrane system)</v>
      </c>
      <c r="C55" t="str">
        <f>Costing!M50</f>
        <v>Sealing Tape Lm</v>
      </c>
      <c r="D55" s="107">
        <f>Costing!O50</f>
        <v>0</v>
      </c>
      <c r="E55" s="107">
        <f>Costing!Q50</f>
        <v>30.630000000000003</v>
      </c>
      <c r="F55" t="s">
        <v>3</v>
      </c>
      <c r="G55" t="s">
        <v>152</v>
      </c>
      <c r="H55" s="107">
        <f>Costing!R50*100</f>
        <v>100</v>
      </c>
      <c r="I55" t="s">
        <v>111</v>
      </c>
      <c r="J55" t="s">
        <v>115</v>
      </c>
      <c r="K55" t="s">
        <v>113</v>
      </c>
      <c r="L55" t="s">
        <v>114</v>
      </c>
      <c r="M55" t="str">
        <f t="shared" si="6"/>
        <v/>
      </c>
      <c r="N55" s="129">
        <f t="shared" si="5"/>
        <v>0</v>
      </c>
      <c r="O55" s="131" t="s">
        <v>193</v>
      </c>
      <c r="P55" s="129">
        <f t="shared" si="11"/>
        <v>0</v>
      </c>
      <c r="Q55" s="106" t="s">
        <v>114</v>
      </c>
    </row>
    <row r="56" spans="1:17" ht="15.75" customHeight="1" x14ac:dyDescent="0.2">
      <c r="A56" t="str">
        <f t="shared" si="14"/>
        <v>Walls (Install membrane system)</v>
      </c>
      <c r="C56" t="str">
        <f>Costing!M51</f>
        <v>Technoseal Lm</v>
      </c>
      <c r="D56" s="107">
        <f>Costing!O51</f>
        <v>0</v>
      </c>
      <c r="E56" s="107">
        <f>Costing!Q51</f>
        <v>30.630000000000003</v>
      </c>
      <c r="F56" t="s">
        <v>3</v>
      </c>
      <c r="G56" t="s">
        <v>152</v>
      </c>
      <c r="H56" s="107">
        <f>Costing!R51*100</f>
        <v>100</v>
      </c>
      <c r="I56" t="s">
        <v>111</v>
      </c>
      <c r="J56" t="s">
        <v>115</v>
      </c>
      <c r="K56" t="s">
        <v>113</v>
      </c>
      <c r="L56" t="s">
        <v>114</v>
      </c>
      <c r="M56" t="str">
        <f t="shared" ref="M56" si="24">IF(J56="MTL","Preservation Shop","")</f>
        <v/>
      </c>
      <c r="N56" s="129">
        <f t="shared" si="5"/>
        <v>0</v>
      </c>
      <c r="O56" s="131" t="s">
        <v>193</v>
      </c>
      <c r="P56" s="129">
        <f t="shared" si="11"/>
        <v>0</v>
      </c>
      <c r="Q56" s="106" t="s">
        <v>114</v>
      </c>
    </row>
    <row r="57" spans="1:17" ht="15.75" customHeight="1" x14ac:dyDescent="0.2">
      <c r="A57" t="str">
        <f t="shared" si="14"/>
        <v>Walls (Install membrane system)</v>
      </c>
      <c r="C57" t="str">
        <f>Costing!M53</f>
        <v>Overtape Lm</v>
      </c>
      <c r="D57" s="107">
        <f>Costing!O53</f>
        <v>0</v>
      </c>
      <c r="E57" s="107">
        <f>Costing!Q53</f>
        <v>30.630000000000003</v>
      </c>
      <c r="F57" t="s">
        <v>3</v>
      </c>
      <c r="G57" t="s">
        <v>152</v>
      </c>
      <c r="H57" s="107">
        <f>Costing!R53*100</f>
        <v>100</v>
      </c>
      <c r="I57" t="s">
        <v>111</v>
      </c>
      <c r="J57" t="s">
        <v>115</v>
      </c>
      <c r="K57" t="s">
        <v>113</v>
      </c>
      <c r="L57" t="s">
        <v>114</v>
      </c>
      <c r="M57" t="str">
        <f t="shared" si="6"/>
        <v/>
      </c>
      <c r="N57" s="129">
        <f t="shared" si="5"/>
        <v>0</v>
      </c>
      <c r="O57" s="131" t="s">
        <v>193</v>
      </c>
      <c r="P57" s="129">
        <f t="shared" si="11"/>
        <v>0</v>
      </c>
      <c r="Q57" s="106" t="s">
        <v>114</v>
      </c>
    </row>
    <row r="58" spans="1:17" ht="15.75" customHeight="1" x14ac:dyDescent="0.2">
      <c r="A58" t="str">
        <f t="shared" si="14"/>
        <v>Walls (Install membrane system)</v>
      </c>
      <c r="C58" t="str">
        <f>Costing!M54</f>
        <v>Fixing Rope Lm</v>
      </c>
      <c r="D58" s="107">
        <f>Costing!O54</f>
        <v>0</v>
      </c>
      <c r="E58" s="107">
        <f>Costing!Q54</f>
        <v>30.630000000000003</v>
      </c>
      <c r="F58" t="s">
        <v>3</v>
      </c>
      <c r="G58" t="s">
        <v>152</v>
      </c>
      <c r="H58" s="107">
        <f>Costing!R54*100</f>
        <v>100</v>
      </c>
      <c r="I58" t="s">
        <v>111</v>
      </c>
      <c r="J58" t="s">
        <v>115</v>
      </c>
      <c r="K58" t="s">
        <v>113</v>
      </c>
      <c r="L58" t="s">
        <v>114</v>
      </c>
      <c r="M58" t="str">
        <f t="shared" si="6"/>
        <v/>
      </c>
      <c r="N58" s="129">
        <f t="shared" si="5"/>
        <v>0</v>
      </c>
      <c r="O58" s="131" t="s">
        <v>193</v>
      </c>
      <c r="P58" s="129">
        <f t="shared" si="11"/>
        <v>0</v>
      </c>
      <c r="Q58" s="106" t="s">
        <v>114</v>
      </c>
    </row>
    <row r="59" spans="1:17" s="125" customFormat="1" x14ac:dyDescent="0.2">
      <c r="A59" s="125" t="str">
        <f t="shared" si="14"/>
        <v>Walls (Install membrane system)</v>
      </c>
      <c r="C59" s="125" t="s">
        <v>197</v>
      </c>
      <c r="D59" s="126">
        <v>1</v>
      </c>
      <c r="E59" s="126">
        <f>N59</f>
        <v>0</v>
      </c>
      <c r="F59" s="125" t="s">
        <v>195</v>
      </c>
      <c r="G59" s="125" t="s">
        <v>153</v>
      </c>
      <c r="H59" s="126" t="e">
        <f>((P59-N59)/N59)*100</f>
        <v>#DIV/0!</v>
      </c>
      <c r="I59" s="125" t="s">
        <v>111</v>
      </c>
      <c r="J59" s="125" t="s">
        <v>112</v>
      </c>
      <c r="K59" s="125" t="s">
        <v>113</v>
      </c>
      <c r="L59" s="125" t="str">
        <f>'Customer Summary'!D5</f>
        <v>No</v>
      </c>
      <c r="M59" s="125" t="str">
        <f t="shared" si="6"/>
        <v>Preservation Shop</v>
      </c>
      <c r="N59" s="127">
        <f>SUM(N35:N46)</f>
        <v>0</v>
      </c>
      <c r="O59" s="128" t="str">
        <f t="shared" ref="O59:O60" si="25">IF(N59=0,"DELETE","LEAVE")</f>
        <v>DELETE</v>
      </c>
      <c r="P59" s="127">
        <f>SUM(P35:P46)</f>
        <v>0</v>
      </c>
      <c r="Q59" s="128" t="s">
        <v>113</v>
      </c>
    </row>
    <row r="60" spans="1:17" s="125" customFormat="1" x14ac:dyDescent="0.2">
      <c r="A60" s="125" t="str">
        <f t="shared" si="14"/>
        <v>Walls (Install membrane system)</v>
      </c>
      <c r="C60" s="125" t="s">
        <v>198</v>
      </c>
      <c r="D60" s="126">
        <f>SUM(D47:D58)</f>
        <v>0</v>
      </c>
      <c r="E60" s="126" t="e">
        <f>N60/D60</f>
        <v>#DIV/0!</v>
      </c>
      <c r="F60" s="125" t="s">
        <v>3</v>
      </c>
      <c r="G60" s="125" t="s">
        <v>152</v>
      </c>
      <c r="H60" s="126" t="e">
        <f>((P60-N60)/N60)*100</f>
        <v>#DIV/0!</v>
      </c>
      <c r="I60" s="125" t="s">
        <v>111</v>
      </c>
      <c r="J60" s="125" t="s">
        <v>115</v>
      </c>
      <c r="K60" s="125" t="s">
        <v>113</v>
      </c>
      <c r="L60" s="125" t="str">
        <f>L59</f>
        <v>No</v>
      </c>
      <c r="M60" s="125" t="str">
        <f t="shared" si="6"/>
        <v/>
      </c>
      <c r="N60" s="127">
        <f>SUM(N47:N58)</f>
        <v>0</v>
      </c>
      <c r="O60" s="128" t="str">
        <f t="shared" si="25"/>
        <v>DELETE</v>
      </c>
      <c r="P60" s="127">
        <f>SUM(P47:P58)</f>
        <v>0</v>
      </c>
      <c r="Q60" s="128" t="s">
        <v>113</v>
      </c>
    </row>
    <row r="61" spans="1:17" x14ac:dyDescent="0.2">
      <c r="A61" s="121"/>
      <c r="B61" s="121"/>
      <c r="C61" s="121"/>
      <c r="D61" s="122"/>
      <c r="E61" s="122"/>
      <c r="F61" s="121"/>
      <c r="G61" s="121"/>
      <c r="H61" s="122"/>
      <c r="I61" s="121"/>
      <c r="J61" s="121"/>
      <c r="K61" s="121"/>
      <c r="L61" s="121"/>
      <c r="M61" s="121"/>
      <c r="N61" s="130"/>
      <c r="O61" s="124" t="s">
        <v>193</v>
      </c>
      <c r="P61" s="130"/>
      <c r="Q61" s="123"/>
    </row>
    <row r="62" spans="1:17" ht="15.75" customHeight="1" x14ac:dyDescent="0.2">
      <c r="A62" t="str">
        <f>'Customer Summary'!C6</f>
        <v>Cementitious tanking system</v>
      </c>
      <c r="C62" t="str">
        <f>Costing!B58</f>
        <v>Dubbing out coat (sand/cement/SBR)</v>
      </c>
      <c r="D62" s="107">
        <f>Costing!F58</f>
        <v>0</v>
      </c>
      <c r="E62" s="107">
        <f>Costing!I58</f>
        <v>7.7000000000000011</v>
      </c>
      <c r="F62" t="str">
        <f>Costing!G58</f>
        <v>M2</v>
      </c>
      <c r="G62" t="s">
        <v>153</v>
      </c>
      <c r="H62" s="107">
        <f>Costing!J58*100</f>
        <v>30</v>
      </c>
      <c r="I62" t="s">
        <v>111</v>
      </c>
      <c r="J62" t="s">
        <v>112</v>
      </c>
      <c r="K62" t="s">
        <v>113</v>
      </c>
      <c r="L62" t="s">
        <v>114</v>
      </c>
      <c r="M62" t="str">
        <f t="shared" si="6"/>
        <v>Preservation Shop</v>
      </c>
      <c r="N62" s="129">
        <f t="shared" si="5"/>
        <v>0</v>
      </c>
      <c r="O62" s="131" t="s">
        <v>193</v>
      </c>
      <c r="P62" s="129">
        <f t="shared" ref="P62:P69" si="26">N62*(1+(H62/100))</f>
        <v>0</v>
      </c>
      <c r="Q62" s="106" t="s">
        <v>114</v>
      </c>
    </row>
    <row r="63" spans="1:17" ht="15.75" customHeight="1" x14ac:dyDescent="0.2">
      <c r="A63" t="str">
        <f>A62</f>
        <v>Cementitious tanking system</v>
      </c>
      <c r="C63" t="str">
        <f>Costing!B59</f>
        <v>2 coat tanking slurry</v>
      </c>
      <c r="D63" s="107">
        <f>Costing!F59</f>
        <v>0</v>
      </c>
      <c r="E63" s="107">
        <f>Costing!I59</f>
        <v>3.7800000000000002</v>
      </c>
      <c r="F63" t="str">
        <f>Costing!G59</f>
        <v>M2</v>
      </c>
      <c r="G63" t="s">
        <v>153</v>
      </c>
      <c r="H63" s="107">
        <f>Costing!J59*100</f>
        <v>30</v>
      </c>
      <c r="I63" t="s">
        <v>111</v>
      </c>
      <c r="J63" t="s">
        <v>112</v>
      </c>
      <c r="K63" t="s">
        <v>113</v>
      </c>
      <c r="L63" t="s">
        <v>114</v>
      </c>
      <c r="M63" t="str">
        <f t="shared" si="6"/>
        <v>Preservation Shop</v>
      </c>
      <c r="N63" s="129">
        <f t="shared" si="5"/>
        <v>0</v>
      </c>
      <c r="O63" s="131" t="s">
        <v>193</v>
      </c>
      <c r="P63" s="129">
        <f t="shared" si="26"/>
        <v>0</v>
      </c>
      <c r="Q63" s="106" t="s">
        <v>114</v>
      </c>
    </row>
    <row r="64" spans="1:17" ht="15.75" customHeight="1" x14ac:dyDescent="0.2">
      <c r="A64" t="str">
        <f t="shared" ref="A64:A71" si="27">A63</f>
        <v>Cementitious tanking system</v>
      </c>
      <c r="C64" t="str">
        <f>Costing!B60</f>
        <v>Renovating plaster</v>
      </c>
      <c r="D64" s="107">
        <f>Costing!F60</f>
        <v>0</v>
      </c>
      <c r="E64" s="107">
        <f>Costing!I60</f>
        <v>5.9583333333333339</v>
      </c>
      <c r="F64" t="str">
        <f>Costing!G60</f>
        <v>M2</v>
      </c>
      <c r="G64" t="s">
        <v>153</v>
      </c>
      <c r="H64" s="107">
        <f>Costing!J60*100</f>
        <v>30</v>
      </c>
      <c r="I64" t="s">
        <v>111</v>
      </c>
      <c r="J64" t="s">
        <v>112</v>
      </c>
      <c r="K64" t="s">
        <v>113</v>
      </c>
      <c r="L64" t="s">
        <v>114</v>
      </c>
      <c r="M64" t="str">
        <f t="shared" si="6"/>
        <v>Preservation Shop</v>
      </c>
      <c r="N64" s="129">
        <f t="shared" si="5"/>
        <v>0</v>
      </c>
      <c r="O64" s="131" t="s">
        <v>193</v>
      </c>
      <c r="P64" s="129">
        <f t="shared" si="26"/>
        <v>0</v>
      </c>
      <c r="Q64" s="106" t="s">
        <v>114</v>
      </c>
    </row>
    <row r="65" spans="1:17" ht="15.75" customHeight="1" x14ac:dyDescent="0.2">
      <c r="A65" t="str">
        <f t="shared" si="27"/>
        <v>Cementitious tanking system</v>
      </c>
      <c r="C65" t="str">
        <f>Costing!B61</f>
        <v>Wall/floor fillet joint</v>
      </c>
      <c r="D65" s="107">
        <f>Costing!F61</f>
        <v>0</v>
      </c>
      <c r="E65" s="107">
        <f>Costing!I61</f>
        <v>2</v>
      </c>
      <c r="F65" t="str">
        <f>Costing!G61</f>
        <v>LM</v>
      </c>
      <c r="G65" t="s">
        <v>153</v>
      </c>
      <c r="H65" s="107">
        <f>Costing!J61*100</f>
        <v>30</v>
      </c>
      <c r="I65" t="s">
        <v>111</v>
      </c>
      <c r="J65" t="s">
        <v>112</v>
      </c>
      <c r="K65" t="s">
        <v>113</v>
      </c>
      <c r="L65" t="s">
        <v>114</v>
      </c>
      <c r="M65" t="str">
        <f t="shared" si="6"/>
        <v>Preservation Shop</v>
      </c>
      <c r="N65" s="129">
        <f t="shared" si="5"/>
        <v>0</v>
      </c>
      <c r="O65" s="131" t="s">
        <v>193</v>
      </c>
      <c r="P65" s="129">
        <f t="shared" si="26"/>
        <v>0</v>
      </c>
      <c r="Q65" s="106" t="s">
        <v>114</v>
      </c>
    </row>
    <row r="66" spans="1:17" ht="15.75" customHeight="1" x14ac:dyDescent="0.2">
      <c r="A66" t="str">
        <f t="shared" si="27"/>
        <v>Cementitious tanking system</v>
      </c>
      <c r="C66" t="str">
        <f>Costing!M58</f>
        <v>Apply Sand cement dubbing coat</v>
      </c>
      <c r="D66" s="107">
        <f>Costing!O58</f>
        <v>0</v>
      </c>
      <c r="E66" s="107">
        <f>Costing!Q58</f>
        <v>30.630000000000003</v>
      </c>
      <c r="F66" t="s">
        <v>3</v>
      </c>
      <c r="G66" t="s">
        <v>152</v>
      </c>
      <c r="H66" s="107">
        <f>Costing!R58*100</f>
        <v>100</v>
      </c>
      <c r="I66" t="s">
        <v>111</v>
      </c>
      <c r="J66" t="s">
        <v>115</v>
      </c>
      <c r="K66" t="s">
        <v>113</v>
      </c>
      <c r="L66" t="s">
        <v>114</v>
      </c>
      <c r="M66" t="str">
        <f t="shared" si="6"/>
        <v/>
      </c>
      <c r="N66" s="129">
        <f t="shared" si="5"/>
        <v>0</v>
      </c>
      <c r="O66" s="131" t="s">
        <v>193</v>
      </c>
      <c r="P66" s="129">
        <f t="shared" si="26"/>
        <v>0</v>
      </c>
      <c r="Q66" s="106" t="s">
        <v>114</v>
      </c>
    </row>
    <row r="67" spans="1:17" ht="15.75" customHeight="1" x14ac:dyDescent="0.2">
      <c r="A67" t="str">
        <f t="shared" si="27"/>
        <v>Cementitious tanking system</v>
      </c>
      <c r="C67" t="str">
        <f>Costing!M59</f>
        <v>Brush apply tanking slurry</v>
      </c>
      <c r="D67" s="107">
        <f>Costing!O59</f>
        <v>0</v>
      </c>
      <c r="E67" s="107">
        <f>Costing!Q59</f>
        <v>30.630000000000003</v>
      </c>
      <c r="F67" t="s">
        <v>3</v>
      </c>
      <c r="G67" t="s">
        <v>152</v>
      </c>
      <c r="H67" s="107">
        <f>Costing!R59*100</f>
        <v>100</v>
      </c>
      <c r="I67" t="s">
        <v>111</v>
      </c>
      <c r="J67" t="s">
        <v>115</v>
      </c>
      <c r="K67" t="s">
        <v>113</v>
      </c>
      <c r="L67" t="s">
        <v>114</v>
      </c>
      <c r="M67" t="str">
        <f t="shared" si="6"/>
        <v/>
      </c>
      <c r="N67" s="129">
        <f t="shared" si="5"/>
        <v>0</v>
      </c>
      <c r="O67" s="131" t="s">
        <v>193</v>
      </c>
      <c r="P67" s="129">
        <f t="shared" si="26"/>
        <v>0</v>
      </c>
      <c r="Q67" s="106" t="s">
        <v>114</v>
      </c>
    </row>
    <row r="68" spans="1:17" ht="15.75" customHeight="1" x14ac:dyDescent="0.2">
      <c r="A68" t="str">
        <f t="shared" si="27"/>
        <v>Cementitious tanking system</v>
      </c>
      <c r="C68" t="str">
        <f>Costing!M60</f>
        <v>Renovating plaster</v>
      </c>
      <c r="D68" s="107">
        <f>Costing!O60</f>
        <v>0</v>
      </c>
      <c r="E68" s="107">
        <f>Costing!Q60</f>
        <v>30.630000000000003</v>
      </c>
      <c r="F68" t="s">
        <v>3</v>
      </c>
      <c r="G68" t="s">
        <v>152</v>
      </c>
      <c r="H68" s="107">
        <f>Costing!R60*100</f>
        <v>100</v>
      </c>
      <c r="I68" t="s">
        <v>111</v>
      </c>
      <c r="J68" t="s">
        <v>115</v>
      </c>
      <c r="K68" t="s">
        <v>113</v>
      </c>
      <c r="L68" t="s">
        <v>114</v>
      </c>
      <c r="M68" t="str">
        <f t="shared" si="6"/>
        <v/>
      </c>
      <c r="N68" s="129">
        <f t="shared" si="5"/>
        <v>0</v>
      </c>
      <c r="O68" s="131" t="s">
        <v>193</v>
      </c>
      <c r="P68" s="129">
        <f t="shared" si="26"/>
        <v>0</v>
      </c>
      <c r="Q68" s="106" t="s">
        <v>114</v>
      </c>
    </row>
    <row r="69" spans="1:17" ht="15.75" customHeight="1" x14ac:dyDescent="0.2">
      <c r="A69" t="str">
        <f t="shared" si="27"/>
        <v>Cementitious tanking system</v>
      </c>
      <c r="C69" t="str">
        <f>Costing!M61</f>
        <v>Cut fillet to slab and apply fillet seal</v>
      </c>
      <c r="D69" s="107">
        <f>Costing!O61</f>
        <v>0</v>
      </c>
      <c r="E69" s="107">
        <f>Costing!Q61</f>
        <v>30.630000000000003</v>
      </c>
      <c r="F69" t="s">
        <v>3</v>
      </c>
      <c r="G69" t="s">
        <v>152</v>
      </c>
      <c r="H69" s="107">
        <f>Costing!R61*100</f>
        <v>100</v>
      </c>
      <c r="I69" t="s">
        <v>111</v>
      </c>
      <c r="J69" t="s">
        <v>115</v>
      </c>
      <c r="K69" t="s">
        <v>113</v>
      </c>
      <c r="L69" t="s">
        <v>114</v>
      </c>
      <c r="M69" t="str">
        <f t="shared" si="6"/>
        <v/>
      </c>
      <c r="N69" s="129">
        <f t="shared" si="5"/>
        <v>0</v>
      </c>
      <c r="O69" s="131" t="s">
        <v>193</v>
      </c>
      <c r="P69" s="129">
        <f t="shared" si="26"/>
        <v>0</v>
      </c>
      <c r="Q69" s="106" t="s">
        <v>114</v>
      </c>
    </row>
    <row r="70" spans="1:17" s="125" customFormat="1" x14ac:dyDescent="0.2">
      <c r="A70" s="125" t="str">
        <f t="shared" si="27"/>
        <v>Cementitious tanking system</v>
      </c>
      <c r="C70" s="125" t="s">
        <v>199</v>
      </c>
      <c r="D70" s="126">
        <v>1</v>
      </c>
      <c r="E70" s="126">
        <f>N70</f>
        <v>0</v>
      </c>
      <c r="F70" s="125" t="s">
        <v>195</v>
      </c>
      <c r="G70" s="125" t="s">
        <v>153</v>
      </c>
      <c r="H70" s="126" t="e">
        <f>((P70-N70)/N70)*100</f>
        <v>#DIV/0!</v>
      </c>
      <c r="I70" s="125" t="s">
        <v>111</v>
      </c>
      <c r="J70" s="125" t="s">
        <v>112</v>
      </c>
      <c r="K70" s="125" t="s">
        <v>113</v>
      </c>
      <c r="L70" s="125" t="str">
        <f>'Customer Summary'!D6</f>
        <v>No</v>
      </c>
      <c r="M70" s="125" t="str">
        <f t="shared" si="6"/>
        <v>Preservation Shop</v>
      </c>
      <c r="N70" s="127">
        <f>SUM(N62:N65)</f>
        <v>0</v>
      </c>
      <c r="O70" s="128" t="str">
        <f t="shared" ref="O70" si="28">IF(N70=0,"DELETE","LEAVE")</f>
        <v>DELETE</v>
      </c>
      <c r="P70" s="127">
        <f>SUM(P62:P65)</f>
        <v>0</v>
      </c>
      <c r="Q70" s="128" t="s">
        <v>113</v>
      </c>
    </row>
    <row r="71" spans="1:17" s="125" customFormat="1" x14ac:dyDescent="0.2">
      <c r="A71" s="125" t="str">
        <f t="shared" si="27"/>
        <v>Cementitious tanking system</v>
      </c>
      <c r="C71" s="125" t="s">
        <v>200</v>
      </c>
      <c r="D71" s="126">
        <f>SUM(D66:D69)</f>
        <v>0</v>
      </c>
      <c r="E71" s="126" t="e">
        <f>N71/D71</f>
        <v>#DIV/0!</v>
      </c>
      <c r="F71" s="125" t="s">
        <v>3</v>
      </c>
      <c r="G71" s="125" t="s">
        <v>152</v>
      </c>
      <c r="H71" s="126" t="e">
        <f>((P71-N71)/N71)*100</f>
        <v>#DIV/0!</v>
      </c>
      <c r="I71" s="125" t="s">
        <v>111</v>
      </c>
      <c r="J71" s="125" t="s">
        <v>115</v>
      </c>
      <c r="K71" s="125" t="s">
        <v>113</v>
      </c>
      <c r="L71" s="125" t="str">
        <f>L70</f>
        <v>No</v>
      </c>
      <c r="M71" s="125" t="str">
        <f t="shared" si="6"/>
        <v/>
      </c>
      <c r="N71" s="127">
        <f>SUM(N66:N69)</f>
        <v>0</v>
      </c>
      <c r="O71" s="128" t="str">
        <f>IF(N71=0,"DELETE","LEAVE")</f>
        <v>DELETE</v>
      </c>
      <c r="P71" s="127">
        <f>SUM(P66:P69)</f>
        <v>0</v>
      </c>
      <c r="Q71" s="128" t="s">
        <v>113</v>
      </c>
    </row>
    <row r="72" spans="1:17" x14ac:dyDescent="0.2">
      <c r="A72" s="121"/>
      <c r="B72" s="121"/>
      <c r="C72" s="121"/>
      <c r="D72" s="122"/>
      <c r="E72" s="122"/>
      <c r="F72" s="121"/>
      <c r="G72" s="121"/>
      <c r="H72" s="122"/>
      <c r="I72" s="121"/>
      <c r="J72" s="121"/>
      <c r="K72" s="121"/>
      <c r="L72" s="121"/>
      <c r="M72" s="121"/>
      <c r="N72" s="130"/>
      <c r="O72" s="124" t="s">
        <v>193</v>
      </c>
      <c r="P72" s="130"/>
      <c r="Q72" s="123"/>
    </row>
    <row r="73" spans="1:17" ht="15.75" customHeight="1" x14ac:dyDescent="0.2">
      <c r="A73" t="str">
        <f>'Customer Summary'!C7</f>
        <v xml:space="preserve">Floor - Liquid Resin floor Membranes </v>
      </c>
      <c r="C73" t="str">
        <f>Costing!B65</f>
        <v>EP40 2 Pack resin Primer</v>
      </c>
      <c r="D73" s="108">
        <f>ROUNDUP(Costing!F65/30,0)</f>
        <v>0</v>
      </c>
      <c r="E73" s="108">
        <f>Costing!I65</f>
        <v>62.370000000000012</v>
      </c>
      <c r="F73" s="97" t="s">
        <v>141</v>
      </c>
      <c r="G73" t="s">
        <v>153</v>
      </c>
      <c r="H73" s="107">
        <f>Costing!J65*100</f>
        <v>30</v>
      </c>
      <c r="I73" t="s">
        <v>111</v>
      </c>
      <c r="J73" t="s">
        <v>112</v>
      </c>
      <c r="K73" t="s">
        <v>113</v>
      </c>
      <c r="L73" t="s">
        <v>114</v>
      </c>
      <c r="M73" t="str">
        <f t="shared" si="6"/>
        <v>Preservation Shop</v>
      </c>
      <c r="N73" s="129">
        <f t="shared" si="5"/>
        <v>0</v>
      </c>
      <c r="O73" s="131" t="s">
        <v>193</v>
      </c>
      <c r="P73" s="129">
        <f t="shared" ref="P73:P78" si="29">N73*(1+(H73/100))</f>
        <v>0</v>
      </c>
      <c r="Q73" s="106" t="s">
        <v>114</v>
      </c>
    </row>
    <row r="74" spans="1:17" ht="15.75" customHeight="1" x14ac:dyDescent="0.2">
      <c r="A74" t="str">
        <f>A73</f>
        <v xml:space="preserve">Floor - Liquid Resin floor Membranes </v>
      </c>
      <c r="C74" t="str">
        <f>Costing!B66</f>
        <v>EP40 2 Pack resin top coat</v>
      </c>
      <c r="D74" s="108">
        <f>ROUNDUP(Costing!F66/30,0)</f>
        <v>1</v>
      </c>
      <c r="E74" s="108">
        <f>Costing!I66</f>
        <v>70.070000000000007</v>
      </c>
      <c r="F74" s="97" t="s">
        <v>141</v>
      </c>
      <c r="G74" t="s">
        <v>153</v>
      </c>
      <c r="H74" s="107">
        <f>Costing!J66*100</f>
        <v>30</v>
      </c>
      <c r="I74" t="s">
        <v>111</v>
      </c>
      <c r="J74" t="s">
        <v>112</v>
      </c>
      <c r="K74" t="s">
        <v>113</v>
      </c>
      <c r="L74" t="s">
        <v>114</v>
      </c>
      <c r="M74" t="str">
        <f t="shared" si="6"/>
        <v>Preservation Shop</v>
      </c>
      <c r="N74" s="129">
        <f t="shared" si="5"/>
        <v>70.070000000000007</v>
      </c>
      <c r="O74" s="131" t="s">
        <v>193</v>
      </c>
      <c r="P74" s="129">
        <f t="shared" si="29"/>
        <v>91.091000000000008</v>
      </c>
      <c r="Q74" s="106" t="s">
        <v>114</v>
      </c>
    </row>
    <row r="75" spans="1:17" ht="15.75" customHeight="1" x14ac:dyDescent="0.2">
      <c r="A75" t="str">
        <f t="shared" ref="A75:A80" si="30">A74</f>
        <v xml:space="preserve">Floor - Liquid Resin floor Membranes </v>
      </c>
      <c r="C75" t="str">
        <f>Costing!B67</f>
        <v>Grip grit</v>
      </c>
      <c r="D75" s="108">
        <f>ROUNDUP(Costing!F67/25,0)</f>
        <v>0</v>
      </c>
      <c r="E75" s="108">
        <f>Costing!I67</f>
        <v>2.6</v>
      </c>
      <c r="F75" s="97" t="s">
        <v>141</v>
      </c>
      <c r="G75" t="s">
        <v>153</v>
      </c>
      <c r="H75" s="107">
        <f>Costing!J67*100</f>
        <v>30</v>
      </c>
      <c r="I75" t="s">
        <v>111</v>
      </c>
      <c r="J75" t="s">
        <v>112</v>
      </c>
      <c r="K75" t="s">
        <v>113</v>
      </c>
      <c r="L75" t="s">
        <v>114</v>
      </c>
      <c r="M75" t="str">
        <f t="shared" si="6"/>
        <v>Preservation Shop</v>
      </c>
      <c r="N75" s="129">
        <f t="shared" si="5"/>
        <v>0</v>
      </c>
      <c r="O75" s="131" t="s">
        <v>193</v>
      </c>
      <c r="P75" s="129">
        <f t="shared" si="29"/>
        <v>0</v>
      </c>
      <c r="Q75" s="106" t="s">
        <v>114</v>
      </c>
    </row>
    <row r="76" spans="1:17" ht="15.75" customHeight="1" x14ac:dyDescent="0.2">
      <c r="A76" t="str">
        <f t="shared" si="30"/>
        <v xml:space="preserve">Floor - Liquid Resin floor Membranes </v>
      </c>
      <c r="C76" t="str">
        <f>Costing!M65</f>
        <v xml:space="preserve">Trimol 40  primer </v>
      </c>
      <c r="D76" s="107">
        <f>Costing!O65</f>
        <v>0</v>
      </c>
      <c r="E76" s="107">
        <f>Costing!Q65</f>
        <v>30.630000000000003</v>
      </c>
      <c r="F76" t="s">
        <v>3</v>
      </c>
      <c r="G76" t="s">
        <v>152</v>
      </c>
      <c r="H76" s="107">
        <f>Costing!R65*100</f>
        <v>100</v>
      </c>
      <c r="I76" t="s">
        <v>111</v>
      </c>
      <c r="J76" t="s">
        <v>115</v>
      </c>
      <c r="K76" t="s">
        <v>113</v>
      </c>
      <c r="L76" t="s">
        <v>114</v>
      </c>
      <c r="M76" t="str">
        <f t="shared" si="6"/>
        <v/>
      </c>
      <c r="N76" s="129">
        <f t="shared" si="5"/>
        <v>0</v>
      </c>
      <c r="O76" s="131" t="s">
        <v>193</v>
      </c>
      <c r="P76" s="129">
        <f t="shared" si="29"/>
        <v>0</v>
      </c>
      <c r="Q76" s="106" t="s">
        <v>114</v>
      </c>
    </row>
    <row r="77" spans="1:17" ht="15.75" customHeight="1" x14ac:dyDescent="0.2">
      <c r="A77" t="str">
        <f t="shared" si="30"/>
        <v xml:space="preserve">Floor - Liquid Resin floor Membranes </v>
      </c>
      <c r="C77" t="str">
        <f>Costing!M66</f>
        <v xml:space="preserve">Trimol 40 Top Coat </v>
      </c>
      <c r="D77" s="107">
        <f>Costing!O66</f>
        <v>0.32</v>
      </c>
      <c r="E77" s="107">
        <f>Costing!Q66</f>
        <v>30.630000000000003</v>
      </c>
      <c r="F77" t="s">
        <v>3</v>
      </c>
      <c r="G77" t="s">
        <v>152</v>
      </c>
      <c r="H77" s="107">
        <f>Costing!R66*100</f>
        <v>100</v>
      </c>
      <c r="I77" t="s">
        <v>111</v>
      </c>
      <c r="J77" t="s">
        <v>115</v>
      </c>
      <c r="K77" t="s">
        <v>113</v>
      </c>
      <c r="L77" t="s">
        <v>114</v>
      </c>
      <c r="M77" t="str">
        <f t="shared" si="6"/>
        <v/>
      </c>
      <c r="N77" s="129">
        <f t="shared" si="5"/>
        <v>9.8016000000000005</v>
      </c>
      <c r="O77" s="131" t="s">
        <v>193</v>
      </c>
      <c r="P77" s="129">
        <f t="shared" si="29"/>
        <v>19.603200000000001</v>
      </c>
      <c r="Q77" s="106" t="s">
        <v>114</v>
      </c>
    </row>
    <row r="78" spans="1:17" ht="15.75" customHeight="1" x14ac:dyDescent="0.2">
      <c r="A78" t="str">
        <f t="shared" si="30"/>
        <v xml:space="preserve">Floor - Liquid Resin floor Membranes </v>
      </c>
      <c r="C78" t="str">
        <f>Costing!M67</f>
        <v>Grip grit application</v>
      </c>
      <c r="D78" s="107">
        <f>Costing!O67</f>
        <v>0</v>
      </c>
      <c r="E78" s="107">
        <f>Costing!Q67</f>
        <v>30.630000000000003</v>
      </c>
      <c r="F78" t="s">
        <v>3</v>
      </c>
      <c r="G78" t="s">
        <v>152</v>
      </c>
      <c r="H78" s="107">
        <f>Costing!R67*100</f>
        <v>100</v>
      </c>
      <c r="I78" t="s">
        <v>111</v>
      </c>
      <c r="J78" t="s">
        <v>115</v>
      </c>
      <c r="K78" t="s">
        <v>113</v>
      </c>
      <c r="L78" t="s">
        <v>114</v>
      </c>
      <c r="M78" t="str">
        <f t="shared" si="6"/>
        <v/>
      </c>
      <c r="N78" s="129">
        <f t="shared" si="5"/>
        <v>0</v>
      </c>
      <c r="O78" s="131" t="s">
        <v>193</v>
      </c>
      <c r="P78" s="129">
        <f t="shared" si="29"/>
        <v>0</v>
      </c>
      <c r="Q78" s="106" t="s">
        <v>114</v>
      </c>
    </row>
    <row r="79" spans="1:17" s="125" customFormat="1" x14ac:dyDescent="0.2">
      <c r="A79" s="125" t="str">
        <f t="shared" si="30"/>
        <v xml:space="preserve">Floor - Liquid Resin floor Membranes </v>
      </c>
      <c r="C79" s="125" t="s">
        <v>201</v>
      </c>
      <c r="D79" s="126">
        <v>1</v>
      </c>
      <c r="E79" s="126">
        <f>N79</f>
        <v>70.070000000000007</v>
      </c>
      <c r="F79" s="125" t="s">
        <v>195</v>
      </c>
      <c r="G79" s="125" t="s">
        <v>153</v>
      </c>
      <c r="H79" s="126">
        <f>((P79-N79)/N79)*100</f>
        <v>30</v>
      </c>
      <c r="I79" s="125" t="s">
        <v>111</v>
      </c>
      <c r="J79" s="125" t="s">
        <v>112</v>
      </c>
      <c r="K79" s="125" t="s">
        <v>113</v>
      </c>
      <c r="L79" s="125" t="str">
        <f>'Customer Summary'!D7</f>
        <v>No</v>
      </c>
      <c r="M79" s="125" t="str">
        <f t="shared" si="6"/>
        <v>Preservation Shop</v>
      </c>
      <c r="N79" s="127">
        <f>SUM(N73:N75)</f>
        <v>70.070000000000007</v>
      </c>
      <c r="O79" s="128" t="str">
        <f t="shared" ref="O79" si="31">IF(N79=0,"DELETE","LEAVE")</f>
        <v>LEAVE</v>
      </c>
      <c r="P79" s="127">
        <f>SUM(P73:P75)</f>
        <v>91.091000000000008</v>
      </c>
      <c r="Q79" s="128" t="s">
        <v>113</v>
      </c>
    </row>
    <row r="80" spans="1:17" s="125" customFormat="1" x14ac:dyDescent="0.2">
      <c r="A80" s="125" t="str">
        <f t="shared" si="30"/>
        <v xml:space="preserve">Floor - Liquid Resin floor Membranes </v>
      </c>
      <c r="C80" s="125" t="s">
        <v>202</v>
      </c>
      <c r="D80" s="126">
        <f>SUM(D76:D78)</f>
        <v>0.32</v>
      </c>
      <c r="E80" s="126">
        <f>N80/D80</f>
        <v>30.630000000000003</v>
      </c>
      <c r="F80" s="125" t="s">
        <v>3</v>
      </c>
      <c r="G80" s="125" t="s">
        <v>152</v>
      </c>
      <c r="H80" s="126">
        <f>((P80-N80)/N80)*100</f>
        <v>100</v>
      </c>
      <c r="I80" s="125" t="s">
        <v>111</v>
      </c>
      <c r="J80" s="125" t="s">
        <v>115</v>
      </c>
      <c r="K80" s="125" t="s">
        <v>113</v>
      </c>
      <c r="L80" s="125" t="str">
        <f>L79</f>
        <v>No</v>
      </c>
      <c r="M80" s="125" t="str">
        <f t="shared" si="6"/>
        <v/>
      </c>
      <c r="N80" s="127">
        <f>SUM(N76:N78)</f>
        <v>9.8016000000000005</v>
      </c>
      <c r="O80" s="128" t="str">
        <f>IF(N80=0,"DELETE","LEAVE")</f>
        <v>LEAVE</v>
      </c>
      <c r="P80" s="127">
        <f>SUM(P76:P78)</f>
        <v>19.603200000000001</v>
      </c>
      <c r="Q80" s="128" t="s">
        <v>113</v>
      </c>
    </row>
    <row r="81" spans="1:17" x14ac:dyDescent="0.2">
      <c r="A81" s="121"/>
      <c r="B81" s="121"/>
      <c r="C81" s="121"/>
      <c r="D81" s="122"/>
      <c r="E81" s="122"/>
      <c r="F81" s="121"/>
      <c r="G81" s="121"/>
      <c r="H81" s="122"/>
      <c r="I81" s="121"/>
      <c r="J81" s="121"/>
      <c r="K81" s="121"/>
      <c r="L81" s="121"/>
      <c r="M81" s="121"/>
      <c r="N81" s="130"/>
      <c r="O81" s="124" t="s">
        <v>193</v>
      </c>
      <c r="P81" s="130"/>
      <c r="Q81" s="123"/>
    </row>
    <row r="82" spans="1:17" ht="15.75" customHeight="1" x14ac:dyDescent="0.2">
      <c r="A82" t="str">
        <f>'Customer Summary'!C8</f>
        <v>Plastering &amp; finishing</v>
      </c>
      <c r="C82" t="str">
        <f>Costing!B71</f>
        <v>Construct stud wall to perimiter</v>
      </c>
      <c r="D82" s="107">
        <f>Costing!F71</f>
        <v>0</v>
      </c>
      <c r="E82" s="107">
        <f>Costing!I71</f>
        <v>14.000000000000002</v>
      </c>
      <c r="F82" t="str">
        <f>Costing!G71</f>
        <v>M2</v>
      </c>
      <c r="G82" t="s">
        <v>153</v>
      </c>
      <c r="H82" s="107">
        <f>Costing!J71*100</f>
        <v>30</v>
      </c>
      <c r="I82" t="s">
        <v>111</v>
      </c>
      <c r="J82" t="s">
        <v>112</v>
      </c>
      <c r="K82" t="s">
        <v>113</v>
      </c>
      <c r="L82" t="s">
        <v>114</v>
      </c>
      <c r="M82" t="str">
        <f t="shared" si="6"/>
        <v>Preservation Shop</v>
      </c>
      <c r="N82" s="129">
        <f t="shared" si="5"/>
        <v>0</v>
      </c>
      <c r="O82" s="131" t="s">
        <v>193</v>
      </c>
      <c r="P82" s="129">
        <f t="shared" ref="P82:P95" si="32">N82*(1+(H82/100))</f>
        <v>0</v>
      </c>
      <c r="Q82" s="106" t="s">
        <v>114</v>
      </c>
    </row>
    <row r="83" spans="1:17" ht="15.75" customHeight="1" x14ac:dyDescent="0.2">
      <c r="A83" t="str">
        <f>A82</f>
        <v>Plastering &amp; finishing</v>
      </c>
      <c r="C83" t="str">
        <f>Costing!B72</f>
        <v>Plasterboarding (inc dab/screws)</v>
      </c>
      <c r="D83" s="107">
        <f>Costing!F72</f>
        <v>0</v>
      </c>
      <c r="E83" s="107">
        <f>Costing!I72</f>
        <v>9.7559198542805099</v>
      </c>
      <c r="F83" t="str">
        <f>Costing!G72</f>
        <v>M2</v>
      </c>
      <c r="G83" t="s">
        <v>153</v>
      </c>
      <c r="H83" s="107">
        <f>Costing!J72*100</f>
        <v>30</v>
      </c>
      <c r="I83" t="s">
        <v>111</v>
      </c>
      <c r="J83" t="s">
        <v>112</v>
      </c>
      <c r="K83" t="s">
        <v>113</v>
      </c>
      <c r="L83" t="s">
        <v>114</v>
      </c>
      <c r="M83" t="str">
        <f t="shared" si="6"/>
        <v>Preservation Shop</v>
      </c>
      <c r="N83" s="129">
        <f t="shared" si="5"/>
        <v>0</v>
      </c>
      <c r="O83" s="131" t="s">
        <v>193</v>
      </c>
      <c r="P83" s="129">
        <f t="shared" si="32"/>
        <v>0</v>
      </c>
      <c r="Q83" s="106" t="s">
        <v>114</v>
      </c>
    </row>
    <row r="84" spans="1:17" ht="15.75" customHeight="1" x14ac:dyDescent="0.2">
      <c r="A84" t="str">
        <f>A83</f>
        <v>Plastering &amp; finishing</v>
      </c>
      <c r="C84" t="str">
        <f>Costing!B74</f>
        <v>Skimming walls (multi finish plaster)</v>
      </c>
      <c r="D84" s="107">
        <f>Costing!F74</f>
        <v>0</v>
      </c>
      <c r="E84" s="107">
        <f>Costing!I74</f>
        <v>0</v>
      </c>
      <c r="F84" t="str">
        <f>Costing!G74</f>
        <v>M2</v>
      </c>
      <c r="G84" t="s">
        <v>153</v>
      </c>
      <c r="H84" s="107">
        <f>Costing!J74*100</f>
        <v>30</v>
      </c>
      <c r="I84" t="s">
        <v>111</v>
      </c>
      <c r="J84" t="s">
        <v>112</v>
      </c>
      <c r="K84" t="s">
        <v>113</v>
      </c>
      <c r="L84" t="s">
        <v>114</v>
      </c>
      <c r="M84" t="str">
        <f t="shared" ref="M84:M88" si="33">IF(J84="MTL","Preservation Shop","")</f>
        <v>Preservation Shop</v>
      </c>
      <c r="N84" s="129">
        <f t="shared" ref="N84:N88" si="34">D84*E84</f>
        <v>0</v>
      </c>
      <c r="O84" s="131" t="s">
        <v>193</v>
      </c>
      <c r="P84" s="129">
        <f t="shared" si="32"/>
        <v>0</v>
      </c>
      <c r="Q84" s="106" t="s">
        <v>114</v>
      </c>
    </row>
    <row r="85" spans="1:17" ht="15.75" customHeight="1" x14ac:dyDescent="0.2">
      <c r="A85" t="str">
        <f t="shared" ref="A85:A88" si="35">A84</f>
        <v>Plastering &amp; finishing</v>
      </c>
      <c r="C85" t="str">
        <f>Costing!B75</f>
        <v>Plastering Stop Bead - 3m length</v>
      </c>
      <c r="D85" s="107">
        <f>Costing!F75</f>
        <v>0</v>
      </c>
      <c r="E85" s="107">
        <f>Costing!I75</f>
        <v>1.1000000000000001</v>
      </c>
      <c r="F85" t="str">
        <f>Costing!G75</f>
        <v>M2</v>
      </c>
      <c r="G85" t="s">
        <v>153</v>
      </c>
      <c r="H85" s="107">
        <f>Costing!J75*100</f>
        <v>30</v>
      </c>
      <c r="I85" t="s">
        <v>111</v>
      </c>
      <c r="J85" t="s">
        <v>112</v>
      </c>
      <c r="K85" t="s">
        <v>113</v>
      </c>
      <c r="L85" t="s">
        <v>114</v>
      </c>
      <c r="M85" t="str">
        <f t="shared" si="33"/>
        <v>Preservation Shop</v>
      </c>
      <c r="N85" s="129">
        <f t="shared" si="34"/>
        <v>0</v>
      </c>
      <c r="O85" s="131" t="s">
        <v>193</v>
      </c>
      <c r="P85" s="129">
        <f t="shared" si="32"/>
        <v>0</v>
      </c>
      <c r="Q85" s="106" t="s">
        <v>114</v>
      </c>
    </row>
    <row r="86" spans="1:17" ht="15.75" customHeight="1" x14ac:dyDescent="0.2">
      <c r="A86" t="str">
        <f t="shared" si="35"/>
        <v>Plastering &amp; finishing</v>
      </c>
      <c r="C86" t="str">
        <f>Costing!B76</f>
        <v>Plastering Thin Coat Angle/Corner Bead - 2.4m length</v>
      </c>
      <c r="D86" s="107">
        <f>Costing!F76</f>
        <v>0</v>
      </c>
      <c r="E86" s="107">
        <f>Costing!I76</f>
        <v>1.8260000000000003</v>
      </c>
      <c r="F86" t="str">
        <f>Costing!G76</f>
        <v>M2</v>
      </c>
      <c r="G86" t="s">
        <v>153</v>
      </c>
      <c r="H86" s="107">
        <f>Costing!J76*100</f>
        <v>30</v>
      </c>
      <c r="I86" t="s">
        <v>111</v>
      </c>
      <c r="J86" t="s">
        <v>112</v>
      </c>
      <c r="K86" t="s">
        <v>113</v>
      </c>
      <c r="L86" t="s">
        <v>114</v>
      </c>
      <c r="M86" t="str">
        <f t="shared" si="33"/>
        <v>Preservation Shop</v>
      </c>
      <c r="N86" s="129">
        <f t="shared" si="34"/>
        <v>0</v>
      </c>
      <c r="O86" s="131" t="s">
        <v>193</v>
      </c>
      <c r="P86" s="129">
        <f t="shared" si="32"/>
        <v>0</v>
      </c>
      <c r="Q86" s="106" t="s">
        <v>114</v>
      </c>
    </row>
    <row r="87" spans="1:17" ht="15.75" customHeight="1" x14ac:dyDescent="0.2">
      <c r="A87" t="str">
        <f t="shared" si="35"/>
        <v>Plastering &amp; finishing</v>
      </c>
      <c r="C87" t="str">
        <f>Costing!B77</f>
        <v>Plastering Thin Coat Angle/Corner Bead - 3m length</v>
      </c>
      <c r="D87" s="107">
        <f>Costing!F77</f>
        <v>0</v>
      </c>
      <c r="E87" s="107">
        <f>Costing!I77</f>
        <v>2.75</v>
      </c>
      <c r="F87" t="str">
        <f>Costing!G77</f>
        <v>M2</v>
      </c>
      <c r="G87" t="s">
        <v>153</v>
      </c>
      <c r="H87" s="107">
        <f>Costing!J77*100</f>
        <v>30</v>
      </c>
      <c r="I87" t="s">
        <v>111</v>
      </c>
      <c r="J87" t="s">
        <v>112</v>
      </c>
      <c r="K87" t="s">
        <v>113</v>
      </c>
      <c r="L87" t="s">
        <v>114</v>
      </c>
      <c r="M87" t="str">
        <f t="shared" si="33"/>
        <v>Preservation Shop</v>
      </c>
      <c r="N87" s="129">
        <f t="shared" si="34"/>
        <v>0</v>
      </c>
      <c r="O87" s="131" t="s">
        <v>193</v>
      </c>
      <c r="P87" s="129">
        <f t="shared" si="32"/>
        <v>0</v>
      </c>
      <c r="Q87" s="106" t="s">
        <v>114</v>
      </c>
    </row>
    <row r="88" spans="1:17" ht="15.75" customHeight="1" x14ac:dyDescent="0.2">
      <c r="A88" t="str">
        <f t="shared" si="35"/>
        <v>Plastering &amp; finishing</v>
      </c>
      <c r="C88" t="str">
        <f>Costing!B78</f>
        <v>Difficulty hours (fireplace, corners etc)</v>
      </c>
      <c r="D88" s="107">
        <f>Costing!F78</f>
        <v>0</v>
      </c>
      <c r="E88" s="107">
        <f>Costing!I78</f>
        <v>0</v>
      </c>
      <c r="F88" t="str">
        <f>Costing!G78</f>
        <v>Hours</v>
      </c>
      <c r="G88" t="s">
        <v>153</v>
      </c>
      <c r="H88" s="107">
        <f>Costing!J78*100</f>
        <v>0</v>
      </c>
      <c r="I88" t="s">
        <v>111</v>
      </c>
      <c r="J88" t="s">
        <v>112</v>
      </c>
      <c r="K88" t="s">
        <v>113</v>
      </c>
      <c r="L88" t="s">
        <v>114</v>
      </c>
      <c r="M88" t="str">
        <f t="shared" si="33"/>
        <v>Preservation Shop</v>
      </c>
      <c r="N88" s="129">
        <f t="shared" si="34"/>
        <v>0</v>
      </c>
      <c r="O88" s="131" t="s">
        <v>193</v>
      </c>
      <c r="P88" s="129">
        <f t="shared" si="32"/>
        <v>0</v>
      </c>
      <c r="Q88" s="106" t="s">
        <v>114</v>
      </c>
    </row>
    <row r="89" spans="1:17" ht="15.75" customHeight="1" x14ac:dyDescent="0.2">
      <c r="A89" t="str">
        <f t="shared" ref="A89:A97" si="36">A88</f>
        <v>Plastering &amp; finishing</v>
      </c>
      <c r="C89" t="str">
        <f>Costing!M71</f>
        <v>Construct stud wall to perimiter</v>
      </c>
      <c r="D89" s="107">
        <f>Costing!O71</f>
        <v>0</v>
      </c>
      <c r="E89" s="107">
        <f>Costing!Q71</f>
        <v>30.630000000000003</v>
      </c>
      <c r="F89" t="s">
        <v>3</v>
      </c>
      <c r="G89" t="s">
        <v>152</v>
      </c>
      <c r="H89" s="107">
        <f>Costing!R71*100</f>
        <v>100</v>
      </c>
      <c r="I89" t="s">
        <v>111</v>
      </c>
      <c r="J89" t="s">
        <v>115</v>
      </c>
      <c r="K89" t="s">
        <v>113</v>
      </c>
      <c r="L89" t="s">
        <v>114</v>
      </c>
      <c r="M89" t="str">
        <f t="shared" si="6"/>
        <v/>
      </c>
      <c r="N89" s="129">
        <f t="shared" si="5"/>
        <v>0</v>
      </c>
      <c r="O89" s="131" t="s">
        <v>193</v>
      </c>
      <c r="P89" s="129">
        <f t="shared" si="32"/>
        <v>0</v>
      </c>
      <c r="Q89" s="106" t="s">
        <v>114</v>
      </c>
    </row>
    <row r="90" spans="1:17" ht="15.75" customHeight="1" x14ac:dyDescent="0.2">
      <c r="A90" t="str">
        <f t="shared" si="36"/>
        <v>Plastering &amp; finishing</v>
      </c>
      <c r="C90" t="str">
        <f>Costing!M72</f>
        <v>Plasterboarding (inc dab/screws)</v>
      </c>
      <c r="D90" s="107">
        <f>Costing!O72</f>
        <v>0</v>
      </c>
      <c r="E90" s="107">
        <f>Costing!Q72</f>
        <v>30.630000000000003</v>
      </c>
      <c r="F90" t="s">
        <v>3</v>
      </c>
      <c r="G90" t="s">
        <v>152</v>
      </c>
      <c r="H90" s="107">
        <f>Costing!R72*100</f>
        <v>100</v>
      </c>
      <c r="I90" t="s">
        <v>111</v>
      </c>
      <c r="J90" t="s">
        <v>115</v>
      </c>
      <c r="K90" t="s">
        <v>113</v>
      </c>
      <c r="L90" t="s">
        <v>114</v>
      </c>
      <c r="M90" t="str">
        <f t="shared" ref="M90:M95" si="37">IF(J90="MTL","Preservation Shop","")</f>
        <v/>
      </c>
      <c r="N90" s="129">
        <f t="shared" ref="N90:N95" si="38">D90*E90</f>
        <v>0</v>
      </c>
      <c r="O90" s="131" t="s">
        <v>193</v>
      </c>
      <c r="P90" s="129">
        <f t="shared" si="32"/>
        <v>0</v>
      </c>
      <c r="Q90" s="106" t="s">
        <v>114</v>
      </c>
    </row>
    <row r="91" spans="1:17" ht="15.75" customHeight="1" x14ac:dyDescent="0.2">
      <c r="A91" t="str">
        <f>A90</f>
        <v>Plastering &amp; finishing</v>
      </c>
      <c r="C91" t="str">
        <f>Costing!M74</f>
        <v>Skimming walls (multi finish plaster)</v>
      </c>
      <c r="D91" s="107">
        <f>Costing!O74</f>
        <v>0</v>
      </c>
      <c r="E91" s="107">
        <f>Costing!Q74</f>
        <v>30.630000000000003</v>
      </c>
      <c r="F91" t="s">
        <v>3</v>
      </c>
      <c r="G91" t="s">
        <v>152</v>
      </c>
      <c r="H91" s="107">
        <f>Costing!R74*100</f>
        <v>100</v>
      </c>
      <c r="I91" t="s">
        <v>111</v>
      </c>
      <c r="J91" t="s">
        <v>115</v>
      </c>
      <c r="K91" t="s">
        <v>113</v>
      </c>
      <c r="L91" t="s">
        <v>114</v>
      </c>
      <c r="M91" t="str">
        <f t="shared" si="37"/>
        <v/>
      </c>
      <c r="N91" s="129">
        <f t="shared" si="38"/>
        <v>0</v>
      </c>
      <c r="O91" s="131" t="s">
        <v>193</v>
      </c>
      <c r="P91" s="129">
        <f t="shared" si="32"/>
        <v>0</v>
      </c>
      <c r="Q91" s="106" t="s">
        <v>114</v>
      </c>
    </row>
    <row r="92" spans="1:17" ht="15.75" customHeight="1" x14ac:dyDescent="0.2">
      <c r="A92" t="str">
        <f t="shared" si="36"/>
        <v>Plastering &amp; finishing</v>
      </c>
      <c r="C92" t="str">
        <f>Costing!M75</f>
        <v>Plastering Stop Bead - 3m length</v>
      </c>
      <c r="D92" s="107">
        <f>Costing!O75</f>
        <v>0</v>
      </c>
      <c r="E92" s="107">
        <f>Costing!Q75</f>
        <v>30.630000000000003</v>
      </c>
      <c r="F92" t="s">
        <v>3</v>
      </c>
      <c r="G92" t="s">
        <v>152</v>
      </c>
      <c r="H92" s="107">
        <f>Costing!R75*100</f>
        <v>100</v>
      </c>
      <c r="I92" t="s">
        <v>111</v>
      </c>
      <c r="J92" t="s">
        <v>115</v>
      </c>
      <c r="K92" t="s">
        <v>113</v>
      </c>
      <c r="L92" t="s">
        <v>114</v>
      </c>
      <c r="M92" t="str">
        <f t="shared" si="37"/>
        <v/>
      </c>
      <c r="N92" s="129">
        <f t="shared" si="38"/>
        <v>0</v>
      </c>
      <c r="O92" s="131" t="s">
        <v>193</v>
      </c>
      <c r="P92" s="129">
        <f t="shared" si="32"/>
        <v>0</v>
      </c>
      <c r="Q92" s="106" t="s">
        <v>114</v>
      </c>
    </row>
    <row r="93" spans="1:17" ht="15.75" customHeight="1" x14ac:dyDescent="0.2">
      <c r="A93" t="str">
        <f t="shared" si="36"/>
        <v>Plastering &amp; finishing</v>
      </c>
      <c r="C93" t="str">
        <f>Costing!M76</f>
        <v>Plastering Thin Coat Angle/Corner Bead - 2.4m length</v>
      </c>
      <c r="D93" s="107">
        <f>Costing!O76</f>
        <v>0</v>
      </c>
      <c r="E93" s="107">
        <f>Costing!Q76</f>
        <v>30.630000000000003</v>
      </c>
      <c r="F93" t="s">
        <v>3</v>
      </c>
      <c r="G93" t="s">
        <v>152</v>
      </c>
      <c r="H93" s="107">
        <f>Costing!R76*100</f>
        <v>100</v>
      </c>
      <c r="I93" t="s">
        <v>111</v>
      </c>
      <c r="J93" t="s">
        <v>115</v>
      </c>
      <c r="K93" t="s">
        <v>113</v>
      </c>
      <c r="L93" t="s">
        <v>114</v>
      </c>
      <c r="M93" t="str">
        <f t="shared" si="37"/>
        <v/>
      </c>
      <c r="N93" s="129">
        <f t="shared" si="38"/>
        <v>0</v>
      </c>
      <c r="O93" s="131" t="s">
        <v>193</v>
      </c>
      <c r="P93" s="129">
        <f t="shared" si="32"/>
        <v>0</v>
      </c>
      <c r="Q93" s="106" t="s">
        <v>114</v>
      </c>
    </row>
    <row r="94" spans="1:17" ht="15.75" customHeight="1" x14ac:dyDescent="0.2">
      <c r="A94" t="str">
        <f t="shared" si="36"/>
        <v>Plastering &amp; finishing</v>
      </c>
      <c r="C94" t="str">
        <f>Costing!M77</f>
        <v>Plastering Thin Coat Angle/Corner Bead - 3m length</v>
      </c>
      <c r="D94" s="107">
        <f>Costing!O77</f>
        <v>0</v>
      </c>
      <c r="E94" s="107">
        <f>Costing!Q77</f>
        <v>30.630000000000003</v>
      </c>
      <c r="F94" t="s">
        <v>3</v>
      </c>
      <c r="G94" t="s">
        <v>152</v>
      </c>
      <c r="H94" s="107">
        <f>Costing!R77*100</f>
        <v>100</v>
      </c>
      <c r="I94" t="s">
        <v>111</v>
      </c>
      <c r="J94" t="s">
        <v>115</v>
      </c>
      <c r="K94" t="s">
        <v>113</v>
      </c>
      <c r="L94" t="s">
        <v>114</v>
      </c>
      <c r="M94" t="str">
        <f t="shared" si="37"/>
        <v/>
      </c>
      <c r="N94" s="129">
        <f t="shared" si="38"/>
        <v>0</v>
      </c>
      <c r="O94" s="131" t="s">
        <v>193</v>
      </c>
      <c r="P94" s="129">
        <f t="shared" si="32"/>
        <v>0</v>
      </c>
      <c r="Q94" s="106" t="s">
        <v>114</v>
      </c>
    </row>
    <row r="95" spans="1:17" ht="15.75" customHeight="1" x14ac:dyDescent="0.2">
      <c r="A95" t="str">
        <f t="shared" si="36"/>
        <v>Plastering &amp; finishing</v>
      </c>
      <c r="C95" t="str">
        <f>Costing!M78</f>
        <v>Difficulty hours (fireplace, corners etc)</v>
      </c>
      <c r="D95" s="107">
        <f>Costing!O78</f>
        <v>0</v>
      </c>
      <c r="E95" s="107">
        <f>Costing!Q78</f>
        <v>30.630000000000003</v>
      </c>
      <c r="F95" t="s">
        <v>3</v>
      </c>
      <c r="G95" t="s">
        <v>152</v>
      </c>
      <c r="H95" s="107">
        <f>Costing!R78*100</f>
        <v>100</v>
      </c>
      <c r="I95" t="s">
        <v>111</v>
      </c>
      <c r="J95" t="s">
        <v>115</v>
      </c>
      <c r="K95" t="s">
        <v>113</v>
      </c>
      <c r="L95" t="s">
        <v>114</v>
      </c>
      <c r="M95" t="str">
        <f t="shared" si="37"/>
        <v/>
      </c>
      <c r="N95" s="129">
        <f t="shared" si="38"/>
        <v>0</v>
      </c>
      <c r="O95" s="131" t="s">
        <v>193</v>
      </c>
      <c r="P95" s="129">
        <f t="shared" si="32"/>
        <v>0</v>
      </c>
      <c r="Q95" s="106" t="s">
        <v>114</v>
      </c>
    </row>
    <row r="96" spans="1:17" s="125" customFormat="1" x14ac:dyDescent="0.2">
      <c r="A96" s="125" t="str">
        <f t="shared" si="36"/>
        <v>Plastering &amp; finishing</v>
      </c>
      <c r="C96" s="125" t="s">
        <v>203</v>
      </c>
      <c r="D96" s="126">
        <v>1</v>
      </c>
      <c r="E96" s="126">
        <f>N96</f>
        <v>0</v>
      </c>
      <c r="F96" s="125" t="s">
        <v>195</v>
      </c>
      <c r="G96" s="125" t="s">
        <v>153</v>
      </c>
      <c r="H96" s="126" t="e">
        <f>((P96-N96)/N96)*100</f>
        <v>#DIV/0!</v>
      </c>
      <c r="I96" s="125" t="s">
        <v>111</v>
      </c>
      <c r="J96" s="125" t="s">
        <v>112</v>
      </c>
      <c r="K96" s="125" t="s">
        <v>113</v>
      </c>
      <c r="L96" s="125" t="str">
        <f>'Customer Summary'!D8</f>
        <v>No</v>
      </c>
      <c r="M96" s="125" t="str">
        <f t="shared" ref="M96:M97" si="39">IF(J96="MTL","Preservation Shop","")</f>
        <v>Preservation Shop</v>
      </c>
      <c r="N96" s="127">
        <f>SUM(N82:N88)</f>
        <v>0</v>
      </c>
      <c r="O96" s="128" t="str">
        <f t="shared" ref="O96" si="40">IF(N96=0,"DELETE","LEAVE")</f>
        <v>DELETE</v>
      </c>
      <c r="P96" s="127">
        <f>SUM(P82:P88)</f>
        <v>0</v>
      </c>
      <c r="Q96" s="128" t="s">
        <v>113</v>
      </c>
    </row>
    <row r="97" spans="1:17" s="125" customFormat="1" x14ac:dyDescent="0.2">
      <c r="A97" s="125" t="str">
        <f t="shared" si="36"/>
        <v>Plastering &amp; finishing</v>
      </c>
      <c r="C97" s="125" t="s">
        <v>204</v>
      </c>
      <c r="D97" s="126">
        <f>SUM(D89:D95)</f>
        <v>0</v>
      </c>
      <c r="E97" s="126" t="e">
        <f>N97/D97</f>
        <v>#DIV/0!</v>
      </c>
      <c r="F97" s="125" t="s">
        <v>3</v>
      </c>
      <c r="G97" s="125" t="s">
        <v>152</v>
      </c>
      <c r="H97" s="126" t="e">
        <f>((P97-N97)/N97)*100</f>
        <v>#DIV/0!</v>
      </c>
      <c r="I97" s="125" t="s">
        <v>111</v>
      </c>
      <c r="J97" s="125" t="s">
        <v>115</v>
      </c>
      <c r="K97" s="125" t="s">
        <v>113</v>
      </c>
      <c r="L97" s="125" t="str">
        <f>L96</f>
        <v>No</v>
      </c>
      <c r="M97" s="125" t="str">
        <f t="shared" si="39"/>
        <v/>
      </c>
      <c r="N97" s="127">
        <f>SUM(N89:N95)</f>
        <v>0</v>
      </c>
      <c r="O97" s="128" t="str">
        <f>IF(N97=0,"DELETE","LEAVE")</f>
        <v>DELETE</v>
      </c>
      <c r="P97" s="127">
        <f>SUM(P89:P95)</f>
        <v>0</v>
      </c>
      <c r="Q97" s="128" t="s">
        <v>113</v>
      </c>
    </row>
    <row r="98" spans="1:17" x14ac:dyDescent="0.2">
      <c r="A98" s="121"/>
      <c r="B98" s="121"/>
      <c r="C98" s="121"/>
      <c r="D98" s="122"/>
      <c r="E98" s="122"/>
      <c r="F98" s="121"/>
      <c r="G98" s="121"/>
      <c r="H98" s="122"/>
      <c r="I98" s="121"/>
      <c r="J98" s="121"/>
      <c r="K98" s="121"/>
      <c r="L98" s="121"/>
      <c r="M98" s="121"/>
      <c r="N98" s="130"/>
      <c r="O98" s="124" t="s">
        <v>193</v>
      </c>
      <c r="P98" s="130"/>
      <c r="Q98" s="123"/>
    </row>
    <row r="99" spans="1:17" ht="15.75" customHeight="1" x14ac:dyDescent="0.2">
      <c r="A99" t="str">
        <f>'Customer Summary'!C9</f>
        <v>Warmline Internal Wall Insulation</v>
      </c>
      <c r="C99" t="str">
        <f>Costing!B73</f>
        <v>Warmline Internal Wall Insulation</v>
      </c>
      <c r="D99" s="107">
        <f>Costing!F73</f>
        <v>0</v>
      </c>
      <c r="E99" s="107">
        <f>Costing!I73</f>
        <v>0</v>
      </c>
      <c r="F99" t="str">
        <f>Costing!G73</f>
        <v>M2</v>
      </c>
      <c r="G99" t="s">
        <v>153</v>
      </c>
      <c r="H99" s="107">
        <f>Costing!J73*100</f>
        <v>30</v>
      </c>
      <c r="I99" t="s">
        <v>111</v>
      </c>
      <c r="J99" t="s">
        <v>112</v>
      </c>
      <c r="K99" t="s">
        <v>113</v>
      </c>
      <c r="L99" t="s">
        <v>114</v>
      </c>
      <c r="M99" t="str">
        <f t="shared" ref="M99" si="41">IF(J99="MTL","Preservation Shop","")</f>
        <v>Preservation Shop</v>
      </c>
      <c r="N99" s="129">
        <f t="shared" ref="N99" si="42">D99*E99</f>
        <v>0</v>
      </c>
      <c r="O99" s="131" t="s">
        <v>193</v>
      </c>
      <c r="P99" s="129">
        <f t="shared" ref="P99:P100" si="43">N99*(1+(H99/100))</f>
        <v>0</v>
      </c>
      <c r="Q99" s="106" t="s">
        <v>114</v>
      </c>
    </row>
    <row r="100" spans="1:17" ht="15.75" customHeight="1" x14ac:dyDescent="0.2">
      <c r="A100" t="str">
        <f>A99</f>
        <v>Warmline Internal Wall Insulation</v>
      </c>
      <c r="C100" t="str">
        <f>Costing!M73</f>
        <v>Warmline Internal Wall Insulation</v>
      </c>
      <c r="D100" s="107">
        <f>Costing!O73</f>
        <v>0</v>
      </c>
      <c r="E100" s="107">
        <f>Costing!Q73</f>
        <v>30.630000000000003</v>
      </c>
      <c r="F100" t="s">
        <v>3</v>
      </c>
      <c r="G100" t="s">
        <v>152</v>
      </c>
      <c r="H100" s="107">
        <f>Costing!R73*100</f>
        <v>100</v>
      </c>
      <c r="I100" t="s">
        <v>111</v>
      </c>
      <c r="J100" t="s">
        <v>115</v>
      </c>
      <c r="K100" t="s">
        <v>113</v>
      </c>
      <c r="L100" t="s">
        <v>114</v>
      </c>
      <c r="M100" t="str">
        <f t="shared" ref="M100" si="44">IF(J100="MTL","Preservation Shop","")</f>
        <v/>
      </c>
      <c r="N100" s="129">
        <f t="shared" ref="N100" si="45">D100*E100</f>
        <v>0</v>
      </c>
      <c r="O100" s="131" t="s">
        <v>193</v>
      </c>
      <c r="P100" s="129">
        <f t="shared" si="43"/>
        <v>0</v>
      </c>
      <c r="Q100" s="106" t="s">
        <v>114</v>
      </c>
    </row>
    <row r="101" spans="1:17" s="125" customFormat="1" x14ac:dyDescent="0.2">
      <c r="A101" s="125" t="str">
        <f t="shared" ref="A101:A102" si="46">A100</f>
        <v>Warmline Internal Wall Insulation</v>
      </c>
      <c r="C101" s="125" t="s">
        <v>203</v>
      </c>
      <c r="D101" s="126">
        <v>1</v>
      </c>
      <c r="E101" s="126">
        <f>N101</f>
        <v>0</v>
      </c>
      <c r="F101" s="125" t="s">
        <v>195</v>
      </c>
      <c r="G101" s="125" t="s">
        <v>153</v>
      </c>
      <c r="H101" s="126" t="e">
        <f>((P101-N101)/N101)*100</f>
        <v>#DIV/0!</v>
      </c>
      <c r="I101" s="125" t="s">
        <v>111</v>
      </c>
      <c r="J101" s="125" t="s">
        <v>112</v>
      </c>
      <c r="K101" s="125" t="s">
        <v>113</v>
      </c>
      <c r="L101" s="125" t="str">
        <f>'Customer Summary'!D9</f>
        <v>No</v>
      </c>
      <c r="M101" s="125" t="str">
        <f t="shared" ref="M101:M102" si="47">IF(J101="MTL","Preservation Shop","")</f>
        <v>Preservation Shop</v>
      </c>
      <c r="N101" s="127">
        <f>SUM(N99)</f>
        <v>0</v>
      </c>
      <c r="O101" s="128" t="str">
        <f t="shared" ref="O101" si="48">IF(N101=0,"DELETE","LEAVE")</f>
        <v>DELETE</v>
      </c>
      <c r="P101" s="127">
        <f>SUM(P99)</f>
        <v>0</v>
      </c>
      <c r="Q101" s="128" t="s">
        <v>113</v>
      </c>
    </row>
    <row r="102" spans="1:17" s="125" customFormat="1" x14ac:dyDescent="0.2">
      <c r="A102" s="125" t="str">
        <f t="shared" si="46"/>
        <v>Warmline Internal Wall Insulation</v>
      </c>
      <c r="C102" s="125" t="s">
        <v>204</v>
      </c>
      <c r="D102" s="126">
        <f>SUM(D100)</f>
        <v>0</v>
      </c>
      <c r="E102" s="126" t="e">
        <f>N102/D102</f>
        <v>#DIV/0!</v>
      </c>
      <c r="F102" s="125" t="s">
        <v>3</v>
      </c>
      <c r="G102" s="125" t="s">
        <v>152</v>
      </c>
      <c r="H102" s="126" t="e">
        <f>((P102-N102)/N102)*100</f>
        <v>#DIV/0!</v>
      </c>
      <c r="I102" s="125" t="s">
        <v>111</v>
      </c>
      <c r="J102" s="125" t="s">
        <v>115</v>
      </c>
      <c r="K102" s="125" t="s">
        <v>113</v>
      </c>
      <c r="L102" s="125" t="str">
        <f>L101</f>
        <v>No</v>
      </c>
      <c r="M102" s="125" t="str">
        <f t="shared" si="47"/>
        <v/>
      </c>
      <c r="N102" s="127">
        <f>SUM(N100)</f>
        <v>0</v>
      </c>
      <c r="O102" s="128" t="str">
        <f>IF(N102=0,"DELETE","LEAVE")</f>
        <v>DELETE</v>
      </c>
      <c r="P102" s="127">
        <f>SUM(P100)</f>
        <v>0</v>
      </c>
      <c r="Q102" s="128" t="s">
        <v>113</v>
      </c>
    </row>
    <row r="103" spans="1:17" x14ac:dyDescent="0.2">
      <c r="A103" s="121"/>
      <c r="B103" s="121"/>
      <c r="C103" s="121"/>
      <c r="D103" s="122"/>
      <c r="E103" s="122"/>
      <c r="F103" s="121"/>
      <c r="G103" s="121"/>
      <c r="H103" s="122"/>
      <c r="I103" s="121"/>
      <c r="J103" s="121"/>
      <c r="K103" s="121"/>
      <c r="L103" s="121"/>
      <c r="M103" s="121"/>
      <c r="N103" s="130"/>
      <c r="O103" s="124" t="s">
        <v>193</v>
      </c>
      <c r="P103" s="130"/>
      <c r="Q103" s="123"/>
    </row>
    <row r="104" spans="1:17" ht="15.75" customHeight="1" x14ac:dyDescent="0.2">
      <c r="A104" t="str">
        <f>'Customer Summary'!C10</f>
        <v>Floor Joists &amp; Floor Decking</v>
      </c>
      <c r="C104" t="str">
        <f>Costing!B83</f>
        <v>Joists, 100 x 50</v>
      </c>
      <c r="D104" s="107">
        <f>Costing!F83</f>
        <v>47.3</v>
      </c>
      <c r="E104" s="107">
        <f>Costing!I83</f>
        <v>5.46</v>
      </c>
      <c r="F104" t="str">
        <f>Costing!G83</f>
        <v>LM</v>
      </c>
      <c r="G104" t="s">
        <v>153</v>
      </c>
      <c r="H104" s="107">
        <f>Costing!J83*100</f>
        <v>30</v>
      </c>
      <c r="I104" t="s">
        <v>111</v>
      </c>
      <c r="J104" t="s">
        <v>112</v>
      </c>
      <c r="K104" t="s">
        <v>113</v>
      </c>
      <c r="L104" t="s">
        <v>114</v>
      </c>
      <c r="M104" t="str">
        <f t="shared" si="6"/>
        <v>Preservation Shop</v>
      </c>
      <c r="N104" s="129">
        <f t="shared" si="5"/>
        <v>258.25799999999998</v>
      </c>
      <c r="O104" s="131" t="s">
        <v>193</v>
      </c>
      <c r="P104" s="129">
        <f t="shared" ref="P104:P137" si="49">N104*(1+(H104/100))</f>
        <v>335.73539999999997</v>
      </c>
      <c r="Q104" s="106" t="s">
        <v>114</v>
      </c>
    </row>
    <row r="105" spans="1:17" ht="15.75" customHeight="1" x14ac:dyDescent="0.2">
      <c r="A105" t="str">
        <f>A104</f>
        <v>Floor Joists &amp; Floor Decking</v>
      </c>
      <c r="C105" t="str">
        <f>Costing!B84</f>
        <v>Joists, 125 x 50</v>
      </c>
      <c r="D105" s="107">
        <f>Costing!F84</f>
        <v>0</v>
      </c>
      <c r="E105" s="107">
        <f>Costing!I84</f>
        <v>6.5</v>
      </c>
      <c r="F105" t="str">
        <f>Costing!G84</f>
        <v>LM</v>
      </c>
      <c r="G105" t="s">
        <v>153</v>
      </c>
      <c r="H105" s="107">
        <f>Costing!J84*100</f>
        <v>30</v>
      </c>
      <c r="I105" t="s">
        <v>111</v>
      </c>
      <c r="J105" t="s">
        <v>112</v>
      </c>
      <c r="K105" t="s">
        <v>113</v>
      </c>
      <c r="L105" t="s">
        <v>114</v>
      </c>
      <c r="M105" t="str">
        <f t="shared" si="6"/>
        <v>Preservation Shop</v>
      </c>
      <c r="N105" s="129">
        <f t="shared" si="5"/>
        <v>0</v>
      </c>
      <c r="O105" s="131" t="s">
        <v>193</v>
      </c>
      <c r="P105" s="129">
        <f t="shared" si="49"/>
        <v>0</v>
      </c>
      <c r="Q105" s="106" t="s">
        <v>114</v>
      </c>
    </row>
    <row r="106" spans="1:17" ht="15.75" customHeight="1" x14ac:dyDescent="0.2">
      <c r="A106" t="str">
        <f t="shared" ref="A106:A139" si="50">A105</f>
        <v>Floor Joists &amp; Floor Decking</v>
      </c>
      <c r="C106" t="str">
        <f>Costing!B85</f>
        <v>Joists, 150 x 50</v>
      </c>
      <c r="D106" s="107">
        <f>Costing!F85</f>
        <v>0</v>
      </c>
      <c r="E106" s="107">
        <f>Costing!I85</f>
        <v>7.7</v>
      </c>
      <c r="F106" t="str">
        <f>Costing!G85</f>
        <v>LM</v>
      </c>
      <c r="G106" t="s">
        <v>153</v>
      </c>
      <c r="H106" s="107">
        <f>Costing!J85*100</f>
        <v>30</v>
      </c>
      <c r="I106" t="s">
        <v>111</v>
      </c>
      <c r="J106" t="s">
        <v>112</v>
      </c>
      <c r="K106" t="s">
        <v>113</v>
      </c>
      <c r="L106" t="s">
        <v>114</v>
      </c>
      <c r="M106" t="str">
        <f t="shared" si="6"/>
        <v>Preservation Shop</v>
      </c>
      <c r="N106" s="129">
        <f t="shared" si="5"/>
        <v>0</v>
      </c>
      <c r="O106" s="131" t="s">
        <v>193</v>
      </c>
      <c r="P106" s="129">
        <f t="shared" si="49"/>
        <v>0</v>
      </c>
      <c r="Q106" s="106" t="s">
        <v>114</v>
      </c>
    </row>
    <row r="107" spans="1:17" ht="15.75" customHeight="1" x14ac:dyDescent="0.2">
      <c r="A107" t="str">
        <f t="shared" si="50"/>
        <v>Floor Joists &amp; Floor Decking</v>
      </c>
      <c r="C107" t="str">
        <f>Costing!B86</f>
        <v>Joists, 175 x 50</v>
      </c>
      <c r="D107" s="107">
        <f>Costing!F86</f>
        <v>0</v>
      </c>
      <c r="E107" s="107">
        <f>Costing!I86</f>
        <v>8</v>
      </c>
      <c r="F107" t="str">
        <f>Costing!G86</f>
        <v>LM</v>
      </c>
      <c r="G107" t="s">
        <v>153</v>
      </c>
      <c r="H107" s="107">
        <f>Costing!J86*100</f>
        <v>30</v>
      </c>
      <c r="I107" t="s">
        <v>111</v>
      </c>
      <c r="J107" t="s">
        <v>112</v>
      </c>
      <c r="K107" t="s">
        <v>113</v>
      </c>
      <c r="L107" t="s">
        <v>114</v>
      </c>
      <c r="M107" t="str">
        <f t="shared" si="6"/>
        <v>Preservation Shop</v>
      </c>
      <c r="N107" s="129">
        <f t="shared" ref="N107:N148" si="51">D107*E107</f>
        <v>0</v>
      </c>
      <c r="O107" s="131" t="s">
        <v>193</v>
      </c>
      <c r="P107" s="129">
        <f t="shared" si="49"/>
        <v>0</v>
      </c>
      <c r="Q107" s="106" t="s">
        <v>114</v>
      </c>
    </row>
    <row r="108" spans="1:17" ht="15.75" customHeight="1" x14ac:dyDescent="0.2">
      <c r="A108" t="str">
        <f t="shared" si="50"/>
        <v>Floor Joists &amp; Floor Decking</v>
      </c>
      <c r="C108" t="str">
        <f>Costing!B87</f>
        <v>Joists, 200 x 50</v>
      </c>
      <c r="D108" s="107">
        <f>Costing!F87</f>
        <v>0</v>
      </c>
      <c r="E108" s="107">
        <f>Costing!I87</f>
        <v>8.9</v>
      </c>
      <c r="F108" t="str">
        <f>Costing!G87</f>
        <v>LM</v>
      </c>
      <c r="G108" t="s">
        <v>153</v>
      </c>
      <c r="H108" s="107">
        <f>Costing!J87*100</f>
        <v>30</v>
      </c>
      <c r="I108" t="s">
        <v>111</v>
      </c>
      <c r="J108" t="s">
        <v>112</v>
      </c>
      <c r="K108" t="s">
        <v>113</v>
      </c>
      <c r="L108" t="s">
        <v>114</v>
      </c>
      <c r="M108" t="str">
        <f t="shared" si="6"/>
        <v>Preservation Shop</v>
      </c>
      <c r="N108" s="129">
        <f t="shared" si="51"/>
        <v>0</v>
      </c>
      <c r="O108" s="131" t="s">
        <v>193</v>
      </c>
      <c r="P108" s="129">
        <f t="shared" si="49"/>
        <v>0</v>
      </c>
      <c r="Q108" s="106" t="s">
        <v>114</v>
      </c>
    </row>
    <row r="109" spans="1:17" ht="15.75" customHeight="1" x14ac:dyDescent="0.2">
      <c r="A109" t="str">
        <f t="shared" si="50"/>
        <v>Floor Joists &amp; Floor Decking</v>
      </c>
      <c r="C109" t="str">
        <f>Costing!B88</f>
        <v>Joists, 225 x 50</v>
      </c>
      <c r="D109" s="107">
        <f>Costing!F88</f>
        <v>0</v>
      </c>
      <c r="E109" s="107">
        <f>Costing!I88</f>
        <v>9.5</v>
      </c>
      <c r="F109" t="str">
        <f>Costing!G88</f>
        <v>LM</v>
      </c>
      <c r="G109" t="s">
        <v>153</v>
      </c>
      <c r="H109" s="107">
        <f>Costing!J88*100</f>
        <v>30</v>
      </c>
      <c r="I109" t="s">
        <v>111</v>
      </c>
      <c r="J109" t="s">
        <v>112</v>
      </c>
      <c r="K109" t="s">
        <v>113</v>
      </c>
      <c r="L109" t="s">
        <v>114</v>
      </c>
      <c r="M109" t="str">
        <f t="shared" si="6"/>
        <v>Preservation Shop</v>
      </c>
      <c r="N109" s="129">
        <f t="shared" si="51"/>
        <v>0</v>
      </c>
      <c r="O109" s="131" t="s">
        <v>193</v>
      </c>
      <c r="P109" s="129">
        <f t="shared" si="49"/>
        <v>0</v>
      </c>
      <c r="Q109" s="106" t="s">
        <v>114</v>
      </c>
    </row>
    <row r="110" spans="1:17" ht="15.75" customHeight="1" x14ac:dyDescent="0.2">
      <c r="A110" t="str">
        <f t="shared" si="50"/>
        <v>Floor Joists &amp; Floor Decking</v>
      </c>
      <c r="C110" t="str">
        <f>Costing!B89</f>
        <v>Treat and endwrap joist</v>
      </c>
      <c r="D110" s="107">
        <f>Costing!F89</f>
        <v>11</v>
      </c>
      <c r="E110" s="107">
        <f>Costing!I89</f>
        <v>3</v>
      </c>
      <c r="F110" t="str">
        <f>Costing!G89</f>
        <v>Each</v>
      </c>
      <c r="G110" t="s">
        <v>153</v>
      </c>
      <c r="H110" s="107">
        <f>Costing!J89*100</f>
        <v>30</v>
      </c>
      <c r="I110" t="s">
        <v>111</v>
      </c>
      <c r="J110" t="s">
        <v>112</v>
      </c>
      <c r="K110" t="s">
        <v>113</v>
      </c>
      <c r="L110" t="s">
        <v>114</v>
      </c>
      <c r="M110" t="str">
        <f t="shared" si="6"/>
        <v>Preservation Shop</v>
      </c>
      <c r="N110" s="129">
        <f t="shared" si="51"/>
        <v>33</v>
      </c>
      <c r="O110" s="131" t="s">
        <v>193</v>
      </c>
      <c r="P110" s="129">
        <f t="shared" si="49"/>
        <v>42.9</v>
      </c>
      <c r="Q110" s="106" t="s">
        <v>114</v>
      </c>
    </row>
    <row r="111" spans="1:17" ht="15.75" customHeight="1" x14ac:dyDescent="0.2">
      <c r="A111" t="str">
        <f t="shared" si="50"/>
        <v>Floor Joists &amp; Floor Decking</v>
      </c>
      <c r="C111" t="str">
        <f>Costing!B90</f>
        <v>Wall plate 100x25</v>
      </c>
      <c r="D111" s="107">
        <f>Costing!F90</f>
        <v>2</v>
      </c>
      <c r="E111" s="107">
        <f>Costing!I90</f>
        <v>4.84</v>
      </c>
      <c r="F111" t="str">
        <f>Costing!G90</f>
        <v>Each</v>
      </c>
      <c r="G111" t="s">
        <v>153</v>
      </c>
      <c r="H111" s="107">
        <f>Costing!J90*100</f>
        <v>30</v>
      </c>
      <c r="I111" t="s">
        <v>111</v>
      </c>
      <c r="J111" t="s">
        <v>112</v>
      </c>
      <c r="K111" t="s">
        <v>113</v>
      </c>
      <c r="L111" t="s">
        <v>114</v>
      </c>
      <c r="M111" t="str">
        <f t="shared" si="6"/>
        <v>Preservation Shop</v>
      </c>
      <c r="N111" s="129">
        <f t="shared" si="51"/>
        <v>9.68</v>
      </c>
      <c r="O111" s="131" t="s">
        <v>193</v>
      </c>
      <c r="P111" s="129">
        <f t="shared" si="49"/>
        <v>12.584</v>
      </c>
      <c r="Q111" s="106" t="s">
        <v>114</v>
      </c>
    </row>
    <row r="112" spans="1:17" ht="15.75" customHeight="1" x14ac:dyDescent="0.2">
      <c r="A112" t="str">
        <f t="shared" si="50"/>
        <v>Floor Joists &amp; Floor Decking</v>
      </c>
      <c r="C112" t="str">
        <f>Costing!B91</f>
        <v>Bower beams (pair)</v>
      </c>
      <c r="D112" s="107">
        <f>Costing!F91</f>
        <v>0</v>
      </c>
      <c r="E112" s="107">
        <f>Costing!I91</f>
        <v>36</v>
      </c>
      <c r="F112" t="str">
        <f>Costing!G91</f>
        <v>Pairs</v>
      </c>
      <c r="G112" t="s">
        <v>153</v>
      </c>
      <c r="H112" s="107">
        <f>Costing!J91*100</f>
        <v>30</v>
      </c>
      <c r="I112" t="s">
        <v>111</v>
      </c>
      <c r="J112" t="s">
        <v>112</v>
      </c>
      <c r="K112" t="s">
        <v>113</v>
      </c>
      <c r="L112" t="s">
        <v>114</v>
      </c>
      <c r="M112" t="str">
        <f t="shared" ref="M112" si="52">IF(J112="MTL","Preservation Shop","")</f>
        <v>Preservation Shop</v>
      </c>
      <c r="N112" s="129">
        <f t="shared" si="51"/>
        <v>0</v>
      </c>
      <c r="O112" s="131" t="s">
        <v>193</v>
      </c>
      <c r="P112" s="129">
        <f t="shared" si="49"/>
        <v>0</v>
      </c>
      <c r="Q112" s="106" t="s">
        <v>114</v>
      </c>
    </row>
    <row r="113" spans="1:17" ht="15.75" customHeight="1" x14ac:dyDescent="0.2">
      <c r="A113" t="str">
        <f t="shared" si="50"/>
        <v>Floor Joists &amp; Floor Decking</v>
      </c>
      <c r="C113" t="str">
        <f>Costing!B92</f>
        <v>Flitch plates (pair)</v>
      </c>
      <c r="D113" s="107">
        <f>Costing!F92</f>
        <v>0</v>
      </c>
      <c r="E113" s="107">
        <f>Costing!I92</f>
        <v>42</v>
      </c>
      <c r="F113" t="str">
        <f>Costing!G92</f>
        <v>Pairs</v>
      </c>
      <c r="G113" t="s">
        <v>153</v>
      </c>
      <c r="H113" s="107">
        <f>Costing!J92*100</f>
        <v>30</v>
      </c>
      <c r="I113" t="s">
        <v>111</v>
      </c>
      <c r="J113" t="s">
        <v>112</v>
      </c>
      <c r="K113" t="s">
        <v>113</v>
      </c>
      <c r="L113" t="s">
        <v>114</v>
      </c>
      <c r="M113" t="str">
        <f t="shared" ref="M113" si="53">IF(J113="MTL","Preservation Shop","")</f>
        <v>Preservation Shop</v>
      </c>
      <c r="N113" s="129">
        <f t="shared" si="51"/>
        <v>0</v>
      </c>
      <c r="O113" s="131" t="s">
        <v>193</v>
      </c>
      <c r="P113" s="129">
        <f t="shared" si="49"/>
        <v>0</v>
      </c>
      <c r="Q113" s="106" t="s">
        <v>114</v>
      </c>
    </row>
    <row r="114" spans="1:17" ht="15.75" customHeight="1" x14ac:dyDescent="0.2">
      <c r="A114" t="str">
        <f t="shared" si="50"/>
        <v>Floor Joists &amp; Floor Decking</v>
      </c>
      <c r="C114" t="str">
        <f>Costing!B94</f>
        <v>Install Weyrock flooring 18mm (M2)</v>
      </c>
      <c r="D114" s="107">
        <f>Costing!F94</f>
        <v>0</v>
      </c>
      <c r="E114" s="107">
        <f>Costing!I94</f>
        <v>18</v>
      </c>
      <c r="F114" t="str">
        <f>Costing!G94</f>
        <v>M2</v>
      </c>
      <c r="G114" t="s">
        <v>153</v>
      </c>
      <c r="H114" s="107">
        <f>Costing!J94*100</f>
        <v>30</v>
      </c>
      <c r="I114" t="s">
        <v>111</v>
      </c>
      <c r="J114" t="s">
        <v>112</v>
      </c>
      <c r="K114" t="s">
        <v>113</v>
      </c>
      <c r="L114" t="s">
        <v>114</v>
      </c>
      <c r="M114" t="str">
        <f t="shared" si="6"/>
        <v>Preservation Shop</v>
      </c>
      <c r="N114" s="129">
        <f t="shared" si="51"/>
        <v>0</v>
      </c>
      <c r="O114" s="131" t="s">
        <v>193</v>
      </c>
      <c r="P114" s="129">
        <f t="shared" si="49"/>
        <v>0</v>
      </c>
      <c r="Q114" s="106" t="s">
        <v>114</v>
      </c>
    </row>
    <row r="115" spans="1:17" ht="15.75" customHeight="1" x14ac:dyDescent="0.2">
      <c r="A115" t="str">
        <f t="shared" si="50"/>
        <v>Floor Joists &amp; Floor Decking</v>
      </c>
      <c r="C115" t="str">
        <f>Costing!B95</f>
        <v>Install Weyrock flooring 22mm (M2)</v>
      </c>
      <c r="D115" s="107">
        <f>Costing!F95</f>
        <v>16</v>
      </c>
      <c r="E115" s="107">
        <f>Costing!I95</f>
        <v>22</v>
      </c>
      <c r="F115" t="str">
        <f>Costing!G95</f>
        <v>M2</v>
      </c>
      <c r="G115" t="s">
        <v>153</v>
      </c>
      <c r="H115" s="107">
        <f>Costing!J95*100</f>
        <v>30</v>
      </c>
      <c r="I115" t="s">
        <v>111</v>
      </c>
      <c r="J115" t="s">
        <v>112</v>
      </c>
      <c r="K115" t="s">
        <v>113</v>
      </c>
      <c r="L115" t="s">
        <v>114</v>
      </c>
      <c r="M115" t="str">
        <f t="shared" si="6"/>
        <v>Preservation Shop</v>
      </c>
      <c r="N115" s="129">
        <f t="shared" si="51"/>
        <v>352</v>
      </c>
      <c r="O115" s="131" t="s">
        <v>193</v>
      </c>
      <c r="P115" s="129">
        <f t="shared" si="49"/>
        <v>457.6</v>
      </c>
      <c r="Q115" s="106" t="s">
        <v>114</v>
      </c>
    </row>
    <row r="116" spans="1:17" ht="15.75" customHeight="1" x14ac:dyDescent="0.2">
      <c r="A116" t="str">
        <f t="shared" si="50"/>
        <v>Floor Joists &amp; Floor Decking</v>
      </c>
      <c r="C116" t="str">
        <f>Costing!B96</f>
        <v>Install std T&amp;G Floorboards (M2)</v>
      </c>
      <c r="D116" s="107">
        <f>Costing!F96</f>
        <v>0</v>
      </c>
      <c r="E116" s="107">
        <f>Costing!I96</f>
        <v>46.3</v>
      </c>
      <c r="F116" t="str">
        <f>Costing!G96</f>
        <v>M2</v>
      </c>
      <c r="G116" t="s">
        <v>153</v>
      </c>
      <c r="H116" s="107">
        <f>Costing!J96*100</f>
        <v>30</v>
      </c>
      <c r="I116" t="s">
        <v>111</v>
      </c>
      <c r="J116" t="s">
        <v>112</v>
      </c>
      <c r="K116" t="s">
        <v>113</v>
      </c>
      <c r="L116" t="s">
        <v>114</v>
      </c>
      <c r="M116" t="str">
        <f t="shared" si="6"/>
        <v>Preservation Shop</v>
      </c>
      <c r="N116" s="129">
        <f t="shared" si="51"/>
        <v>0</v>
      </c>
      <c r="O116" s="131" t="s">
        <v>193</v>
      </c>
      <c r="P116" s="129">
        <f t="shared" si="49"/>
        <v>0</v>
      </c>
      <c r="Q116" s="106" t="s">
        <v>114</v>
      </c>
    </row>
    <row r="117" spans="1:17" ht="15.75" customHeight="1" x14ac:dyDescent="0.2">
      <c r="A117" t="str">
        <f t="shared" si="50"/>
        <v>Floor Joists &amp; Floor Decking</v>
      </c>
      <c r="C117" t="str">
        <f>Costing!B97</f>
        <v>Install victorian T&amp;G Floorboards (M2)</v>
      </c>
      <c r="D117" s="107">
        <f>Costing!F97</f>
        <v>0</v>
      </c>
      <c r="E117" s="107">
        <f>Costing!I97</f>
        <v>52.800000000000004</v>
      </c>
      <c r="F117" t="str">
        <f>Costing!G97</f>
        <v>M2</v>
      </c>
      <c r="G117" t="s">
        <v>153</v>
      </c>
      <c r="H117" s="107">
        <f>Costing!J97*100</f>
        <v>30</v>
      </c>
      <c r="I117" t="s">
        <v>111</v>
      </c>
      <c r="J117" t="s">
        <v>112</v>
      </c>
      <c r="K117" t="s">
        <v>113</v>
      </c>
      <c r="L117" t="s">
        <v>114</v>
      </c>
      <c r="M117" t="str">
        <f t="shared" ref="M117" si="54">IF(J117="MTL","Preservation Shop","")</f>
        <v>Preservation Shop</v>
      </c>
      <c r="N117" s="129">
        <f t="shared" ref="N117" si="55">D117*E117</f>
        <v>0</v>
      </c>
      <c r="O117" s="131" t="s">
        <v>193</v>
      </c>
      <c r="P117" s="129">
        <f t="shared" si="49"/>
        <v>0</v>
      </c>
      <c r="Q117" s="106" t="s">
        <v>114</v>
      </c>
    </row>
    <row r="118" spans="1:17" ht="15.75" customHeight="1" x14ac:dyDescent="0.2">
      <c r="A118" t="str">
        <f t="shared" si="50"/>
        <v>Floor Joists &amp; Floor Decking</v>
      </c>
      <c r="C118" t="str">
        <f>Costing!B98</f>
        <v>Install Engineered Flooring sheet (M2)</v>
      </c>
      <c r="D118" s="107">
        <f>Costing!F98</f>
        <v>0</v>
      </c>
      <c r="E118" s="107">
        <f>Costing!I98</f>
        <v>49.99</v>
      </c>
      <c r="F118" t="str">
        <f>Costing!G98</f>
        <v>M2</v>
      </c>
      <c r="G118" t="s">
        <v>153</v>
      </c>
      <c r="H118" s="107">
        <f>Costing!J98*100</f>
        <v>30</v>
      </c>
      <c r="I118" t="s">
        <v>111</v>
      </c>
      <c r="J118" t="s">
        <v>112</v>
      </c>
      <c r="K118" t="s">
        <v>113</v>
      </c>
      <c r="L118" t="s">
        <v>114</v>
      </c>
      <c r="M118" t="str">
        <f t="shared" ref="M118" si="56">IF(J118="MTL","Preservation Shop","")</f>
        <v>Preservation Shop</v>
      </c>
      <c r="N118" s="129">
        <f t="shared" ref="N118" si="57">D118*E118</f>
        <v>0</v>
      </c>
      <c r="O118" s="131" t="s">
        <v>193</v>
      </c>
      <c r="P118" s="129">
        <f t="shared" si="49"/>
        <v>0</v>
      </c>
      <c r="Q118" s="106" t="s">
        <v>114</v>
      </c>
    </row>
    <row r="119" spans="1:17" ht="15.75" customHeight="1" x14ac:dyDescent="0.2">
      <c r="A119" t="str">
        <f>A117</f>
        <v>Floor Joists &amp; Floor Decking</v>
      </c>
      <c r="C119" t="str">
        <f>Costing!B99</f>
        <v>Provide insulation to suspended flooring</v>
      </c>
      <c r="D119" s="107">
        <f>Costing!F99</f>
        <v>0</v>
      </c>
      <c r="E119" s="107">
        <f>Costing!I99</f>
        <v>6.8000000000000007</v>
      </c>
      <c r="F119" t="str">
        <f>Costing!G99</f>
        <v>M2</v>
      </c>
      <c r="G119" t="s">
        <v>153</v>
      </c>
      <c r="H119" s="107">
        <f>Costing!J99*100</f>
        <v>30</v>
      </c>
      <c r="I119" t="s">
        <v>111</v>
      </c>
      <c r="J119" t="s">
        <v>112</v>
      </c>
      <c r="K119" t="s">
        <v>113</v>
      </c>
      <c r="L119" t="s">
        <v>114</v>
      </c>
      <c r="M119" t="str">
        <f t="shared" ref="M119" si="58">IF(J119="MTL","Preservation Shop","")</f>
        <v>Preservation Shop</v>
      </c>
      <c r="N119" s="129">
        <f t="shared" ref="N119" si="59">D119*E119</f>
        <v>0</v>
      </c>
      <c r="O119" s="131" t="s">
        <v>193</v>
      </c>
      <c r="P119" s="129">
        <f t="shared" si="49"/>
        <v>0</v>
      </c>
      <c r="Q119" s="106" t="s">
        <v>114</v>
      </c>
    </row>
    <row r="120" spans="1:17" ht="15.75" customHeight="1" x14ac:dyDescent="0.2">
      <c r="A120" t="str">
        <f t="shared" si="50"/>
        <v>Floor Joists &amp; Floor Decking</v>
      </c>
      <c r="C120" t="str">
        <f>Costing!B100</f>
        <v>Difficulty hours (additional hours if required)</v>
      </c>
      <c r="D120" s="107">
        <f>Costing!F100</f>
        <v>0</v>
      </c>
      <c r="E120" s="107">
        <f>Costing!I100</f>
        <v>0</v>
      </c>
      <c r="F120" t="str">
        <f>Costing!G100</f>
        <v>Hours</v>
      </c>
      <c r="G120" t="s">
        <v>153</v>
      </c>
      <c r="H120" s="107">
        <f>Costing!J100*100</f>
        <v>0</v>
      </c>
      <c r="I120" t="s">
        <v>111</v>
      </c>
      <c r="J120" t="s">
        <v>112</v>
      </c>
      <c r="K120" t="s">
        <v>113</v>
      </c>
      <c r="L120" t="s">
        <v>114</v>
      </c>
      <c r="M120" t="str">
        <f t="shared" ref="M120" si="60">IF(J120="MTL","Preservation Shop","")</f>
        <v>Preservation Shop</v>
      </c>
      <c r="N120" s="129">
        <f t="shared" si="51"/>
        <v>0</v>
      </c>
      <c r="O120" s="131" t="s">
        <v>193</v>
      </c>
      <c r="P120" s="129">
        <f t="shared" si="49"/>
        <v>0</v>
      </c>
      <c r="Q120" s="106" t="s">
        <v>114</v>
      </c>
    </row>
    <row r="121" spans="1:17" ht="15.75" customHeight="1" x14ac:dyDescent="0.2">
      <c r="A121" t="str">
        <f t="shared" si="50"/>
        <v>Floor Joists &amp; Floor Decking</v>
      </c>
      <c r="C121" t="str">
        <f>Costing!M83</f>
        <v>Joists, 100 x 50</v>
      </c>
      <c r="D121" s="107">
        <f>Costing!O83</f>
        <v>11.824999999999999</v>
      </c>
      <c r="E121" s="107">
        <f>Costing!Q83</f>
        <v>30.630000000000003</v>
      </c>
      <c r="F121" t="s">
        <v>3</v>
      </c>
      <c r="G121" t="s">
        <v>152</v>
      </c>
      <c r="H121" s="107">
        <f>Costing!R83*100</f>
        <v>100</v>
      </c>
      <c r="I121" t="s">
        <v>111</v>
      </c>
      <c r="J121" t="s">
        <v>115</v>
      </c>
      <c r="K121" t="s">
        <v>113</v>
      </c>
      <c r="L121" t="s">
        <v>114</v>
      </c>
      <c r="M121" t="str">
        <f t="shared" si="6"/>
        <v/>
      </c>
      <c r="N121" s="129">
        <f t="shared" si="51"/>
        <v>362.19974999999999</v>
      </c>
      <c r="O121" s="131" t="s">
        <v>193</v>
      </c>
      <c r="P121" s="129">
        <f t="shared" si="49"/>
        <v>724.39949999999999</v>
      </c>
      <c r="Q121" s="106" t="s">
        <v>114</v>
      </c>
    </row>
    <row r="122" spans="1:17" ht="15.75" customHeight="1" x14ac:dyDescent="0.2">
      <c r="A122" t="str">
        <f t="shared" si="50"/>
        <v>Floor Joists &amp; Floor Decking</v>
      </c>
      <c r="C122" t="str">
        <f>Costing!M84</f>
        <v>Joists, 125 x 50</v>
      </c>
      <c r="D122" s="107">
        <f>Costing!O84</f>
        <v>0</v>
      </c>
      <c r="E122" s="107">
        <f>Costing!Q84</f>
        <v>30.630000000000003</v>
      </c>
      <c r="F122" t="s">
        <v>3</v>
      </c>
      <c r="G122" t="s">
        <v>152</v>
      </c>
      <c r="H122" s="107">
        <f>Costing!R84*100</f>
        <v>100</v>
      </c>
      <c r="I122" t="s">
        <v>111</v>
      </c>
      <c r="J122" t="s">
        <v>115</v>
      </c>
      <c r="K122" t="s">
        <v>113</v>
      </c>
      <c r="L122" t="s">
        <v>114</v>
      </c>
      <c r="M122" t="str">
        <f t="shared" si="6"/>
        <v/>
      </c>
      <c r="N122" s="129">
        <f t="shared" si="51"/>
        <v>0</v>
      </c>
      <c r="O122" s="131" t="s">
        <v>193</v>
      </c>
      <c r="P122" s="129">
        <f t="shared" si="49"/>
        <v>0</v>
      </c>
      <c r="Q122" s="106" t="s">
        <v>114</v>
      </c>
    </row>
    <row r="123" spans="1:17" ht="15.75" customHeight="1" x14ac:dyDescent="0.2">
      <c r="A123" t="str">
        <f t="shared" si="50"/>
        <v>Floor Joists &amp; Floor Decking</v>
      </c>
      <c r="C123" t="str">
        <f>Costing!M85</f>
        <v>Joists, 150 x 50</v>
      </c>
      <c r="D123" s="107">
        <f>Costing!O85</f>
        <v>0</v>
      </c>
      <c r="E123" s="107">
        <f>Costing!Q85</f>
        <v>30.630000000000003</v>
      </c>
      <c r="F123" t="s">
        <v>3</v>
      </c>
      <c r="G123" t="s">
        <v>152</v>
      </c>
      <c r="H123" s="107">
        <f>Costing!R85*100</f>
        <v>100</v>
      </c>
      <c r="I123" t="s">
        <v>111</v>
      </c>
      <c r="J123" t="s">
        <v>115</v>
      </c>
      <c r="K123" t="s">
        <v>113</v>
      </c>
      <c r="L123" t="s">
        <v>114</v>
      </c>
      <c r="M123" t="str">
        <f t="shared" si="6"/>
        <v/>
      </c>
      <c r="N123" s="129">
        <f t="shared" si="51"/>
        <v>0</v>
      </c>
      <c r="O123" s="131" t="s">
        <v>193</v>
      </c>
      <c r="P123" s="129">
        <f t="shared" si="49"/>
        <v>0</v>
      </c>
      <c r="Q123" s="106" t="s">
        <v>114</v>
      </c>
    </row>
    <row r="124" spans="1:17" ht="15.75" customHeight="1" x14ac:dyDescent="0.2">
      <c r="A124" t="str">
        <f t="shared" si="50"/>
        <v>Floor Joists &amp; Floor Decking</v>
      </c>
      <c r="C124" t="str">
        <f>Costing!M86</f>
        <v>Joists, 175 x 50</v>
      </c>
      <c r="D124" s="107">
        <f>Costing!O86</f>
        <v>0</v>
      </c>
      <c r="E124" s="107">
        <f>Costing!Q86</f>
        <v>30.630000000000003</v>
      </c>
      <c r="F124" t="s">
        <v>3</v>
      </c>
      <c r="G124" t="s">
        <v>152</v>
      </c>
      <c r="H124" s="107">
        <f>Costing!R86*100</f>
        <v>100</v>
      </c>
      <c r="I124" t="s">
        <v>111</v>
      </c>
      <c r="J124" t="s">
        <v>115</v>
      </c>
      <c r="K124" t="s">
        <v>113</v>
      </c>
      <c r="L124" t="s">
        <v>114</v>
      </c>
      <c r="M124" t="str">
        <f t="shared" si="6"/>
        <v/>
      </c>
      <c r="N124" s="129">
        <f t="shared" si="51"/>
        <v>0</v>
      </c>
      <c r="O124" s="131" t="s">
        <v>193</v>
      </c>
      <c r="P124" s="129">
        <f t="shared" si="49"/>
        <v>0</v>
      </c>
      <c r="Q124" s="106" t="s">
        <v>114</v>
      </c>
    </row>
    <row r="125" spans="1:17" ht="15.75" customHeight="1" x14ac:dyDescent="0.2">
      <c r="A125" t="str">
        <f t="shared" si="50"/>
        <v>Floor Joists &amp; Floor Decking</v>
      </c>
      <c r="C125" t="str">
        <f>Costing!M87</f>
        <v>Joists, 200 x 50</v>
      </c>
      <c r="D125" s="107">
        <f>Costing!O87</f>
        <v>0</v>
      </c>
      <c r="E125" s="107">
        <f>Costing!Q87</f>
        <v>30.630000000000003</v>
      </c>
      <c r="F125" t="s">
        <v>3</v>
      </c>
      <c r="G125" t="s">
        <v>152</v>
      </c>
      <c r="H125" s="107">
        <f>Costing!R87*100</f>
        <v>100</v>
      </c>
      <c r="I125" t="s">
        <v>111</v>
      </c>
      <c r="J125" t="s">
        <v>115</v>
      </c>
      <c r="K125" t="s">
        <v>113</v>
      </c>
      <c r="L125" t="s">
        <v>114</v>
      </c>
      <c r="M125" t="str">
        <f t="shared" si="6"/>
        <v/>
      </c>
      <c r="N125" s="129">
        <f t="shared" si="51"/>
        <v>0</v>
      </c>
      <c r="O125" s="131" t="s">
        <v>193</v>
      </c>
      <c r="P125" s="129">
        <f t="shared" si="49"/>
        <v>0</v>
      </c>
      <c r="Q125" s="106" t="s">
        <v>114</v>
      </c>
    </row>
    <row r="126" spans="1:17" ht="15.75" customHeight="1" x14ac:dyDescent="0.2">
      <c r="A126" t="str">
        <f t="shared" si="50"/>
        <v>Floor Joists &amp; Floor Decking</v>
      </c>
      <c r="C126" t="str">
        <f>Costing!M88</f>
        <v>Joists, 225 x 50</v>
      </c>
      <c r="D126" s="107">
        <f>Costing!O88</f>
        <v>0</v>
      </c>
      <c r="E126" s="107">
        <f>Costing!Q88</f>
        <v>30.630000000000003</v>
      </c>
      <c r="F126" t="s">
        <v>3</v>
      </c>
      <c r="G126" t="s">
        <v>152</v>
      </c>
      <c r="H126" s="107">
        <f>Costing!R88*100</f>
        <v>100</v>
      </c>
      <c r="I126" t="s">
        <v>111</v>
      </c>
      <c r="J126" t="s">
        <v>115</v>
      </c>
      <c r="K126" t="s">
        <v>113</v>
      </c>
      <c r="L126" t="s">
        <v>114</v>
      </c>
      <c r="M126" t="str">
        <f t="shared" si="6"/>
        <v/>
      </c>
      <c r="N126" s="129">
        <f t="shared" si="51"/>
        <v>0</v>
      </c>
      <c r="O126" s="131" t="s">
        <v>193</v>
      </c>
      <c r="P126" s="129">
        <f t="shared" si="49"/>
        <v>0</v>
      </c>
      <c r="Q126" s="106" t="s">
        <v>114</v>
      </c>
    </row>
    <row r="127" spans="1:17" ht="15.75" customHeight="1" x14ac:dyDescent="0.2">
      <c r="A127" t="str">
        <f t="shared" si="50"/>
        <v>Floor Joists &amp; Floor Decking</v>
      </c>
      <c r="C127" t="str">
        <f>Costing!M89</f>
        <v>Endwrap</v>
      </c>
      <c r="D127" s="107">
        <f>Costing!O89</f>
        <v>1.65</v>
      </c>
      <c r="E127" s="107">
        <f>Costing!Q89</f>
        <v>30.630000000000003</v>
      </c>
      <c r="F127" t="s">
        <v>3</v>
      </c>
      <c r="G127" t="s">
        <v>152</v>
      </c>
      <c r="H127" s="107">
        <f>Costing!R89*100</f>
        <v>100</v>
      </c>
      <c r="I127" t="s">
        <v>111</v>
      </c>
      <c r="J127" t="s">
        <v>115</v>
      </c>
      <c r="K127" t="s">
        <v>113</v>
      </c>
      <c r="L127" t="s">
        <v>114</v>
      </c>
      <c r="M127" t="str">
        <f t="shared" ref="M127:M171" si="61">IF(J127="MTL","Preservation Shop","")</f>
        <v/>
      </c>
      <c r="N127" s="129">
        <f t="shared" si="51"/>
        <v>50.539500000000004</v>
      </c>
      <c r="O127" s="131" t="s">
        <v>193</v>
      </c>
      <c r="P127" s="129">
        <f t="shared" si="49"/>
        <v>101.07900000000001</v>
      </c>
      <c r="Q127" s="106" t="s">
        <v>114</v>
      </c>
    </row>
    <row r="128" spans="1:17" ht="15.75" customHeight="1" x14ac:dyDescent="0.2">
      <c r="A128" t="str">
        <f t="shared" si="50"/>
        <v>Floor Joists &amp; Floor Decking</v>
      </c>
      <c r="C128" t="str">
        <f>Costing!M90</f>
        <v>Install Wall plate</v>
      </c>
      <c r="D128" s="107">
        <f>Costing!O90</f>
        <v>0.8</v>
      </c>
      <c r="E128" s="107">
        <f>Costing!Q90</f>
        <v>30.630000000000003</v>
      </c>
      <c r="F128" t="s">
        <v>3</v>
      </c>
      <c r="G128" t="s">
        <v>152</v>
      </c>
      <c r="H128" s="107">
        <f>Costing!R90*100</f>
        <v>100</v>
      </c>
      <c r="I128" t="s">
        <v>111</v>
      </c>
      <c r="J128" t="s">
        <v>115</v>
      </c>
      <c r="K128" t="s">
        <v>113</v>
      </c>
      <c r="L128" t="s">
        <v>114</v>
      </c>
      <c r="M128" t="str">
        <f t="shared" si="61"/>
        <v/>
      </c>
      <c r="N128" s="129">
        <f t="shared" si="51"/>
        <v>24.504000000000005</v>
      </c>
      <c r="O128" s="131" t="s">
        <v>193</v>
      </c>
      <c r="P128" s="129">
        <f t="shared" si="49"/>
        <v>49.00800000000001</v>
      </c>
      <c r="Q128" s="106" t="s">
        <v>114</v>
      </c>
    </row>
    <row r="129" spans="1:17" ht="15.75" customHeight="1" x14ac:dyDescent="0.2">
      <c r="A129" t="str">
        <f t="shared" si="50"/>
        <v>Floor Joists &amp; Floor Decking</v>
      </c>
      <c r="C129" t="str">
        <f>Costing!M91</f>
        <v>Bower beams (pair)</v>
      </c>
      <c r="D129" s="107">
        <f>Costing!O91</f>
        <v>0</v>
      </c>
      <c r="E129" s="107">
        <f>Costing!Q91</f>
        <v>30.630000000000003</v>
      </c>
      <c r="F129" t="s">
        <v>3</v>
      </c>
      <c r="G129" t="s">
        <v>152</v>
      </c>
      <c r="H129" s="107">
        <f>Costing!R91*100</f>
        <v>100</v>
      </c>
      <c r="I129" t="s">
        <v>111</v>
      </c>
      <c r="J129" t="s">
        <v>115</v>
      </c>
      <c r="K129" t="s">
        <v>113</v>
      </c>
      <c r="L129" t="s">
        <v>114</v>
      </c>
      <c r="M129" t="str">
        <f t="shared" ref="M129" si="62">IF(J129="MTL","Preservation Shop","")</f>
        <v/>
      </c>
      <c r="N129" s="129">
        <f t="shared" si="51"/>
        <v>0</v>
      </c>
      <c r="O129" s="131" t="s">
        <v>193</v>
      </c>
      <c r="P129" s="129">
        <f t="shared" si="49"/>
        <v>0</v>
      </c>
      <c r="Q129" s="106" t="s">
        <v>114</v>
      </c>
    </row>
    <row r="130" spans="1:17" ht="15.75" customHeight="1" x14ac:dyDescent="0.2">
      <c r="A130" t="str">
        <f t="shared" si="50"/>
        <v>Floor Joists &amp; Floor Decking</v>
      </c>
      <c r="C130" t="str">
        <f>Costing!M92</f>
        <v>Flitch plates (pair)</v>
      </c>
      <c r="D130" s="107">
        <f>Costing!O92</f>
        <v>0</v>
      </c>
      <c r="E130" s="107">
        <f>Costing!Q92</f>
        <v>30.630000000000003</v>
      </c>
      <c r="F130" t="s">
        <v>3</v>
      </c>
      <c r="G130" t="s">
        <v>152</v>
      </c>
      <c r="H130" s="107">
        <f>Costing!R92*100</f>
        <v>100</v>
      </c>
      <c r="I130" t="s">
        <v>111</v>
      </c>
      <c r="J130" t="s">
        <v>115</v>
      </c>
      <c r="K130" t="s">
        <v>113</v>
      </c>
      <c r="L130" t="s">
        <v>114</v>
      </c>
      <c r="M130" t="str">
        <f t="shared" ref="M130" si="63">IF(J130="MTL","Preservation Shop","")</f>
        <v/>
      </c>
      <c r="N130" s="129">
        <f t="shared" si="51"/>
        <v>0</v>
      </c>
      <c r="O130" s="131" t="s">
        <v>193</v>
      </c>
      <c r="P130" s="129">
        <f t="shared" si="49"/>
        <v>0</v>
      </c>
      <c r="Q130" s="106" t="s">
        <v>114</v>
      </c>
    </row>
    <row r="131" spans="1:17" ht="15.75" customHeight="1" x14ac:dyDescent="0.2">
      <c r="A131" t="str">
        <f t="shared" si="50"/>
        <v>Floor Joists &amp; Floor Decking</v>
      </c>
      <c r="C131" t="str">
        <f>Costing!M94</f>
        <v>Install Weyrock flooring 18mm (M2)</v>
      </c>
      <c r="D131" s="107">
        <f>Costing!O94</f>
        <v>0</v>
      </c>
      <c r="E131" s="107">
        <f>Costing!Q94</f>
        <v>30.630000000000003</v>
      </c>
      <c r="F131" t="s">
        <v>3</v>
      </c>
      <c r="G131" t="s">
        <v>152</v>
      </c>
      <c r="H131" s="107">
        <f>Costing!R94*100</f>
        <v>100</v>
      </c>
      <c r="I131" t="s">
        <v>111</v>
      </c>
      <c r="J131" t="s">
        <v>115</v>
      </c>
      <c r="K131" t="s">
        <v>113</v>
      </c>
      <c r="L131" t="s">
        <v>114</v>
      </c>
      <c r="M131" t="str">
        <f t="shared" si="61"/>
        <v/>
      </c>
      <c r="N131" s="129">
        <f t="shared" si="51"/>
        <v>0</v>
      </c>
      <c r="O131" s="131" t="s">
        <v>193</v>
      </c>
      <c r="P131" s="129">
        <f t="shared" si="49"/>
        <v>0</v>
      </c>
      <c r="Q131" s="106" t="s">
        <v>114</v>
      </c>
    </row>
    <row r="132" spans="1:17" ht="15.75" customHeight="1" x14ac:dyDescent="0.2">
      <c r="A132" t="str">
        <f t="shared" si="50"/>
        <v>Floor Joists &amp; Floor Decking</v>
      </c>
      <c r="C132" t="str">
        <f>Costing!M95</f>
        <v>Install Weyrock flooring 22mm (M2)</v>
      </c>
      <c r="D132" s="107">
        <f>Costing!O95</f>
        <v>5.2</v>
      </c>
      <c r="E132" s="107">
        <f>Costing!Q95</f>
        <v>30.630000000000003</v>
      </c>
      <c r="F132" t="s">
        <v>3</v>
      </c>
      <c r="G132" t="s">
        <v>152</v>
      </c>
      <c r="H132" s="107">
        <f>Costing!R95*100</f>
        <v>100</v>
      </c>
      <c r="I132" t="s">
        <v>111</v>
      </c>
      <c r="J132" t="s">
        <v>115</v>
      </c>
      <c r="K132" t="s">
        <v>113</v>
      </c>
      <c r="L132" t="s">
        <v>114</v>
      </c>
      <c r="M132" t="str">
        <f t="shared" si="61"/>
        <v/>
      </c>
      <c r="N132" s="129">
        <f t="shared" si="51"/>
        <v>159.27600000000001</v>
      </c>
      <c r="O132" s="131" t="s">
        <v>193</v>
      </c>
      <c r="P132" s="129">
        <f t="shared" si="49"/>
        <v>318.55200000000002</v>
      </c>
      <c r="Q132" s="106" t="s">
        <v>114</v>
      </c>
    </row>
    <row r="133" spans="1:17" ht="15.75" customHeight="1" x14ac:dyDescent="0.2">
      <c r="A133" t="str">
        <f t="shared" si="50"/>
        <v>Floor Joists &amp; Floor Decking</v>
      </c>
      <c r="C133" t="str">
        <f>Costing!M96</f>
        <v>Install std T&amp;G Floorboards (M2)</v>
      </c>
      <c r="D133" s="107">
        <f>Costing!O96</f>
        <v>0</v>
      </c>
      <c r="E133" s="107">
        <f>Costing!Q96</f>
        <v>30.630000000000003</v>
      </c>
      <c r="F133" t="s">
        <v>3</v>
      </c>
      <c r="G133" t="s">
        <v>152</v>
      </c>
      <c r="H133" s="107">
        <f>Costing!R96*100</f>
        <v>100</v>
      </c>
      <c r="I133" t="s">
        <v>111</v>
      </c>
      <c r="J133" t="s">
        <v>115</v>
      </c>
      <c r="K133" t="s">
        <v>113</v>
      </c>
      <c r="L133" t="s">
        <v>114</v>
      </c>
      <c r="M133" t="str">
        <f t="shared" si="61"/>
        <v/>
      </c>
      <c r="N133" s="129">
        <f t="shared" si="51"/>
        <v>0</v>
      </c>
      <c r="O133" s="131" t="s">
        <v>193</v>
      </c>
      <c r="P133" s="129">
        <f t="shared" si="49"/>
        <v>0</v>
      </c>
      <c r="Q133" s="106" t="s">
        <v>114</v>
      </c>
    </row>
    <row r="134" spans="1:17" ht="15.75" customHeight="1" x14ac:dyDescent="0.2">
      <c r="A134" t="str">
        <f t="shared" si="50"/>
        <v>Floor Joists &amp; Floor Decking</v>
      </c>
      <c r="C134" t="str">
        <f>Costing!M97</f>
        <v>Install victorian T&amp;G Floorboards (M2)</v>
      </c>
      <c r="D134" s="107">
        <f>Costing!O97</f>
        <v>0</v>
      </c>
      <c r="E134" s="107">
        <f>Costing!Q97</f>
        <v>30.630000000000003</v>
      </c>
      <c r="F134" t="s">
        <v>3</v>
      </c>
      <c r="G134" t="s">
        <v>152</v>
      </c>
      <c r="H134" s="107">
        <f>Costing!R97*100</f>
        <v>100</v>
      </c>
      <c r="I134" t="s">
        <v>111</v>
      </c>
      <c r="J134" t="s">
        <v>115</v>
      </c>
      <c r="K134" t="s">
        <v>113</v>
      </c>
      <c r="L134" t="s">
        <v>114</v>
      </c>
      <c r="M134" t="str">
        <f t="shared" ref="M134" si="64">IF(J134="MTL","Preservation Shop","")</f>
        <v/>
      </c>
      <c r="N134" s="129">
        <f t="shared" ref="N134" si="65">D134*E134</f>
        <v>0</v>
      </c>
      <c r="O134" s="131" t="s">
        <v>193</v>
      </c>
      <c r="P134" s="129">
        <f t="shared" si="49"/>
        <v>0</v>
      </c>
      <c r="Q134" s="106" t="s">
        <v>114</v>
      </c>
    </row>
    <row r="135" spans="1:17" ht="15.75" customHeight="1" x14ac:dyDescent="0.2">
      <c r="A135" t="str">
        <f t="shared" si="50"/>
        <v>Floor Joists &amp; Floor Decking</v>
      </c>
      <c r="C135" t="str">
        <f>Costing!M98</f>
        <v>Install Engineered Flooring sheet (M2)</v>
      </c>
      <c r="D135" s="107">
        <f>Costing!O98</f>
        <v>0</v>
      </c>
      <c r="E135" s="107">
        <f>Costing!Q98</f>
        <v>30.630000000000003</v>
      </c>
      <c r="F135" t="s">
        <v>3</v>
      </c>
      <c r="G135" t="s">
        <v>152</v>
      </c>
      <c r="H135" s="107">
        <f>Costing!R98*100</f>
        <v>100</v>
      </c>
      <c r="I135" t="s">
        <v>111</v>
      </c>
      <c r="J135" t="s">
        <v>115</v>
      </c>
      <c r="K135" t="s">
        <v>113</v>
      </c>
      <c r="L135" t="s">
        <v>114</v>
      </c>
      <c r="M135" t="str">
        <f t="shared" ref="M135" si="66">IF(J135="MTL","Preservation Shop","")</f>
        <v/>
      </c>
      <c r="N135" s="129">
        <f t="shared" ref="N135" si="67">D135*E135</f>
        <v>0</v>
      </c>
      <c r="O135" s="131" t="s">
        <v>193</v>
      </c>
      <c r="P135" s="129">
        <f t="shared" si="49"/>
        <v>0</v>
      </c>
      <c r="Q135" s="106" t="s">
        <v>114</v>
      </c>
    </row>
    <row r="136" spans="1:17" ht="15.75" customHeight="1" x14ac:dyDescent="0.2">
      <c r="A136" t="str">
        <f>A134</f>
        <v>Floor Joists &amp; Floor Decking</v>
      </c>
      <c r="C136" t="str">
        <f>Costing!M99</f>
        <v>Provide insulation to suspended flooring</v>
      </c>
      <c r="D136" s="107">
        <f>Costing!O99</f>
        <v>0</v>
      </c>
      <c r="E136" s="107">
        <f>Costing!Q99</f>
        <v>30.630000000000003</v>
      </c>
      <c r="F136" t="s">
        <v>3</v>
      </c>
      <c r="G136" t="s">
        <v>152</v>
      </c>
      <c r="H136" s="107">
        <f>Costing!R99*100</f>
        <v>100</v>
      </c>
      <c r="I136" t="s">
        <v>111</v>
      </c>
      <c r="J136" t="s">
        <v>115</v>
      </c>
      <c r="K136" t="s">
        <v>113</v>
      </c>
      <c r="L136" t="s">
        <v>114</v>
      </c>
      <c r="M136" t="str">
        <f t="shared" ref="M136" si="68">IF(J136="MTL","Preservation Shop","")</f>
        <v/>
      </c>
      <c r="N136" s="129">
        <f t="shared" ref="N136" si="69">D136*E136</f>
        <v>0</v>
      </c>
      <c r="O136" s="131" t="s">
        <v>193</v>
      </c>
      <c r="P136" s="129">
        <f t="shared" si="49"/>
        <v>0</v>
      </c>
      <c r="Q136" s="106" t="s">
        <v>114</v>
      </c>
    </row>
    <row r="137" spans="1:17" ht="15.75" customHeight="1" x14ac:dyDescent="0.2">
      <c r="A137" t="str">
        <f t="shared" si="50"/>
        <v>Floor Joists &amp; Floor Decking</v>
      </c>
      <c r="C137" t="str">
        <f>Costing!M100</f>
        <v>Difficulty hours (additional hours if required)</v>
      </c>
      <c r="D137" s="107">
        <f>Costing!O100</f>
        <v>0</v>
      </c>
      <c r="E137" s="107">
        <f>Costing!Q100</f>
        <v>30.630000000000003</v>
      </c>
      <c r="F137" t="s">
        <v>3</v>
      </c>
      <c r="G137" t="s">
        <v>152</v>
      </c>
      <c r="H137" s="107">
        <f>Costing!R100*100</f>
        <v>100</v>
      </c>
      <c r="I137" t="s">
        <v>111</v>
      </c>
      <c r="J137" t="s">
        <v>115</v>
      </c>
      <c r="K137" t="s">
        <v>113</v>
      </c>
      <c r="L137" t="s">
        <v>114</v>
      </c>
      <c r="M137" t="str">
        <f t="shared" ref="M137" si="70">IF(J137="MTL","Preservation Shop","")</f>
        <v/>
      </c>
      <c r="N137" s="129">
        <f t="shared" si="51"/>
        <v>0</v>
      </c>
      <c r="O137" s="131" t="s">
        <v>193</v>
      </c>
      <c r="P137" s="129">
        <f t="shared" si="49"/>
        <v>0</v>
      </c>
      <c r="Q137" s="106" t="s">
        <v>114</v>
      </c>
    </row>
    <row r="138" spans="1:17" s="125" customFormat="1" x14ac:dyDescent="0.2">
      <c r="A138" s="125" t="str">
        <f t="shared" si="50"/>
        <v>Floor Joists &amp; Floor Decking</v>
      </c>
      <c r="C138" s="125" t="s">
        <v>205</v>
      </c>
      <c r="D138" s="126">
        <v>1</v>
      </c>
      <c r="E138" s="126">
        <f>N138</f>
        <v>652.93799999999999</v>
      </c>
      <c r="F138" s="125" t="s">
        <v>195</v>
      </c>
      <c r="G138" s="125" t="s">
        <v>153</v>
      </c>
      <c r="H138" s="126">
        <f>((P138-N138)/N138)*100</f>
        <v>30</v>
      </c>
      <c r="I138" s="125" t="s">
        <v>111</v>
      </c>
      <c r="J138" s="125" t="s">
        <v>112</v>
      </c>
      <c r="K138" s="125" t="s">
        <v>113</v>
      </c>
      <c r="L138" s="125" t="str">
        <f>'Customer Summary'!D10</f>
        <v>No</v>
      </c>
      <c r="M138" s="125" t="str">
        <f t="shared" si="61"/>
        <v>Preservation Shop</v>
      </c>
      <c r="N138" s="127">
        <f>SUM(N104:N120)</f>
        <v>652.93799999999999</v>
      </c>
      <c r="O138" s="128" t="str">
        <f t="shared" ref="O138" si="71">IF(N138=0,"DELETE","LEAVE")</f>
        <v>LEAVE</v>
      </c>
      <c r="P138" s="127">
        <f>SUM(P104:P120)</f>
        <v>848.81939999999997</v>
      </c>
      <c r="Q138" s="128" t="s">
        <v>113</v>
      </c>
    </row>
    <row r="139" spans="1:17" s="125" customFormat="1" x14ac:dyDescent="0.2">
      <c r="A139" s="125" t="str">
        <f t="shared" si="50"/>
        <v>Floor Joists &amp; Floor Decking</v>
      </c>
      <c r="C139" s="125" t="s">
        <v>206</v>
      </c>
      <c r="D139" s="126">
        <f>SUM(D121:D137)</f>
        <v>19.475000000000001</v>
      </c>
      <c r="E139" s="126">
        <f>N139/D139</f>
        <v>30.63</v>
      </c>
      <c r="F139" s="125" t="s">
        <v>3</v>
      </c>
      <c r="G139" s="125" t="s">
        <v>152</v>
      </c>
      <c r="H139" s="126">
        <f>((P139-N139)/N139)*100</f>
        <v>100</v>
      </c>
      <c r="I139" s="125" t="s">
        <v>111</v>
      </c>
      <c r="J139" s="125" t="s">
        <v>115</v>
      </c>
      <c r="K139" s="125" t="s">
        <v>113</v>
      </c>
      <c r="L139" s="125" t="str">
        <f>L138</f>
        <v>No</v>
      </c>
      <c r="M139" s="125" t="str">
        <f t="shared" si="61"/>
        <v/>
      </c>
      <c r="N139" s="127">
        <f>SUM(N121:N137)</f>
        <v>596.51925000000006</v>
      </c>
      <c r="O139" s="128" t="str">
        <f>IF(N139=0,"DELETE","LEAVE")</f>
        <v>LEAVE</v>
      </c>
      <c r="P139" s="127">
        <f>SUM(P121:P137)</f>
        <v>1193.0385000000001</v>
      </c>
      <c r="Q139" s="128" t="s">
        <v>113</v>
      </c>
    </row>
    <row r="140" spans="1:17" x14ac:dyDescent="0.2">
      <c r="A140" s="121"/>
      <c r="B140" s="121"/>
      <c r="C140" s="121"/>
      <c r="D140" s="122"/>
      <c r="E140" s="122"/>
      <c r="F140" s="121"/>
      <c r="G140" s="121"/>
      <c r="H140" s="122"/>
      <c r="I140" s="121"/>
      <c r="J140" s="121"/>
      <c r="K140" s="121"/>
      <c r="L140" s="121"/>
      <c r="M140" s="121"/>
      <c r="N140" s="130"/>
      <c r="O140" s="124" t="s">
        <v>193</v>
      </c>
      <c r="P140" s="130"/>
      <c r="Q140" s="123"/>
    </row>
    <row r="141" spans="1:17" ht="15.75" customHeight="1" x14ac:dyDescent="0.2">
      <c r="A141" t="str">
        <f>'Customer Summary'!C11</f>
        <v>Timber Treatments</v>
      </c>
      <c r="C141" t="str">
        <f>Costing!B104</f>
        <v>Clear debris from sub floor</v>
      </c>
      <c r="D141" s="107">
        <f>Costing!F104</f>
        <v>0</v>
      </c>
      <c r="E141" s="107">
        <f>Costing!I104</f>
        <v>0</v>
      </c>
      <c r="F141" t="str">
        <f>Costing!G104</f>
        <v>M2</v>
      </c>
      <c r="G141" t="s">
        <v>153</v>
      </c>
      <c r="H141" s="107">
        <f>Costing!J104*100</f>
        <v>30</v>
      </c>
      <c r="I141" t="s">
        <v>111</v>
      </c>
      <c r="J141" t="s">
        <v>112</v>
      </c>
      <c r="K141" t="s">
        <v>113</v>
      </c>
      <c r="L141" t="s">
        <v>114</v>
      </c>
      <c r="M141" t="str">
        <f t="shared" si="61"/>
        <v>Preservation Shop</v>
      </c>
      <c r="N141" s="129">
        <f t="shared" si="51"/>
        <v>0</v>
      </c>
      <c r="O141" s="131" t="s">
        <v>193</v>
      </c>
      <c r="P141" s="129">
        <f t="shared" ref="P141:P154" si="72">N141*(1+(H141/100))</f>
        <v>0</v>
      </c>
      <c r="Q141" s="106" t="s">
        <v>114</v>
      </c>
    </row>
    <row r="142" spans="1:17" ht="15.75" customHeight="1" x14ac:dyDescent="0.2">
      <c r="A142" t="str">
        <f>A141</f>
        <v>Timber Treatments</v>
      </c>
      <c r="C142" t="str">
        <f>Costing!B105</f>
        <v>Masonry sterilant (Wyakbor 20) - brush applied</v>
      </c>
      <c r="D142" s="108">
        <f>ROUNDUP(Costing!F105/10,0)</f>
        <v>0</v>
      </c>
      <c r="E142" s="108">
        <f>Costing!I105</f>
        <v>35</v>
      </c>
      <c r="F142" s="97" t="s">
        <v>161</v>
      </c>
      <c r="G142" t="s">
        <v>153</v>
      </c>
      <c r="H142" s="107">
        <f>Costing!J105*100</f>
        <v>30</v>
      </c>
      <c r="I142" t="s">
        <v>111</v>
      </c>
      <c r="J142" t="s">
        <v>112</v>
      </c>
      <c r="K142" t="s">
        <v>113</v>
      </c>
      <c r="L142" t="s">
        <v>114</v>
      </c>
      <c r="M142" t="str">
        <f t="shared" si="61"/>
        <v>Preservation Shop</v>
      </c>
      <c r="N142" s="129">
        <f t="shared" si="51"/>
        <v>0</v>
      </c>
      <c r="O142" s="131" t="s">
        <v>193</v>
      </c>
      <c r="P142" s="129">
        <f t="shared" si="72"/>
        <v>0</v>
      </c>
      <c r="Q142" s="106" t="s">
        <v>114</v>
      </c>
    </row>
    <row r="143" spans="1:17" ht="15.75" customHeight="1" x14ac:dyDescent="0.2">
      <c r="A143" t="str">
        <f t="shared" ref="A143:A156" si="73">A142</f>
        <v>Timber Treatments</v>
      </c>
      <c r="C143" t="str">
        <f>Costing!B106</f>
        <v>Protective treatment following new timbers installation (DP or bug)</v>
      </c>
      <c r="D143" s="108">
        <f>ROUNDUP(Costing!F106/25,0)</f>
        <v>0</v>
      </c>
      <c r="E143" s="108">
        <f>Costing!I106</f>
        <v>22</v>
      </c>
      <c r="F143" s="97" t="s">
        <v>162</v>
      </c>
      <c r="G143" t="s">
        <v>153</v>
      </c>
      <c r="H143" s="107">
        <f>Costing!J106*100</f>
        <v>30</v>
      </c>
      <c r="I143" t="s">
        <v>111</v>
      </c>
      <c r="J143" t="s">
        <v>112</v>
      </c>
      <c r="K143" t="s">
        <v>113</v>
      </c>
      <c r="L143" t="s">
        <v>114</v>
      </c>
      <c r="M143" t="str">
        <f t="shared" si="61"/>
        <v>Preservation Shop</v>
      </c>
      <c r="N143" s="129">
        <f t="shared" si="51"/>
        <v>0</v>
      </c>
      <c r="O143" s="131" t="s">
        <v>193</v>
      </c>
      <c r="P143" s="129">
        <f t="shared" si="72"/>
        <v>0</v>
      </c>
      <c r="Q143" s="106" t="s">
        <v>114</v>
      </c>
    </row>
    <row r="144" spans="1:17" ht="15.75" customHeight="1" x14ac:dyDescent="0.2">
      <c r="A144" t="str">
        <f t="shared" si="73"/>
        <v>Timber Treatments</v>
      </c>
      <c r="C144" t="str">
        <f>Costing!B107</f>
        <v>40.1 Gel injection @100mm centres, plug with dowel</v>
      </c>
      <c r="D144" s="108">
        <f>ROUNDUP(Costing!F107/4,0)</f>
        <v>0</v>
      </c>
      <c r="E144" s="108">
        <f>Costing!I107</f>
        <v>2.2200000000000002</v>
      </c>
      <c r="F144" s="97" t="s">
        <v>163</v>
      </c>
      <c r="G144" t="s">
        <v>153</v>
      </c>
      <c r="H144" s="107">
        <f>Costing!J107*100</f>
        <v>30</v>
      </c>
      <c r="I144" t="s">
        <v>111</v>
      </c>
      <c r="J144" t="s">
        <v>112</v>
      </c>
      <c r="K144" t="s">
        <v>113</v>
      </c>
      <c r="L144" t="s">
        <v>114</v>
      </c>
      <c r="M144" t="str">
        <f t="shared" si="61"/>
        <v>Preservation Shop</v>
      </c>
      <c r="N144" s="129">
        <f t="shared" si="51"/>
        <v>0</v>
      </c>
      <c r="O144" s="131" t="s">
        <v>193</v>
      </c>
      <c r="P144" s="129">
        <f t="shared" si="72"/>
        <v>0</v>
      </c>
      <c r="Q144" s="106" t="s">
        <v>114</v>
      </c>
    </row>
    <row r="145" spans="1:17" ht="15.75" customHeight="1" x14ac:dyDescent="0.2">
      <c r="A145" t="str">
        <f t="shared" si="73"/>
        <v>Timber Treatments</v>
      </c>
      <c r="C145" t="str">
        <f>Costing!B108</f>
        <v>Fog subfloor void (M2)</v>
      </c>
      <c r="D145" s="107">
        <f>Costing!F108</f>
        <v>16</v>
      </c>
      <c r="E145" s="107">
        <f>Costing!I108</f>
        <v>1</v>
      </c>
      <c r="F145" t="str">
        <f>Costing!G108</f>
        <v>M2</v>
      </c>
      <c r="G145" t="s">
        <v>153</v>
      </c>
      <c r="H145" s="107">
        <f>Costing!J108*100</f>
        <v>30</v>
      </c>
      <c r="I145" t="s">
        <v>111</v>
      </c>
      <c r="J145" t="s">
        <v>112</v>
      </c>
      <c r="K145" t="s">
        <v>113</v>
      </c>
      <c r="L145" t="s">
        <v>114</v>
      </c>
      <c r="M145" t="str">
        <f>IF(J145="MTL","Preservation Shop","")</f>
        <v>Preservation Shop</v>
      </c>
      <c r="N145" s="129">
        <f>D145*E145</f>
        <v>16</v>
      </c>
      <c r="O145" s="131" t="s">
        <v>193</v>
      </c>
      <c r="P145" s="129">
        <f t="shared" si="72"/>
        <v>20.8</v>
      </c>
      <c r="Q145" s="106" t="s">
        <v>114</v>
      </c>
    </row>
    <row r="146" spans="1:17" ht="15.75" customHeight="1" x14ac:dyDescent="0.2">
      <c r="A146" t="str">
        <f t="shared" si="73"/>
        <v>Timber Treatments</v>
      </c>
      <c r="C146" t="str">
        <f>Costing!B109</f>
        <v>Fogging staircase - open rear treads Per step</v>
      </c>
      <c r="D146" s="107">
        <f>Costing!F109</f>
        <v>0</v>
      </c>
      <c r="E146" s="107">
        <f>Costing!I109</f>
        <v>0.2</v>
      </c>
      <c r="F146" t="str">
        <f>Costing!G109</f>
        <v>Each</v>
      </c>
      <c r="G146" t="s">
        <v>153</v>
      </c>
      <c r="H146" s="107">
        <f>Costing!J109*100</f>
        <v>30</v>
      </c>
      <c r="I146" t="s">
        <v>111</v>
      </c>
      <c r="J146" t="s">
        <v>112</v>
      </c>
      <c r="K146" t="s">
        <v>113</v>
      </c>
      <c r="L146" t="s">
        <v>114</v>
      </c>
      <c r="M146" t="str">
        <f t="shared" si="61"/>
        <v>Preservation Shop</v>
      </c>
      <c r="N146" s="129">
        <f t="shared" si="51"/>
        <v>0</v>
      </c>
      <c r="O146" s="131" t="s">
        <v>193</v>
      </c>
      <c r="P146" s="129">
        <f t="shared" si="72"/>
        <v>0</v>
      </c>
      <c r="Q146" s="106" t="s">
        <v>114</v>
      </c>
    </row>
    <row r="147" spans="1:17" ht="15.75" customHeight="1" x14ac:dyDescent="0.2">
      <c r="A147" t="str">
        <f t="shared" si="73"/>
        <v>Timber Treatments</v>
      </c>
      <c r="C147" t="str">
        <f>Costing!B110</f>
        <v>Fogging staircase - rear closed, drill and plug per step</v>
      </c>
      <c r="D147" s="107">
        <f>Costing!F110</f>
        <v>0</v>
      </c>
      <c r="E147" s="107">
        <f>Costing!I110</f>
        <v>2</v>
      </c>
      <c r="F147" t="str">
        <f>Costing!G110</f>
        <v>Each</v>
      </c>
      <c r="G147" t="s">
        <v>153</v>
      </c>
      <c r="H147" s="107">
        <f>Costing!J110*100</f>
        <v>30</v>
      </c>
      <c r="I147" t="s">
        <v>111</v>
      </c>
      <c r="J147" t="s">
        <v>112</v>
      </c>
      <c r="K147" t="s">
        <v>113</v>
      </c>
      <c r="L147" t="s">
        <v>114</v>
      </c>
      <c r="M147" t="str">
        <f t="shared" si="61"/>
        <v>Preservation Shop</v>
      </c>
      <c r="N147" s="129">
        <f t="shared" si="51"/>
        <v>0</v>
      </c>
      <c r="O147" s="131" t="s">
        <v>193</v>
      </c>
      <c r="P147" s="129">
        <f t="shared" si="72"/>
        <v>0</v>
      </c>
      <c r="Q147" s="106" t="s">
        <v>114</v>
      </c>
    </row>
    <row r="148" spans="1:17" ht="15.75" customHeight="1" x14ac:dyDescent="0.2">
      <c r="A148" t="str">
        <f t="shared" si="73"/>
        <v>Timber Treatments</v>
      </c>
      <c r="C148" t="str">
        <f>Costing!M104</f>
        <v>Clear debris from sub floor</v>
      </c>
      <c r="D148" s="107">
        <f>Costing!O104</f>
        <v>0</v>
      </c>
      <c r="E148" s="107">
        <f>Costing!Q104</f>
        <v>30.630000000000003</v>
      </c>
      <c r="F148" t="s">
        <v>3</v>
      </c>
      <c r="G148" t="s">
        <v>152</v>
      </c>
      <c r="H148" s="107">
        <f>Costing!R104*100</f>
        <v>100</v>
      </c>
      <c r="I148" t="s">
        <v>111</v>
      </c>
      <c r="J148" t="s">
        <v>115</v>
      </c>
      <c r="K148" t="s">
        <v>113</v>
      </c>
      <c r="L148" t="s">
        <v>114</v>
      </c>
      <c r="M148" t="str">
        <f t="shared" si="61"/>
        <v/>
      </c>
      <c r="N148" s="129">
        <f t="shared" si="51"/>
        <v>0</v>
      </c>
      <c r="O148" s="131" t="s">
        <v>193</v>
      </c>
      <c r="P148" s="129">
        <f t="shared" si="72"/>
        <v>0</v>
      </c>
      <c r="Q148" s="106" t="s">
        <v>114</v>
      </c>
    </row>
    <row r="149" spans="1:17" ht="15.75" customHeight="1" x14ac:dyDescent="0.2">
      <c r="A149" t="str">
        <f t="shared" si="73"/>
        <v>Timber Treatments</v>
      </c>
      <c r="C149" t="str">
        <f>Costing!M105</f>
        <v>Masonry sterilant - brush applied</v>
      </c>
      <c r="D149" s="107">
        <f>Costing!O105</f>
        <v>0</v>
      </c>
      <c r="E149" s="107">
        <f>Costing!Q105</f>
        <v>30.630000000000003</v>
      </c>
      <c r="F149" t="s">
        <v>3</v>
      </c>
      <c r="G149" t="s">
        <v>152</v>
      </c>
      <c r="H149" s="107">
        <f>Costing!R105*100</f>
        <v>100</v>
      </c>
      <c r="I149" t="s">
        <v>111</v>
      </c>
      <c r="J149" t="s">
        <v>115</v>
      </c>
      <c r="K149" t="s">
        <v>113</v>
      </c>
      <c r="L149" t="s">
        <v>114</v>
      </c>
      <c r="M149" t="str">
        <f t="shared" si="61"/>
        <v/>
      </c>
      <c r="N149" s="129">
        <f t="shared" ref="N149:N169" si="74">D149*E149</f>
        <v>0</v>
      </c>
      <c r="O149" s="131" t="s">
        <v>193</v>
      </c>
      <c r="P149" s="129">
        <f t="shared" si="72"/>
        <v>0</v>
      </c>
      <c r="Q149" s="106" t="s">
        <v>114</v>
      </c>
    </row>
    <row r="150" spans="1:17" ht="15.75" customHeight="1" x14ac:dyDescent="0.2">
      <c r="A150" t="str">
        <f t="shared" si="73"/>
        <v>Timber Treatments</v>
      </c>
      <c r="C150" t="str">
        <f>Costing!M106</f>
        <v xml:space="preserve">Protective treatment, new timbers </v>
      </c>
      <c r="D150" s="107">
        <f>Costing!O106</f>
        <v>0</v>
      </c>
      <c r="E150" s="107">
        <f>Costing!Q106</f>
        <v>30.630000000000003</v>
      </c>
      <c r="F150" t="s">
        <v>3</v>
      </c>
      <c r="G150" t="s">
        <v>152</v>
      </c>
      <c r="H150" s="107">
        <f>Costing!R106*100</f>
        <v>100</v>
      </c>
      <c r="I150" t="s">
        <v>111</v>
      </c>
      <c r="J150" t="s">
        <v>115</v>
      </c>
      <c r="K150" t="s">
        <v>113</v>
      </c>
      <c r="L150" t="s">
        <v>114</v>
      </c>
      <c r="M150" t="str">
        <f t="shared" si="61"/>
        <v/>
      </c>
      <c r="N150" s="129">
        <f t="shared" si="74"/>
        <v>0</v>
      </c>
      <c r="O150" s="131" t="s">
        <v>193</v>
      </c>
      <c r="P150" s="129">
        <f t="shared" si="72"/>
        <v>0</v>
      </c>
      <c r="Q150" s="106" t="s">
        <v>114</v>
      </c>
    </row>
    <row r="151" spans="1:17" ht="15.75" customHeight="1" x14ac:dyDescent="0.2">
      <c r="A151" t="str">
        <f t="shared" si="73"/>
        <v>Timber Treatments</v>
      </c>
      <c r="C151" t="str">
        <f>Costing!M107</f>
        <v xml:space="preserve">Gel injection @100mm centres and plug </v>
      </c>
      <c r="D151" s="107">
        <f>Costing!O107</f>
        <v>0</v>
      </c>
      <c r="E151" s="107">
        <f>Costing!Q107</f>
        <v>30.630000000000003</v>
      </c>
      <c r="F151" t="s">
        <v>3</v>
      </c>
      <c r="G151" t="s">
        <v>152</v>
      </c>
      <c r="H151" s="107">
        <f>Costing!R107*100</f>
        <v>100</v>
      </c>
      <c r="I151" t="s">
        <v>111</v>
      </c>
      <c r="J151" t="s">
        <v>115</v>
      </c>
      <c r="K151" t="s">
        <v>113</v>
      </c>
      <c r="L151" t="s">
        <v>114</v>
      </c>
      <c r="M151" t="str">
        <f t="shared" si="61"/>
        <v/>
      </c>
      <c r="N151" s="129">
        <f t="shared" si="74"/>
        <v>0</v>
      </c>
      <c r="O151" s="131" t="s">
        <v>193</v>
      </c>
      <c r="P151" s="129">
        <f t="shared" si="72"/>
        <v>0</v>
      </c>
      <c r="Q151" s="106" t="s">
        <v>114</v>
      </c>
    </row>
    <row r="152" spans="1:17" ht="15.75" customHeight="1" x14ac:dyDescent="0.2">
      <c r="A152" t="str">
        <f t="shared" si="73"/>
        <v>Timber Treatments</v>
      </c>
      <c r="C152" t="str">
        <f>Costing!M108</f>
        <v>Fog subfloor void (M2)</v>
      </c>
      <c r="D152" s="107">
        <f>Costing!O108</f>
        <v>0.8</v>
      </c>
      <c r="E152" s="107">
        <f>Costing!Q108</f>
        <v>30.630000000000003</v>
      </c>
      <c r="F152" t="s">
        <v>3</v>
      </c>
      <c r="G152" t="s">
        <v>152</v>
      </c>
      <c r="H152" s="107">
        <f>Costing!R108*100</f>
        <v>100</v>
      </c>
      <c r="I152" t="s">
        <v>111</v>
      </c>
      <c r="J152" t="s">
        <v>115</v>
      </c>
      <c r="K152" t="s">
        <v>113</v>
      </c>
      <c r="L152" t="s">
        <v>114</v>
      </c>
      <c r="M152" t="str">
        <f>IF(J152="MTL","Preservation Shop","")</f>
        <v/>
      </c>
      <c r="N152" s="129">
        <f>D152*E152</f>
        <v>24.504000000000005</v>
      </c>
      <c r="O152" s="131" t="s">
        <v>193</v>
      </c>
      <c r="P152" s="129">
        <f t="shared" si="72"/>
        <v>49.00800000000001</v>
      </c>
      <c r="Q152" s="106" t="s">
        <v>114</v>
      </c>
    </row>
    <row r="153" spans="1:17" ht="15.75" customHeight="1" x14ac:dyDescent="0.2">
      <c r="A153" t="str">
        <f t="shared" si="73"/>
        <v>Timber Treatments</v>
      </c>
      <c r="C153" t="str">
        <f>Costing!M109</f>
        <v xml:space="preserve">Fogging staircase - open rear treads </v>
      </c>
      <c r="D153" s="107">
        <f>Costing!O109</f>
        <v>0</v>
      </c>
      <c r="E153" s="107">
        <f>Costing!Q109</f>
        <v>30.630000000000003</v>
      </c>
      <c r="F153" t="s">
        <v>3</v>
      </c>
      <c r="G153" t="s">
        <v>152</v>
      </c>
      <c r="H153" s="107">
        <f>Costing!R109*100</f>
        <v>100</v>
      </c>
      <c r="I153" t="s">
        <v>111</v>
      </c>
      <c r="J153" t="s">
        <v>115</v>
      </c>
      <c r="K153" t="s">
        <v>113</v>
      </c>
      <c r="L153" t="s">
        <v>114</v>
      </c>
      <c r="M153" t="str">
        <f t="shared" si="61"/>
        <v/>
      </c>
      <c r="N153" s="129">
        <f t="shared" si="74"/>
        <v>0</v>
      </c>
      <c r="O153" s="131" t="s">
        <v>193</v>
      </c>
      <c r="P153" s="129">
        <f t="shared" si="72"/>
        <v>0</v>
      </c>
      <c r="Q153" s="106" t="s">
        <v>114</v>
      </c>
    </row>
    <row r="154" spans="1:17" ht="15.75" customHeight="1" x14ac:dyDescent="0.2">
      <c r="A154" t="str">
        <f t="shared" si="73"/>
        <v>Timber Treatments</v>
      </c>
      <c r="C154" t="str">
        <f>Costing!M110</f>
        <v xml:space="preserve">Fogging staircase - closed,  rear treads </v>
      </c>
      <c r="D154" s="107">
        <f>Costing!O110</f>
        <v>0</v>
      </c>
      <c r="E154" s="107">
        <f>Costing!Q110</f>
        <v>30.630000000000003</v>
      </c>
      <c r="F154" t="s">
        <v>3</v>
      </c>
      <c r="G154" t="s">
        <v>152</v>
      </c>
      <c r="H154" s="107">
        <f>Costing!R110*100</f>
        <v>100</v>
      </c>
      <c r="I154" t="s">
        <v>111</v>
      </c>
      <c r="J154" t="s">
        <v>115</v>
      </c>
      <c r="K154" t="s">
        <v>113</v>
      </c>
      <c r="L154" t="s">
        <v>114</v>
      </c>
      <c r="M154" t="str">
        <f t="shared" si="61"/>
        <v/>
      </c>
      <c r="N154" s="129">
        <f t="shared" si="74"/>
        <v>0</v>
      </c>
      <c r="O154" s="131" t="s">
        <v>193</v>
      </c>
      <c r="P154" s="129">
        <f t="shared" si="72"/>
        <v>0</v>
      </c>
      <c r="Q154" s="106" t="s">
        <v>114</v>
      </c>
    </row>
    <row r="155" spans="1:17" s="125" customFormat="1" x14ac:dyDescent="0.2">
      <c r="A155" s="125" t="str">
        <f t="shared" si="73"/>
        <v>Timber Treatments</v>
      </c>
      <c r="C155" s="125" t="s">
        <v>209</v>
      </c>
      <c r="D155" s="126">
        <v>1</v>
      </c>
      <c r="E155" s="126">
        <f>N155</f>
        <v>16</v>
      </c>
      <c r="F155" s="125" t="s">
        <v>195</v>
      </c>
      <c r="G155" s="125" t="s">
        <v>153</v>
      </c>
      <c r="H155" s="126">
        <f>((P155-N155)/N155)*100</f>
        <v>30.000000000000004</v>
      </c>
      <c r="I155" s="125" t="s">
        <v>111</v>
      </c>
      <c r="J155" s="125" t="s">
        <v>112</v>
      </c>
      <c r="K155" s="125" t="s">
        <v>113</v>
      </c>
      <c r="L155" s="125" t="str">
        <f>'Customer Summary'!D11</f>
        <v>No</v>
      </c>
      <c r="M155" s="125" t="str">
        <f t="shared" ref="M155:M156" si="75">IF(J155="MTL","Preservation Shop","")</f>
        <v>Preservation Shop</v>
      </c>
      <c r="N155" s="127">
        <f>SUM(N141:N147)</f>
        <v>16</v>
      </c>
      <c r="O155" s="128" t="str">
        <f t="shared" ref="O155" si="76">IF(N155=0,"DELETE","LEAVE")</f>
        <v>LEAVE</v>
      </c>
      <c r="P155" s="127">
        <f>SUM(P141:P147)</f>
        <v>20.8</v>
      </c>
      <c r="Q155" s="128" t="s">
        <v>113</v>
      </c>
    </row>
    <row r="156" spans="1:17" s="125" customFormat="1" x14ac:dyDescent="0.2">
      <c r="A156" s="125" t="str">
        <f t="shared" si="73"/>
        <v>Timber Treatments</v>
      </c>
      <c r="C156" s="125" t="s">
        <v>210</v>
      </c>
      <c r="D156" s="126">
        <f>SUM(D148:D154)</f>
        <v>0.8</v>
      </c>
      <c r="E156" s="126">
        <f>N156/D156</f>
        <v>30.630000000000006</v>
      </c>
      <c r="F156" s="125" t="s">
        <v>3</v>
      </c>
      <c r="G156" s="125" t="s">
        <v>152</v>
      </c>
      <c r="H156" s="126">
        <f>((P156-N156)/N156)*100</f>
        <v>100</v>
      </c>
      <c r="I156" s="125" t="s">
        <v>111</v>
      </c>
      <c r="J156" s="125" t="s">
        <v>115</v>
      </c>
      <c r="K156" s="125" t="s">
        <v>113</v>
      </c>
      <c r="L156" s="125" t="str">
        <f>L155</f>
        <v>No</v>
      </c>
      <c r="M156" s="125" t="str">
        <f t="shared" si="75"/>
        <v/>
      </c>
      <c r="N156" s="127">
        <f>SUM(N148:N154)</f>
        <v>24.504000000000005</v>
      </c>
      <c r="O156" s="128" t="str">
        <f>IF(N156=0,"DELETE","LEAVE")</f>
        <v>LEAVE</v>
      </c>
      <c r="P156" s="127">
        <f>SUM(P148:P154)</f>
        <v>49.00800000000001</v>
      </c>
      <c r="Q156" s="128" t="s">
        <v>113</v>
      </c>
    </row>
    <row r="157" spans="1:17" x14ac:dyDescent="0.2">
      <c r="A157" s="121"/>
      <c r="B157" s="121"/>
      <c r="C157" s="121"/>
      <c r="D157" s="122"/>
      <c r="E157" s="122"/>
      <c r="F157" s="121"/>
      <c r="G157" s="121"/>
      <c r="H157" s="122"/>
      <c r="I157" s="121"/>
      <c r="J157" s="121"/>
      <c r="K157" s="121"/>
      <c r="L157" s="121"/>
      <c r="M157" s="121"/>
      <c r="N157" s="130"/>
      <c r="O157" s="124" t="s">
        <v>193</v>
      </c>
      <c r="P157" s="130"/>
      <c r="Q157" s="123"/>
    </row>
    <row r="158" spans="1:17" ht="15.75" customHeight="1" x14ac:dyDescent="0.2">
      <c r="A158" t="str">
        <f>'Customer Summary'!C12</f>
        <v>Airbricks</v>
      </c>
      <c r="C158" t="str">
        <f>Costing!B114</f>
        <v>Clean out airbrick/fit new face</v>
      </c>
      <c r="D158" s="107">
        <f>Costing!F114</f>
        <v>4</v>
      </c>
      <c r="E158" s="107">
        <f>Costing!I114</f>
        <v>16</v>
      </c>
      <c r="F158" t="str">
        <f>Costing!G114</f>
        <v>Each</v>
      </c>
      <c r="G158" t="s">
        <v>153</v>
      </c>
      <c r="H158" s="107">
        <f>Costing!J114*100</f>
        <v>30</v>
      </c>
      <c r="I158" t="s">
        <v>111</v>
      </c>
      <c r="J158" t="s">
        <v>112</v>
      </c>
      <c r="K158" t="s">
        <v>113</v>
      </c>
      <c r="L158" t="s">
        <v>114</v>
      </c>
      <c r="M158" t="str">
        <f t="shared" si="61"/>
        <v>Preservation Shop</v>
      </c>
      <c r="N158" s="129">
        <f t="shared" si="74"/>
        <v>64</v>
      </c>
      <c r="O158" s="131" t="s">
        <v>193</v>
      </c>
      <c r="P158" s="129">
        <f t="shared" ref="P158:P163" si="77">N158*(1+(H158/100))</f>
        <v>83.2</v>
      </c>
      <c r="Q158" s="106" t="s">
        <v>114</v>
      </c>
    </row>
    <row r="159" spans="1:17" ht="15.75" customHeight="1" x14ac:dyDescent="0.2">
      <c r="A159" t="str">
        <f>A158</f>
        <v>Airbricks</v>
      </c>
      <c r="C159" t="str">
        <f>Costing!B115</f>
        <v>Lift/upgrade existing airbrick/fit new face</v>
      </c>
      <c r="D159" s="107">
        <f>Costing!F115</f>
        <v>0</v>
      </c>
      <c r="E159" s="107">
        <f>Costing!I115</f>
        <v>16</v>
      </c>
      <c r="F159" t="str">
        <f>Costing!G115</f>
        <v>Each</v>
      </c>
      <c r="G159" t="s">
        <v>153</v>
      </c>
      <c r="H159" s="107">
        <f>Costing!J115*100</f>
        <v>30</v>
      </c>
      <c r="I159" t="s">
        <v>111</v>
      </c>
      <c r="J159" t="s">
        <v>112</v>
      </c>
      <c r="K159" t="s">
        <v>113</v>
      </c>
      <c r="L159" t="s">
        <v>114</v>
      </c>
      <c r="M159" t="str">
        <f t="shared" si="61"/>
        <v>Preservation Shop</v>
      </c>
      <c r="N159" s="129">
        <f t="shared" si="74"/>
        <v>0</v>
      </c>
      <c r="O159" s="131" t="s">
        <v>193</v>
      </c>
      <c r="P159" s="129">
        <f t="shared" si="77"/>
        <v>0</v>
      </c>
      <c r="Q159" s="106" t="s">
        <v>114</v>
      </c>
    </row>
    <row r="160" spans="1:17" ht="15.75" customHeight="1" x14ac:dyDescent="0.2">
      <c r="A160" t="str">
        <f t="shared" ref="A160:A165" si="78">A159</f>
        <v>Airbricks</v>
      </c>
      <c r="C160" t="str">
        <f>Costing!B116</f>
        <v>Install additional  airbrick</v>
      </c>
      <c r="D160" s="107">
        <f>Costing!F116</f>
        <v>2</v>
      </c>
      <c r="E160" s="107">
        <f>Costing!I116</f>
        <v>16</v>
      </c>
      <c r="F160" t="str">
        <f>Costing!G116</f>
        <v>Each</v>
      </c>
      <c r="G160" t="s">
        <v>153</v>
      </c>
      <c r="H160" s="107">
        <f>Costing!J116*100</f>
        <v>30</v>
      </c>
      <c r="I160" t="s">
        <v>111</v>
      </c>
      <c r="J160" t="s">
        <v>112</v>
      </c>
      <c r="K160" t="s">
        <v>113</v>
      </c>
      <c r="L160" t="s">
        <v>114</v>
      </c>
      <c r="M160" t="str">
        <f t="shared" si="61"/>
        <v>Preservation Shop</v>
      </c>
      <c r="N160" s="129">
        <f t="shared" si="74"/>
        <v>32</v>
      </c>
      <c r="O160" s="131" t="s">
        <v>193</v>
      </c>
      <c r="P160" s="129">
        <f t="shared" si="77"/>
        <v>41.6</v>
      </c>
      <c r="Q160" s="106" t="s">
        <v>114</v>
      </c>
    </row>
    <row r="161" spans="1:17" ht="15.75" customHeight="1" x14ac:dyDescent="0.2">
      <c r="A161" t="str">
        <f t="shared" si="78"/>
        <v>Airbricks</v>
      </c>
      <c r="C161" t="str">
        <f>Costing!M114</f>
        <v>Clean out airbrick/fit new face</v>
      </c>
      <c r="D161" s="107">
        <f>Costing!O114</f>
        <v>2</v>
      </c>
      <c r="E161" s="107">
        <f>Costing!Q114</f>
        <v>30.630000000000003</v>
      </c>
      <c r="F161" t="s">
        <v>3</v>
      </c>
      <c r="G161" t="s">
        <v>152</v>
      </c>
      <c r="H161" s="107">
        <f>Costing!R114*100</f>
        <v>100</v>
      </c>
      <c r="I161" t="s">
        <v>111</v>
      </c>
      <c r="J161" t="s">
        <v>115</v>
      </c>
      <c r="K161" t="s">
        <v>113</v>
      </c>
      <c r="L161" t="s">
        <v>114</v>
      </c>
      <c r="M161" t="str">
        <f t="shared" si="61"/>
        <v/>
      </c>
      <c r="N161" s="129">
        <f t="shared" si="74"/>
        <v>61.260000000000005</v>
      </c>
      <c r="O161" s="131" t="s">
        <v>193</v>
      </c>
      <c r="P161" s="129">
        <f t="shared" si="77"/>
        <v>122.52000000000001</v>
      </c>
      <c r="Q161" s="106" t="s">
        <v>114</v>
      </c>
    </row>
    <row r="162" spans="1:17" ht="15.75" customHeight="1" x14ac:dyDescent="0.2">
      <c r="A162" t="str">
        <f t="shared" si="78"/>
        <v>Airbricks</v>
      </c>
      <c r="C162" t="str">
        <f>Costing!M115</f>
        <v>Lift existing airbrick/fit new face</v>
      </c>
      <c r="D162" s="107">
        <f>Costing!O115</f>
        <v>0</v>
      </c>
      <c r="E162" s="107">
        <f>Costing!Q115</f>
        <v>30.630000000000003</v>
      </c>
      <c r="F162" t="s">
        <v>3</v>
      </c>
      <c r="G162" t="s">
        <v>152</v>
      </c>
      <c r="H162" s="107">
        <f>Costing!R115*100</f>
        <v>100</v>
      </c>
      <c r="I162" t="s">
        <v>111</v>
      </c>
      <c r="J162" t="s">
        <v>115</v>
      </c>
      <c r="K162" t="s">
        <v>113</v>
      </c>
      <c r="L162" t="s">
        <v>114</v>
      </c>
      <c r="M162" t="str">
        <f t="shared" si="61"/>
        <v/>
      </c>
      <c r="N162" s="129">
        <f t="shared" si="74"/>
        <v>0</v>
      </c>
      <c r="O162" s="131" t="s">
        <v>193</v>
      </c>
      <c r="P162" s="129">
        <f t="shared" si="77"/>
        <v>0</v>
      </c>
      <c r="Q162" s="106" t="s">
        <v>114</v>
      </c>
    </row>
    <row r="163" spans="1:17" ht="15.75" customHeight="1" x14ac:dyDescent="0.2">
      <c r="A163" t="str">
        <f t="shared" si="78"/>
        <v>Airbricks</v>
      </c>
      <c r="C163" t="str">
        <f>Costing!M116</f>
        <v>Install additional  airbrick</v>
      </c>
      <c r="D163" s="107">
        <f>Costing!O116</f>
        <v>4</v>
      </c>
      <c r="E163" s="107">
        <f>Costing!Q116</f>
        <v>30.630000000000003</v>
      </c>
      <c r="F163" t="s">
        <v>3</v>
      </c>
      <c r="G163" t="s">
        <v>152</v>
      </c>
      <c r="H163" s="107">
        <f>Costing!R116*100</f>
        <v>100</v>
      </c>
      <c r="I163" t="s">
        <v>111</v>
      </c>
      <c r="J163" t="s">
        <v>115</v>
      </c>
      <c r="K163" t="s">
        <v>113</v>
      </c>
      <c r="L163" t="s">
        <v>114</v>
      </c>
      <c r="M163" t="str">
        <f t="shared" si="61"/>
        <v/>
      </c>
      <c r="N163" s="129">
        <f t="shared" si="74"/>
        <v>122.52000000000001</v>
      </c>
      <c r="O163" s="131" t="s">
        <v>193</v>
      </c>
      <c r="P163" s="129">
        <f t="shared" si="77"/>
        <v>245.04000000000002</v>
      </c>
      <c r="Q163" s="106" t="s">
        <v>114</v>
      </c>
    </row>
    <row r="164" spans="1:17" s="125" customFormat="1" x14ac:dyDescent="0.2">
      <c r="A164" s="125" t="str">
        <f t="shared" si="78"/>
        <v>Airbricks</v>
      </c>
      <c r="C164" s="125" t="s">
        <v>207</v>
      </c>
      <c r="D164" s="126">
        <v>1</v>
      </c>
      <c r="E164" s="126">
        <f>N164</f>
        <v>96</v>
      </c>
      <c r="F164" s="125" t="s">
        <v>195</v>
      </c>
      <c r="G164" s="125" t="s">
        <v>153</v>
      </c>
      <c r="H164" s="126">
        <f>((P164-N164)/N164)*100</f>
        <v>30.000000000000011</v>
      </c>
      <c r="I164" s="125" t="s">
        <v>111</v>
      </c>
      <c r="J164" s="125" t="s">
        <v>112</v>
      </c>
      <c r="K164" s="125" t="s">
        <v>113</v>
      </c>
      <c r="L164" s="125" t="str">
        <f>'Customer Summary'!D12</f>
        <v>No</v>
      </c>
      <c r="M164" s="125" t="str">
        <f t="shared" si="61"/>
        <v>Preservation Shop</v>
      </c>
      <c r="N164" s="127">
        <f>SUM(N158:N160)</f>
        <v>96</v>
      </c>
      <c r="O164" s="128" t="str">
        <f t="shared" ref="O164" si="79">IF(N164=0,"DELETE","LEAVE")</f>
        <v>LEAVE</v>
      </c>
      <c r="P164" s="127">
        <f>SUM(P158:P160)</f>
        <v>124.80000000000001</v>
      </c>
      <c r="Q164" s="128" t="s">
        <v>113</v>
      </c>
    </row>
    <row r="165" spans="1:17" s="125" customFormat="1" x14ac:dyDescent="0.2">
      <c r="A165" s="125" t="str">
        <f t="shared" si="78"/>
        <v>Airbricks</v>
      </c>
      <c r="C165" s="125" t="s">
        <v>208</v>
      </c>
      <c r="D165" s="126">
        <f>SUM(D161:D163)</f>
        <v>6</v>
      </c>
      <c r="E165" s="126">
        <f>N165/D165</f>
        <v>30.630000000000006</v>
      </c>
      <c r="F165" s="125" t="s">
        <v>3</v>
      </c>
      <c r="G165" s="125" t="s">
        <v>152</v>
      </c>
      <c r="H165" s="126">
        <f>((P165-N165)/N165)*100</f>
        <v>100</v>
      </c>
      <c r="I165" s="125" t="s">
        <v>111</v>
      </c>
      <c r="J165" s="125" t="s">
        <v>115</v>
      </c>
      <c r="K165" s="125" t="s">
        <v>113</v>
      </c>
      <c r="L165" s="125" t="str">
        <f>L164</f>
        <v>No</v>
      </c>
      <c r="M165" s="125" t="str">
        <f t="shared" si="61"/>
        <v/>
      </c>
      <c r="N165" s="127">
        <f>SUM(N161:N163)</f>
        <v>183.78000000000003</v>
      </c>
      <c r="O165" s="128" t="str">
        <f>IF(N165=0,"DELETE","LEAVE")</f>
        <v>LEAVE</v>
      </c>
      <c r="P165" s="127">
        <f>SUM(P161:P163)</f>
        <v>367.56000000000006</v>
      </c>
      <c r="Q165" s="128" t="s">
        <v>113</v>
      </c>
    </row>
    <row r="166" spans="1:17" x14ac:dyDescent="0.2">
      <c r="A166" s="121"/>
      <c r="B166" s="121"/>
      <c r="C166" s="121"/>
      <c r="D166" s="122"/>
      <c r="E166" s="122"/>
      <c r="F166" s="121"/>
      <c r="G166" s="121"/>
      <c r="H166" s="122"/>
      <c r="I166" s="121"/>
      <c r="J166" s="121"/>
      <c r="K166" s="121"/>
      <c r="L166" s="121"/>
      <c r="M166" s="121"/>
      <c r="N166" s="130"/>
      <c r="O166" s="124" t="s">
        <v>193</v>
      </c>
      <c r="P166" s="130"/>
      <c r="Q166" s="123"/>
    </row>
    <row r="167" spans="1:17" ht="15.75" customHeight="1" x14ac:dyDescent="0.2">
      <c r="A167" t="str">
        <f>'Customer Summary'!C13</f>
        <v>Project Specific Overheads</v>
      </c>
      <c r="C167" t="s">
        <v>551</v>
      </c>
      <c r="D167" s="107">
        <f>Costing!F120</f>
        <v>0</v>
      </c>
      <c r="E167" s="107">
        <f>Costing!I120</f>
        <v>270</v>
      </c>
      <c r="F167" t="str">
        <f>Costing!G120</f>
        <v>Each</v>
      </c>
      <c r="G167" t="s">
        <v>118</v>
      </c>
      <c r="H167" s="107">
        <f>Costing!J120*100</f>
        <v>30</v>
      </c>
      <c r="I167" t="s">
        <v>111</v>
      </c>
      <c r="J167" t="s">
        <v>119</v>
      </c>
      <c r="K167" t="s">
        <v>113</v>
      </c>
      <c r="L167" t="s">
        <v>114</v>
      </c>
      <c r="M167" t="str">
        <f t="shared" si="61"/>
        <v/>
      </c>
      <c r="N167" s="129">
        <f t="shared" si="74"/>
        <v>0</v>
      </c>
      <c r="O167" s="131" t="s">
        <v>193</v>
      </c>
      <c r="P167" s="129">
        <f t="shared" ref="P167:P169" si="80">N167*(1+(H167/100))</f>
        <v>0</v>
      </c>
      <c r="Q167" s="106" t="s">
        <v>114</v>
      </c>
    </row>
    <row r="168" spans="1:17" ht="15.75" customHeight="1" x14ac:dyDescent="0.2">
      <c r="A168" t="str">
        <f>A167</f>
        <v>Project Specific Overheads</v>
      </c>
      <c r="C168" t="s">
        <v>552</v>
      </c>
      <c r="D168" s="107">
        <f>Costing!K130*Costing!K131*2</f>
        <v>78</v>
      </c>
      <c r="E168" s="107">
        <f>Costing!J139</f>
        <v>0.5</v>
      </c>
      <c r="F168" t="s">
        <v>121</v>
      </c>
      <c r="G168" t="s">
        <v>120</v>
      </c>
      <c r="H168" s="107">
        <v>0</v>
      </c>
      <c r="I168" t="s">
        <v>111</v>
      </c>
      <c r="J168" t="s">
        <v>119</v>
      </c>
      <c r="K168" t="s">
        <v>113</v>
      </c>
      <c r="L168" t="s">
        <v>114</v>
      </c>
      <c r="M168" t="str">
        <f t="shared" si="61"/>
        <v/>
      </c>
      <c r="N168" s="129">
        <f t="shared" si="74"/>
        <v>39</v>
      </c>
      <c r="O168" s="131" t="s">
        <v>193</v>
      </c>
      <c r="P168" s="129">
        <f t="shared" si="80"/>
        <v>39</v>
      </c>
      <c r="Q168" s="106" t="s">
        <v>114</v>
      </c>
    </row>
    <row r="169" spans="1:17" ht="15.75" customHeight="1" x14ac:dyDescent="0.2">
      <c r="A169" t="str">
        <f t="shared" ref="A169:A171" si="81">A168</f>
        <v>Project Specific Overheads</v>
      </c>
      <c r="C169" t="s">
        <v>553</v>
      </c>
      <c r="D169" s="107">
        <f>Costing!O125</f>
        <v>5.2</v>
      </c>
      <c r="E169" s="107">
        <f>Costing!C139</f>
        <v>30.63</v>
      </c>
      <c r="F169" t="s">
        <v>3</v>
      </c>
      <c r="G169" t="s">
        <v>120</v>
      </c>
      <c r="H169" s="107">
        <v>0</v>
      </c>
      <c r="I169" t="s">
        <v>111</v>
      </c>
      <c r="J169" t="s">
        <v>115</v>
      </c>
      <c r="K169" t="s">
        <v>113</v>
      </c>
      <c r="L169" t="s">
        <v>114</v>
      </c>
      <c r="M169" t="str">
        <f t="shared" si="61"/>
        <v/>
      </c>
      <c r="N169" s="129">
        <f t="shared" si="74"/>
        <v>159.27600000000001</v>
      </c>
      <c r="O169" s="131" t="s">
        <v>193</v>
      </c>
      <c r="P169" s="129">
        <f t="shared" si="80"/>
        <v>159.27600000000001</v>
      </c>
      <c r="Q169" s="106" t="s">
        <v>114</v>
      </c>
    </row>
    <row r="170" spans="1:17" s="125" customFormat="1" ht="48" x14ac:dyDescent="0.2">
      <c r="A170" s="125" t="str">
        <f t="shared" si="81"/>
        <v>Project Specific Overheads</v>
      </c>
      <c r="B170" s="333" t="s">
        <v>564</v>
      </c>
      <c r="C170" s="125" t="str">
        <f>_xlfn.CONCAT(A170," - Materials")</f>
        <v>Project Specific Overheads - Materials</v>
      </c>
      <c r="D170" s="126">
        <v>1</v>
      </c>
      <c r="E170" s="126">
        <f>N170</f>
        <v>39</v>
      </c>
      <c r="F170" s="125" t="s">
        <v>195</v>
      </c>
      <c r="G170" s="125" t="s">
        <v>153</v>
      </c>
      <c r="H170" s="126">
        <f>((P170-N170)/N170)*100</f>
        <v>0</v>
      </c>
      <c r="I170" s="125" t="s">
        <v>111</v>
      </c>
      <c r="J170" s="125" t="s">
        <v>112</v>
      </c>
      <c r="K170" s="125" t="s">
        <v>113</v>
      </c>
      <c r="L170" s="125" t="s">
        <v>114</v>
      </c>
      <c r="M170" s="125" t="str">
        <f t="shared" si="61"/>
        <v>Preservation Shop</v>
      </c>
      <c r="N170" s="127">
        <f>SUM(N167:N168)</f>
        <v>39</v>
      </c>
      <c r="O170" s="128" t="str">
        <f>IF(N170=0,"DELETE","LEAVE")</f>
        <v>LEAVE</v>
      </c>
      <c r="P170" s="127">
        <f>SUM(P167:P168)</f>
        <v>39</v>
      </c>
      <c r="Q170" s="128" t="s">
        <v>113</v>
      </c>
    </row>
    <row r="171" spans="1:17" s="125" customFormat="1" ht="48" x14ac:dyDescent="0.2">
      <c r="A171" s="125" t="str">
        <f t="shared" si="81"/>
        <v>Project Specific Overheads</v>
      </c>
      <c r="B171" s="333" t="s">
        <v>564</v>
      </c>
      <c r="C171" s="125" t="str">
        <f>_xlfn.CONCAT(A171," - Labour")</f>
        <v>Project Specific Overheads - Labour</v>
      </c>
      <c r="D171" s="126">
        <f>D169</f>
        <v>5.2</v>
      </c>
      <c r="E171" s="126">
        <f>E169</f>
        <v>30.63</v>
      </c>
      <c r="F171" s="125" t="str">
        <f>F169</f>
        <v>Hours</v>
      </c>
      <c r="G171" s="125" t="s">
        <v>152</v>
      </c>
      <c r="H171" s="126">
        <f>H169</f>
        <v>0</v>
      </c>
      <c r="I171" s="125" t="s">
        <v>111</v>
      </c>
      <c r="J171" s="125" t="str">
        <f>J169</f>
        <v>LBR</v>
      </c>
      <c r="K171" s="125" t="str">
        <f>K169</f>
        <v>Yes</v>
      </c>
      <c r="L171" s="125" t="s">
        <v>114</v>
      </c>
      <c r="M171" s="125" t="str">
        <f t="shared" si="61"/>
        <v/>
      </c>
      <c r="N171" s="127">
        <f>N169</f>
        <v>159.27600000000001</v>
      </c>
      <c r="O171" s="128" t="str">
        <f>IF(N171=0,"DELETE","LEAVE")</f>
        <v>LEAVE</v>
      </c>
      <c r="P171" s="127">
        <f>P169</f>
        <v>159.27600000000001</v>
      </c>
      <c r="Q171" s="128" t="s">
        <v>113</v>
      </c>
    </row>
  </sheetData>
  <sheetProtection formatRows="0" autoFilter="0"/>
  <autoFilter ref="A1:M169" xr:uid="{8F3B4B7D-5AB5-4DF4-8195-A9BF0A2E5FD5}"/>
  <dataValidations count="2">
    <dataValidation type="list" allowBlank="1" showInputMessage="1" showErrorMessage="1" sqref="Q35:Q60 Q62:Q71 Q73:Q80 Q99:Q102 Q158:Q165 Q167:Q171 Q143:Q156 Q2:Q33 Q104:Q141 Q82:Q97" xr:uid="{AB830CAF-ADD9-4367-B82A-B74D919CE25D}">
      <formula1>"No,Yes"</formula1>
    </dataValidation>
    <dataValidation type="list" allowBlank="1" showInputMessage="1" showErrorMessage="1" sqref="L2:L171" xr:uid="{6248B7D9-2E2B-4DCA-85AE-CDF7F51068EC}">
      <formula1>"Yes,No"</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E84746D-4555-47DA-9E31-5E0FD4D2223E}">
          <x14:formula1>
            <xm:f>'Data Lists'!$A$15:$A$38</xm:f>
          </x14:formula1>
          <xm:sqref>A2:B33 A167:A171 A35:B60 A70:A71 B143:B156 A99:B102 A73:A80 A158:B165 A62:B69 B73:B78 B167:B169 A104:B141 A82:B97</xm:sqref>
        </x14:dataValidation>
        <x14:dataValidation type="list" allowBlank="1" showInputMessage="1" showErrorMessage="1" xr:uid="{1D7D0D6D-DDF3-4F27-94AF-FA6DF868ED4A}">
          <x14:formula1>
            <xm:f>'Data Lists'!$A$6:$A$10</xm:f>
          </x14:formula1>
          <xm:sqref>J167:J169 J2:J31 J35:J58 J62:J69 J73:J78 J158:J163 J143:J154 J99:J100 J104:J139 J82:J95</xm:sqref>
        </x14:dataValidation>
        <x14:dataValidation type="list" allowBlank="1" showInputMessage="1" showErrorMessage="1" xr:uid="{EE3561F3-0925-4A78-8F40-37467B76568E}">
          <x14:formula1>
            <xm:f>'Data Lists'!$A$43:$A$50</xm:f>
          </x14:formula1>
          <xm:sqref>G167:G171 G99:G102 G35:G60 G62:G71 G73:G80 G158:G165 G143:G156 G2:G33 G104:G141 G82:G97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D1A5E-8CF1-4CDA-B7DA-39E4832CEA5C}">
  <sheetPr codeName="Sheet3"/>
  <dimension ref="A1:B131"/>
  <sheetViews>
    <sheetView topLeftCell="A6" workbookViewId="0">
      <selection activeCell="A25" sqref="A25"/>
    </sheetView>
  </sheetViews>
  <sheetFormatPr baseColWidth="10" defaultColWidth="9.1640625" defaultRowHeight="15" x14ac:dyDescent="0.2"/>
  <cols>
    <col min="1" max="1" width="167.5" style="4" bestFit="1" customWidth="1"/>
    <col min="2" max="2" width="60.1640625" style="4" bestFit="1" customWidth="1"/>
    <col min="3" max="16384" width="9.1640625" style="4"/>
  </cols>
  <sheetData>
    <row r="1" spans="1:2" ht="21" x14ac:dyDescent="0.25">
      <c r="A1" s="3" t="s">
        <v>122</v>
      </c>
    </row>
    <row r="2" spans="1:2" ht="16" thickBot="1" x14ac:dyDescent="0.25"/>
    <row r="3" spans="1:2" x14ac:dyDescent="0.2">
      <c r="A3" s="641" t="s">
        <v>123</v>
      </c>
      <c r="B3" s="642"/>
    </row>
    <row r="4" spans="1:2" ht="19" x14ac:dyDescent="0.25">
      <c r="A4" s="643" t="s">
        <v>124</v>
      </c>
      <c r="B4" s="644"/>
    </row>
    <row r="5" spans="1:2" x14ac:dyDescent="0.2">
      <c r="A5" s="5" t="s">
        <v>125</v>
      </c>
      <c r="B5" s="6" t="s">
        <v>126</v>
      </c>
    </row>
    <row r="6" spans="1:2" x14ac:dyDescent="0.2">
      <c r="A6" s="7" t="s">
        <v>127</v>
      </c>
      <c r="B6" s="8" t="s">
        <v>128</v>
      </c>
    </row>
    <row r="7" spans="1:2" x14ac:dyDescent="0.2">
      <c r="A7" s="7" t="s">
        <v>115</v>
      </c>
      <c r="B7" s="8" t="s">
        <v>129</v>
      </c>
    </row>
    <row r="8" spans="1:2" x14ac:dyDescent="0.2">
      <c r="A8" s="7" t="s">
        <v>112</v>
      </c>
      <c r="B8" s="8" t="s">
        <v>130</v>
      </c>
    </row>
    <row r="9" spans="1:2" x14ac:dyDescent="0.2">
      <c r="A9" s="7" t="s">
        <v>119</v>
      </c>
      <c r="B9" s="8" t="s">
        <v>131</v>
      </c>
    </row>
    <row r="10" spans="1:2" ht="16" thickBot="1" x14ac:dyDescent="0.25">
      <c r="A10" s="9" t="s">
        <v>132</v>
      </c>
      <c r="B10" s="10" t="s">
        <v>133</v>
      </c>
    </row>
    <row r="11" spans="1:2" ht="16" thickBot="1" x14ac:dyDescent="0.25"/>
    <row r="12" spans="1:2" x14ac:dyDescent="0.2">
      <c r="A12" s="641" t="s">
        <v>134</v>
      </c>
      <c r="B12" s="642"/>
    </row>
    <row r="13" spans="1:2" ht="19" x14ac:dyDescent="0.25">
      <c r="A13" s="643" t="s">
        <v>135</v>
      </c>
      <c r="B13" s="644"/>
    </row>
    <row r="14" spans="1:2" x14ac:dyDescent="0.2">
      <c r="A14" s="5" t="s">
        <v>125</v>
      </c>
      <c r="B14" s="6" t="s">
        <v>126</v>
      </c>
    </row>
    <row r="15" spans="1:2" x14ac:dyDescent="0.2">
      <c r="A15" s="7" t="s">
        <v>522</v>
      </c>
      <c r="B15" s="8" t="s">
        <v>136</v>
      </c>
    </row>
    <row r="16" spans="1:2" x14ac:dyDescent="0.2">
      <c r="A16" s="7" t="s">
        <v>216</v>
      </c>
      <c r="B16" s="8" t="s">
        <v>136</v>
      </c>
    </row>
    <row r="17" spans="1:2" x14ac:dyDescent="0.2">
      <c r="A17" s="7" t="s">
        <v>25</v>
      </c>
      <c r="B17" s="8" t="s">
        <v>136</v>
      </c>
    </row>
    <row r="18" spans="1:2" x14ac:dyDescent="0.2">
      <c r="A18" s="7" t="s">
        <v>42</v>
      </c>
      <c r="B18" s="8" t="s">
        <v>136</v>
      </c>
    </row>
    <row r="19" spans="1:2" x14ac:dyDescent="0.2">
      <c r="A19" s="7" t="s">
        <v>433</v>
      </c>
      <c r="B19" s="8" t="s">
        <v>136</v>
      </c>
    </row>
    <row r="20" spans="1:2" x14ac:dyDescent="0.2">
      <c r="A20" s="7" t="s">
        <v>426</v>
      </c>
      <c r="B20" s="8" t="s">
        <v>136</v>
      </c>
    </row>
    <row r="21" spans="1:2" x14ac:dyDescent="0.2">
      <c r="A21" s="7" t="s">
        <v>116</v>
      </c>
      <c r="B21" s="8" t="s">
        <v>136</v>
      </c>
    </row>
    <row r="22" spans="1:2" x14ac:dyDescent="0.2">
      <c r="A22" s="7" t="s">
        <v>117</v>
      </c>
      <c r="B22" s="8" t="s">
        <v>136</v>
      </c>
    </row>
    <row r="23" spans="1:2" x14ac:dyDescent="0.2">
      <c r="A23" s="7" t="s">
        <v>89</v>
      </c>
      <c r="B23" s="8" t="s">
        <v>136</v>
      </c>
    </row>
    <row r="24" spans="1:2" x14ac:dyDescent="0.2">
      <c r="A24" s="7" t="s">
        <v>521</v>
      </c>
      <c r="B24" s="8" t="s">
        <v>136</v>
      </c>
    </row>
    <row r="25" spans="1:2" x14ac:dyDescent="0.2">
      <c r="A25" s="7"/>
      <c r="B25" s="8"/>
    </row>
    <row r="26" spans="1:2" x14ac:dyDescent="0.2">
      <c r="A26" s="7"/>
      <c r="B26" s="8"/>
    </row>
    <row r="27" spans="1:2" x14ac:dyDescent="0.2">
      <c r="A27" s="7"/>
      <c r="B27" s="8"/>
    </row>
    <row r="28" spans="1:2" x14ac:dyDescent="0.2">
      <c r="A28" s="7"/>
      <c r="B28" s="8"/>
    </row>
    <row r="29" spans="1:2" x14ac:dyDescent="0.2">
      <c r="A29" s="7"/>
      <c r="B29" s="8"/>
    </row>
    <row r="30" spans="1:2" x14ac:dyDescent="0.2">
      <c r="A30" s="7"/>
      <c r="B30" s="8"/>
    </row>
    <row r="31" spans="1:2" x14ac:dyDescent="0.2">
      <c r="A31" s="7"/>
      <c r="B31" s="8"/>
    </row>
    <row r="32" spans="1:2" x14ac:dyDescent="0.2">
      <c r="A32" s="7"/>
      <c r="B32" s="8"/>
    </row>
    <row r="33" spans="1:2" x14ac:dyDescent="0.2">
      <c r="A33" s="7"/>
      <c r="B33" s="8"/>
    </row>
    <row r="34" spans="1:2" x14ac:dyDescent="0.2">
      <c r="A34" s="7"/>
      <c r="B34" s="8"/>
    </row>
    <row r="35" spans="1:2" x14ac:dyDescent="0.2">
      <c r="A35" s="7"/>
      <c r="B35" s="8"/>
    </row>
    <row r="36" spans="1:2" x14ac:dyDescent="0.2">
      <c r="A36" s="7"/>
      <c r="B36" s="8"/>
    </row>
    <row r="37" spans="1:2" x14ac:dyDescent="0.2">
      <c r="A37" s="7"/>
      <c r="B37" s="8"/>
    </row>
    <row r="38" spans="1:2" ht="16" thickBot="1" x14ac:dyDescent="0.25">
      <c r="A38" s="9"/>
      <c r="B38" s="10"/>
    </row>
    <row r="39" spans="1:2" ht="16" thickBot="1" x14ac:dyDescent="0.25"/>
    <row r="40" spans="1:2" x14ac:dyDescent="0.2">
      <c r="A40" s="641" t="s">
        <v>137</v>
      </c>
      <c r="B40" s="642"/>
    </row>
    <row r="41" spans="1:2" ht="19" x14ac:dyDescent="0.25">
      <c r="A41" s="643" t="s">
        <v>138</v>
      </c>
      <c r="B41" s="644"/>
    </row>
    <row r="42" spans="1:2" x14ac:dyDescent="0.2">
      <c r="A42" s="5" t="s">
        <v>125</v>
      </c>
      <c r="B42" s="6" t="s">
        <v>126</v>
      </c>
    </row>
    <row r="43" spans="1:2" x14ac:dyDescent="0.2">
      <c r="A43" s="7" t="s">
        <v>151</v>
      </c>
      <c r="B43" s="8" t="s">
        <v>136</v>
      </c>
    </row>
    <row r="44" spans="1:2" x14ac:dyDescent="0.2">
      <c r="A44" s="7" t="s">
        <v>152</v>
      </c>
      <c r="B44" s="8" t="s">
        <v>136</v>
      </c>
    </row>
    <row r="45" spans="1:2" x14ac:dyDescent="0.2">
      <c r="A45" s="7" t="s">
        <v>153</v>
      </c>
      <c r="B45" s="8" t="s">
        <v>136</v>
      </c>
    </row>
    <row r="46" spans="1:2" x14ac:dyDescent="0.2">
      <c r="A46" s="7" t="s">
        <v>154</v>
      </c>
      <c r="B46" s="8" t="s">
        <v>136</v>
      </c>
    </row>
    <row r="47" spans="1:2" x14ac:dyDescent="0.2">
      <c r="A47" s="11" t="s">
        <v>155</v>
      </c>
      <c r="B47" s="8" t="s">
        <v>136</v>
      </c>
    </row>
    <row r="48" spans="1:2" x14ac:dyDescent="0.2">
      <c r="A48" s="11" t="s">
        <v>120</v>
      </c>
      <c r="B48" s="8" t="s">
        <v>136</v>
      </c>
    </row>
    <row r="49" spans="1:2" x14ac:dyDescent="0.2">
      <c r="A49" s="11" t="s">
        <v>118</v>
      </c>
      <c r="B49" s="8" t="s">
        <v>136</v>
      </c>
    </row>
    <row r="50" spans="1:2" ht="16" thickBot="1" x14ac:dyDescent="0.25">
      <c r="A50" s="9"/>
      <c r="B50" s="10"/>
    </row>
    <row r="51" spans="1:2" ht="16" thickBot="1" x14ac:dyDescent="0.25"/>
    <row r="52" spans="1:2" x14ac:dyDescent="0.2">
      <c r="A52" s="641" t="s">
        <v>139</v>
      </c>
      <c r="B52" s="642"/>
    </row>
    <row r="53" spans="1:2" ht="19" x14ac:dyDescent="0.25">
      <c r="A53" s="643" t="s">
        <v>140</v>
      </c>
      <c r="B53" s="644"/>
    </row>
    <row r="54" spans="1:2" x14ac:dyDescent="0.2">
      <c r="A54" s="5" t="s">
        <v>125</v>
      </c>
      <c r="B54" s="6" t="s">
        <v>126</v>
      </c>
    </row>
    <row r="55" spans="1:2" x14ac:dyDescent="0.2">
      <c r="A55" s="7" t="s">
        <v>141</v>
      </c>
      <c r="B55" s="8" t="s">
        <v>136</v>
      </c>
    </row>
    <row r="56" spans="1:2" x14ac:dyDescent="0.2">
      <c r="A56" s="7" t="s">
        <v>142</v>
      </c>
      <c r="B56" s="8" t="s">
        <v>136</v>
      </c>
    </row>
    <row r="57" spans="1:2" x14ac:dyDescent="0.2">
      <c r="A57" s="7" t="s">
        <v>143</v>
      </c>
      <c r="B57" s="8" t="s">
        <v>136</v>
      </c>
    </row>
    <row r="58" spans="1:2" x14ac:dyDescent="0.2">
      <c r="A58" s="7" t="s">
        <v>3</v>
      </c>
      <c r="B58" s="8" t="s">
        <v>136</v>
      </c>
    </row>
    <row r="59" spans="1:2" x14ac:dyDescent="0.2">
      <c r="A59" s="11" t="s">
        <v>144</v>
      </c>
      <c r="B59" s="8" t="s">
        <v>136</v>
      </c>
    </row>
    <row r="60" spans="1:2" x14ac:dyDescent="0.2">
      <c r="A60" s="11" t="s">
        <v>121</v>
      </c>
      <c r="B60" s="8" t="s">
        <v>136</v>
      </c>
    </row>
    <row r="61" spans="1:2" x14ac:dyDescent="0.2">
      <c r="A61" s="11" t="s">
        <v>145</v>
      </c>
      <c r="B61" s="12" t="s">
        <v>136</v>
      </c>
    </row>
    <row r="62" spans="1:2" x14ac:dyDescent="0.2">
      <c r="A62" s="11" t="s">
        <v>146</v>
      </c>
      <c r="B62" s="12" t="s">
        <v>136</v>
      </c>
    </row>
    <row r="63" spans="1:2" ht="16" thickBot="1" x14ac:dyDescent="0.25">
      <c r="A63" s="9"/>
      <c r="B63" s="10"/>
    </row>
    <row r="64" spans="1:2" ht="16" thickBot="1" x14ac:dyDescent="0.25"/>
    <row r="65" spans="1:2" x14ac:dyDescent="0.2">
      <c r="A65" s="639" t="s">
        <v>164</v>
      </c>
      <c r="B65" s="640"/>
    </row>
    <row r="66" spans="1:2" x14ac:dyDescent="0.2">
      <c r="A66" s="7" t="s">
        <v>165</v>
      </c>
      <c r="B66" s="8" t="s">
        <v>168</v>
      </c>
    </row>
    <row r="67" spans="1:2" x14ac:dyDescent="0.2">
      <c r="A67" s="7" t="s">
        <v>166</v>
      </c>
      <c r="B67" s="100" t="s">
        <v>596</v>
      </c>
    </row>
    <row r="68" spans="1:2" ht="16" thickBot="1" x14ac:dyDescent="0.25">
      <c r="A68" s="9" t="s">
        <v>167</v>
      </c>
      <c r="B68" s="10" t="str">
        <f>CONCATENATE(B66,B67)</f>
        <v>CF-Timber-10-12-25-12-36-01</v>
      </c>
    </row>
    <row r="69" spans="1:2" ht="16" thickBot="1" x14ac:dyDescent="0.25"/>
    <row r="70" spans="1:2" x14ac:dyDescent="0.2">
      <c r="A70" s="639" t="s">
        <v>370</v>
      </c>
      <c r="B70" s="640"/>
    </row>
    <row r="71" spans="1:2" x14ac:dyDescent="0.2">
      <c r="A71" s="7" t="s">
        <v>369</v>
      </c>
      <c r="B71" s="8" t="str">
        <f>CONCATENATE(Costing!E4,"-TIMBER-REPORT-",B67)</f>
        <v>MAR57NE323AN-TIMBER-REPORT-10-12-25-12-36-01</v>
      </c>
    </row>
    <row r="72" spans="1:2" x14ac:dyDescent="0.2">
      <c r="A72" s="7" t="s">
        <v>368</v>
      </c>
      <c r="B72" s="8" t="str">
        <f>CONCATENATE(Costing!E4,"-ACCESS-EMAIL-",B67)</f>
        <v>MAR57NE323AN-ACCESS-EMAIL-10-12-25-12-36-01</v>
      </c>
    </row>
    <row r="73" spans="1:2" ht="16" thickBot="1" x14ac:dyDescent="0.25">
      <c r="A73" s="9" t="s">
        <v>482</v>
      </c>
      <c r="B73" s="10" t="str">
        <f>CONCATENATE(Costing!E4,"-PARTY-WALL-LETTER-",B67)</f>
        <v>MAR57NE323AN-PARTY-WALL-LETTER-10-12-25-12-36-01</v>
      </c>
    </row>
    <row r="74" spans="1:2" ht="16" thickBot="1" x14ac:dyDescent="0.25"/>
    <row r="75" spans="1:2" x14ac:dyDescent="0.2">
      <c r="A75" s="292" t="s">
        <v>495</v>
      </c>
    </row>
    <row r="76" spans="1:2" x14ac:dyDescent="0.2">
      <c r="A76" s="293">
        <v>-5</v>
      </c>
    </row>
    <row r="77" spans="1:2" ht="16" thickBot="1" x14ac:dyDescent="0.25">
      <c r="A77" s="294">
        <f>A76+1</f>
        <v>-4</v>
      </c>
    </row>
    <row r="78" spans="1:2" ht="16" thickBot="1" x14ac:dyDescent="0.25">
      <c r="A78" s="294">
        <f t="shared" ref="A78:A131" si="0">A77+1</f>
        <v>-3</v>
      </c>
    </row>
    <row r="79" spans="1:2" ht="16" thickBot="1" x14ac:dyDescent="0.25">
      <c r="A79" s="294">
        <f t="shared" si="0"/>
        <v>-2</v>
      </c>
    </row>
    <row r="80" spans="1:2" ht="16" thickBot="1" x14ac:dyDescent="0.25">
      <c r="A80" s="294">
        <f t="shared" si="0"/>
        <v>-1</v>
      </c>
    </row>
    <row r="81" spans="1:1" ht="16" thickBot="1" x14ac:dyDescent="0.25">
      <c r="A81" s="294">
        <f t="shared" si="0"/>
        <v>0</v>
      </c>
    </row>
    <row r="82" spans="1:1" ht="16" thickBot="1" x14ac:dyDescent="0.25">
      <c r="A82" s="294">
        <f t="shared" si="0"/>
        <v>1</v>
      </c>
    </row>
    <row r="83" spans="1:1" ht="16" thickBot="1" x14ac:dyDescent="0.25">
      <c r="A83" s="294">
        <f t="shared" si="0"/>
        <v>2</v>
      </c>
    </row>
    <row r="84" spans="1:1" ht="16" thickBot="1" x14ac:dyDescent="0.25">
      <c r="A84" s="294">
        <f t="shared" si="0"/>
        <v>3</v>
      </c>
    </row>
    <row r="85" spans="1:1" ht="16" thickBot="1" x14ac:dyDescent="0.25">
      <c r="A85" s="294">
        <f t="shared" si="0"/>
        <v>4</v>
      </c>
    </row>
    <row r="86" spans="1:1" ht="16" thickBot="1" x14ac:dyDescent="0.25">
      <c r="A86" s="294">
        <f t="shared" si="0"/>
        <v>5</v>
      </c>
    </row>
    <row r="87" spans="1:1" ht="16" thickBot="1" x14ac:dyDescent="0.25">
      <c r="A87" s="294">
        <f t="shared" si="0"/>
        <v>6</v>
      </c>
    </row>
    <row r="88" spans="1:1" ht="16" thickBot="1" x14ac:dyDescent="0.25">
      <c r="A88" s="294">
        <f t="shared" si="0"/>
        <v>7</v>
      </c>
    </row>
    <row r="89" spans="1:1" ht="16" thickBot="1" x14ac:dyDescent="0.25">
      <c r="A89" s="294">
        <f t="shared" si="0"/>
        <v>8</v>
      </c>
    </row>
    <row r="90" spans="1:1" ht="16" thickBot="1" x14ac:dyDescent="0.25">
      <c r="A90" s="294">
        <f t="shared" si="0"/>
        <v>9</v>
      </c>
    </row>
    <row r="91" spans="1:1" ht="16" thickBot="1" x14ac:dyDescent="0.25">
      <c r="A91" s="294">
        <f t="shared" si="0"/>
        <v>10</v>
      </c>
    </row>
    <row r="92" spans="1:1" ht="16" thickBot="1" x14ac:dyDescent="0.25">
      <c r="A92" s="294">
        <f t="shared" si="0"/>
        <v>11</v>
      </c>
    </row>
    <row r="93" spans="1:1" ht="16" thickBot="1" x14ac:dyDescent="0.25">
      <c r="A93" s="294">
        <f t="shared" si="0"/>
        <v>12</v>
      </c>
    </row>
    <row r="94" spans="1:1" ht="16" thickBot="1" x14ac:dyDescent="0.25">
      <c r="A94" s="294">
        <f t="shared" si="0"/>
        <v>13</v>
      </c>
    </row>
    <row r="95" spans="1:1" ht="16" thickBot="1" x14ac:dyDescent="0.25">
      <c r="A95" s="294">
        <f t="shared" si="0"/>
        <v>14</v>
      </c>
    </row>
    <row r="96" spans="1:1" ht="16" thickBot="1" x14ac:dyDescent="0.25">
      <c r="A96" s="294">
        <f t="shared" si="0"/>
        <v>15</v>
      </c>
    </row>
    <row r="97" spans="1:1" ht="16" thickBot="1" x14ac:dyDescent="0.25">
      <c r="A97" s="294">
        <f t="shared" si="0"/>
        <v>16</v>
      </c>
    </row>
    <row r="98" spans="1:1" ht="16" thickBot="1" x14ac:dyDescent="0.25">
      <c r="A98" s="294">
        <f t="shared" si="0"/>
        <v>17</v>
      </c>
    </row>
    <row r="99" spans="1:1" ht="16" thickBot="1" x14ac:dyDescent="0.25">
      <c r="A99" s="294">
        <f t="shared" si="0"/>
        <v>18</v>
      </c>
    </row>
    <row r="100" spans="1:1" ht="16" thickBot="1" x14ac:dyDescent="0.25">
      <c r="A100" s="294">
        <f t="shared" si="0"/>
        <v>19</v>
      </c>
    </row>
    <row r="101" spans="1:1" ht="16" thickBot="1" x14ac:dyDescent="0.25">
      <c r="A101" s="294">
        <f t="shared" si="0"/>
        <v>20</v>
      </c>
    </row>
    <row r="102" spans="1:1" ht="16" thickBot="1" x14ac:dyDescent="0.25">
      <c r="A102" s="294">
        <f t="shared" si="0"/>
        <v>21</v>
      </c>
    </row>
    <row r="103" spans="1:1" ht="16" thickBot="1" x14ac:dyDescent="0.25">
      <c r="A103" s="294">
        <f t="shared" si="0"/>
        <v>22</v>
      </c>
    </row>
    <row r="104" spans="1:1" ht="16" thickBot="1" x14ac:dyDescent="0.25">
      <c r="A104" s="294">
        <f t="shared" si="0"/>
        <v>23</v>
      </c>
    </row>
    <row r="105" spans="1:1" ht="16" thickBot="1" x14ac:dyDescent="0.25">
      <c r="A105" s="294">
        <f t="shared" si="0"/>
        <v>24</v>
      </c>
    </row>
    <row r="106" spans="1:1" ht="16" thickBot="1" x14ac:dyDescent="0.25">
      <c r="A106" s="294">
        <f t="shared" si="0"/>
        <v>25</v>
      </c>
    </row>
    <row r="107" spans="1:1" ht="16" thickBot="1" x14ac:dyDescent="0.25">
      <c r="A107" s="294">
        <f t="shared" si="0"/>
        <v>26</v>
      </c>
    </row>
    <row r="108" spans="1:1" ht="16" thickBot="1" x14ac:dyDescent="0.25">
      <c r="A108" s="294">
        <f t="shared" si="0"/>
        <v>27</v>
      </c>
    </row>
    <row r="109" spans="1:1" ht="16" thickBot="1" x14ac:dyDescent="0.25">
      <c r="A109" s="294">
        <f t="shared" si="0"/>
        <v>28</v>
      </c>
    </row>
    <row r="110" spans="1:1" ht="16" thickBot="1" x14ac:dyDescent="0.25">
      <c r="A110" s="294">
        <f t="shared" si="0"/>
        <v>29</v>
      </c>
    </row>
    <row r="111" spans="1:1" ht="16" thickBot="1" x14ac:dyDescent="0.25">
      <c r="A111" s="294">
        <f t="shared" si="0"/>
        <v>30</v>
      </c>
    </row>
    <row r="112" spans="1:1" ht="16" thickBot="1" x14ac:dyDescent="0.25">
      <c r="A112" s="294">
        <f t="shared" si="0"/>
        <v>31</v>
      </c>
    </row>
    <row r="113" spans="1:1" ht="16" thickBot="1" x14ac:dyDescent="0.25">
      <c r="A113" s="294">
        <f t="shared" si="0"/>
        <v>32</v>
      </c>
    </row>
    <row r="114" spans="1:1" ht="16" thickBot="1" x14ac:dyDescent="0.25">
      <c r="A114" s="294">
        <f t="shared" si="0"/>
        <v>33</v>
      </c>
    </row>
    <row r="115" spans="1:1" ht="16" thickBot="1" x14ac:dyDescent="0.25">
      <c r="A115" s="294">
        <f t="shared" si="0"/>
        <v>34</v>
      </c>
    </row>
    <row r="116" spans="1:1" ht="16" thickBot="1" x14ac:dyDescent="0.25">
      <c r="A116" s="294">
        <f t="shared" si="0"/>
        <v>35</v>
      </c>
    </row>
    <row r="117" spans="1:1" ht="16" thickBot="1" x14ac:dyDescent="0.25">
      <c r="A117" s="294">
        <f t="shared" si="0"/>
        <v>36</v>
      </c>
    </row>
    <row r="118" spans="1:1" ht="16" thickBot="1" x14ac:dyDescent="0.25">
      <c r="A118" s="294">
        <f t="shared" si="0"/>
        <v>37</v>
      </c>
    </row>
    <row r="119" spans="1:1" ht="16" thickBot="1" x14ac:dyDescent="0.25">
      <c r="A119" s="294">
        <f t="shared" si="0"/>
        <v>38</v>
      </c>
    </row>
    <row r="120" spans="1:1" ht="16" thickBot="1" x14ac:dyDescent="0.25">
      <c r="A120" s="294">
        <f t="shared" si="0"/>
        <v>39</v>
      </c>
    </row>
    <row r="121" spans="1:1" ht="16" thickBot="1" x14ac:dyDescent="0.25">
      <c r="A121" s="294">
        <f t="shared" si="0"/>
        <v>40</v>
      </c>
    </row>
    <row r="122" spans="1:1" ht="16" thickBot="1" x14ac:dyDescent="0.25">
      <c r="A122" s="294">
        <f t="shared" si="0"/>
        <v>41</v>
      </c>
    </row>
    <row r="123" spans="1:1" ht="16" thickBot="1" x14ac:dyDescent="0.25">
      <c r="A123" s="294">
        <f t="shared" si="0"/>
        <v>42</v>
      </c>
    </row>
    <row r="124" spans="1:1" ht="16" thickBot="1" x14ac:dyDescent="0.25">
      <c r="A124" s="294">
        <f t="shared" si="0"/>
        <v>43</v>
      </c>
    </row>
    <row r="125" spans="1:1" ht="16" thickBot="1" x14ac:dyDescent="0.25">
      <c r="A125" s="294">
        <f t="shared" si="0"/>
        <v>44</v>
      </c>
    </row>
    <row r="126" spans="1:1" ht="16" thickBot="1" x14ac:dyDescent="0.25">
      <c r="A126" s="294">
        <f t="shared" si="0"/>
        <v>45</v>
      </c>
    </row>
    <row r="127" spans="1:1" ht="16" thickBot="1" x14ac:dyDescent="0.25">
      <c r="A127" s="294">
        <f t="shared" si="0"/>
        <v>46</v>
      </c>
    </row>
    <row r="128" spans="1:1" ht="16" thickBot="1" x14ac:dyDescent="0.25">
      <c r="A128" s="294">
        <f t="shared" si="0"/>
        <v>47</v>
      </c>
    </row>
    <row r="129" spans="1:1" ht="16" thickBot="1" x14ac:dyDescent="0.25">
      <c r="A129" s="294">
        <f t="shared" si="0"/>
        <v>48</v>
      </c>
    </row>
    <row r="130" spans="1:1" ht="16" thickBot="1" x14ac:dyDescent="0.25">
      <c r="A130" s="294">
        <f t="shared" si="0"/>
        <v>49</v>
      </c>
    </row>
    <row r="131" spans="1:1" ht="16" thickBot="1" x14ac:dyDescent="0.25">
      <c r="A131" s="294">
        <f t="shared" si="0"/>
        <v>50</v>
      </c>
    </row>
  </sheetData>
  <sheetProtection formatRows="0" autoFilter="0"/>
  <mergeCells count="10">
    <mergeCell ref="A70:B70"/>
    <mergeCell ref="A65:B65"/>
    <mergeCell ref="A52:B52"/>
    <mergeCell ref="A53:B53"/>
    <mergeCell ref="A3:B3"/>
    <mergeCell ref="A4:B4"/>
    <mergeCell ref="A12:B12"/>
    <mergeCell ref="A13:B13"/>
    <mergeCell ref="A40:B40"/>
    <mergeCell ref="A41:B4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BC42E-3376-4713-BB34-E241C862A77E}">
  <sheetPr codeName="Sheet8"/>
  <dimension ref="A1:B1"/>
  <sheetViews>
    <sheetView workbookViewId="0">
      <selection activeCell="H22" sqref="H22"/>
    </sheetView>
  </sheetViews>
  <sheetFormatPr baseColWidth="10" defaultColWidth="8.83203125" defaultRowHeight="15" x14ac:dyDescent="0.2"/>
  <sheetData>
    <row r="1" spans="1:2" ht="176" x14ac:dyDescent="0.2">
      <c r="A1" s="193" t="s">
        <v>414</v>
      </c>
      <c r="B1" s="114">
        <f>Report!AI912</f>
        <v>1</v>
      </c>
    </row>
  </sheetData>
  <sheetProtection formatRows="0"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F37E8-FE41-4352-BEBC-DEA8A9D27885}">
  <sheetPr codeName="Sheet9"/>
  <dimension ref="A1:F14"/>
  <sheetViews>
    <sheetView workbookViewId="0">
      <selection activeCell="B28" sqref="B28"/>
    </sheetView>
  </sheetViews>
  <sheetFormatPr baseColWidth="10" defaultColWidth="9.1640625" defaultRowHeight="15" x14ac:dyDescent="0.2"/>
  <cols>
    <col min="1" max="1" width="9.1640625" style="4"/>
    <col min="2" max="2" width="56.5" style="4" bestFit="1" customWidth="1"/>
    <col min="3" max="3" width="18.83203125" style="4" bestFit="1" customWidth="1"/>
    <col min="4" max="4" width="9.5" style="4" bestFit="1" customWidth="1"/>
    <col min="5" max="6" width="10.5" style="4" customWidth="1"/>
    <col min="7" max="16384" width="9.1640625" style="4"/>
  </cols>
  <sheetData>
    <row r="1" spans="1:6" x14ac:dyDescent="0.2">
      <c r="A1" s="195" t="s">
        <v>408</v>
      </c>
    </row>
    <row r="5" spans="1:6" s="194" customFormat="1" ht="36" customHeight="1" x14ac:dyDescent="0.2">
      <c r="A5" s="193" t="s">
        <v>409</v>
      </c>
      <c r="B5" s="193" t="s">
        <v>410</v>
      </c>
      <c r="C5" s="193" t="s">
        <v>411</v>
      </c>
      <c r="D5" s="192" t="s">
        <v>412</v>
      </c>
      <c r="E5" s="192" t="s">
        <v>413</v>
      </c>
      <c r="F5" s="192" t="s">
        <v>461</v>
      </c>
    </row>
    <row r="6" spans="1:6" x14ac:dyDescent="0.2">
      <c r="A6" s="191">
        <v>2</v>
      </c>
      <c r="B6" s="114" t="str" cm="1">
        <f t="array" aca="1" ref="B6" ca="1">CELL("address",Report!Y244)</f>
        <v>'[Copy of Timber Costing v33 - CF - 131125.xlsm]Report'!$Y$244</v>
      </c>
      <c r="C6" s="191" t="str">
        <f ca="1">SUBSTITUTE(RIGHT(B6,6),"$","")</f>
        <v>Y244</v>
      </c>
      <c r="D6" s="191" t="str">
        <f ca="1">CONCATENATE("Y",SUBSTITUTE(C6,"Y","")+1)</f>
        <v>Y245</v>
      </c>
      <c r="E6" s="191" t="str">
        <f ca="1">CONCATENATE("Y",SUBSTITUTE(C6,"Y","")+61)</f>
        <v>Y305</v>
      </c>
      <c r="F6" s="191" t="str">
        <f ca="1">CONCATENATE(D6,":",E6)</f>
        <v>Y245:Y305</v>
      </c>
    </row>
    <row r="7" spans="1:6" x14ac:dyDescent="0.2">
      <c r="A7" s="191">
        <f>A6+1</f>
        <v>3</v>
      </c>
      <c r="B7" s="114" t="str" cm="1">
        <f t="array" aca="1" ref="B7" ca="1">CELL("address",Report!Y305)</f>
        <v>'[Copy of Timber Costing v33 - CF - 131125.xlsm]Report'!$Y$305</v>
      </c>
      <c r="C7" s="191" t="str">
        <f t="shared" ref="C7:C14" ca="1" si="0">SUBSTITUTE(RIGHT(B7,6),"$","")</f>
        <v>Y305</v>
      </c>
      <c r="D7" s="191" t="str">
        <f t="shared" ref="D7:D14" ca="1" si="1">CONCATENATE("Y",SUBSTITUTE(C7,"Y","")+1)</f>
        <v>Y306</v>
      </c>
      <c r="E7" s="191" t="str">
        <f t="shared" ref="E7:E13" ca="1" si="2">CONCATENATE("Y",SUBSTITUTE(C7,"Y","")+61)</f>
        <v>Y366</v>
      </c>
      <c r="F7" s="191" t="str">
        <f t="shared" ref="F7:F14" ca="1" si="3">CONCATENATE(D7,":",E7)</f>
        <v>Y306:Y366</v>
      </c>
    </row>
    <row r="8" spans="1:6" x14ac:dyDescent="0.2">
      <c r="A8" s="191">
        <f t="shared" ref="A8:A14" si="4">A7+1</f>
        <v>4</v>
      </c>
      <c r="B8" s="114" t="str" cm="1">
        <f t="array" aca="1" ref="B8" ca="1">CELL("address",Report!Y366)</f>
        <v>'[Copy of Timber Costing v33 - CF - 131125.xlsm]Report'!$Y$366</v>
      </c>
      <c r="C8" s="191" t="str">
        <f t="shared" ca="1" si="0"/>
        <v>Y366</v>
      </c>
      <c r="D8" s="191" t="str">
        <f t="shared" ca="1" si="1"/>
        <v>Y367</v>
      </c>
      <c r="E8" s="191" t="str">
        <f t="shared" ca="1" si="2"/>
        <v>Y427</v>
      </c>
      <c r="F8" s="191" t="str">
        <f t="shared" ca="1" si="3"/>
        <v>Y367:Y427</v>
      </c>
    </row>
    <row r="9" spans="1:6" x14ac:dyDescent="0.2">
      <c r="A9" s="191">
        <f t="shared" si="4"/>
        <v>5</v>
      </c>
      <c r="B9" s="114" t="str" cm="1">
        <f t="array" aca="1" ref="B9" ca="1">CELL("address",Report!Y427)</f>
        <v>'[Copy of Timber Costing v33 - CF - 131125.xlsm]Report'!$Y$427</v>
      </c>
      <c r="C9" s="191" t="str">
        <f t="shared" ca="1" si="0"/>
        <v>Y427</v>
      </c>
      <c r="D9" s="191" t="str">
        <f t="shared" ca="1" si="1"/>
        <v>Y428</v>
      </c>
      <c r="E9" s="191" t="str">
        <f t="shared" ca="1" si="2"/>
        <v>Y488</v>
      </c>
      <c r="F9" s="191" t="str">
        <f t="shared" ca="1" si="3"/>
        <v>Y428:Y488</v>
      </c>
    </row>
    <row r="10" spans="1:6" x14ac:dyDescent="0.2">
      <c r="A10" s="191">
        <f t="shared" si="4"/>
        <v>6</v>
      </c>
      <c r="B10" s="114" t="str" cm="1">
        <f t="array" aca="1" ref="B10" ca="1">CELL("address",Report!Y488)</f>
        <v>'[Copy of Timber Costing v33 - CF - 131125.xlsm]Report'!$Y$488</v>
      </c>
      <c r="C10" s="191" t="str">
        <f t="shared" ca="1" si="0"/>
        <v>Y488</v>
      </c>
      <c r="D10" s="191" t="str">
        <f t="shared" ca="1" si="1"/>
        <v>Y489</v>
      </c>
      <c r="E10" s="191" t="str">
        <f t="shared" ca="1" si="2"/>
        <v>Y549</v>
      </c>
      <c r="F10" s="191" t="str">
        <f t="shared" ca="1" si="3"/>
        <v>Y489:Y549</v>
      </c>
    </row>
    <row r="11" spans="1:6" x14ac:dyDescent="0.2">
      <c r="A11" s="191">
        <f t="shared" si="4"/>
        <v>7</v>
      </c>
      <c r="B11" s="114" t="str" cm="1">
        <f t="array" aca="1" ref="B11" ca="1">CELL("address",Report!Y549)</f>
        <v>'[Copy of Timber Costing v33 - CF - 131125.xlsm]Report'!$Y$549</v>
      </c>
      <c r="C11" s="191" t="str">
        <f t="shared" ca="1" si="0"/>
        <v>Y549</v>
      </c>
      <c r="D11" s="191" t="str">
        <f t="shared" ca="1" si="1"/>
        <v>Y550</v>
      </c>
      <c r="E11" s="191" t="str">
        <f t="shared" ca="1" si="2"/>
        <v>Y610</v>
      </c>
      <c r="F11" s="191" t="str">
        <f t="shared" ca="1" si="3"/>
        <v>Y550:Y610</v>
      </c>
    </row>
    <row r="12" spans="1:6" x14ac:dyDescent="0.2">
      <c r="A12" s="191">
        <f t="shared" si="4"/>
        <v>8</v>
      </c>
      <c r="B12" s="114" t="str" cm="1">
        <f t="array" aca="1" ref="B12" ca="1">CELL("address",Report!Y610)</f>
        <v>'[Copy of Timber Costing v33 - CF - 131125.xlsm]Report'!$Y$610</v>
      </c>
      <c r="C12" s="191" t="str">
        <f t="shared" ca="1" si="0"/>
        <v>Y610</v>
      </c>
      <c r="D12" s="191" t="str">
        <f t="shared" ca="1" si="1"/>
        <v>Y611</v>
      </c>
      <c r="E12" s="191" t="str">
        <f t="shared" ca="1" si="2"/>
        <v>Y671</v>
      </c>
      <c r="F12" s="191" t="str">
        <f t="shared" ca="1" si="3"/>
        <v>Y611:Y671</v>
      </c>
    </row>
    <row r="13" spans="1:6" x14ac:dyDescent="0.2">
      <c r="A13" s="191">
        <f t="shared" si="4"/>
        <v>9</v>
      </c>
      <c r="B13" s="114" t="str" cm="1">
        <f t="array" aca="1" ref="B13" ca="1">CELL("address",Report!Y671)</f>
        <v>'[Copy of Timber Costing v33 - CF - 131125.xlsm]Report'!$Y$671</v>
      </c>
      <c r="C13" s="191" t="str">
        <f t="shared" ca="1" si="0"/>
        <v>Y671</v>
      </c>
      <c r="D13" s="191" t="str">
        <f t="shared" ca="1" si="1"/>
        <v>Y672</v>
      </c>
      <c r="E13" s="191" t="str">
        <f t="shared" ca="1" si="2"/>
        <v>Y732</v>
      </c>
      <c r="F13" s="191" t="str">
        <f t="shared" ca="1" si="3"/>
        <v>Y672:Y732</v>
      </c>
    </row>
    <row r="14" spans="1:6" x14ac:dyDescent="0.2">
      <c r="A14" s="191">
        <f t="shared" si="4"/>
        <v>10</v>
      </c>
      <c r="B14" s="114" t="str" cm="1">
        <f t="array" aca="1" ref="B14" ca="1">CELL("address",Report!Y732)</f>
        <v>'[Copy of Timber Costing v33 - CF - 131125.xlsm]Report'!$Y$732</v>
      </c>
      <c r="C14" s="191" t="str">
        <f t="shared" ca="1" si="0"/>
        <v>Y732</v>
      </c>
      <c r="D14" s="191" t="str">
        <f t="shared" ca="1" si="1"/>
        <v>Y733</v>
      </c>
      <c r="E14" s="191" t="str">
        <f ca="1">CONCATENATE("Y",SUBSTITUTE(C14,"Y","")+60)</f>
        <v>Y792</v>
      </c>
      <c r="F14" s="191" t="str">
        <f t="shared" ca="1" si="3"/>
        <v>Y733:Y792</v>
      </c>
    </row>
  </sheetData>
  <sheetProtection formatRows="0" autoFilter="0"/>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0CB88-5188-4246-A617-2D3EF004B8F5}">
  <sheetPr codeName="Sheet5"/>
  <dimension ref="A1:D25"/>
  <sheetViews>
    <sheetView topLeftCell="A12" workbookViewId="0">
      <selection activeCell="B22" sqref="B22"/>
    </sheetView>
  </sheetViews>
  <sheetFormatPr baseColWidth="10" defaultColWidth="8.83203125" defaultRowHeight="15" x14ac:dyDescent="0.2"/>
  <cols>
    <col min="1" max="1" width="18.1640625" customWidth="1"/>
    <col min="2" max="2" width="19.1640625" style="106" customWidth="1"/>
    <col min="3" max="3" width="21.5" style="106" customWidth="1"/>
    <col min="4" max="4" width="81.5" style="106" customWidth="1"/>
  </cols>
  <sheetData>
    <row r="1" spans="1:4" ht="16" x14ac:dyDescent="0.2">
      <c r="A1" s="261" t="s">
        <v>483</v>
      </c>
      <c r="B1" s="261" t="s">
        <v>478</v>
      </c>
      <c r="C1" s="261" t="s">
        <v>487</v>
      </c>
      <c r="D1" s="262" t="s">
        <v>479</v>
      </c>
    </row>
    <row r="2" spans="1:4" ht="16" x14ac:dyDescent="0.2">
      <c r="A2" s="267">
        <v>45393</v>
      </c>
      <c r="B2" s="263">
        <v>17</v>
      </c>
      <c r="C2" s="263">
        <v>18</v>
      </c>
      <c r="D2" s="264" t="s">
        <v>484</v>
      </c>
    </row>
    <row r="3" spans="1:4" ht="16" x14ac:dyDescent="0.2">
      <c r="A3" s="267">
        <v>45393</v>
      </c>
      <c r="B3" s="263">
        <v>17</v>
      </c>
      <c r="C3" s="263">
        <v>18</v>
      </c>
      <c r="D3" s="264" t="s">
        <v>485</v>
      </c>
    </row>
    <row r="4" spans="1:4" ht="48" x14ac:dyDescent="0.2">
      <c r="A4" s="267">
        <v>45393</v>
      </c>
      <c r="B4" s="263">
        <v>17</v>
      </c>
      <c r="C4" s="263">
        <v>18</v>
      </c>
      <c r="D4" s="264" t="s">
        <v>480</v>
      </c>
    </row>
    <row r="5" spans="1:4" ht="32" x14ac:dyDescent="0.2">
      <c r="A5" s="267">
        <v>45393</v>
      </c>
      <c r="B5" s="263">
        <v>17</v>
      </c>
      <c r="C5" s="263">
        <v>18</v>
      </c>
      <c r="D5" s="264" t="s">
        <v>486</v>
      </c>
    </row>
    <row r="6" spans="1:4" x14ac:dyDescent="0.2">
      <c r="A6" s="267">
        <v>45440</v>
      </c>
      <c r="B6" s="263">
        <v>18</v>
      </c>
      <c r="C6" s="263">
        <v>19</v>
      </c>
      <c r="D6" s="265" t="s">
        <v>490</v>
      </c>
    </row>
    <row r="7" spans="1:4" ht="32" x14ac:dyDescent="0.2">
      <c r="A7" s="267">
        <v>45462</v>
      </c>
      <c r="B7" s="263">
        <v>19</v>
      </c>
      <c r="C7" s="263">
        <v>20</v>
      </c>
      <c r="D7" s="264" t="s">
        <v>498</v>
      </c>
    </row>
    <row r="8" spans="1:4" ht="32" x14ac:dyDescent="0.2">
      <c r="A8" s="267">
        <v>45540</v>
      </c>
      <c r="B8" s="263">
        <v>20</v>
      </c>
      <c r="C8" s="263">
        <v>21</v>
      </c>
      <c r="D8" s="264" t="s">
        <v>500</v>
      </c>
    </row>
    <row r="9" spans="1:4" x14ac:dyDescent="0.2">
      <c r="A9" s="267">
        <v>45546</v>
      </c>
      <c r="B9" s="263">
        <v>21</v>
      </c>
      <c r="C9" s="263">
        <v>22</v>
      </c>
      <c r="D9" s="265" t="s">
        <v>505</v>
      </c>
    </row>
    <row r="10" spans="1:4" ht="48" x14ac:dyDescent="0.2">
      <c r="A10" s="267">
        <v>45565</v>
      </c>
      <c r="B10" s="263">
        <v>22</v>
      </c>
      <c r="C10" s="263">
        <v>23</v>
      </c>
      <c r="D10" s="264" t="s">
        <v>506</v>
      </c>
    </row>
    <row r="11" spans="1:4" ht="16" x14ac:dyDescent="0.2">
      <c r="A11" s="267">
        <v>45566</v>
      </c>
      <c r="B11" s="263">
        <v>23</v>
      </c>
      <c r="C11" s="263">
        <v>24</v>
      </c>
      <c r="D11" s="264" t="s">
        <v>519</v>
      </c>
    </row>
    <row r="12" spans="1:4" ht="64" x14ac:dyDescent="0.2">
      <c r="A12" s="267">
        <v>45600</v>
      </c>
      <c r="B12" s="263">
        <v>24</v>
      </c>
      <c r="C12" s="263">
        <v>25</v>
      </c>
      <c r="D12" s="264" t="s">
        <v>520</v>
      </c>
    </row>
    <row r="13" spans="1:4" ht="64" x14ac:dyDescent="0.2">
      <c r="A13" s="267">
        <v>45646</v>
      </c>
      <c r="B13" s="263">
        <v>25</v>
      </c>
      <c r="C13" s="263">
        <v>26</v>
      </c>
      <c r="D13" s="264" t="s">
        <v>549</v>
      </c>
    </row>
    <row r="14" spans="1:4" x14ac:dyDescent="0.2">
      <c r="A14" s="267">
        <v>45646</v>
      </c>
      <c r="B14" s="263">
        <v>25</v>
      </c>
      <c r="C14" s="263">
        <v>26</v>
      </c>
      <c r="D14" s="265" t="s">
        <v>548</v>
      </c>
    </row>
    <row r="15" spans="1:4" ht="36.75" customHeight="1" x14ac:dyDescent="0.2">
      <c r="A15" s="267">
        <v>45646</v>
      </c>
      <c r="B15" s="263">
        <v>25</v>
      </c>
      <c r="C15" s="263">
        <v>26</v>
      </c>
      <c r="D15" s="264" t="s">
        <v>550</v>
      </c>
    </row>
    <row r="16" spans="1:4" ht="64" x14ac:dyDescent="0.2">
      <c r="A16" s="267">
        <v>45674</v>
      </c>
      <c r="B16" s="263">
        <v>26</v>
      </c>
      <c r="C16" s="263">
        <v>27</v>
      </c>
      <c r="D16" s="264" t="s">
        <v>555</v>
      </c>
    </row>
    <row r="17" spans="1:4" ht="48" x14ac:dyDescent="0.2">
      <c r="A17" s="267">
        <v>45684</v>
      </c>
      <c r="B17" s="263">
        <v>27</v>
      </c>
      <c r="C17" s="263">
        <v>28</v>
      </c>
      <c r="D17" s="264" t="s">
        <v>560</v>
      </c>
    </row>
    <row r="18" spans="1:4" x14ac:dyDescent="0.2">
      <c r="A18" s="267">
        <v>45698</v>
      </c>
      <c r="B18" s="263">
        <v>28</v>
      </c>
      <c r="C18" s="263">
        <v>29</v>
      </c>
      <c r="D18" s="265" t="s">
        <v>561</v>
      </c>
    </row>
    <row r="19" spans="1:4" ht="48" x14ac:dyDescent="0.2">
      <c r="A19" s="267">
        <v>45814</v>
      </c>
      <c r="B19" s="263">
        <v>29</v>
      </c>
      <c r="C19" s="263">
        <v>30</v>
      </c>
      <c r="D19" s="366" t="s">
        <v>571</v>
      </c>
    </row>
    <row r="20" spans="1:4" x14ac:dyDescent="0.2">
      <c r="A20" s="267">
        <v>45926</v>
      </c>
      <c r="B20" s="263">
        <v>30</v>
      </c>
      <c r="C20" s="263">
        <v>31</v>
      </c>
      <c r="D20" s="265" t="s">
        <v>578</v>
      </c>
    </row>
    <row r="21" spans="1:4" ht="32" x14ac:dyDescent="0.2">
      <c r="A21" s="267">
        <v>45932</v>
      </c>
      <c r="B21" s="263">
        <v>31</v>
      </c>
      <c r="C21" s="263">
        <v>32</v>
      </c>
      <c r="D21" s="264" t="s">
        <v>580</v>
      </c>
    </row>
    <row r="22" spans="1:4" x14ac:dyDescent="0.2">
      <c r="A22" s="267">
        <v>45974</v>
      </c>
      <c r="B22" s="263">
        <v>32</v>
      </c>
      <c r="C22" s="263">
        <v>33</v>
      </c>
      <c r="D22" s="265" t="s">
        <v>581</v>
      </c>
    </row>
    <row r="23" spans="1:4" x14ac:dyDescent="0.2">
      <c r="A23" s="267"/>
      <c r="B23" s="263"/>
      <c r="C23" s="263"/>
      <c r="D23" s="265"/>
    </row>
    <row r="24" spans="1:4" x14ac:dyDescent="0.2">
      <c r="A24" s="267"/>
      <c r="B24" s="263"/>
      <c r="C24" s="263"/>
      <c r="D24" s="265"/>
    </row>
    <row r="25" spans="1:4" x14ac:dyDescent="0.2">
      <c r="A25" s="267"/>
      <c r="B25" s="263"/>
      <c r="C25" s="263"/>
      <c r="D25" s="265"/>
    </row>
  </sheetData>
  <sheetProtection formatRows="0" autoFilter="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bd9bdd5b-38e0-4e09-b47e-ef3f4b20bf28" xsi:nil="true"/>
    <lcf76f155ced4ddcb4097134ff3c332f xmlns="e9582abf-a26e-4e53-a6af-46f4bb06cdf8">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B6DF38673946941B312351CB883F9BC" ma:contentTypeVersion="18" ma:contentTypeDescription="Create a new document." ma:contentTypeScope="" ma:versionID="19a19941dc933f0640580ee2e6743334">
  <xsd:schema xmlns:xsd="http://www.w3.org/2001/XMLSchema" xmlns:xs="http://www.w3.org/2001/XMLSchema" xmlns:p="http://schemas.microsoft.com/office/2006/metadata/properties" xmlns:ns2="e9582abf-a26e-4e53-a6af-46f4bb06cdf8" xmlns:ns3="bd9bdd5b-38e0-4e09-b47e-ef3f4b20bf28" targetNamespace="http://schemas.microsoft.com/office/2006/metadata/properties" ma:root="true" ma:fieldsID="7746776fd820f6c1c65f006dbe75bdad" ns2:_="" ns3:_="">
    <xsd:import namespace="e9582abf-a26e-4e53-a6af-46f4bb06cdf8"/>
    <xsd:import namespace="bd9bdd5b-38e0-4e09-b47e-ef3f4b20bf2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LengthInSeconds"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582abf-a26e-4e53-a6af-46f4bb06cdf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ad53797e-f00b-41fd-a370-dc3893c9aeb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d9bdd5b-38e0-4e09-b47e-ef3f4b20bf28"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df07dafa-c3d5-4c14-9778-cb27d337d034}" ma:internalName="TaxCatchAll" ma:showField="CatchAllData" ma:web="bd9bdd5b-38e0-4e09-b47e-ef3f4b20bf28">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73DDD8E-11D7-4502-9937-34BED025FA6A}">
  <ds:schemaRefs>
    <ds:schemaRef ds:uri="http://schemas.microsoft.com/sharepoint/v3/contenttype/forms"/>
  </ds:schemaRefs>
</ds:datastoreItem>
</file>

<file path=customXml/itemProps2.xml><?xml version="1.0" encoding="utf-8"?>
<ds:datastoreItem xmlns:ds="http://schemas.openxmlformats.org/officeDocument/2006/customXml" ds:itemID="{14C5401C-587F-4463-A04A-6BE2487D3F36}">
  <ds:schemaRefs>
    <ds:schemaRef ds:uri="http://schemas.microsoft.com/office/2006/metadata/properties"/>
    <ds:schemaRef ds:uri="http://schemas.microsoft.com/office/infopath/2007/PartnerControls"/>
    <ds:schemaRef ds:uri="bd9bdd5b-38e0-4e09-b47e-ef3f4b20bf28"/>
    <ds:schemaRef ds:uri="e9582abf-a26e-4e53-a6af-46f4bb06cdf8"/>
  </ds:schemaRefs>
</ds:datastoreItem>
</file>

<file path=customXml/itemProps3.xml><?xml version="1.0" encoding="utf-8"?>
<ds:datastoreItem xmlns:ds="http://schemas.openxmlformats.org/officeDocument/2006/customXml" ds:itemID="{4A44BF7C-01BD-446E-8995-5D4E93A9027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582abf-a26e-4e53-a6af-46f4bb06cdf8"/>
    <ds:schemaRef ds:uri="bd9bdd5b-38e0-4e09-b47e-ef3f4b20bf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Report</vt:lpstr>
      <vt:lpstr>Costing</vt:lpstr>
      <vt:lpstr>Customer Summary</vt:lpstr>
      <vt:lpstr>Office Notes</vt:lpstr>
      <vt:lpstr>CAF1 Form</vt:lpstr>
      <vt:lpstr>Access Email Template</vt:lpstr>
      <vt:lpstr>Party Wall Letter</vt:lpstr>
      <vt:lpstr>Sub Contractor Costs</vt:lpstr>
      <vt:lpstr>Sub Contractor Mats</vt:lpstr>
      <vt:lpstr>CF CSV Upload</vt:lpstr>
      <vt:lpstr>Data Lists</vt:lpstr>
      <vt:lpstr>Filter-Check</vt:lpstr>
      <vt:lpstr>Cell References</vt:lpstr>
      <vt:lpstr>Changes</vt:lpstr>
      <vt:lpstr>'Access Email Template'!Print_Area</vt:lpstr>
      <vt:lpstr>'Customer Summary'!Print_Area</vt:lpstr>
      <vt:lpstr>'Party Wall Letter'!Print_Area</vt:lpstr>
      <vt:lpstr>Report!Print_Area</vt:lpstr>
      <vt:lpstr>'Sub Contractor Costs'!Print_Area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Davison</dc:creator>
  <cp:lastModifiedBy>Dominic Clauzel</cp:lastModifiedBy>
  <cp:lastPrinted>2025-12-10T12:35:42Z</cp:lastPrinted>
  <dcterms:created xsi:type="dcterms:W3CDTF">2023-05-12T08:29:56Z</dcterms:created>
  <dcterms:modified xsi:type="dcterms:W3CDTF">2026-02-17T23:42:18Z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0x0101003B6DF38673946941B312351CB883F9BC</vt:lpwstr>
  </property>
  <property fmtid="{D5CDD505-2E9C-101B-9397-08002B2CF9AE}" pid="3" name="MediaServiceImageTags">
    <vt:lpwstr/>
  </property>
</Properties>
</file>