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8" codeName="{E5D1E7B1-6628-F0F0-D09B-76B25B5F3CD3}"/>
  <workbookPr codeName="ThisWorkbook" defaultThemeVersion="166925"/>
  <mc:AlternateContent xmlns:mc="http://schemas.openxmlformats.org/markup-compatibility/2006">
    <mc:Choice Requires="x15">
      <x15ac:absPath xmlns:x15ac="http://schemas.microsoft.com/office/spreadsheetml/2010/11/ac" url="/Users/dominicclauzel/Development/Tyne_Tees_Damp_Proofing/wetransfer_1-customer-details-for-linked-documents-xlsm_2026-01-30_0926/"/>
    </mc:Choice>
  </mc:AlternateContent>
  <xr:revisionPtr revIDLastSave="0" documentId="8_{BAA222E7-F9CF-504B-B4EB-5BD3AF757B23}" xr6:coauthVersionLast="47" xr6:coauthVersionMax="47" xr10:uidLastSave="{00000000-0000-0000-0000-000000000000}"/>
  <bookViews>
    <workbookView xWindow="2800" yWindow="4140" windowWidth="29260" windowHeight="14020" xr2:uid="{7B1D20A2-8231-4FBE-8D91-474C0BEE8B28}"/>
  </bookViews>
  <sheets>
    <sheet name="Report" sheetId="5" r:id="rId1"/>
    <sheet name="Costing" sheetId="1" r:id="rId2"/>
    <sheet name="Customer Summary" sheetId="4" r:id="rId3"/>
    <sheet name="Office Notes" sheetId="9" r:id="rId4"/>
    <sheet name="CAF1 Form" sheetId="12" r:id="rId5"/>
    <sheet name="Access Email Template" sheetId="6" r:id="rId6"/>
    <sheet name="Sub Contractor Costs" sheetId="10" r:id="rId7"/>
    <sheet name="CF CSV Upload" sheetId="2" r:id="rId8"/>
    <sheet name="Material-List" sheetId="13" r:id="rId9"/>
    <sheet name="Data Lists" sheetId="3" r:id="rId10"/>
    <sheet name="Changes" sheetId="7" r:id="rId11"/>
  </sheets>
  <externalReferences>
    <externalReference r:id="rId12"/>
  </externalReferences>
  <definedNames>
    <definedName name="_xlnm._FilterDatabase" localSheetId="7" hidden="1">'CF CSV Upload'!$A$1:$M$186</definedName>
    <definedName name="_xlnm._FilterDatabase" localSheetId="1" hidden="1">Costing!$A$17:$AU$17</definedName>
    <definedName name="_xlnm._FilterDatabase" localSheetId="8" hidden="1">'Material-List'!$B$10:$G$59</definedName>
    <definedName name="_xlnm._FilterDatabase" localSheetId="0" hidden="1">Report!$A$3:$AG$525</definedName>
    <definedName name="_xlnm.Print_Area" localSheetId="5">'Access Email Template'!$A$1:$I$25</definedName>
    <definedName name="_xlnm.Print_Area" localSheetId="2">'Customer Summary'!$B$2:$F$23</definedName>
    <definedName name="_xlnm.Print_Area" localSheetId="8">'Material-List'!$D$1:$G$59</definedName>
    <definedName name="_xlnm.Print_Area" localSheetId="0">Report!$D$3:$Z$525</definedName>
    <definedName name="_xlnm.Print_Area" localSheetId="6">'Sub Contractor Costs'!$B$2:$E$23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45" i="2" l="1"/>
  <c r="H145" i="2"/>
  <c r="E145" i="2"/>
  <c r="C145" i="2"/>
  <c r="A145" i="2"/>
  <c r="M137" i="2"/>
  <c r="H137" i="2"/>
  <c r="F137" i="2"/>
  <c r="E137" i="2"/>
  <c r="D137" i="2"/>
  <c r="N137" i="2" s="1"/>
  <c r="P137" i="2" s="1"/>
  <c r="C137" i="2"/>
  <c r="A137" i="2"/>
  <c r="AT106" i="1"/>
  <c r="U106" i="1"/>
  <c r="P106" i="1"/>
  <c r="Q106" i="1" s="1"/>
  <c r="O106" i="1"/>
  <c r="V106" i="1" s="1"/>
  <c r="M106" i="1"/>
  <c r="I106" i="1"/>
  <c r="K106" i="1" s="1"/>
  <c r="L181" i="2"/>
  <c r="L182" i="2" s="1"/>
  <c r="H180" i="2"/>
  <c r="H179" i="2"/>
  <c r="F179" i="2"/>
  <c r="D179" i="2"/>
  <c r="C179" i="2"/>
  <c r="A182" i="2"/>
  <c r="C182" i="2"/>
  <c r="A181" i="2"/>
  <c r="C181" i="2" s="1"/>
  <c r="A180" i="2"/>
  <c r="A179" i="2"/>
  <c r="M182" i="2"/>
  <c r="M181" i="2"/>
  <c r="M180" i="2"/>
  <c r="M179" i="2"/>
  <c r="A27" i="3"/>
  <c r="A26" i="3"/>
  <c r="E15" i="4"/>
  <c r="P132" i="1"/>
  <c r="Q132" i="1" s="1"/>
  <c r="E180" i="2" s="1"/>
  <c r="O132" i="1"/>
  <c r="D180" i="2" s="1"/>
  <c r="M132" i="1"/>
  <c r="C180" i="2" s="1"/>
  <c r="A133" i="1"/>
  <c r="AT132" i="1"/>
  <c r="I132" i="1"/>
  <c r="K132" i="1" s="1"/>
  <c r="U131" i="1"/>
  <c r="M131" i="1"/>
  <c r="A131" i="1"/>
  <c r="AF416" i="5"/>
  <c r="A432" i="5"/>
  <c r="AF431" i="5"/>
  <c r="A430" i="5"/>
  <c r="AF429" i="5"/>
  <c r="B428" i="5"/>
  <c r="B430" i="5" s="1"/>
  <c r="B431" i="5" s="1"/>
  <c r="B432" i="5" s="1"/>
  <c r="A428" i="5"/>
  <c r="A426" i="5"/>
  <c r="B425" i="5"/>
  <c r="B424" i="5"/>
  <c r="AF424" i="5" s="1"/>
  <c r="B423" i="5"/>
  <c r="AF423" i="5" s="1"/>
  <c r="A422" i="5"/>
  <c r="B421" i="5"/>
  <c r="B420" i="5"/>
  <c r="B419" i="5"/>
  <c r="B418" i="5"/>
  <c r="H25" i="2"/>
  <c r="H184" i="2"/>
  <c r="H174" i="2"/>
  <c r="H175" i="2"/>
  <c r="H170" i="2"/>
  <c r="H169" i="2"/>
  <c r="H168" i="2"/>
  <c r="H167" i="2"/>
  <c r="H163" i="2"/>
  <c r="H162" i="2"/>
  <c r="H161" i="2"/>
  <c r="H160" i="2"/>
  <c r="H156" i="2"/>
  <c r="H155" i="2"/>
  <c r="H154" i="2"/>
  <c r="H153" i="2"/>
  <c r="H152" i="2"/>
  <c r="H151" i="2"/>
  <c r="H147" i="2"/>
  <c r="H146" i="2"/>
  <c r="H144" i="2"/>
  <c r="H143" i="2"/>
  <c r="H142" i="2"/>
  <c r="H141" i="2"/>
  <c r="H140" i="2"/>
  <c r="H139" i="2"/>
  <c r="H138" i="2"/>
  <c r="H136" i="2"/>
  <c r="H135" i="2"/>
  <c r="H134" i="2"/>
  <c r="H133" i="2"/>
  <c r="H132" i="2"/>
  <c r="H131" i="2"/>
  <c r="H130" i="2"/>
  <c r="H129" i="2"/>
  <c r="H128" i="2"/>
  <c r="H127" i="2"/>
  <c r="H126" i="2"/>
  <c r="H125" i="2"/>
  <c r="H124" i="2"/>
  <c r="H123" i="2"/>
  <c r="H122" i="2"/>
  <c r="H121" i="2"/>
  <c r="H120" i="2"/>
  <c r="H119" i="2"/>
  <c r="H118" i="2"/>
  <c r="H117" i="2"/>
  <c r="H116" i="2"/>
  <c r="H115" i="2"/>
  <c r="H114" i="2"/>
  <c r="H113" i="2"/>
  <c r="H112" i="2"/>
  <c r="H111" i="2"/>
  <c r="H110" i="2"/>
  <c r="H106" i="2"/>
  <c r="H105" i="2"/>
  <c r="H101" i="2"/>
  <c r="H100" i="2"/>
  <c r="H99" i="2"/>
  <c r="H98" i="2"/>
  <c r="H97" i="2"/>
  <c r="H96" i="2"/>
  <c r="H95" i="2"/>
  <c r="H94" i="2"/>
  <c r="H93" i="2"/>
  <c r="H92" i="2"/>
  <c r="H91" i="2"/>
  <c r="H90" i="2"/>
  <c r="H89" i="2"/>
  <c r="H88" i="2"/>
  <c r="H84" i="2"/>
  <c r="H83" i="2"/>
  <c r="H82" i="2"/>
  <c r="H81" i="2"/>
  <c r="H80" i="2"/>
  <c r="H79" i="2"/>
  <c r="H78" i="2"/>
  <c r="H77" i="2"/>
  <c r="H76" i="2"/>
  <c r="H75" i="2"/>
  <c r="H71" i="2"/>
  <c r="H70" i="2"/>
  <c r="H69" i="2"/>
  <c r="H68" i="2"/>
  <c r="H67" i="2"/>
  <c r="H66" i="2"/>
  <c r="H65" i="2"/>
  <c r="H64" i="2"/>
  <c r="H63" i="2"/>
  <c r="H62" i="2"/>
  <c r="H56" i="2"/>
  <c r="H58" i="2"/>
  <c r="H57" i="2"/>
  <c r="H55" i="2"/>
  <c r="H54" i="2"/>
  <c r="H53" i="2"/>
  <c r="H52" i="2"/>
  <c r="H51" i="2"/>
  <c r="H50" i="2"/>
  <c r="H49" i="2"/>
  <c r="H48" i="2"/>
  <c r="H47" i="2"/>
  <c r="H46" i="2"/>
  <c r="H45" i="2"/>
  <c r="H44" i="2"/>
  <c r="H43" i="2"/>
  <c r="H42" i="2"/>
  <c r="H41" i="2"/>
  <c r="H40" i="2"/>
  <c r="H39" i="2"/>
  <c r="H38" i="2"/>
  <c r="H37" i="2"/>
  <c r="H36" i="2"/>
  <c r="H35" i="2"/>
  <c r="H34" i="2"/>
  <c r="H33" i="2"/>
  <c r="H32" i="2"/>
  <c r="H31" i="2"/>
  <c r="H30" i="2"/>
  <c r="H29" i="2"/>
  <c r="H24" i="2"/>
  <c r="H23" i="2"/>
  <c r="H22" i="2"/>
  <c r="H21" i="2"/>
  <c r="H20" i="2"/>
  <c r="H19" i="2"/>
  <c r="H18" i="2"/>
  <c r="H17" i="2"/>
  <c r="H16" i="2"/>
  <c r="H15" i="2"/>
  <c r="H14" i="2"/>
  <c r="H13" i="2"/>
  <c r="H12" i="2"/>
  <c r="H11" i="2"/>
  <c r="H10" i="2"/>
  <c r="H9" i="2"/>
  <c r="H8" i="2"/>
  <c r="H7" i="2"/>
  <c r="H6" i="2"/>
  <c r="H5" i="2"/>
  <c r="H4" i="2"/>
  <c r="H3" i="2"/>
  <c r="H2" i="2"/>
  <c r="E4" i="1"/>
  <c r="E7" i="1"/>
  <c r="E8" i="1"/>
  <c r="E9" i="1"/>
  <c r="E10" i="1"/>
  <c r="E11" i="1"/>
  <c r="D145" i="2" l="1"/>
  <c r="N145" i="2" s="1"/>
  <c r="P145" i="2" s="1"/>
  <c r="S106" i="1"/>
  <c r="T106" i="1" s="1"/>
  <c r="E179" i="2"/>
  <c r="N179" i="2" s="1"/>
  <c r="N180" i="2"/>
  <c r="N182" i="2" s="1"/>
  <c r="O133" i="1"/>
  <c r="S132" i="1"/>
  <c r="S133" i="1" s="1"/>
  <c r="V132" i="1"/>
  <c r="V133" i="1" s="1"/>
  <c r="D182" i="2"/>
  <c r="K133" i="1"/>
  <c r="U132" i="1"/>
  <c r="U133" i="1" s="1"/>
  <c r="AF419" i="5"/>
  <c r="AF420" i="5"/>
  <c r="AF425" i="5"/>
  <c r="AF418" i="5"/>
  <c r="AF421" i="5"/>
  <c r="M144" i="2"/>
  <c r="A144" i="2"/>
  <c r="M136" i="2"/>
  <c r="F136" i="2"/>
  <c r="D136" i="2"/>
  <c r="C136" i="2"/>
  <c r="A136" i="2"/>
  <c r="I105" i="1"/>
  <c r="K105" i="1" s="1"/>
  <c r="I101" i="1"/>
  <c r="K101" i="1" s="1"/>
  <c r="AT105" i="1"/>
  <c r="U105" i="1"/>
  <c r="P105" i="1"/>
  <c r="Q105" i="1" s="1"/>
  <c r="E144" i="2" s="1"/>
  <c r="O105" i="1"/>
  <c r="V105" i="1" s="1"/>
  <c r="M105" i="1"/>
  <c r="C144" i="2" s="1"/>
  <c r="M143" i="2"/>
  <c r="A143" i="2"/>
  <c r="M135" i="2"/>
  <c r="F135" i="2"/>
  <c r="D135" i="2"/>
  <c r="C135" i="2"/>
  <c r="A135" i="2"/>
  <c r="P179" i="2" l="1"/>
  <c r="P181" i="2" s="1"/>
  <c r="N181" i="2"/>
  <c r="E181" i="2" s="1"/>
  <c r="P180" i="2"/>
  <c r="P182" i="2" s="1"/>
  <c r="H182" i="2" s="1"/>
  <c r="O182" i="2"/>
  <c r="E182" i="2"/>
  <c r="T132" i="1"/>
  <c r="T133" i="1" s="1"/>
  <c r="D144" i="2"/>
  <c r="N144" i="2" s="1"/>
  <c r="P144" i="2" s="1"/>
  <c r="E136" i="2"/>
  <c r="N136" i="2" s="1"/>
  <c r="P136" i="2" s="1"/>
  <c r="S105" i="1"/>
  <c r="T105" i="1" s="1"/>
  <c r="AT104" i="1"/>
  <c r="U104" i="1"/>
  <c r="P104" i="1"/>
  <c r="Q104" i="1" s="1"/>
  <c r="E143" i="2" s="1"/>
  <c r="O104" i="1"/>
  <c r="M104" i="1"/>
  <c r="C143" i="2" s="1"/>
  <c r="I104" i="1"/>
  <c r="O181" i="2" l="1"/>
  <c r="H181" i="2"/>
  <c r="K104" i="1"/>
  <c r="E135" i="2"/>
  <c r="N135" i="2" s="1"/>
  <c r="P135" i="2" s="1"/>
  <c r="V104" i="1"/>
  <c r="D143" i="2"/>
  <c r="N143" i="2" s="1"/>
  <c r="P143" i="2" s="1"/>
  <c r="S104" i="1"/>
  <c r="T104" i="1" l="1"/>
  <c r="H78" i="1"/>
  <c r="AT42" i="1"/>
  <c r="H42" i="1"/>
  <c r="H80" i="1"/>
  <c r="C155" i="1"/>
  <c r="E186" i="2" s="1"/>
  <c r="AT151" i="1"/>
  <c r="AF154" i="5"/>
  <c r="AF153" i="5"/>
  <c r="K188" i="2" l="1"/>
  <c r="J188" i="2"/>
  <c r="M188" i="2" s="1"/>
  <c r="H188" i="2"/>
  <c r="F188" i="2"/>
  <c r="A188" i="2"/>
  <c r="C188" i="2" s="1"/>
  <c r="A187" i="2"/>
  <c r="C187" i="2" s="1"/>
  <c r="M187" i="2"/>
  <c r="L176" i="2"/>
  <c r="M51" i="2"/>
  <c r="A51" i="2"/>
  <c r="M50" i="2"/>
  <c r="A50" i="2"/>
  <c r="M49" i="2"/>
  <c r="A49" i="2"/>
  <c r="M36" i="2"/>
  <c r="F36" i="2"/>
  <c r="C36" i="2"/>
  <c r="A36" i="2"/>
  <c r="M35" i="2"/>
  <c r="F35" i="2"/>
  <c r="C35" i="2"/>
  <c r="A35" i="2"/>
  <c r="M34" i="2"/>
  <c r="F34" i="2"/>
  <c r="C34" i="2"/>
  <c r="A34" i="2"/>
  <c r="P49" i="1"/>
  <c r="Q49" i="1" s="1"/>
  <c r="E51" i="2" s="1"/>
  <c r="M49" i="1"/>
  <c r="C51" i="2" s="1"/>
  <c r="F55" i="1"/>
  <c r="F52" i="1" s="1"/>
  <c r="AT48" i="1"/>
  <c r="P48" i="1"/>
  <c r="Q48" i="1" s="1"/>
  <c r="E50" i="2" s="1"/>
  <c r="M48" i="1"/>
  <c r="C50" i="2" s="1"/>
  <c r="F48" i="1"/>
  <c r="D35" i="2" s="1"/>
  <c r="AT47" i="1"/>
  <c r="P47" i="1"/>
  <c r="Q47" i="1" s="1"/>
  <c r="E49" i="2" s="1"/>
  <c r="M47" i="1"/>
  <c r="C49" i="2" s="1"/>
  <c r="F47" i="1"/>
  <c r="D34" i="2" s="1"/>
  <c r="M100" i="2"/>
  <c r="A100" i="2"/>
  <c r="M99" i="2"/>
  <c r="A99" i="2"/>
  <c r="M98" i="2"/>
  <c r="A98" i="2"/>
  <c r="M93" i="2"/>
  <c r="F93" i="2"/>
  <c r="D93" i="2"/>
  <c r="C93" i="2"/>
  <c r="A93" i="2"/>
  <c r="M92" i="2"/>
  <c r="F92" i="2"/>
  <c r="D92" i="2"/>
  <c r="C92" i="2"/>
  <c r="A92" i="2"/>
  <c r="M91" i="2"/>
  <c r="F91" i="2"/>
  <c r="D91" i="2"/>
  <c r="C91" i="2"/>
  <c r="A91" i="2"/>
  <c r="AT46" i="1"/>
  <c r="AT45" i="1"/>
  <c r="AT44" i="1"/>
  <c r="H128" i="1"/>
  <c r="H118" i="1"/>
  <c r="H79" i="1"/>
  <c r="H72" i="1"/>
  <c r="H71" i="1"/>
  <c r="H70" i="1"/>
  <c r="H69" i="1"/>
  <c r="H64" i="1"/>
  <c r="H63" i="1"/>
  <c r="H62" i="1"/>
  <c r="H61" i="1"/>
  <c r="I47" i="1" l="1"/>
  <c r="I48" i="1"/>
  <c r="O48" i="1"/>
  <c r="U48" i="1"/>
  <c r="O47" i="1"/>
  <c r="D49" i="2" s="1"/>
  <c r="N49" i="2" s="1"/>
  <c r="P49" i="2" s="1"/>
  <c r="U47" i="1"/>
  <c r="K47" i="1" l="1"/>
  <c r="E34" i="2"/>
  <c r="N34" i="2" s="1"/>
  <c r="P34" i="2" s="1"/>
  <c r="K48" i="1"/>
  <c r="E35" i="2"/>
  <c r="N35" i="2" s="1"/>
  <c r="P35" i="2" s="1"/>
  <c r="V48" i="1"/>
  <c r="D50" i="2"/>
  <c r="N50" i="2" s="1"/>
  <c r="P50" i="2" s="1"/>
  <c r="S48" i="1"/>
  <c r="V47" i="1"/>
  <c r="S47" i="1"/>
  <c r="H53" i="1"/>
  <c r="H40" i="1"/>
  <c r="D23" i="13"/>
  <c r="C12" i="10"/>
  <c r="C13" i="10"/>
  <c r="C14" i="10"/>
  <c r="C15" i="10"/>
  <c r="C16" i="10"/>
  <c r="C17" i="10"/>
  <c r="C18" i="10"/>
  <c r="C19" i="10"/>
  <c r="C20" i="10"/>
  <c r="C21" i="10"/>
  <c r="C11" i="10"/>
  <c r="B12" i="10"/>
  <c r="B13" i="10" s="1"/>
  <c r="B14" i="10" s="1"/>
  <c r="B15" i="10" s="1"/>
  <c r="B16" i="10" s="1"/>
  <c r="B17" i="10" s="1"/>
  <c r="B18" i="10" s="1"/>
  <c r="B19" i="10" s="1"/>
  <c r="B20" i="10" s="1"/>
  <c r="B21" i="10" s="1"/>
  <c r="T47" i="1" l="1"/>
  <c r="T48" i="1"/>
  <c r="F45" i="1"/>
  <c r="F46" i="1"/>
  <c r="F44" i="1"/>
  <c r="L22" i="13"/>
  <c r="L23" i="13"/>
  <c r="M48" i="2"/>
  <c r="A48" i="2"/>
  <c r="M47" i="2"/>
  <c r="A47" i="2"/>
  <c r="M33" i="2"/>
  <c r="F33" i="2"/>
  <c r="C33" i="2"/>
  <c r="A33" i="2"/>
  <c r="M32" i="2"/>
  <c r="F32" i="2"/>
  <c r="C32" i="2"/>
  <c r="A32" i="2"/>
  <c r="P46" i="1"/>
  <c r="Q46" i="1" s="1"/>
  <c r="E48" i="2" s="1"/>
  <c r="M46" i="1"/>
  <c r="C48" i="2" s="1"/>
  <c r="P45" i="1"/>
  <c r="Q45" i="1" s="1"/>
  <c r="E47" i="2" s="1"/>
  <c r="M45" i="1"/>
  <c r="C47" i="2" s="1"/>
  <c r="E24" i="13" l="1"/>
  <c r="F50" i="1"/>
  <c r="H50" i="1" s="1"/>
  <c r="F49" i="1"/>
  <c r="O49" i="1" s="1"/>
  <c r="D51" i="2" s="1"/>
  <c r="N51" i="2" s="1"/>
  <c r="P51" i="2" s="1"/>
  <c r="I46" i="1"/>
  <c r="F51" i="1"/>
  <c r="H51" i="1" s="1"/>
  <c r="F56" i="1"/>
  <c r="H56" i="1" s="1"/>
  <c r="H45" i="1"/>
  <c r="I45" i="1" s="1"/>
  <c r="K45" i="1" s="1"/>
  <c r="O22" i="13" s="1"/>
  <c r="H44" i="1"/>
  <c r="D33" i="2"/>
  <c r="O46" i="1"/>
  <c r="D48" i="2" s="1"/>
  <c r="N48" i="2" s="1"/>
  <c r="P48" i="2" s="1"/>
  <c r="E22" i="13"/>
  <c r="B22" i="13" s="1"/>
  <c r="D32" i="2"/>
  <c r="O45" i="1"/>
  <c r="V45" i="1" s="1"/>
  <c r="D36" i="2" l="1"/>
  <c r="E23" i="13"/>
  <c r="B23" i="13" s="1"/>
  <c r="H49" i="1"/>
  <c r="I49" i="1" s="1"/>
  <c r="K49" i="1" s="1"/>
  <c r="AT49" i="1"/>
  <c r="V49" i="1"/>
  <c r="S49" i="1"/>
  <c r="U46" i="1"/>
  <c r="K46" i="1"/>
  <c r="O23" i="13" s="1"/>
  <c r="E33" i="2"/>
  <c r="N33" i="2" s="1"/>
  <c r="P33" i="2" s="1"/>
  <c r="V46" i="1"/>
  <c r="M22" i="13"/>
  <c r="Q22" i="13" s="1"/>
  <c r="S45" i="1"/>
  <c r="T45" i="1" s="1"/>
  <c r="S46" i="1"/>
  <c r="E32" i="2"/>
  <c r="N32" i="2" s="1"/>
  <c r="P32" i="2" s="1"/>
  <c r="D47" i="2"/>
  <c r="N47" i="2" s="1"/>
  <c r="P47" i="2" s="1"/>
  <c r="U45" i="1"/>
  <c r="M23" i="13" l="1"/>
  <c r="Q23" i="13" s="1"/>
  <c r="U49" i="1"/>
  <c r="E36" i="2"/>
  <c r="N36" i="2" s="1"/>
  <c r="P36" i="2" s="1"/>
  <c r="T49" i="1"/>
  <c r="T46" i="1"/>
  <c r="E49" i="13" l="1"/>
  <c r="L47" i="13" l="1"/>
  <c r="L46" i="13"/>
  <c r="L45" i="13"/>
  <c r="E46" i="13"/>
  <c r="M46" i="13" s="1"/>
  <c r="E47" i="13"/>
  <c r="B47" i="13" s="1"/>
  <c r="E45" i="13"/>
  <c r="B45" i="13" s="1"/>
  <c r="H83" i="1"/>
  <c r="U83" i="1" s="1"/>
  <c r="H81" i="1"/>
  <c r="H82" i="1"/>
  <c r="U82" i="1" s="1"/>
  <c r="I83" i="1"/>
  <c r="U81" i="1"/>
  <c r="AT81" i="1"/>
  <c r="P81" i="1"/>
  <c r="Q81" i="1" s="1"/>
  <c r="E98" i="2" s="1"/>
  <c r="O81" i="1"/>
  <c r="M81" i="1"/>
  <c r="C98" i="2" s="1"/>
  <c r="AT82" i="1"/>
  <c r="P82" i="1"/>
  <c r="Q82" i="1" s="1"/>
  <c r="E99" i="2" s="1"/>
  <c r="O82" i="1"/>
  <c r="M82" i="1"/>
  <c r="C99" i="2" s="1"/>
  <c r="AT83" i="1"/>
  <c r="P83" i="1"/>
  <c r="Q83" i="1" s="1"/>
  <c r="E100" i="2" s="1"/>
  <c r="O83" i="1"/>
  <c r="M83" i="1"/>
  <c r="C100" i="2" s="1"/>
  <c r="A16" i="3"/>
  <c r="A17" i="3"/>
  <c r="A18" i="3"/>
  <c r="A19" i="3"/>
  <c r="A20" i="3"/>
  <c r="A21" i="3"/>
  <c r="A22" i="3"/>
  <c r="A23" i="3"/>
  <c r="A24" i="3"/>
  <c r="A25" i="3"/>
  <c r="A15" i="3"/>
  <c r="L177" i="2"/>
  <c r="L171" i="2"/>
  <c r="L172" i="2" s="1"/>
  <c r="L164" i="2"/>
  <c r="L165" i="2" s="1"/>
  <c r="L157" i="2"/>
  <c r="L158" i="2" s="1"/>
  <c r="L148" i="2"/>
  <c r="L149" i="2" s="1"/>
  <c r="L107" i="2"/>
  <c r="L108" i="2" s="1"/>
  <c r="L102" i="2"/>
  <c r="L103" i="2" s="1"/>
  <c r="L85" i="2"/>
  <c r="L86" i="2" s="1"/>
  <c r="L72" i="2"/>
  <c r="L73" i="2" s="1"/>
  <c r="L59" i="2"/>
  <c r="L60" i="2" s="1"/>
  <c r="L26" i="2"/>
  <c r="L27" i="2" s="1"/>
  <c r="A185" i="2"/>
  <c r="A186" i="2"/>
  <c r="A184" i="2"/>
  <c r="A177" i="2"/>
  <c r="A176" i="2"/>
  <c r="A175" i="2"/>
  <c r="A174" i="2"/>
  <c r="A172" i="2"/>
  <c r="A171" i="2"/>
  <c r="A170" i="2"/>
  <c r="A169" i="2"/>
  <c r="A168" i="2"/>
  <c r="A167" i="2"/>
  <c r="A165" i="2"/>
  <c r="A164" i="2"/>
  <c r="A163" i="2"/>
  <c r="A162" i="2"/>
  <c r="A161" i="2"/>
  <c r="A160" i="2"/>
  <c r="A158" i="2"/>
  <c r="A157" i="2"/>
  <c r="A156" i="2"/>
  <c r="A155" i="2"/>
  <c r="A154" i="2"/>
  <c r="A153" i="2"/>
  <c r="A152" i="2"/>
  <c r="A151" i="2"/>
  <c r="A149" i="2"/>
  <c r="A148" i="2"/>
  <c r="A147" i="2"/>
  <c r="A146" i="2"/>
  <c r="A142" i="2"/>
  <c r="A141" i="2"/>
  <c r="A140" i="2"/>
  <c r="A139" i="2"/>
  <c r="A138" i="2"/>
  <c r="A134" i="2"/>
  <c r="A133" i="2"/>
  <c r="A132" i="2"/>
  <c r="A131" i="2"/>
  <c r="A130" i="2"/>
  <c r="A129" i="2"/>
  <c r="A128" i="2"/>
  <c r="A127" i="2"/>
  <c r="A126" i="2"/>
  <c r="A125" i="2"/>
  <c r="A124" i="2"/>
  <c r="A123" i="2"/>
  <c r="A122" i="2"/>
  <c r="A121" i="2"/>
  <c r="A120" i="2"/>
  <c r="A119" i="2"/>
  <c r="A118" i="2"/>
  <c r="A117" i="2"/>
  <c r="A116" i="2"/>
  <c r="A115" i="2"/>
  <c r="A114" i="2"/>
  <c r="A113" i="2"/>
  <c r="A112" i="2"/>
  <c r="A111" i="2"/>
  <c r="A110" i="2"/>
  <c r="A108" i="2"/>
  <c r="A107" i="2"/>
  <c r="A106" i="2"/>
  <c r="A105" i="2"/>
  <c r="A103" i="2"/>
  <c r="A102" i="2"/>
  <c r="A101" i="2"/>
  <c r="A97" i="2"/>
  <c r="A96" i="2"/>
  <c r="A95" i="2"/>
  <c r="A94" i="2"/>
  <c r="A90" i="2"/>
  <c r="A89" i="2"/>
  <c r="A88" i="2"/>
  <c r="A86" i="2"/>
  <c r="A85" i="2"/>
  <c r="A84" i="2"/>
  <c r="A83" i="2"/>
  <c r="A82" i="2"/>
  <c r="A81" i="2"/>
  <c r="A80" i="2"/>
  <c r="A79" i="2"/>
  <c r="A78" i="2"/>
  <c r="A77" i="2"/>
  <c r="A76" i="2"/>
  <c r="A75" i="2"/>
  <c r="A73" i="2"/>
  <c r="A72" i="2"/>
  <c r="A71" i="2"/>
  <c r="A70" i="2"/>
  <c r="A69" i="2"/>
  <c r="A68" i="2"/>
  <c r="A67" i="2"/>
  <c r="A66" i="2"/>
  <c r="A65" i="2"/>
  <c r="A64" i="2"/>
  <c r="A63" i="2"/>
  <c r="A62" i="2"/>
  <c r="A60" i="2"/>
  <c r="A59" i="2"/>
  <c r="A58" i="2"/>
  <c r="A57" i="2"/>
  <c r="A56" i="2"/>
  <c r="A55" i="2"/>
  <c r="A54" i="2"/>
  <c r="A53" i="2"/>
  <c r="A52" i="2"/>
  <c r="A46" i="2"/>
  <c r="A45" i="2"/>
  <c r="A44" i="2"/>
  <c r="A43" i="2"/>
  <c r="A42" i="2"/>
  <c r="A41" i="2"/>
  <c r="A40" i="2"/>
  <c r="A39" i="2"/>
  <c r="A38" i="2"/>
  <c r="A37" i="2"/>
  <c r="A31" i="2"/>
  <c r="A30" i="2"/>
  <c r="A29" i="2"/>
  <c r="A27" i="2"/>
  <c r="A26" i="2"/>
  <c r="A25" i="2"/>
  <c r="A24" i="2"/>
  <c r="A23" i="2"/>
  <c r="A22" i="2"/>
  <c r="A21" i="2"/>
  <c r="A20" i="2"/>
  <c r="A19" i="2"/>
  <c r="A13" i="2"/>
  <c r="A12" i="2"/>
  <c r="A11" i="2"/>
  <c r="A10" i="2"/>
  <c r="A9" i="2"/>
  <c r="A8" i="2"/>
  <c r="A7" i="2"/>
  <c r="A18" i="2"/>
  <c r="A17" i="2"/>
  <c r="A16" i="2"/>
  <c r="A15" i="2"/>
  <c r="A14" i="2"/>
  <c r="A6" i="2"/>
  <c r="A5" i="2"/>
  <c r="A4" i="2"/>
  <c r="A3" i="2"/>
  <c r="A2" i="2"/>
  <c r="F15" i="4" s="1"/>
  <c r="K83" i="1" l="1"/>
  <c r="E93" i="2"/>
  <c r="N93" i="2" s="1"/>
  <c r="P93" i="2" s="1"/>
  <c r="V82" i="1"/>
  <c r="D99" i="2"/>
  <c r="N99" i="2" s="1"/>
  <c r="P99" i="2" s="1"/>
  <c r="V81" i="1"/>
  <c r="D98" i="2"/>
  <c r="N98" i="2" s="1"/>
  <c r="P98" i="2" s="1"/>
  <c r="V83" i="1"/>
  <c r="D100" i="2"/>
  <c r="N100" i="2" s="1"/>
  <c r="P100" i="2" s="1"/>
  <c r="H55" i="1"/>
  <c r="M47" i="13"/>
  <c r="B46" i="13"/>
  <c r="M45" i="13"/>
  <c r="I82" i="1"/>
  <c r="S83" i="1"/>
  <c r="T83" i="1" s="1"/>
  <c r="O47" i="13" s="1"/>
  <c r="I81" i="1"/>
  <c r="S81" i="1"/>
  <c r="S82" i="1"/>
  <c r="E27" i="13"/>
  <c r="F40" i="1"/>
  <c r="D78" i="2"/>
  <c r="D79" i="2"/>
  <c r="D75" i="2"/>
  <c r="D76" i="2"/>
  <c r="E59" i="13"/>
  <c r="E56" i="13"/>
  <c r="E53" i="13"/>
  <c r="E50" i="13"/>
  <c r="L49" i="13"/>
  <c r="N79" i="1"/>
  <c r="E48" i="13"/>
  <c r="E44" i="13"/>
  <c r="M44" i="13" s="1"/>
  <c r="E40" i="13"/>
  <c r="E39" i="13"/>
  <c r="E36" i="13"/>
  <c r="E35" i="13"/>
  <c r="E34" i="13"/>
  <c r="E33" i="13"/>
  <c r="E32" i="13"/>
  <c r="E21" i="13"/>
  <c r="E17" i="13"/>
  <c r="E41" i="13"/>
  <c r="O72" i="1"/>
  <c r="U72" i="1"/>
  <c r="U61" i="1"/>
  <c r="K81" i="1" l="1"/>
  <c r="T81" i="1" s="1"/>
  <c r="O45" i="13" s="1"/>
  <c r="Q45" i="13" s="1"/>
  <c r="E91" i="2"/>
  <c r="N91" i="2" s="1"/>
  <c r="P91" i="2" s="1"/>
  <c r="K82" i="1"/>
  <c r="T82" i="1" s="1"/>
  <c r="O46" i="13" s="1"/>
  <c r="Q46" i="13" s="1"/>
  <c r="E92" i="2"/>
  <c r="N92" i="2" s="1"/>
  <c r="P92" i="2" s="1"/>
  <c r="Q47" i="13"/>
  <c r="L33" i="13"/>
  <c r="H52" i="1" l="1"/>
  <c r="L21" i="13"/>
  <c r="L24" i="13"/>
  <c r="L17" i="13"/>
  <c r="E28" i="13" l="1"/>
  <c r="E25" i="13"/>
  <c r="E29" i="13"/>
  <c r="M18" i="2" l="1"/>
  <c r="C6" i="2"/>
  <c r="C5" i="2"/>
  <c r="C4" i="2"/>
  <c r="C3" i="2"/>
  <c r="C2" i="2"/>
  <c r="M6" i="2"/>
  <c r="F6" i="2"/>
  <c r="D6" i="2"/>
  <c r="E13" i="13"/>
  <c r="N25" i="1"/>
  <c r="O25" i="1" s="1"/>
  <c r="V25" i="1" s="1"/>
  <c r="H25" i="1"/>
  <c r="I25" i="1" s="1"/>
  <c r="K25" i="1" s="1"/>
  <c r="O13" i="13" s="1"/>
  <c r="AT25" i="1"/>
  <c r="P25" i="1"/>
  <c r="Q25" i="1" s="1"/>
  <c r="M25" i="1"/>
  <c r="C18" i="2" s="1"/>
  <c r="N22" i="1"/>
  <c r="U25" i="1" l="1"/>
  <c r="D18" i="2"/>
  <c r="E6" i="2"/>
  <c r="N6" i="2" s="1"/>
  <c r="P6" i="2" s="1"/>
  <c r="S25" i="1"/>
  <c r="T25" i="1" s="1"/>
  <c r="N21" i="1" l="1"/>
  <c r="E26" i="13"/>
  <c r="O22" i="1"/>
  <c r="B59" i="13" l="1"/>
  <c r="B57" i="13" s="1"/>
  <c r="B58" i="13" s="1"/>
  <c r="M56" i="13"/>
  <c r="M50" i="13"/>
  <c r="M49" i="13"/>
  <c r="M53" i="13"/>
  <c r="M48" i="13"/>
  <c r="B44" i="13"/>
  <c r="M41" i="13"/>
  <c r="M40" i="13"/>
  <c r="M39" i="13"/>
  <c r="D40" i="13"/>
  <c r="D41" i="13"/>
  <c r="D39" i="13"/>
  <c r="M36" i="13"/>
  <c r="M35" i="13"/>
  <c r="M34" i="13"/>
  <c r="B33" i="13"/>
  <c r="M32" i="13"/>
  <c r="M13" i="13"/>
  <c r="B28" i="13"/>
  <c r="B34" i="13" l="1"/>
  <c r="B35" i="13"/>
  <c r="M59" i="13"/>
  <c r="B36" i="13"/>
  <c r="B39" i="13"/>
  <c r="B13" i="13"/>
  <c r="B11" i="13" s="1"/>
  <c r="B12" i="13" s="1"/>
  <c r="B40" i="13"/>
  <c r="B41" i="13"/>
  <c r="B48" i="13"/>
  <c r="B49" i="13"/>
  <c r="B50" i="13"/>
  <c r="B53" i="13"/>
  <c r="B51" i="13" s="1"/>
  <c r="B52" i="13" s="1"/>
  <c r="B56" i="13"/>
  <c r="B54" i="13" s="1"/>
  <c r="B55" i="13" s="1"/>
  <c r="B32" i="13"/>
  <c r="M33" i="13"/>
  <c r="M28" i="13"/>
  <c r="B24" i="13"/>
  <c r="B26" i="13"/>
  <c r="B42" i="13" l="1"/>
  <c r="B43" i="13" s="1"/>
  <c r="B37" i="13"/>
  <c r="B38" i="13" s="1"/>
  <c r="B30" i="13"/>
  <c r="B31" i="13" s="1"/>
  <c r="M27" i="13"/>
  <c r="B27" i="13"/>
  <c r="B21" i="13"/>
  <c r="B17" i="13"/>
  <c r="M25" i="13" l="1"/>
  <c r="M24" i="13"/>
  <c r="D18" i="13"/>
  <c r="M17" i="13"/>
  <c r="E16" i="13"/>
  <c r="B16" i="13" l="1"/>
  <c r="M29" i="13"/>
  <c r="B29" i="13"/>
  <c r="B25" i="13"/>
  <c r="M21" i="13"/>
  <c r="B19" i="13" l="1"/>
  <c r="B20" i="13" s="1"/>
  <c r="M16" i="13"/>
  <c r="U70" i="1" l="1"/>
  <c r="U69" i="1"/>
  <c r="B441" i="5" l="1"/>
  <c r="B467" i="5"/>
  <c r="B466" i="5"/>
  <c r="B465" i="5"/>
  <c r="B464" i="5"/>
  <c r="B299" i="5"/>
  <c r="B298" i="5"/>
  <c r="B297" i="5"/>
  <c r="B296" i="5"/>
  <c r="B295" i="5"/>
  <c r="B294" i="5"/>
  <c r="B293" i="5"/>
  <c r="B292" i="5"/>
  <c r="B291" i="5"/>
  <c r="B290" i="5"/>
  <c r="B289" i="5"/>
  <c r="B288" i="5"/>
  <c r="B287" i="5"/>
  <c r="B278" i="5"/>
  <c r="B277" i="5"/>
  <c r="B274" i="5"/>
  <c r="B224" i="5"/>
  <c r="B222" i="5"/>
  <c r="B226" i="5"/>
  <c r="B225" i="5"/>
  <c r="B129" i="5"/>
  <c r="B128" i="5"/>
  <c r="B127" i="5"/>
  <c r="B126" i="5"/>
  <c r="B116" i="5"/>
  <c r="U21" i="1"/>
  <c r="I21" i="1"/>
  <c r="B62" i="5"/>
  <c r="B61" i="5"/>
  <c r="A285" i="5"/>
  <c r="AF284" i="5"/>
  <c r="A283" i="5"/>
  <c r="AF282" i="5"/>
  <c r="B281" i="5"/>
  <c r="B283" i="5" s="1"/>
  <c r="B284" i="5" s="1"/>
  <c r="B285" i="5" s="1"/>
  <c r="A281" i="5"/>
  <c r="A279" i="5"/>
  <c r="A110" i="5"/>
  <c r="AF109" i="5"/>
  <c r="A108" i="5"/>
  <c r="AF107" i="5"/>
  <c r="B106" i="5"/>
  <c r="B108" i="5" s="1"/>
  <c r="B109" i="5" s="1"/>
  <c r="B110" i="5" s="1"/>
  <c r="A106" i="5"/>
  <c r="A103" i="5"/>
  <c r="AF102" i="5"/>
  <c r="A101" i="5"/>
  <c r="AF100" i="5"/>
  <c r="B99" i="5"/>
  <c r="B101" i="5" s="1"/>
  <c r="B102" i="5" s="1"/>
  <c r="B103" i="5" s="1"/>
  <c r="A99" i="5"/>
  <c r="A96" i="5"/>
  <c r="AF95" i="5"/>
  <c r="A94" i="5"/>
  <c r="AF93" i="5"/>
  <c r="B92" i="5"/>
  <c r="B94" i="5" s="1"/>
  <c r="B95" i="5" s="1"/>
  <c r="B96" i="5" s="1"/>
  <c r="A92" i="5"/>
  <c r="AF289" i="5" l="1"/>
  <c r="AF61" i="5"/>
  <c r="AF62" i="5"/>
  <c r="I124" i="1" l="1"/>
  <c r="E168" i="2" s="1"/>
  <c r="I123" i="1"/>
  <c r="E167" i="2" s="1"/>
  <c r="I119" i="1"/>
  <c r="E161" i="2" s="1"/>
  <c r="I118" i="1"/>
  <c r="E160" i="2" s="1"/>
  <c r="I114" i="1"/>
  <c r="E153" i="2" s="1"/>
  <c r="I113" i="1"/>
  <c r="E152" i="2" s="1"/>
  <c r="I112" i="1"/>
  <c r="E151" i="2" s="1"/>
  <c r="I108" i="1"/>
  <c r="I107" i="1"/>
  <c r="E138" i="2" s="1"/>
  <c r="I103" i="1"/>
  <c r="E134" i="2" s="1"/>
  <c r="I102" i="1"/>
  <c r="E133" i="2" s="1"/>
  <c r="E132" i="2"/>
  <c r="I99" i="1"/>
  <c r="E120" i="2" s="1"/>
  <c r="I98" i="1"/>
  <c r="E119" i="2" s="1"/>
  <c r="I97" i="1"/>
  <c r="E118" i="2" s="1"/>
  <c r="I96" i="1"/>
  <c r="E117" i="2" s="1"/>
  <c r="I95" i="1"/>
  <c r="E116" i="2" s="1"/>
  <c r="I94" i="1"/>
  <c r="E115" i="2" s="1"/>
  <c r="I93" i="1"/>
  <c r="E114" i="2" s="1"/>
  <c r="I92" i="1"/>
  <c r="E113" i="2" s="1"/>
  <c r="I91" i="1"/>
  <c r="E112" i="2" s="1"/>
  <c r="I90" i="1"/>
  <c r="E111" i="2" s="1"/>
  <c r="I89" i="1"/>
  <c r="E110" i="2" s="1"/>
  <c r="I84" i="1"/>
  <c r="E94" i="2" s="1"/>
  <c r="I73" i="1"/>
  <c r="E79" i="2" s="1"/>
  <c r="I78" i="1"/>
  <c r="E89" i="2" s="1"/>
  <c r="I77" i="1"/>
  <c r="E88" i="2" s="1"/>
  <c r="I70" i="1"/>
  <c r="E76" i="2" s="1"/>
  <c r="I71" i="1"/>
  <c r="E77" i="2" s="1"/>
  <c r="I72" i="1"/>
  <c r="E78" i="2" s="1"/>
  <c r="I69" i="1"/>
  <c r="E75" i="2" s="1"/>
  <c r="I62" i="1"/>
  <c r="E63" i="2" s="1"/>
  <c r="I63" i="1"/>
  <c r="E64" i="2" s="1"/>
  <c r="I64" i="1"/>
  <c r="E65" i="2" s="1"/>
  <c r="I65" i="1"/>
  <c r="E66" i="2" s="1"/>
  <c r="I61" i="1"/>
  <c r="E62" i="2" s="1"/>
  <c r="I57" i="1"/>
  <c r="E43" i="2" s="1"/>
  <c r="I56" i="1"/>
  <c r="E42" i="2" s="1"/>
  <c r="I55" i="1"/>
  <c r="E41" i="2" s="1"/>
  <c r="I53" i="1"/>
  <c r="E40" i="2" s="1"/>
  <c r="I44" i="1"/>
  <c r="I40" i="1"/>
  <c r="I29" i="1"/>
  <c r="E7" i="2" s="1"/>
  <c r="I34" i="1"/>
  <c r="E12" i="2" s="1"/>
  <c r="I33" i="1"/>
  <c r="E11" i="2" s="1"/>
  <c r="I32" i="1"/>
  <c r="E10" i="2" s="1"/>
  <c r="I31" i="1"/>
  <c r="E9" i="2" s="1"/>
  <c r="I30" i="1"/>
  <c r="E8" i="2" s="1"/>
  <c r="K21" i="1"/>
  <c r="P29" i="1"/>
  <c r="Q29" i="1" s="1"/>
  <c r="E19" i="2" s="1"/>
  <c r="A78" i="3"/>
  <c r="A79" i="3"/>
  <c r="A80" i="3" s="1"/>
  <c r="A81" i="3" s="1"/>
  <c r="A82" i="3" s="1"/>
  <c r="A83" i="3" s="1"/>
  <c r="A84" i="3" s="1"/>
  <c r="A85" i="3" s="1"/>
  <c r="A86" i="3" s="1"/>
  <c r="A87" i="3" s="1"/>
  <c r="A88" i="3" s="1"/>
  <c r="A89" i="3" s="1"/>
  <c r="A90" i="3" s="1"/>
  <c r="A91" i="3" s="1"/>
  <c r="A92" i="3" s="1"/>
  <c r="A93" i="3" s="1"/>
  <c r="A94" i="3" s="1"/>
  <c r="A95" i="3" s="1"/>
  <c r="A96" i="3" s="1"/>
  <c r="A97" i="3" s="1"/>
  <c r="A98" i="3" s="1"/>
  <c r="A99" i="3" s="1"/>
  <c r="A100" i="3" s="1"/>
  <c r="A101" i="3" s="1"/>
  <c r="A102" i="3" s="1"/>
  <c r="A103" i="3" s="1"/>
  <c r="A104" i="3" s="1"/>
  <c r="A105" i="3" s="1"/>
  <c r="A106" i="3" s="1"/>
  <c r="A107" i="3" s="1"/>
  <c r="A108" i="3" s="1"/>
  <c r="A109" i="3" s="1"/>
  <c r="A110" i="3" s="1"/>
  <c r="A111" i="3" s="1"/>
  <c r="A112" i="3" s="1"/>
  <c r="A113" i="3" s="1"/>
  <c r="A114" i="3" s="1"/>
  <c r="A115" i="3" s="1"/>
  <c r="A116" i="3" s="1"/>
  <c r="A117" i="3" s="1"/>
  <c r="A118" i="3" s="1"/>
  <c r="A119" i="3" s="1"/>
  <c r="A120" i="3" s="1"/>
  <c r="A121" i="3" s="1"/>
  <c r="A122" i="3" s="1"/>
  <c r="A123" i="3" s="1"/>
  <c r="A124" i="3" s="1"/>
  <c r="A125" i="3" s="1"/>
  <c r="A126" i="3" s="1"/>
  <c r="A127" i="3" s="1"/>
  <c r="A128" i="3" s="1"/>
  <c r="A129" i="3" s="1"/>
  <c r="A130" i="3" s="1"/>
  <c r="A131" i="3" s="1"/>
  <c r="A77" i="3"/>
  <c r="I24" i="1"/>
  <c r="E5" i="2" s="1"/>
  <c r="I23" i="1"/>
  <c r="E4" i="2" s="1"/>
  <c r="AF305" i="5"/>
  <c r="E29" i="2" l="1"/>
  <c r="K40" i="1"/>
  <c r="K72" i="1"/>
  <c r="O41" i="13" s="1"/>
  <c r="Q41" i="13" s="1"/>
  <c r="K70" i="1"/>
  <c r="O40" i="13" s="1"/>
  <c r="Q40" i="13" s="1"/>
  <c r="K69" i="1"/>
  <c r="O39" i="13" s="1"/>
  <c r="Q39" i="13" s="1"/>
  <c r="E31" i="2"/>
  <c r="K44" i="1"/>
  <c r="O21" i="13" s="1"/>
  <c r="Q21" i="13" s="1"/>
  <c r="P44" i="1"/>
  <c r="Q44" i="1" s="1"/>
  <c r="P65" i="1"/>
  <c r="Q65" i="1" s="1"/>
  <c r="P84" i="1"/>
  <c r="Q84" i="1" s="1"/>
  <c r="P101" i="1"/>
  <c r="Q101" i="1" s="1"/>
  <c r="P64" i="1"/>
  <c r="Q64" i="1" s="1"/>
  <c r="P99" i="1"/>
  <c r="Q99" i="1" s="1"/>
  <c r="P50" i="1"/>
  <c r="Q50" i="1" s="1"/>
  <c r="E52" i="2" s="1"/>
  <c r="P124" i="1"/>
  <c r="Q124" i="1" s="1"/>
  <c r="P51" i="1"/>
  <c r="Q51" i="1" s="1"/>
  <c r="E53" i="2" s="1"/>
  <c r="P69" i="1"/>
  <c r="Q69" i="1" s="1"/>
  <c r="P89" i="1"/>
  <c r="Q89" i="1" s="1"/>
  <c r="P102" i="1"/>
  <c r="Q102" i="1" s="1"/>
  <c r="P128" i="1"/>
  <c r="Q128" i="1" s="1"/>
  <c r="P52" i="1"/>
  <c r="Q52" i="1" s="1"/>
  <c r="P103" i="1"/>
  <c r="Q103" i="1" s="1"/>
  <c r="P70" i="1"/>
  <c r="Q70" i="1" s="1"/>
  <c r="E81" i="2" s="1"/>
  <c r="P90" i="1"/>
  <c r="Q90" i="1" s="1"/>
  <c r="P107" i="1"/>
  <c r="Q107" i="1" s="1"/>
  <c r="P53" i="1"/>
  <c r="Q53" i="1" s="1"/>
  <c r="E55" i="2" s="1"/>
  <c r="P71" i="1"/>
  <c r="Q71" i="1" s="1"/>
  <c r="P91" i="1"/>
  <c r="Q91" i="1" s="1"/>
  <c r="P108" i="1"/>
  <c r="Q108" i="1" s="1"/>
  <c r="P72" i="1"/>
  <c r="Q72" i="1" s="1"/>
  <c r="P55" i="1"/>
  <c r="Q55" i="1" s="1"/>
  <c r="E56" i="2" s="1"/>
  <c r="P73" i="1"/>
  <c r="Q73" i="1" s="1"/>
  <c r="E84" i="2" s="1"/>
  <c r="P92" i="1"/>
  <c r="Q92" i="1" s="1"/>
  <c r="P112" i="1"/>
  <c r="Q112" i="1" s="1"/>
  <c r="P56" i="1"/>
  <c r="Q56" i="1" s="1"/>
  <c r="P93" i="1"/>
  <c r="Q93" i="1" s="1"/>
  <c r="P57" i="1"/>
  <c r="Q57" i="1" s="1"/>
  <c r="P77" i="1"/>
  <c r="Q77" i="1" s="1"/>
  <c r="E95" i="2" s="1"/>
  <c r="P94" i="1"/>
  <c r="Q94" i="1" s="1"/>
  <c r="P113" i="1"/>
  <c r="Q113" i="1" s="1"/>
  <c r="P61" i="1"/>
  <c r="Q61" i="1" s="1"/>
  <c r="P114" i="1"/>
  <c r="Q114" i="1" s="1"/>
  <c r="P78" i="1"/>
  <c r="Q78" i="1" s="1"/>
  <c r="E96" i="2" s="1"/>
  <c r="P95" i="1"/>
  <c r="Q95" i="1" s="1"/>
  <c r="P118" i="1"/>
  <c r="Q118" i="1" s="1"/>
  <c r="P40" i="1"/>
  <c r="Q40" i="1" s="1"/>
  <c r="P62" i="1"/>
  <c r="Q62" i="1" s="1"/>
  <c r="P96" i="1"/>
  <c r="Q96" i="1" s="1"/>
  <c r="P63" i="1"/>
  <c r="Q63" i="1" s="1"/>
  <c r="P79" i="1"/>
  <c r="Q79" i="1" s="1"/>
  <c r="E106" i="2" s="1"/>
  <c r="P97" i="1"/>
  <c r="Q97" i="1" s="1"/>
  <c r="P119" i="1"/>
  <c r="Q119" i="1" s="1"/>
  <c r="P42" i="1"/>
  <c r="Q42" i="1" s="1"/>
  <c r="P80" i="1"/>
  <c r="Q80" i="1" s="1"/>
  <c r="E97" i="2" s="1"/>
  <c r="P98" i="1"/>
  <c r="Q98" i="1" s="1"/>
  <c r="P123" i="1"/>
  <c r="Q123" i="1" s="1"/>
  <c r="E2" i="2"/>
  <c r="P30" i="1"/>
  <c r="Q30" i="1" s="1"/>
  <c r="P31" i="1"/>
  <c r="Q31" i="1" s="1"/>
  <c r="P136" i="1"/>
  <c r="Q136" i="1" s="1"/>
  <c r="S136" i="1" s="1"/>
  <c r="P32" i="1"/>
  <c r="Q32" i="1" s="1"/>
  <c r="P21" i="1"/>
  <c r="Q21" i="1" s="1"/>
  <c r="P24" i="1"/>
  <c r="Q24" i="1" s="1"/>
  <c r="E18" i="2" s="1"/>
  <c r="N18" i="2" s="1"/>
  <c r="P18" i="2" s="1"/>
  <c r="P23" i="1"/>
  <c r="Q23" i="1" s="1"/>
  <c r="P33" i="1"/>
  <c r="Q33" i="1" s="1"/>
  <c r="P34" i="1"/>
  <c r="Q34" i="1" s="1"/>
  <c r="P35" i="1"/>
  <c r="Q35" i="1" s="1"/>
  <c r="P22" i="1"/>
  <c r="Q22" i="1" s="1"/>
  <c r="E15" i="2" s="1"/>
  <c r="I136" i="1"/>
  <c r="K124" i="1"/>
  <c r="K123" i="1"/>
  <c r="K119" i="1"/>
  <c r="K118" i="1"/>
  <c r="O56" i="13" s="1"/>
  <c r="Q56" i="13" s="1"/>
  <c r="K114" i="1"/>
  <c r="K113" i="1"/>
  <c r="K112" i="1"/>
  <c r="K108" i="1"/>
  <c r="K107" i="1"/>
  <c r="K103" i="1"/>
  <c r="K102" i="1"/>
  <c r="K99" i="1"/>
  <c r="K84" i="1"/>
  <c r="K78" i="1"/>
  <c r="O44" i="13" s="1"/>
  <c r="Q44" i="13" s="1"/>
  <c r="R44" i="13" s="1"/>
  <c r="K77" i="1"/>
  <c r="K73" i="1"/>
  <c r="K71" i="1"/>
  <c r="K65" i="1"/>
  <c r="K64" i="1"/>
  <c r="K63" i="1"/>
  <c r="O36" i="13" s="1"/>
  <c r="K62" i="1"/>
  <c r="K61" i="1"/>
  <c r="K57" i="1"/>
  <c r="K53" i="1"/>
  <c r="O27" i="13" s="1"/>
  <c r="Q27" i="13" s="1"/>
  <c r="K33" i="1"/>
  <c r="Q13" i="13" s="1"/>
  <c r="K32" i="1"/>
  <c r="K31" i="1"/>
  <c r="K30" i="1"/>
  <c r="K29" i="1"/>
  <c r="K23" i="1"/>
  <c r="K24" i="1"/>
  <c r="O53" i="13" l="1"/>
  <c r="Q53" i="13" s="1"/>
  <c r="O35" i="13"/>
  <c r="Q35" i="13" s="1"/>
  <c r="O32" i="13"/>
  <c r="Q32" i="13" s="1"/>
  <c r="Q36" i="13"/>
  <c r="E23" i="2"/>
  <c r="E129" i="2"/>
  <c r="E57" i="2"/>
  <c r="E142" i="2"/>
  <c r="E69" i="2"/>
  <c r="E24" i="2"/>
  <c r="E163" i="2"/>
  <c r="E125" i="2"/>
  <c r="E54" i="2"/>
  <c r="E44" i="2"/>
  <c r="E80" i="2"/>
  <c r="E20" i="2"/>
  <c r="E127" i="2"/>
  <c r="E83" i="2"/>
  <c r="E170" i="2"/>
  <c r="E124" i="2"/>
  <c r="E22" i="2"/>
  <c r="E21" i="2"/>
  <c r="S22" i="1"/>
  <c r="E147" i="2"/>
  <c r="E141" i="2"/>
  <c r="E121" i="2"/>
  <c r="E156" i="2"/>
  <c r="E123" i="2"/>
  <c r="E131" i="2"/>
  <c r="E154" i="2"/>
  <c r="E128" i="2"/>
  <c r="E68" i="2"/>
  <c r="E67" i="2"/>
  <c r="E82" i="2"/>
  <c r="E70" i="2"/>
  <c r="E175" i="2"/>
  <c r="E162" i="2"/>
  <c r="E155" i="2"/>
  <c r="E140" i="2"/>
  <c r="E169" i="2"/>
  <c r="K136" i="1"/>
  <c r="E184" i="2"/>
  <c r="E130" i="2"/>
  <c r="E126" i="2"/>
  <c r="E101" i="2"/>
  <c r="E146" i="2"/>
  <c r="E71" i="2"/>
  <c r="S35" i="1"/>
  <c r="E25" i="2"/>
  <c r="E45" i="2"/>
  <c r="E58" i="2"/>
  <c r="E122" i="2"/>
  <c r="E46" i="2"/>
  <c r="E17" i="2"/>
  <c r="E16" i="2"/>
  <c r="E14" i="2"/>
  <c r="B317" i="5"/>
  <c r="F42" i="1"/>
  <c r="I42" i="1"/>
  <c r="E30" i="2" s="1"/>
  <c r="AF335" i="5"/>
  <c r="AF334" i="5"/>
  <c r="AF333" i="5"/>
  <c r="AF332" i="5"/>
  <c r="AF331" i="5"/>
  <c r="AF330" i="5"/>
  <c r="AF351" i="5"/>
  <c r="AF350" i="5"/>
  <c r="AF349" i="5"/>
  <c r="AF348" i="5"/>
  <c r="AF347" i="5"/>
  <c r="AF346" i="5"/>
  <c r="AF345" i="5"/>
  <c r="AF344" i="5"/>
  <c r="AF343" i="5"/>
  <c r="AF342" i="5"/>
  <c r="AF341" i="5"/>
  <c r="AF340" i="5"/>
  <c r="AF339" i="5"/>
  <c r="AF338" i="5"/>
  <c r="AF337" i="5"/>
  <c r="AF336" i="5"/>
  <c r="AF329" i="5"/>
  <c r="AF328" i="5"/>
  <c r="AF327" i="5"/>
  <c r="AF326" i="5"/>
  <c r="AF325" i="5"/>
  <c r="AF324" i="5"/>
  <c r="AF323" i="5"/>
  <c r="AF322" i="5"/>
  <c r="AF321" i="5"/>
  <c r="AF320" i="5"/>
  <c r="A319" i="5"/>
  <c r="AF318" i="5"/>
  <c r="A317" i="5"/>
  <c r="M45" i="2"/>
  <c r="M30" i="2"/>
  <c r="F30" i="2"/>
  <c r="C30" i="2"/>
  <c r="E18" i="13" l="1"/>
  <c r="B18" i="13" s="1"/>
  <c r="B14" i="13" s="1"/>
  <c r="B15" i="13" s="1"/>
  <c r="O42" i="1"/>
  <c r="S42" i="1" s="1"/>
  <c r="K42" i="1"/>
  <c r="D30" i="2"/>
  <c r="A41" i="1"/>
  <c r="D45" i="2" l="1"/>
  <c r="N45" i="2" s="1"/>
  <c r="P45" i="2" s="1"/>
  <c r="N30" i="2"/>
  <c r="P30" i="2" s="1"/>
  <c r="D33" i="5" l="1"/>
  <c r="U42" i="1" l="1"/>
  <c r="V42" i="1"/>
  <c r="M42" i="1"/>
  <c r="C45" i="2" s="1"/>
  <c r="T42" i="1" l="1"/>
  <c r="K147" i="1" l="1"/>
  <c r="E14" i="1"/>
  <c r="B11" i="1"/>
  <c r="B10" i="1"/>
  <c r="B9" i="1"/>
  <c r="B8" i="1"/>
  <c r="B7" i="1"/>
  <c r="U124" i="1"/>
  <c r="U123" i="1"/>
  <c r="U119" i="1"/>
  <c r="U118" i="1"/>
  <c r="U108" i="1"/>
  <c r="U107" i="1"/>
  <c r="U103" i="1"/>
  <c r="U102" i="1"/>
  <c r="U101" i="1"/>
  <c r="U99" i="1"/>
  <c r="U84" i="1"/>
  <c r="U78" i="1"/>
  <c r="U77" i="1"/>
  <c r="U73" i="1"/>
  <c r="U71" i="1"/>
  <c r="U65" i="1"/>
  <c r="U64" i="1"/>
  <c r="U63" i="1"/>
  <c r="U62" i="1"/>
  <c r="E5" i="13" l="1"/>
  <c r="D5" i="10"/>
  <c r="E6" i="13"/>
  <c r="D6" i="10"/>
  <c r="E7" i="13"/>
  <c r="D7" i="10"/>
  <c r="E4" i="13"/>
  <c r="D4" i="10"/>
  <c r="E9" i="13"/>
  <c r="D9" i="10"/>
  <c r="E8" i="13"/>
  <c r="D8" i="10"/>
  <c r="U66" i="1"/>
  <c r="B157" i="5"/>
  <c r="F5" i="2"/>
  <c r="D5" i="2"/>
  <c r="M17" i="2"/>
  <c r="M5" i="2"/>
  <c r="AT24" i="1"/>
  <c r="U24" i="1"/>
  <c r="O24" i="1"/>
  <c r="S24" i="1" s="1"/>
  <c r="M24" i="1"/>
  <c r="C17" i="2" s="1"/>
  <c r="D17" i="2" l="1"/>
  <c r="N17" i="2" s="1"/>
  <c r="P17" i="2" s="1"/>
  <c r="N5" i="2"/>
  <c r="P5" i="2" s="1"/>
  <c r="T24" i="1"/>
  <c r="V24" i="1"/>
  <c r="F34" i="1"/>
  <c r="AF469" i="5"/>
  <c r="B468" i="5"/>
  <c r="C174" i="2"/>
  <c r="F174" i="2"/>
  <c r="D174" i="2"/>
  <c r="M177" i="2"/>
  <c r="C177" i="2"/>
  <c r="M176" i="2"/>
  <c r="C176" i="2"/>
  <c r="M175" i="2"/>
  <c r="M174" i="2"/>
  <c r="E14" i="4"/>
  <c r="N128" i="1"/>
  <c r="O128" i="1" s="1"/>
  <c r="A129" i="1"/>
  <c r="AT128" i="1"/>
  <c r="M128" i="1"/>
  <c r="C175" i="2" s="1"/>
  <c r="U127" i="1"/>
  <c r="M127" i="1"/>
  <c r="A127" i="1"/>
  <c r="O16" i="13" l="1"/>
  <c r="Q16" i="13" s="1"/>
  <c r="K34" i="1"/>
  <c r="I128" i="1"/>
  <c r="E174" i="2" s="1"/>
  <c r="N174" i="2" s="1"/>
  <c r="D175" i="2"/>
  <c r="N175" i="2" s="1"/>
  <c r="S128" i="1"/>
  <c r="U128" i="1"/>
  <c r="AF468" i="5"/>
  <c r="V128" i="1"/>
  <c r="O129" i="1"/>
  <c r="G21" i="10" s="1"/>
  <c r="M163" i="2"/>
  <c r="M161" i="2"/>
  <c r="F161" i="2"/>
  <c r="D161" i="2"/>
  <c r="C161" i="2"/>
  <c r="M147" i="2"/>
  <c r="M139" i="2"/>
  <c r="F139" i="2"/>
  <c r="E139" i="2"/>
  <c r="D139" i="2"/>
  <c r="C139" i="2"/>
  <c r="M131" i="2"/>
  <c r="M120" i="2"/>
  <c r="F120" i="2"/>
  <c r="D120" i="2"/>
  <c r="C120" i="2"/>
  <c r="N177" i="2" l="1"/>
  <c r="P175" i="2"/>
  <c r="P174" i="2"/>
  <c r="P176" i="2" s="1"/>
  <c r="D177" i="2"/>
  <c r="K128" i="1"/>
  <c r="O59" i="13" s="1"/>
  <c r="Q59" i="13" s="1"/>
  <c r="U129" i="1"/>
  <c r="V129" i="1"/>
  <c r="D21" i="10" s="1"/>
  <c r="E177" i="2"/>
  <c r="P177" i="2"/>
  <c r="H177" i="2" s="1"/>
  <c r="N176" i="2"/>
  <c r="O177" i="2"/>
  <c r="S129" i="1"/>
  <c r="N139" i="2"/>
  <c r="P139" i="2" s="1"/>
  <c r="N120" i="2"/>
  <c r="P120" i="2" s="1"/>
  <c r="N161" i="2"/>
  <c r="P161" i="2" s="1"/>
  <c r="D77" i="2"/>
  <c r="M82" i="2"/>
  <c r="M77" i="2"/>
  <c r="C77" i="2"/>
  <c r="M84" i="2"/>
  <c r="M79" i="2"/>
  <c r="C79" i="2"/>
  <c r="M71" i="2"/>
  <c r="M66" i="2"/>
  <c r="F66" i="2"/>
  <c r="D66" i="2"/>
  <c r="C66" i="2"/>
  <c r="M58" i="2"/>
  <c r="M43" i="2"/>
  <c r="F43" i="2"/>
  <c r="D43" i="2"/>
  <c r="C43" i="2"/>
  <c r="M55" i="2"/>
  <c r="M40" i="2"/>
  <c r="F40" i="2"/>
  <c r="D40" i="2"/>
  <c r="C40" i="2"/>
  <c r="H176" i="2" l="1"/>
  <c r="K129" i="1"/>
  <c r="T128" i="1"/>
  <c r="T129" i="1" s="1"/>
  <c r="E176" i="2"/>
  <c r="O176" i="2"/>
  <c r="N77" i="2"/>
  <c r="P77" i="2" s="1"/>
  <c r="N79" i="2"/>
  <c r="P79" i="2" s="1"/>
  <c r="N66" i="2"/>
  <c r="P66" i="2" s="1"/>
  <c r="N43" i="2"/>
  <c r="P43" i="2" s="1"/>
  <c r="N40" i="2"/>
  <c r="P40" i="2" s="1"/>
  <c r="AT119" i="1" l="1"/>
  <c r="O119" i="1"/>
  <c r="S119" i="1" s="1"/>
  <c r="M119" i="1"/>
  <c r="C163" i="2" s="1"/>
  <c r="AT108" i="1"/>
  <c r="O108" i="1"/>
  <c r="S108" i="1" s="1"/>
  <c r="M108" i="1"/>
  <c r="C147" i="2" s="1"/>
  <c r="AT99" i="1"/>
  <c r="O99" i="1"/>
  <c r="S99" i="1" s="1"/>
  <c r="M99" i="1"/>
  <c r="C131" i="2" s="1"/>
  <c r="AT73" i="1"/>
  <c r="O73" i="1"/>
  <c r="M73" i="1"/>
  <c r="C84" i="2" s="1"/>
  <c r="AT65" i="1"/>
  <c r="O65" i="1"/>
  <c r="S65" i="1" s="1"/>
  <c r="M65" i="1"/>
  <c r="C71" i="2" s="1"/>
  <c r="AT57" i="1"/>
  <c r="U57" i="1"/>
  <c r="O57" i="1"/>
  <c r="S57" i="1" s="1"/>
  <c r="M57" i="1"/>
  <c r="C58" i="2" s="1"/>
  <c r="B265" i="5"/>
  <c r="B264" i="5"/>
  <c r="B263" i="5"/>
  <c r="B261" i="5"/>
  <c r="B260" i="5"/>
  <c r="B259" i="5"/>
  <c r="B258" i="5"/>
  <c r="B257" i="5"/>
  <c r="B256" i="5"/>
  <c r="B255" i="5"/>
  <c r="B254" i="5"/>
  <c r="B253" i="5"/>
  <c r="B252" i="5"/>
  <c r="B251" i="5"/>
  <c r="B250" i="5"/>
  <c r="B249" i="5"/>
  <c r="B48" i="5"/>
  <c r="D84" i="2" l="1"/>
  <c r="N84" i="2" s="1"/>
  <c r="P84" i="2" s="1"/>
  <c r="S73" i="1"/>
  <c r="V57" i="1"/>
  <c r="D58" i="2"/>
  <c r="N58" i="2" s="1"/>
  <c r="P58" i="2" s="1"/>
  <c r="V65" i="1"/>
  <c r="D71" i="2"/>
  <c r="N71" i="2" s="1"/>
  <c r="P71" i="2" s="1"/>
  <c r="V99" i="1"/>
  <c r="D131" i="2"/>
  <c r="N131" i="2" s="1"/>
  <c r="P131" i="2" s="1"/>
  <c r="V119" i="1"/>
  <c r="D163" i="2"/>
  <c r="N163" i="2" s="1"/>
  <c r="P163" i="2" s="1"/>
  <c r="V108" i="1"/>
  <c r="D147" i="2"/>
  <c r="N147" i="2" s="1"/>
  <c r="P147" i="2" s="1"/>
  <c r="T119" i="1"/>
  <c r="T108" i="1"/>
  <c r="T99" i="1"/>
  <c r="V73" i="1"/>
  <c r="T65" i="1"/>
  <c r="I22" i="1" l="1"/>
  <c r="T73" i="1"/>
  <c r="T57" i="1"/>
  <c r="O21" i="1"/>
  <c r="V21" i="1" l="1"/>
  <c r="S21" i="1"/>
  <c r="K22" i="1"/>
  <c r="K26" i="1" s="1"/>
  <c r="E3" i="2"/>
  <c r="M136" i="1"/>
  <c r="M124" i="1"/>
  <c r="M123" i="1"/>
  <c r="M118" i="1"/>
  <c r="M114" i="1"/>
  <c r="M113" i="1"/>
  <c r="M112" i="1"/>
  <c r="M107" i="1"/>
  <c r="M103" i="1"/>
  <c r="M102" i="1"/>
  <c r="M101" i="1"/>
  <c r="M98" i="1"/>
  <c r="M97" i="1"/>
  <c r="M96" i="1"/>
  <c r="M95" i="1"/>
  <c r="M94" i="1"/>
  <c r="M93" i="1"/>
  <c r="M92" i="1"/>
  <c r="M91" i="1"/>
  <c r="M90" i="1"/>
  <c r="M89" i="1"/>
  <c r="M84" i="1"/>
  <c r="M80" i="1"/>
  <c r="M79" i="1"/>
  <c r="M78" i="1"/>
  <c r="M77" i="1"/>
  <c r="M72" i="1"/>
  <c r="M71" i="1"/>
  <c r="C82" i="2" s="1"/>
  <c r="M70" i="1"/>
  <c r="M69" i="1"/>
  <c r="M64" i="1"/>
  <c r="M63" i="1"/>
  <c r="M62" i="1"/>
  <c r="M61" i="1"/>
  <c r="M56" i="1"/>
  <c r="M55" i="1"/>
  <c r="M53" i="1"/>
  <c r="C55" i="2" s="1"/>
  <c r="M52" i="1"/>
  <c r="M51" i="1"/>
  <c r="M50" i="1"/>
  <c r="M44" i="1"/>
  <c r="M40" i="1"/>
  <c r="M35" i="1"/>
  <c r="M34" i="1"/>
  <c r="M33" i="1"/>
  <c r="M32" i="1"/>
  <c r="C22" i="2" s="1"/>
  <c r="M31" i="1"/>
  <c r="M30" i="1"/>
  <c r="M29" i="1"/>
  <c r="AF467" i="5" l="1"/>
  <c r="A272" i="5"/>
  <c r="AF271" i="5"/>
  <c r="A270" i="5"/>
  <c r="AF269" i="5"/>
  <c r="B268" i="5"/>
  <c r="B270" i="5" s="1"/>
  <c r="B271" i="5" s="1"/>
  <c r="B272" i="5" s="1"/>
  <c r="A268" i="5"/>
  <c r="A266" i="5"/>
  <c r="AF265" i="5"/>
  <c r="AF264" i="5"/>
  <c r="AF263" i="5"/>
  <c r="A262" i="5"/>
  <c r="AF261" i="5"/>
  <c r="AF260" i="5"/>
  <c r="AF259" i="5"/>
  <c r="AF258" i="5"/>
  <c r="AF257" i="5"/>
  <c r="AF256" i="5"/>
  <c r="B113" i="5"/>
  <c r="B114" i="5"/>
  <c r="B112" i="5"/>
  <c r="AT71" i="1"/>
  <c r="O71" i="1"/>
  <c r="S71" i="1" s="1"/>
  <c r="AT53" i="1"/>
  <c r="U53" i="1"/>
  <c r="O53" i="1"/>
  <c r="S53" i="1" s="1"/>
  <c r="A26" i="5"/>
  <c r="AF25" i="5"/>
  <c r="A24" i="5"/>
  <c r="AF23" i="5"/>
  <c r="B22" i="5"/>
  <c r="B24" i="5" s="1"/>
  <c r="B25" i="5" s="1"/>
  <c r="B26" i="5" s="1"/>
  <c r="A22" i="5"/>
  <c r="A20" i="5"/>
  <c r="V71" i="1" l="1"/>
  <c r="D82" i="2"/>
  <c r="N82" i="2" s="1"/>
  <c r="P82" i="2" s="1"/>
  <c r="V53" i="1"/>
  <c r="D55" i="2"/>
  <c r="N55" i="2" s="1"/>
  <c r="P55" i="2" s="1"/>
  <c r="AF113" i="5"/>
  <c r="T71" i="1"/>
  <c r="T53" i="1"/>
  <c r="B158" i="5" l="1"/>
  <c r="B125" i="5" l="1"/>
  <c r="AF127" i="5"/>
  <c r="AF126" i="5"/>
  <c r="B483" i="5"/>
  <c r="B484" i="5" s="1"/>
  <c r="B485" i="5" s="1"/>
  <c r="B486" i="5" s="1"/>
  <c r="B487" i="5" s="1"/>
  <c r="B488" i="5" s="1"/>
  <c r="B489" i="5" s="1"/>
  <c r="B490" i="5" s="1"/>
  <c r="B491" i="5" s="1"/>
  <c r="B492" i="5" s="1"/>
  <c r="B493" i="5" s="1"/>
  <c r="B494" i="5" s="1"/>
  <c r="B495" i="5" s="1"/>
  <c r="B496" i="5" s="1"/>
  <c r="B497" i="5" s="1"/>
  <c r="B498" i="5" s="1"/>
  <c r="B499" i="5" s="1"/>
  <c r="B500" i="5" s="1"/>
  <c r="B501" i="5" s="1"/>
  <c r="B502" i="5" s="1"/>
  <c r="B503" i="5" s="1"/>
  <c r="B504" i="5" s="1"/>
  <c r="B505" i="5" s="1"/>
  <c r="B506" i="5" s="1"/>
  <c r="B507" i="5" s="1"/>
  <c r="B508" i="5" s="1"/>
  <c r="B509" i="5" s="1"/>
  <c r="B510" i="5" s="1"/>
  <c r="B511" i="5" s="1"/>
  <c r="B512" i="5" s="1"/>
  <c r="B513" i="5" s="1"/>
  <c r="B514" i="5" s="1"/>
  <c r="B515" i="5" s="1"/>
  <c r="B516" i="5" s="1"/>
  <c r="B517" i="5" s="1"/>
  <c r="B518" i="5" s="1"/>
  <c r="B519" i="5" s="1"/>
  <c r="B520" i="5" s="1"/>
  <c r="B521" i="5" s="1"/>
  <c r="B522" i="5" s="1"/>
  <c r="B523" i="5" s="1"/>
  <c r="B524" i="5" s="1"/>
  <c r="B525" i="5" s="1"/>
  <c r="AF254" i="5"/>
  <c r="B47" i="5"/>
  <c r="B68" i="5"/>
  <c r="B67" i="5"/>
  <c r="B66" i="5"/>
  <c r="B64" i="5"/>
  <c r="B63" i="5"/>
  <c r="B60" i="5"/>
  <c r="B59" i="5"/>
  <c r="B58" i="5"/>
  <c r="B57" i="5"/>
  <c r="B56" i="5"/>
  <c r="B55" i="5"/>
  <c r="B54" i="5"/>
  <c r="B53" i="5"/>
  <c r="B52" i="5"/>
  <c r="B51" i="5"/>
  <c r="B50" i="5"/>
  <c r="B49" i="5"/>
  <c r="C27" i="2"/>
  <c r="C26" i="2"/>
  <c r="C172" i="2"/>
  <c r="C171" i="2"/>
  <c r="C165" i="2"/>
  <c r="C164" i="2"/>
  <c r="C158" i="2"/>
  <c r="C157" i="2"/>
  <c r="C149" i="2"/>
  <c r="C148" i="2"/>
  <c r="C60" i="2"/>
  <c r="C59" i="2"/>
  <c r="C86" i="2"/>
  <c r="C85" i="2"/>
  <c r="C103" i="2"/>
  <c r="C102" i="2"/>
  <c r="C108" i="2"/>
  <c r="C107" i="2"/>
  <c r="C106" i="2"/>
  <c r="M106" i="2"/>
  <c r="C105" i="2"/>
  <c r="D105" i="2"/>
  <c r="F105" i="2"/>
  <c r="M105" i="2"/>
  <c r="M108" i="2"/>
  <c r="M107" i="2"/>
  <c r="B5" i="4" l="1"/>
  <c r="B6" i="4" s="1"/>
  <c r="B7" i="4" s="1"/>
  <c r="B8" i="4" s="1"/>
  <c r="B9" i="4" s="1"/>
  <c r="B10" i="4" s="1"/>
  <c r="B11" i="4" s="1"/>
  <c r="B12" i="4" s="1"/>
  <c r="B13" i="4" s="1"/>
  <c r="B14" i="4" s="1"/>
  <c r="B15" i="4" l="1"/>
  <c r="B16" i="4"/>
  <c r="M23" i="1"/>
  <c r="C16" i="2" s="1"/>
  <c r="M22" i="1"/>
  <c r="C15" i="2" s="1"/>
  <c r="M21" i="1"/>
  <c r="C14" i="2" s="1"/>
  <c r="A34" i="5"/>
  <c r="F168" i="2" l="1"/>
  <c r="F167" i="2"/>
  <c r="D168" i="2"/>
  <c r="D167" i="2"/>
  <c r="C168" i="2"/>
  <c r="C167" i="2"/>
  <c r="F160" i="2"/>
  <c r="D160" i="2"/>
  <c r="C162" i="2"/>
  <c r="C160" i="2"/>
  <c r="M172" i="2"/>
  <c r="M171" i="2"/>
  <c r="M170" i="2"/>
  <c r="M169" i="2"/>
  <c r="M168" i="2"/>
  <c r="M167" i="2"/>
  <c r="M165" i="2"/>
  <c r="M164" i="2"/>
  <c r="M162" i="2"/>
  <c r="M160" i="2"/>
  <c r="A247" i="5"/>
  <c r="AF246" i="5"/>
  <c r="A245" i="5"/>
  <c r="AF244" i="5"/>
  <c r="B243" i="5"/>
  <c r="B245" i="5" s="1"/>
  <c r="B246" i="5" s="1"/>
  <c r="B247" i="5" s="1"/>
  <c r="A243" i="5"/>
  <c r="A240" i="5"/>
  <c r="AF239" i="5"/>
  <c r="A238" i="5"/>
  <c r="AF237" i="5"/>
  <c r="B236" i="5"/>
  <c r="B238" i="5" s="1"/>
  <c r="B239" i="5" s="1"/>
  <c r="B240" i="5" s="1"/>
  <c r="A236" i="5"/>
  <c r="A233" i="5"/>
  <c r="AF232" i="5"/>
  <c r="A231" i="5"/>
  <c r="AF230" i="5"/>
  <c r="B229" i="5"/>
  <c r="B231" i="5" s="1"/>
  <c r="B232" i="5" s="1"/>
  <c r="B233" i="5" s="1"/>
  <c r="A229" i="5"/>
  <c r="A227" i="5"/>
  <c r="AF226" i="5"/>
  <c r="AF225" i="5"/>
  <c r="AF224" i="5"/>
  <c r="A223" i="5"/>
  <c r="AF222" i="5"/>
  <c r="N124" i="1"/>
  <c r="O124" i="1" s="1"/>
  <c r="C170" i="2"/>
  <c r="C169" i="2"/>
  <c r="A125" i="1"/>
  <c r="AT124" i="1"/>
  <c r="AT123" i="1"/>
  <c r="O123" i="1"/>
  <c r="U122" i="1"/>
  <c r="M122" i="1"/>
  <c r="A122" i="1"/>
  <c r="A120" i="1"/>
  <c r="AT118" i="1"/>
  <c r="O118" i="1"/>
  <c r="S118" i="1" s="1"/>
  <c r="K120" i="1"/>
  <c r="U117" i="1"/>
  <c r="M117" i="1"/>
  <c r="A117" i="1"/>
  <c r="AF187" i="5"/>
  <c r="V123" i="1" l="1"/>
  <c r="S123" i="1"/>
  <c r="T123" i="1" s="1"/>
  <c r="D170" i="2"/>
  <c r="N170" i="2" s="1"/>
  <c r="P170" i="2" s="1"/>
  <c r="S124" i="1"/>
  <c r="T124" i="1" s="1"/>
  <c r="U120" i="1"/>
  <c r="V118" i="1"/>
  <c r="O120" i="1"/>
  <c r="G19" i="10" s="1"/>
  <c r="N160" i="2"/>
  <c r="P160" i="2" s="1"/>
  <c r="D162" i="2"/>
  <c r="D169" i="2"/>
  <c r="N167" i="2"/>
  <c r="P167" i="2" s="1"/>
  <c r="N168" i="2"/>
  <c r="P168" i="2" s="1"/>
  <c r="O125" i="1"/>
  <c r="G20" i="10" s="1"/>
  <c r="K125" i="1"/>
  <c r="U125" i="1"/>
  <c r="V124" i="1"/>
  <c r="AF188" i="5"/>
  <c r="I79" i="1" l="1"/>
  <c r="E105" i="2" s="1"/>
  <c r="N105" i="2" s="1"/>
  <c r="P105" i="2" s="1"/>
  <c r="U79" i="1"/>
  <c r="V125" i="1"/>
  <c r="D20" i="10" s="1"/>
  <c r="V120" i="1"/>
  <c r="D19" i="10" s="1"/>
  <c r="N169" i="2"/>
  <c r="D172" i="2"/>
  <c r="N162" i="2"/>
  <c r="D165" i="2"/>
  <c r="P164" i="2"/>
  <c r="N164" i="2"/>
  <c r="O164" i="2" s="1"/>
  <c r="T118" i="1"/>
  <c r="T120" i="1" s="1"/>
  <c r="S120" i="1"/>
  <c r="N171" i="2"/>
  <c r="E171" i="2" s="1"/>
  <c r="P171" i="2"/>
  <c r="T125" i="1"/>
  <c r="S125" i="1"/>
  <c r="AF377" i="5"/>
  <c r="AF376" i="5"/>
  <c r="H164" i="2" l="1"/>
  <c r="H171" i="2"/>
  <c r="P169" i="2"/>
  <c r="P172" i="2" s="1"/>
  <c r="N165" i="2"/>
  <c r="O165" i="2" s="1"/>
  <c r="P162" i="2"/>
  <c r="P107" i="2"/>
  <c r="N107" i="2"/>
  <c r="E107" i="2" s="1"/>
  <c r="K79" i="1"/>
  <c r="O49" i="13" s="1"/>
  <c r="Q49" i="13" s="1"/>
  <c r="P165" i="2"/>
  <c r="N172" i="2"/>
  <c r="E172" i="2" s="1"/>
  <c r="E165" i="2"/>
  <c r="E13" i="4"/>
  <c r="E164" i="2"/>
  <c r="O171" i="2"/>
  <c r="AF312" i="5"/>
  <c r="H107" i="2" l="1"/>
  <c r="F13" i="4"/>
  <c r="H172" i="2"/>
  <c r="F12" i="4"/>
  <c r="E12" i="4" s="1"/>
  <c r="H165" i="2"/>
  <c r="O107" i="2"/>
  <c r="O172" i="2"/>
  <c r="O79" i="1"/>
  <c r="G16" i="10" s="1"/>
  <c r="O80" i="1"/>
  <c r="S80" i="1" s="1"/>
  <c r="AT79" i="1"/>
  <c r="D106" i="2" l="1"/>
  <c r="N106" i="2" s="1"/>
  <c r="S79" i="1"/>
  <c r="V79" i="1"/>
  <c r="D16" i="10" s="1"/>
  <c r="P106" i="2" l="1"/>
  <c r="P108" i="2" s="1"/>
  <c r="D108" i="2"/>
  <c r="N108" i="2"/>
  <c r="T79" i="1"/>
  <c r="H108" i="2" l="1"/>
  <c r="E108" i="2"/>
  <c r="O108" i="2"/>
  <c r="AF438" i="5"/>
  <c r="AF437" i="5"/>
  <c r="AF186" i="5"/>
  <c r="AF185" i="5"/>
  <c r="AF184" i="5"/>
  <c r="AF47" i="5"/>
  <c r="AF72" i="5" l="1"/>
  <c r="AF461" i="5" l="1"/>
  <c r="AF459" i="5"/>
  <c r="AF454" i="5"/>
  <c r="AF452" i="5"/>
  <c r="AF447" i="5"/>
  <c r="AF445" i="5"/>
  <c r="AF371" i="5"/>
  <c r="AF369" i="5"/>
  <c r="AF364" i="5"/>
  <c r="AF362" i="5"/>
  <c r="AF357" i="5"/>
  <c r="AF355" i="5"/>
  <c r="AF403" i="5"/>
  <c r="AF401" i="5"/>
  <c r="AF396" i="5"/>
  <c r="AF394" i="5"/>
  <c r="AF389" i="5"/>
  <c r="AF387" i="5"/>
  <c r="AF213" i="5"/>
  <c r="AF211" i="5"/>
  <c r="AF206" i="5"/>
  <c r="AF204" i="5"/>
  <c r="AF199" i="5"/>
  <c r="AF197" i="5"/>
  <c r="AF178" i="5"/>
  <c r="AF176" i="5"/>
  <c r="AF171" i="5"/>
  <c r="AF169" i="5"/>
  <c r="AF164" i="5"/>
  <c r="AF162" i="5"/>
  <c r="AF149" i="5"/>
  <c r="AF147" i="5"/>
  <c r="AF142" i="5"/>
  <c r="AF140" i="5"/>
  <c r="AF135" i="5"/>
  <c r="AF133" i="5"/>
  <c r="AF122" i="5"/>
  <c r="AF120" i="5"/>
  <c r="AF88" i="5"/>
  <c r="AF86" i="5"/>
  <c r="AF81" i="5"/>
  <c r="AF79" i="5"/>
  <c r="AF74" i="5"/>
  <c r="B71" i="5"/>
  <c r="AF68" i="5"/>
  <c r="AF67" i="5"/>
  <c r="AF66" i="5"/>
  <c r="A65" i="5"/>
  <c r="AF57" i="5"/>
  <c r="AF436" i="5"/>
  <c r="A14" i="5" l="1"/>
  <c r="A15" i="5"/>
  <c r="AF291" i="5"/>
  <c r="A462" i="5"/>
  <c r="A460" i="5"/>
  <c r="B458" i="5"/>
  <c r="B460" i="5" s="1"/>
  <c r="B461" i="5" s="1"/>
  <c r="A458" i="5"/>
  <c r="A455" i="5"/>
  <c r="A453" i="5"/>
  <c r="B451" i="5"/>
  <c r="B453" i="5" s="1"/>
  <c r="B454" i="5" s="1"/>
  <c r="A451" i="5"/>
  <c r="A448" i="5"/>
  <c r="A446" i="5"/>
  <c r="B444" i="5"/>
  <c r="B446" i="5" s="1"/>
  <c r="B447" i="5" s="1"/>
  <c r="A444" i="5"/>
  <c r="A442" i="5"/>
  <c r="A404" i="5"/>
  <c r="A402" i="5"/>
  <c r="B400" i="5"/>
  <c r="B402" i="5" s="1"/>
  <c r="B403" i="5" s="1"/>
  <c r="A400" i="5"/>
  <c r="A397" i="5"/>
  <c r="A395" i="5"/>
  <c r="B393" i="5"/>
  <c r="B395" i="5" s="1"/>
  <c r="B396" i="5" s="1"/>
  <c r="A393" i="5"/>
  <c r="A390" i="5"/>
  <c r="A388" i="5"/>
  <c r="B386" i="5"/>
  <c r="B388" i="5" s="1"/>
  <c r="B389" i="5" s="1"/>
  <c r="A386" i="5"/>
  <c r="A384" i="5"/>
  <c r="A482" i="5"/>
  <c r="AF189" i="5"/>
  <c r="AF155" i="5"/>
  <c r="AF128" i="5"/>
  <c r="AF115" i="5"/>
  <c r="AF466" i="5"/>
  <c r="AF465" i="5"/>
  <c r="AF464" i="5"/>
  <c r="AF441" i="5"/>
  <c r="AF439" i="5"/>
  <c r="AF316" i="5"/>
  <c r="AF315" i="5"/>
  <c r="AF314" i="5"/>
  <c r="AF415" i="5"/>
  <c r="AF417" i="5"/>
  <c r="AF301" i="5"/>
  <c r="AF302" i="5"/>
  <c r="AF306" i="5"/>
  <c r="AF307" i="5"/>
  <c r="AF308" i="5"/>
  <c r="AF309" i="5"/>
  <c r="AF310" i="5"/>
  <c r="AF311" i="5"/>
  <c r="AF383" i="5"/>
  <c r="AF406" i="5"/>
  <c r="AF407" i="5"/>
  <c r="AF408" i="5"/>
  <c r="AF379" i="5"/>
  <c r="AF380" i="5"/>
  <c r="AF381" i="5"/>
  <c r="AF382" i="5"/>
  <c r="AF378" i="5"/>
  <c r="AF375" i="5"/>
  <c r="AF374" i="5"/>
  <c r="AF220" i="5"/>
  <c r="AF299" i="5"/>
  <c r="AF298" i="5"/>
  <c r="AF297" i="5"/>
  <c r="AF296" i="5"/>
  <c r="AF295" i="5"/>
  <c r="AF294" i="5"/>
  <c r="AF293" i="5"/>
  <c r="AF287" i="5"/>
  <c r="AF249" i="5"/>
  <c r="AF274" i="5"/>
  <c r="B275" i="5"/>
  <c r="AF255" i="5"/>
  <c r="AF217" i="5"/>
  <c r="AF218" i="5"/>
  <c r="AF219" i="5"/>
  <c r="AF182" i="5"/>
  <c r="AF114" i="5"/>
  <c r="AF112" i="5"/>
  <c r="AF64" i="5"/>
  <c r="AF63" i="5"/>
  <c r="AF60" i="5"/>
  <c r="AF59" i="5"/>
  <c r="AF58" i="5"/>
  <c r="AF56" i="5"/>
  <c r="AF55" i="5"/>
  <c r="AF54" i="5"/>
  <c r="AF53" i="5"/>
  <c r="AF52" i="5"/>
  <c r="AF51" i="5"/>
  <c r="AF50" i="5"/>
  <c r="AF49" i="5"/>
  <c r="AF48" i="5"/>
  <c r="A36" i="5"/>
  <c r="AF33" i="5"/>
  <c r="B448" i="5" l="1"/>
  <c r="B455" i="5"/>
  <c r="B462" i="5"/>
  <c r="B397" i="5"/>
  <c r="B390" i="5"/>
  <c r="B404" i="5"/>
  <c r="A372" i="5"/>
  <c r="A370" i="5"/>
  <c r="B368" i="5"/>
  <c r="B370" i="5" s="1"/>
  <c r="B371" i="5" s="1"/>
  <c r="A368" i="5"/>
  <c r="A365" i="5"/>
  <c r="A363" i="5"/>
  <c r="B361" i="5"/>
  <c r="B363" i="5" s="1"/>
  <c r="B364" i="5" s="1"/>
  <c r="A361" i="5"/>
  <c r="A358" i="5"/>
  <c r="A356" i="5"/>
  <c r="B354" i="5"/>
  <c r="B356" i="5" s="1"/>
  <c r="B357" i="5" s="1"/>
  <c r="A354" i="5"/>
  <c r="A214" i="5"/>
  <c r="A212" i="5"/>
  <c r="B210" i="5"/>
  <c r="B212" i="5" s="1"/>
  <c r="B213" i="5" s="1"/>
  <c r="A210" i="5"/>
  <c r="A207" i="5"/>
  <c r="A205" i="5"/>
  <c r="B203" i="5"/>
  <c r="B205" i="5" s="1"/>
  <c r="B206" i="5" s="1"/>
  <c r="A203" i="5"/>
  <c r="A200" i="5"/>
  <c r="A198" i="5"/>
  <c r="B196" i="5"/>
  <c r="B198" i="5" s="1"/>
  <c r="B199" i="5" s="1"/>
  <c r="A196" i="5"/>
  <c r="A179" i="5"/>
  <c r="A177" i="5"/>
  <c r="B175" i="5"/>
  <c r="B177" i="5" s="1"/>
  <c r="B178" i="5" s="1"/>
  <c r="A175" i="5"/>
  <c r="A172" i="5"/>
  <c r="A170" i="5"/>
  <c r="B168" i="5"/>
  <c r="B170" i="5" s="1"/>
  <c r="B171" i="5" s="1"/>
  <c r="A168" i="5"/>
  <c r="A165" i="5"/>
  <c r="A163" i="5"/>
  <c r="B161" i="5"/>
  <c r="B163" i="5" s="1"/>
  <c r="B164" i="5" s="1"/>
  <c r="A161" i="5"/>
  <c r="A150" i="5"/>
  <c r="A148" i="5"/>
  <c r="B146" i="5"/>
  <c r="B148" i="5" s="1"/>
  <c r="B149" i="5" s="1"/>
  <c r="A146" i="5"/>
  <c r="A143" i="5"/>
  <c r="A141" i="5"/>
  <c r="B139" i="5"/>
  <c r="B141" i="5" s="1"/>
  <c r="B142" i="5" s="1"/>
  <c r="A139" i="5"/>
  <c r="A136" i="5"/>
  <c r="A134" i="5"/>
  <c r="B132" i="5"/>
  <c r="B134" i="5" s="1"/>
  <c r="B135" i="5" s="1"/>
  <c r="A132" i="5"/>
  <c r="A123" i="5"/>
  <c r="A121" i="5"/>
  <c r="B119" i="5"/>
  <c r="B121" i="5" s="1"/>
  <c r="B122" i="5" s="1"/>
  <c r="A119" i="5"/>
  <c r="A89" i="5"/>
  <c r="A87" i="5"/>
  <c r="B85" i="5"/>
  <c r="B87" i="5" s="1"/>
  <c r="B88" i="5" s="1"/>
  <c r="A85" i="5"/>
  <c r="A352" i="5"/>
  <c r="A194" i="5"/>
  <c r="A159" i="5"/>
  <c r="A130" i="5"/>
  <c r="A117" i="5"/>
  <c r="A80" i="5"/>
  <c r="A82" i="5"/>
  <c r="B78" i="5"/>
  <c r="B80" i="5" s="1"/>
  <c r="B81" i="5" s="1"/>
  <c r="A78" i="5"/>
  <c r="B73" i="5"/>
  <c r="B74" i="5" s="1"/>
  <c r="A73" i="5"/>
  <c r="A69" i="5"/>
  <c r="A75" i="5"/>
  <c r="A71" i="5"/>
  <c r="AF440" i="5"/>
  <c r="AF414" i="5"/>
  <c r="AF413" i="5"/>
  <c r="AF410" i="5"/>
  <c r="AF412" i="5"/>
  <c r="AF411" i="5"/>
  <c r="AF409" i="5"/>
  <c r="AF290" i="5"/>
  <c r="B276" i="5"/>
  <c r="A276" i="5"/>
  <c r="A275" i="5"/>
  <c r="AF277" i="5"/>
  <c r="AF278" i="5"/>
  <c r="AF221" i="5"/>
  <c r="AF250" i="5"/>
  <c r="AF216" i="5"/>
  <c r="A472" i="5"/>
  <c r="AF190" i="5"/>
  <c r="AF193" i="5"/>
  <c r="AF192" i="5"/>
  <c r="AF191" i="5"/>
  <c r="AF183" i="5"/>
  <c r="AF158" i="5"/>
  <c r="AF156" i="5"/>
  <c r="AF129" i="5"/>
  <c r="AF116" i="5"/>
  <c r="AF46" i="5"/>
  <c r="B152" i="5"/>
  <c r="AF28" i="5"/>
  <c r="AF30" i="5"/>
  <c r="AF29" i="5"/>
  <c r="AF16" i="5"/>
  <c r="AF17" i="5"/>
  <c r="AF18" i="5"/>
  <c r="A481" i="5"/>
  <c r="A480" i="5"/>
  <c r="A479" i="5"/>
  <c r="A475" i="5"/>
  <c r="A474" i="5"/>
  <c r="A473" i="5"/>
  <c r="A478" i="5"/>
  <c r="A477" i="5"/>
  <c r="A476" i="5"/>
  <c r="A471" i="5"/>
  <c r="A470" i="5"/>
  <c r="A435" i="5"/>
  <c r="A434" i="5"/>
  <c r="A313" i="5"/>
  <c r="A300" i="5"/>
  <c r="A44" i="5"/>
  <c r="A40" i="5"/>
  <c r="A39" i="5"/>
  <c r="A38" i="5"/>
  <c r="A19" i="5"/>
  <c r="A7" i="5"/>
  <c r="A6" i="5"/>
  <c r="A5" i="5"/>
  <c r="A4" i="5"/>
  <c r="A125" i="5"/>
  <c r="A43" i="5"/>
  <c r="A42" i="5"/>
  <c r="A41" i="5"/>
  <c r="B75" i="5" l="1"/>
  <c r="B372" i="5"/>
  <c r="B365" i="5"/>
  <c r="B358" i="5"/>
  <c r="B214" i="5"/>
  <c r="B207" i="5"/>
  <c r="B200" i="5"/>
  <c r="B179" i="5"/>
  <c r="B172" i="5"/>
  <c r="B165" i="5"/>
  <c r="B150" i="5"/>
  <c r="B143" i="5"/>
  <c r="B136" i="5"/>
  <c r="B123" i="5"/>
  <c r="B89" i="5"/>
  <c r="B82" i="5"/>
  <c r="AF292" i="5"/>
  <c r="AF288" i="5"/>
  <c r="AF251" i="5"/>
  <c r="AF252" i="5"/>
  <c r="AF253" i="5"/>
  <c r="A32" i="5"/>
  <c r="A31" i="5"/>
  <c r="A37" i="5"/>
  <c r="A152" i="5"/>
  <c r="M158" i="2" l="1"/>
  <c r="M157" i="2"/>
  <c r="M149" i="2"/>
  <c r="M148" i="2"/>
  <c r="M103" i="2"/>
  <c r="M102" i="2"/>
  <c r="M86" i="2"/>
  <c r="M85" i="2"/>
  <c r="M73" i="2"/>
  <c r="M72" i="2"/>
  <c r="M60" i="2"/>
  <c r="M59" i="2"/>
  <c r="M27" i="2"/>
  <c r="M26" i="2"/>
  <c r="D11" i="5" l="1"/>
  <c r="AF11" i="5" s="1"/>
  <c r="A13" i="6"/>
  <c r="D10" i="5"/>
  <c r="AF10" i="5" s="1"/>
  <c r="A12" i="6"/>
  <c r="AT9" i="1"/>
  <c r="AT10" i="1"/>
  <c r="D12" i="5" l="1"/>
  <c r="A11" i="6"/>
  <c r="I13" i="5"/>
  <c r="AF13" i="5" s="1"/>
  <c r="AT55" i="1"/>
  <c r="M26" i="13" l="1"/>
  <c r="K55" i="1"/>
  <c r="O28" i="13" s="1"/>
  <c r="Q28" i="13" s="1"/>
  <c r="D8" i="5"/>
  <c r="AF8" i="5" s="1"/>
  <c r="D9" i="5"/>
  <c r="AF9" i="5" s="1"/>
  <c r="AF12" i="5"/>
  <c r="A14" i="6"/>
  <c r="B479" i="5"/>
  <c r="B480" i="5" s="1"/>
  <c r="B481" i="5" s="1"/>
  <c r="B476" i="5"/>
  <c r="B477" i="5" s="1"/>
  <c r="B478" i="5" s="1"/>
  <c r="B473" i="5"/>
  <c r="B474" i="5" s="1"/>
  <c r="B475" i="5" s="1"/>
  <c r="U100" i="1"/>
  <c r="M100" i="1"/>
  <c r="U87" i="1"/>
  <c r="M87" i="1"/>
  <c r="U135" i="1"/>
  <c r="M135" i="1"/>
  <c r="U111" i="1"/>
  <c r="M111" i="1"/>
  <c r="U76" i="1"/>
  <c r="M76" i="1"/>
  <c r="U68" i="1"/>
  <c r="M68" i="1"/>
  <c r="U60" i="1"/>
  <c r="M60" i="1"/>
  <c r="A60" i="1"/>
  <c r="U38" i="1"/>
  <c r="M38" i="1"/>
  <c r="A38" i="1"/>
  <c r="U28" i="1"/>
  <c r="M20" i="1"/>
  <c r="U20" i="1"/>
  <c r="M28" i="1"/>
  <c r="V35" i="1"/>
  <c r="T136" i="1"/>
  <c r="M54" i="2"/>
  <c r="M39" i="2"/>
  <c r="F39" i="2"/>
  <c r="C39" i="2"/>
  <c r="K74" i="1" l="1"/>
  <c r="K66" i="1"/>
  <c r="A35" i="5"/>
  <c r="A45" i="5"/>
  <c r="T21" i="1"/>
  <c r="N52" i="1"/>
  <c r="I52" i="1"/>
  <c r="E39" i="2" s="1"/>
  <c r="C54" i="2"/>
  <c r="K56" i="1"/>
  <c r="O29" i="13" s="1"/>
  <c r="Q29" i="13" s="1"/>
  <c r="O40" i="1"/>
  <c r="S40" i="1" s="1"/>
  <c r="AT40" i="1"/>
  <c r="M44" i="2"/>
  <c r="M29" i="2"/>
  <c r="F29" i="2"/>
  <c r="C29" i="2"/>
  <c r="C44" i="2"/>
  <c r="M101" i="2"/>
  <c r="C101" i="2"/>
  <c r="M94" i="2"/>
  <c r="F94" i="2"/>
  <c r="N94" i="2"/>
  <c r="P94" i="2" s="1"/>
  <c r="C94" i="2"/>
  <c r="O84" i="1"/>
  <c r="AT84" i="1"/>
  <c r="N80" i="1"/>
  <c r="O70" i="1"/>
  <c r="S70" i="1" s="1"/>
  <c r="I80" i="1" l="1"/>
  <c r="E90" i="2" s="1"/>
  <c r="I51" i="1"/>
  <c r="E38" i="2" s="1"/>
  <c r="S84" i="1"/>
  <c r="T84" i="1" s="1"/>
  <c r="U80" i="1"/>
  <c r="T40" i="1"/>
  <c r="V80" i="1"/>
  <c r="V70" i="1"/>
  <c r="T70" i="1"/>
  <c r="V40" i="1"/>
  <c r="D101" i="2"/>
  <c r="N101" i="2" s="1"/>
  <c r="P101" i="2" s="1"/>
  <c r="V84" i="1"/>
  <c r="F35" i="1"/>
  <c r="D44" i="2"/>
  <c r="U40" i="1"/>
  <c r="D29" i="2"/>
  <c r="N29" i="2" s="1"/>
  <c r="P29" i="2" s="1"/>
  <c r="H35" i="1" l="1"/>
  <c r="I35" i="1" s="1"/>
  <c r="K51" i="1"/>
  <c r="O25" i="13" s="1"/>
  <c r="Q25" i="13" s="1"/>
  <c r="K80" i="1"/>
  <c r="K52" i="1"/>
  <c r="O26" i="13" s="1"/>
  <c r="Q26" i="13" s="1"/>
  <c r="N44" i="2"/>
  <c r="P44" i="2" s="1"/>
  <c r="O52" i="1"/>
  <c r="S52" i="1" s="1"/>
  <c r="D39" i="2"/>
  <c r="N39" i="2" s="1"/>
  <c r="P39" i="2" s="1"/>
  <c r="T80" i="1" l="1"/>
  <c r="O48" i="13"/>
  <c r="Q48" i="13" s="1"/>
  <c r="R48" i="13" s="1"/>
  <c r="K35" i="1"/>
  <c r="E13" i="2"/>
  <c r="T52" i="1"/>
  <c r="D54" i="2"/>
  <c r="N54" i="2" s="1"/>
  <c r="P54" i="2" s="1"/>
  <c r="V52" i="1"/>
  <c r="B73" i="3"/>
  <c r="I50" i="1" l="1"/>
  <c r="E37" i="2" s="1"/>
  <c r="B72" i="3"/>
  <c r="B69" i="3"/>
  <c r="U52" i="1"/>
  <c r="K50" i="1" l="1"/>
  <c r="O24" i="13" s="1"/>
  <c r="Q24" i="13" s="1"/>
  <c r="AT72" i="1"/>
  <c r="K58" i="1" l="1"/>
  <c r="AT8" i="1"/>
  <c r="A3" i="1"/>
  <c r="A5" i="1"/>
  <c r="A6" i="1"/>
  <c r="A12" i="1"/>
  <c r="A13" i="1"/>
  <c r="A15" i="1"/>
  <c r="A16" i="1"/>
  <c r="A17" i="1"/>
  <c r="A18" i="1"/>
  <c r="A20" i="1"/>
  <c r="AT14" i="1"/>
  <c r="AT11" i="1"/>
  <c r="AT7" i="1"/>
  <c r="AT4" i="1"/>
  <c r="E188" i="2" l="1"/>
  <c r="AT96" i="1"/>
  <c r="AT97" i="1"/>
  <c r="AT98" i="1"/>
  <c r="AT95" i="1"/>
  <c r="AT77" i="1"/>
  <c r="A149" i="1" l="1"/>
  <c r="A146" i="1"/>
  <c r="A145" i="1"/>
  <c r="A144" i="1"/>
  <c r="A143" i="1"/>
  <c r="A142" i="1"/>
  <c r="A141" i="1"/>
  <c r="A140" i="1"/>
  <c r="A139" i="1"/>
  <c r="A138" i="1"/>
  <c r="A135" i="1"/>
  <c r="A115" i="1"/>
  <c r="A111" i="1"/>
  <c r="A109" i="1"/>
  <c r="A100" i="1"/>
  <c r="A88" i="1"/>
  <c r="A87" i="1"/>
  <c r="A85" i="1"/>
  <c r="A76" i="1"/>
  <c r="A74" i="1"/>
  <c r="A68" i="1"/>
  <c r="A66" i="1"/>
  <c r="A58" i="1"/>
  <c r="A39" i="1"/>
  <c r="A36" i="1"/>
  <c r="A28" i="1"/>
  <c r="A26" i="1"/>
  <c r="AT148" i="1"/>
  <c r="AT147" i="1"/>
  <c r="AT136" i="1"/>
  <c r="AT114" i="1"/>
  <c r="AT113" i="1"/>
  <c r="AT112" i="1"/>
  <c r="AT101" i="1"/>
  <c r="AT107" i="1"/>
  <c r="AT103" i="1"/>
  <c r="AT102" i="1"/>
  <c r="AT90" i="1"/>
  <c r="AT91" i="1"/>
  <c r="AT92" i="1"/>
  <c r="AT93" i="1"/>
  <c r="AT94" i="1"/>
  <c r="AT89" i="1"/>
  <c r="AT80" i="1"/>
  <c r="AT78" i="1"/>
  <c r="AT70" i="1"/>
  <c r="AT69" i="1"/>
  <c r="AT64" i="1"/>
  <c r="AT63" i="1"/>
  <c r="AT62" i="1"/>
  <c r="AT61" i="1"/>
  <c r="AT33" i="1"/>
  <c r="AT32" i="1"/>
  <c r="AT31" i="1"/>
  <c r="AT30" i="1"/>
  <c r="AT29" i="1"/>
  <c r="AT22" i="1"/>
  <c r="AT23" i="1"/>
  <c r="AT21" i="1"/>
  <c r="F152" i="2"/>
  <c r="F153" i="2"/>
  <c r="F151" i="2"/>
  <c r="F133" i="2"/>
  <c r="F134" i="2"/>
  <c r="F138" i="2"/>
  <c r="F132" i="2"/>
  <c r="F111" i="2"/>
  <c r="F112" i="2"/>
  <c r="F113" i="2"/>
  <c r="F114" i="2"/>
  <c r="F115" i="2"/>
  <c r="F116" i="2"/>
  <c r="F117" i="2"/>
  <c r="F118" i="2"/>
  <c r="F119" i="2"/>
  <c r="F110" i="2"/>
  <c r="F89" i="2"/>
  <c r="F90" i="2"/>
  <c r="F88" i="2"/>
  <c r="F63" i="2"/>
  <c r="F64" i="2"/>
  <c r="F65" i="2"/>
  <c r="F62" i="2"/>
  <c r="F31" i="2"/>
  <c r="F37" i="2"/>
  <c r="F38" i="2"/>
  <c r="F41" i="2"/>
  <c r="F42" i="2"/>
  <c r="F8" i="2"/>
  <c r="F9" i="2"/>
  <c r="F10" i="2"/>
  <c r="F11" i="2"/>
  <c r="F12" i="2"/>
  <c r="F13" i="2"/>
  <c r="F7" i="2"/>
  <c r="F3" i="2"/>
  <c r="F4" i="2"/>
  <c r="F2" i="2"/>
  <c r="E185" i="2"/>
  <c r="D184" i="2"/>
  <c r="C155" i="2"/>
  <c r="C156" i="2"/>
  <c r="C154" i="2"/>
  <c r="D152" i="2"/>
  <c r="D153" i="2"/>
  <c r="D151" i="2"/>
  <c r="C152" i="2"/>
  <c r="C153" i="2"/>
  <c r="C151" i="2"/>
  <c r="C141" i="2"/>
  <c r="C142" i="2"/>
  <c r="C146" i="2"/>
  <c r="C140" i="2"/>
  <c r="D133" i="2"/>
  <c r="D134" i="2"/>
  <c r="D138" i="2"/>
  <c r="D132" i="2"/>
  <c r="F89" i="1"/>
  <c r="C133" i="2"/>
  <c r="C134" i="2"/>
  <c r="C138" i="2"/>
  <c r="C132" i="2"/>
  <c r="M186" i="2"/>
  <c r="M185" i="2"/>
  <c r="M184" i="2"/>
  <c r="M156" i="2"/>
  <c r="M155" i="2"/>
  <c r="M154" i="2"/>
  <c r="M153" i="2"/>
  <c r="M152" i="2"/>
  <c r="M151" i="2"/>
  <c r="M146" i="2"/>
  <c r="M142" i="2"/>
  <c r="M141" i="2"/>
  <c r="M140" i="2"/>
  <c r="M138" i="2"/>
  <c r="M134" i="2"/>
  <c r="M133" i="2"/>
  <c r="M132" i="2"/>
  <c r="C128" i="2"/>
  <c r="C129" i="2"/>
  <c r="C130" i="2"/>
  <c r="C127" i="2"/>
  <c r="C122" i="2"/>
  <c r="C123" i="2"/>
  <c r="C124" i="2"/>
  <c r="C125" i="2"/>
  <c r="C126" i="2"/>
  <c r="C121" i="2"/>
  <c r="C111" i="2"/>
  <c r="C112" i="2"/>
  <c r="C113" i="2"/>
  <c r="C114" i="2"/>
  <c r="C115" i="2"/>
  <c r="C116" i="2"/>
  <c r="C117" i="2"/>
  <c r="C118" i="2"/>
  <c r="C119" i="2"/>
  <c r="C110" i="2"/>
  <c r="C96" i="2"/>
  <c r="C97" i="2"/>
  <c r="C95" i="2"/>
  <c r="D89" i="2"/>
  <c r="D90" i="2"/>
  <c r="D88" i="2"/>
  <c r="C89" i="2"/>
  <c r="C90" i="2"/>
  <c r="C88" i="2"/>
  <c r="C81" i="2"/>
  <c r="C83" i="2"/>
  <c r="C80" i="2"/>
  <c r="N76" i="2"/>
  <c r="P76" i="2" s="1"/>
  <c r="N78" i="2"/>
  <c r="P78" i="2" s="1"/>
  <c r="C76" i="2"/>
  <c r="C78" i="2"/>
  <c r="C75" i="2"/>
  <c r="C68" i="2"/>
  <c r="C69" i="2"/>
  <c r="C70" i="2"/>
  <c r="C67" i="2"/>
  <c r="D63" i="2"/>
  <c r="D64" i="2"/>
  <c r="D65" i="2"/>
  <c r="D62" i="2"/>
  <c r="C63" i="2"/>
  <c r="C64" i="2"/>
  <c r="C65" i="2"/>
  <c r="C62" i="2"/>
  <c r="C46" i="2"/>
  <c r="C52" i="2"/>
  <c r="C53" i="2"/>
  <c r="C56" i="2"/>
  <c r="C57" i="2"/>
  <c r="D31" i="2"/>
  <c r="C42" i="2"/>
  <c r="C31" i="2"/>
  <c r="C37" i="2"/>
  <c r="C38" i="2"/>
  <c r="C41" i="2"/>
  <c r="D25" i="2"/>
  <c r="C20" i="2"/>
  <c r="C21" i="2"/>
  <c r="C23" i="2"/>
  <c r="C24" i="2"/>
  <c r="C25" i="2"/>
  <c r="C19" i="2"/>
  <c r="D8" i="2"/>
  <c r="D9" i="2"/>
  <c r="D10" i="2"/>
  <c r="D11" i="2"/>
  <c r="D7" i="2"/>
  <c r="C8" i="2"/>
  <c r="C9" i="2"/>
  <c r="C10" i="2"/>
  <c r="C11" i="2"/>
  <c r="C12" i="2"/>
  <c r="C13" i="2"/>
  <c r="C7" i="2"/>
  <c r="M16" i="2"/>
  <c r="M130" i="2"/>
  <c r="M129" i="2"/>
  <c r="M128" i="2"/>
  <c r="M127" i="2"/>
  <c r="M126" i="2"/>
  <c r="M125" i="2"/>
  <c r="M124" i="2"/>
  <c r="M123" i="2"/>
  <c r="M122" i="2"/>
  <c r="M121" i="2"/>
  <c r="M119" i="2"/>
  <c r="M118" i="2"/>
  <c r="M117" i="2"/>
  <c r="M116" i="2"/>
  <c r="M115" i="2"/>
  <c r="M114" i="2"/>
  <c r="M113" i="2"/>
  <c r="M112" i="2"/>
  <c r="M111" i="2"/>
  <c r="M110" i="2"/>
  <c r="M97" i="2"/>
  <c r="M96" i="2"/>
  <c r="M95" i="2"/>
  <c r="M90" i="2"/>
  <c r="M89" i="2"/>
  <c r="M88" i="2"/>
  <c r="M83" i="2"/>
  <c r="M81" i="2"/>
  <c r="M80" i="2"/>
  <c r="M78" i="2"/>
  <c r="M76" i="2"/>
  <c r="M75" i="2"/>
  <c r="M70" i="2"/>
  <c r="M69" i="2"/>
  <c r="M68" i="2"/>
  <c r="M67" i="2"/>
  <c r="M65" i="2"/>
  <c r="M64" i="2"/>
  <c r="M63" i="2"/>
  <c r="M62" i="2"/>
  <c r="M57" i="2"/>
  <c r="M56" i="2"/>
  <c r="M53" i="2"/>
  <c r="M52" i="2"/>
  <c r="M46" i="2"/>
  <c r="M42" i="2"/>
  <c r="M41" i="2"/>
  <c r="M38" i="2"/>
  <c r="M37" i="2"/>
  <c r="M31" i="2"/>
  <c r="M25" i="2"/>
  <c r="M24" i="2"/>
  <c r="M23" i="2"/>
  <c r="M22" i="2"/>
  <c r="M21" i="2"/>
  <c r="M20" i="2"/>
  <c r="M19" i="2"/>
  <c r="M13" i="2"/>
  <c r="M12" i="2"/>
  <c r="M11" i="2"/>
  <c r="M10" i="2"/>
  <c r="M9" i="2"/>
  <c r="M8" i="2"/>
  <c r="M7" i="2"/>
  <c r="M15" i="2"/>
  <c r="M14" i="2"/>
  <c r="M3" i="2"/>
  <c r="M4" i="2"/>
  <c r="M2" i="2"/>
  <c r="D3" i="2"/>
  <c r="D4" i="2"/>
  <c r="D2" i="2"/>
  <c r="F96" i="1"/>
  <c r="F98" i="1"/>
  <c r="F97" i="1"/>
  <c r="U114" i="1"/>
  <c r="O114" i="1"/>
  <c r="S114" i="1" s="1"/>
  <c r="U113" i="1"/>
  <c r="O113" i="1"/>
  <c r="S113" i="1" s="1"/>
  <c r="U112" i="1"/>
  <c r="O112" i="1"/>
  <c r="S112" i="1" s="1"/>
  <c r="AU106" i="1" l="1"/>
  <c r="A106" i="1" s="1"/>
  <c r="AU132" i="1"/>
  <c r="A132" i="1" s="1"/>
  <c r="AU105" i="1"/>
  <c r="A105" i="1" s="1"/>
  <c r="AU104" i="1"/>
  <c r="A104" i="1" s="1"/>
  <c r="AU42" i="1"/>
  <c r="A42" i="1" s="1"/>
  <c r="AU151" i="1"/>
  <c r="A151" i="1" s="1"/>
  <c r="AU49" i="1"/>
  <c r="A49" i="1" s="1"/>
  <c r="AU48" i="1"/>
  <c r="A48" i="1" s="1"/>
  <c r="AU47" i="1"/>
  <c r="A47" i="1" s="1"/>
  <c r="AU44" i="1"/>
  <c r="AU45" i="1"/>
  <c r="A45" i="1" s="1"/>
  <c r="AU46" i="1"/>
  <c r="A46" i="1" s="1"/>
  <c r="AU82" i="1"/>
  <c r="A82" i="1" s="1"/>
  <c r="AU81" i="1"/>
  <c r="A81" i="1" s="1"/>
  <c r="AU83" i="1"/>
  <c r="A83" i="1" s="1"/>
  <c r="AU25" i="1"/>
  <c r="A25" i="1" s="1"/>
  <c r="K97" i="1"/>
  <c r="K89" i="1"/>
  <c r="U98" i="1"/>
  <c r="K98" i="1"/>
  <c r="U96" i="1"/>
  <c r="K96" i="1"/>
  <c r="U89" i="1"/>
  <c r="U97" i="1"/>
  <c r="AU24" i="1"/>
  <c r="A24" i="1" s="1"/>
  <c r="AU128" i="1"/>
  <c r="A128" i="1" s="1"/>
  <c r="AU119" i="1"/>
  <c r="A119" i="1" s="1"/>
  <c r="AU108" i="1"/>
  <c r="A108" i="1" s="1"/>
  <c r="AU99" i="1"/>
  <c r="A99" i="1" s="1"/>
  <c r="AU73" i="1"/>
  <c r="A73" i="1" s="1"/>
  <c r="AU65" i="1"/>
  <c r="A65" i="1" s="1"/>
  <c r="AU57" i="1"/>
  <c r="A57" i="1" s="1"/>
  <c r="AU71" i="1"/>
  <c r="A71" i="1" s="1"/>
  <c r="AU53" i="1"/>
  <c r="A53" i="1" s="1"/>
  <c r="N2" i="2"/>
  <c r="P2" i="2" s="1"/>
  <c r="AU123" i="1"/>
  <c r="A123" i="1" s="1"/>
  <c r="AU124" i="1"/>
  <c r="A124" i="1" s="1"/>
  <c r="AU118" i="1"/>
  <c r="A118" i="1" s="1"/>
  <c r="AU79" i="1"/>
  <c r="A79" i="1" s="1"/>
  <c r="N88" i="2"/>
  <c r="P88" i="2" s="1"/>
  <c r="N31" i="2"/>
  <c r="P31" i="2" s="1"/>
  <c r="N89" i="2"/>
  <c r="P89" i="2" s="1"/>
  <c r="N153" i="2"/>
  <c r="P153" i="2" s="1"/>
  <c r="AU9" i="1"/>
  <c r="A9" i="1" s="1"/>
  <c r="N63" i="2"/>
  <c r="P63" i="2" s="1"/>
  <c r="N151" i="2"/>
  <c r="P151" i="2" s="1"/>
  <c r="AU10" i="1"/>
  <c r="A10" i="1" s="1"/>
  <c r="N64" i="2"/>
  <c r="P64" i="2" s="1"/>
  <c r="N7" i="2"/>
  <c r="P7" i="2" s="1"/>
  <c r="N152" i="2"/>
  <c r="P152" i="2" s="1"/>
  <c r="N132" i="2"/>
  <c r="P132" i="2" s="1"/>
  <c r="N3" i="2"/>
  <c r="P3" i="2" s="1"/>
  <c r="N9" i="2"/>
  <c r="P9" i="2" s="1"/>
  <c r="N184" i="2"/>
  <c r="P184" i="2" s="1"/>
  <c r="N25" i="2"/>
  <c r="P25" i="2" s="1"/>
  <c r="N90" i="2"/>
  <c r="P90" i="2" s="1"/>
  <c r="N62" i="2"/>
  <c r="P62" i="2" s="1"/>
  <c r="N65" i="2"/>
  <c r="P65" i="2" s="1"/>
  <c r="N11" i="2"/>
  <c r="P11" i="2" s="1"/>
  <c r="N4" i="2"/>
  <c r="P4" i="2" s="1"/>
  <c r="N10" i="2"/>
  <c r="P10" i="2" s="1"/>
  <c r="N138" i="2"/>
  <c r="P138" i="2" s="1"/>
  <c r="N8" i="2"/>
  <c r="P8" i="2" s="1"/>
  <c r="N134" i="2"/>
  <c r="P134" i="2" s="1"/>
  <c r="N133" i="2"/>
  <c r="P133" i="2" s="1"/>
  <c r="N75" i="2"/>
  <c r="V114" i="1"/>
  <c r="T114" i="1"/>
  <c r="V113" i="1"/>
  <c r="T113" i="1"/>
  <c r="V112" i="1"/>
  <c r="AU55" i="1"/>
  <c r="A52" i="1"/>
  <c r="AU40" i="1"/>
  <c r="A40" i="1" s="1"/>
  <c r="AU84" i="1"/>
  <c r="A84" i="1" s="1"/>
  <c r="D97" i="2"/>
  <c r="N97" i="2" s="1"/>
  <c r="P97" i="2" s="1"/>
  <c r="D154" i="2"/>
  <c r="O115" i="1"/>
  <c r="G18" i="10" s="1"/>
  <c r="AU69" i="1"/>
  <c r="AU8" i="1"/>
  <c r="A8" i="1" s="1"/>
  <c r="AU4" i="1"/>
  <c r="A4" i="1" s="1"/>
  <c r="AU11" i="1"/>
  <c r="A11" i="1" s="1"/>
  <c r="AU7" i="1"/>
  <c r="A7" i="1" s="1"/>
  <c r="AU14" i="1"/>
  <c r="A14" i="1" s="1"/>
  <c r="K115" i="1"/>
  <c r="D155" i="2"/>
  <c r="N155" i="2" s="1"/>
  <c r="P155" i="2" s="1"/>
  <c r="O89" i="1"/>
  <c r="S89" i="1" s="1"/>
  <c r="D156" i="2"/>
  <c r="N156" i="2" s="1"/>
  <c r="P156" i="2" s="1"/>
  <c r="D119" i="2"/>
  <c r="N119" i="2" s="1"/>
  <c r="P119" i="2" s="1"/>
  <c r="D118" i="2"/>
  <c r="N118" i="2" s="1"/>
  <c r="P118" i="2" s="1"/>
  <c r="D117" i="2"/>
  <c r="N117" i="2" s="1"/>
  <c r="P117" i="2" s="1"/>
  <c r="U115" i="1"/>
  <c r="O97" i="1"/>
  <c r="S97" i="1" s="1"/>
  <c r="O96" i="1"/>
  <c r="S96" i="1" s="1"/>
  <c r="O98" i="1"/>
  <c r="S98" i="1" s="1"/>
  <c r="O101" i="1"/>
  <c r="F90" i="1"/>
  <c r="F91" i="1"/>
  <c r="F92" i="1"/>
  <c r="F93" i="1"/>
  <c r="F94" i="1"/>
  <c r="F95" i="1"/>
  <c r="D110" i="2"/>
  <c r="N110" i="2" s="1"/>
  <c r="P110" i="2" s="1"/>
  <c r="N85" i="2" l="1"/>
  <c r="P75" i="2"/>
  <c r="K93" i="1"/>
  <c r="K92" i="1"/>
  <c r="K91" i="1"/>
  <c r="K90" i="1"/>
  <c r="K94" i="1"/>
  <c r="S101" i="1"/>
  <c r="T101" i="1" s="1"/>
  <c r="U95" i="1"/>
  <c r="K95" i="1"/>
  <c r="U90" i="1"/>
  <c r="U94" i="1"/>
  <c r="U93" i="1"/>
  <c r="U92" i="1"/>
  <c r="U91" i="1"/>
  <c r="U74" i="1"/>
  <c r="N154" i="2"/>
  <c r="D158" i="2"/>
  <c r="N72" i="2"/>
  <c r="O72" i="2" s="1"/>
  <c r="P72" i="2"/>
  <c r="H72" i="2" s="1"/>
  <c r="N102" i="2"/>
  <c r="O102" i="2" s="1"/>
  <c r="N157" i="2"/>
  <c r="O157" i="2" s="1"/>
  <c r="P85" i="2"/>
  <c r="H85" i="2" s="1"/>
  <c r="O85" i="2"/>
  <c r="V115" i="1"/>
  <c r="D18" i="10" s="1"/>
  <c r="T112" i="1"/>
  <c r="T115" i="1" s="1"/>
  <c r="S115" i="1"/>
  <c r="V96" i="1"/>
  <c r="T96" i="1"/>
  <c r="V89" i="1"/>
  <c r="V98" i="1"/>
  <c r="T98" i="1"/>
  <c r="V97" i="1"/>
  <c r="D140" i="2"/>
  <c r="N140" i="2" s="1"/>
  <c r="P140" i="2" s="1"/>
  <c r="V101" i="1"/>
  <c r="D116" i="2"/>
  <c r="N116" i="2" s="1"/>
  <c r="P116" i="2" s="1"/>
  <c r="D129" i="2"/>
  <c r="N129" i="2" s="1"/>
  <c r="P129" i="2" s="1"/>
  <c r="D130" i="2"/>
  <c r="N130" i="2" s="1"/>
  <c r="P130" i="2" s="1"/>
  <c r="D128" i="2"/>
  <c r="N128" i="2" s="1"/>
  <c r="P128" i="2" s="1"/>
  <c r="D115" i="2"/>
  <c r="N115" i="2" s="1"/>
  <c r="P115" i="2" s="1"/>
  <c r="D114" i="2"/>
  <c r="N114" i="2" s="1"/>
  <c r="P114" i="2" s="1"/>
  <c r="D113" i="2"/>
  <c r="N113" i="2" s="1"/>
  <c r="P113" i="2" s="1"/>
  <c r="D112" i="2"/>
  <c r="N112" i="2" s="1"/>
  <c r="P112" i="2" s="1"/>
  <c r="D111" i="2"/>
  <c r="N111" i="2" s="1"/>
  <c r="P111" i="2" s="1"/>
  <c r="O95" i="1"/>
  <c r="S95" i="1" s="1"/>
  <c r="O91" i="1"/>
  <c r="S91" i="1" s="1"/>
  <c r="O90" i="1"/>
  <c r="S90" i="1" s="1"/>
  <c r="O94" i="1"/>
  <c r="O92" i="1"/>
  <c r="O93" i="1"/>
  <c r="S93" i="1" s="1"/>
  <c r="N158" i="2" l="1"/>
  <c r="P154" i="2"/>
  <c r="P158" i="2" s="1"/>
  <c r="H158" i="2" s="1"/>
  <c r="N148" i="2"/>
  <c r="O148" i="2" s="1"/>
  <c r="S94" i="1"/>
  <c r="T94" i="1" s="1"/>
  <c r="S92" i="1"/>
  <c r="T92" i="1" s="1"/>
  <c r="K109" i="1"/>
  <c r="O158" i="2"/>
  <c r="E158" i="2"/>
  <c r="P148" i="2"/>
  <c r="T89" i="1"/>
  <c r="P157" i="2"/>
  <c r="P102" i="2"/>
  <c r="H102" i="2" s="1"/>
  <c r="T95" i="1"/>
  <c r="V90" i="1"/>
  <c r="T90" i="1"/>
  <c r="V93" i="1"/>
  <c r="T93" i="1"/>
  <c r="V91" i="1"/>
  <c r="T91" i="1"/>
  <c r="T97" i="1"/>
  <c r="D124" i="2"/>
  <c r="N124" i="2" s="1"/>
  <c r="P124" i="2" s="1"/>
  <c r="V92" i="1"/>
  <c r="D126" i="2"/>
  <c r="N126" i="2" s="1"/>
  <c r="P126" i="2" s="1"/>
  <c r="V94" i="1"/>
  <c r="D127" i="2"/>
  <c r="N127" i="2" s="1"/>
  <c r="P127" i="2" s="1"/>
  <c r="V95" i="1"/>
  <c r="D125" i="2"/>
  <c r="N125" i="2" s="1"/>
  <c r="P125" i="2" s="1"/>
  <c r="D123" i="2"/>
  <c r="N123" i="2" s="1"/>
  <c r="P123" i="2" s="1"/>
  <c r="D122" i="2"/>
  <c r="N122" i="2" s="1"/>
  <c r="P122" i="2" s="1"/>
  <c r="D121" i="2"/>
  <c r="H148" i="2" l="1"/>
  <c r="F11" i="4"/>
  <c r="E11" i="4" s="1"/>
  <c r="H157" i="2"/>
  <c r="N121" i="2"/>
  <c r="P121" i="2" s="1"/>
  <c r="E148" i="2"/>
  <c r="O102" i="1"/>
  <c r="S102" i="1" s="1"/>
  <c r="O103" i="1"/>
  <c r="S103" i="1" s="1"/>
  <c r="O107" i="1"/>
  <c r="S107" i="1" s="1"/>
  <c r="O109" i="1" l="1"/>
  <c r="G17" i="10" s="1"/>
  <c r="U109" i="1"/>
  <c r="E157" i="2"/>
  <c r="V107" i="1"/>
  <c r="T107" i="1"/>
  <c r="V103" i="1"/>
  <c r="T103" i="1"/>
  <c r="V102" i="1"/>
  <c r="D141" i="2"/>
  <c r="D146" i="2"/>
  <c r="N146" i="2" s="1"/>
  <c r="P146" i="2" s="1"/>
  <c r="D142" i="2"/>
  <c r="N142" i="2" s="1"/>
  <c r="P142" i="2" s="1"/>
  <c r="D37" i="2"/>
  <c r="N37" i="2" s="1"/>
  <c r="P37" i="2" s="1"/>
  <c r="N141" i="2" l="1"/>
  <c r="D149" i="2"/>
  <c r="V109" i="1"/>
  <c r="D17" i="10" s="1"/>
  <c r="S109" i="1"/>
  <c r="T102" i="1"/>
  <c r="T109" i="1" s="1"/>
  <c r="D42" i="2"/>
  <c r="N42" i="2" s="1"/>
  <c r="P42" i="2" s="1"/>
  <c r="O55" i="1"/>
  <c r="D38" i="2"/>
  <c r="N38" i="2" s="1"/>
  <c r="P38" i="2" s="1"/>
  <c r="U22" i="1"/>
  <c r="U29" i="1"/>
  <c r="U30" i="1"/>
  <c r="U31" i="1"/>
  <c r="S72" i="1"/>
  <c r="U32" i="1"/>
  <c r="O30" i="1"/>
  <c r="S30" i="1" s="1"/>
  <c r="O31" i="1"/>
  <c r="S31" i="1" s="1"/>
  <c r="O32" i="1"/>
  <c r="S32" i="1" s="1"/>
  <c r="U33" i="1"/>
  <c r="U23" i="1"/>
  <c r="U44" i="1"/>
  <c r="O50" i="1"/>
  <c r="S50" i="1" s="1"/>
  <c r="O51" i="1"/>
  <c r="S51" i="1" s="1"/>
  <c r="O69" i="1"/>
  <c r="S69" i="1" s="1"/>
  <c r="O29" i="1"/>
  <c r="S29" i="1" s="1"/>
  <c r="K85" i="1"/>
  <c r="O33" i="1"/>
  <c r="S33" i="1" s="1"/>
  <c r="O23" i="1"/>
  <c r="O26" i="1" s="1"/>
  <c r="O44" i="1"/>
  <c r="S44" i="1" s="1"/>
  <c r="O61" i="1"/>
  <c r="S61" i="1" s="1"/>
  <c r="O62" i="1"/>
  <c r="S62" i="1" s="1"/>
  <c r="O63" i="1"/>
  <c r="S63" i="1" s="1"/>
  <c r="O64" i="1"/>
  <c r="S64" i="1" s="1"/>
  <c r="O77" i="1"/>
  <c r="O78" i="1"/>
  <c r="S78" i="1" s="1"/>
  <c r="N149" i="2" l="1"/>
  <c r="E149" i="2" s="1"/>
  <c r="P141" i="2"/>
  <c r="U26" i="1"/>
  <c r="V77" i="1"/>
  <c r="S77" i="1"/>
  <c r="S85" i="1" s="1"/>
  <c r="S55" i="1"/>
  <c r="T55" i="1" s="1"/>
  <c r="S23" i="1"/>
  <c r="P149" i="2"/>
  <c r="O74" i="1"/>
  <c r="G14" i="10" s="1"/>
  <c r="T69" i="1"/>
  <c r="O66" i="1"/>
  <c r="G13" i="10" s="1"/>
  <c r="T78" i="1"/>
  <c r="V72" i="1"/>
  <c r="T72" i="1"/>
  <c r="V63" i="1"/>
  <c r="T63" i="1"/>
  <c r="V64" i="1"/>
  <c r="T64" i="1"/>
  <c r="V62" i="1"/>
  <c r="T62" i="1"/>
  <c r="V61" i="1"/>
  <c r="V50" i="1"/>
  <c r="T50" i="1"/>
  <c r="V44" i="1"/>
  <c r="V51" i="1"/>
  <c r="T51" i="1"/>
  <c r="V55" i="1"/>
  <c r="V78" i="1"/>
  <c r="V22" i="1"/>
  <c r="V23" i="1"/>
  <c r="T33" i="1"/>
  <c r="V33" i="1"/>
  <c r="T32" i="1"/>
  <c r="V32" i="1"/>
  <c r="T29" i="1"/>
  <c r="V29" i="1"/>
  <c r="T31" i="1"/>
  <c r="V31" i="1"/>
  <c r="T30" i="1"/>
  <c r="V30" i="1"/>
  <c r="V69" i="1"/>
  <c r="O85" i="1"/>
  <c r="G15" i="10" s="1"/>
  <c r="U85" i="1"/>
  <c r="D67" i="2"/>
  <c r="D19" i="2"/>
  <c r="D80" i="2"/>
  <c r="D41" i="2"/>
  <c r="N41" i="2" s="1"/>
  <c r="D95" i="2"/>
  <c r="D96" i="2"/>
  <c r="N96" i="2" s="1"/>
  <c r="P96" i="2" s="1"/>
  <c r="D81" i="2"/>
  <c r="N81" i="2" s="1"/>
  <c r="P81" i="2" s="1"/>
  <c r="D83" i="2"/>
  <c r="N83" i="2" s="1"/>
  <c r="P83" i="2" s="1"/>
  <c r="D69" i="2"/>
  <c r="N69" i="2" s="1"/>
  <c r="P69" i="2" s="1"/>
  <c r="D68" i="2"/>
  <c r="N68" i="2" s="1"/>
  <c r="P68" i="2" s="1"/>
  <c r="D70" i="2"/>
  <c r="N70" i="2" s="1"/>
  <c r="P70" i="2" s="1"/>
  <c r="D46" i="2"/>
  <c r="D53" i="2"/>
  <c r="N53" i="2" s="1"/>
  <c r="P53" i="2" s="1"/>
  <c r="D56" i="2"/>
  <c r="N56" i="2" s="1"/>
  <c r="P56" i="2" s="1"/>
  <c r="D52" i="2"/>
  <c r="N52" i="2" s="1"/>
  <c r="P52" i="2" s="1"/>
  <c r="D22" i="2"/>
  <c r="N22" i="2" s="1"/>
  <c r="P22" i="2" s="1"/>
  <c r="D20" i="2"/>
  <c r="N20" i="2" s="1"/>
  <c r="P20" i="2" s="1"/>
  <c r="D15" i="2"/>
  <c r="D16" i="2"/>
  <c r="N16" i="2" s="1"/>
  <c r="P16" i="2" s="1"/>
  <c r="D21" i="2"/>
  <c r="N21" i="2" s="1"/>
  <c r="P21" i="2" s="1"/>
  <c r="D23" i="2"/>
  <c r="N23" i="2" s="1"/>
  <c r="P23" i="2" s="1"/>
  <c r="D12" i="2"/>
  <c r="N12" i="2" s="1"/>
  <c r="P12" i="2" s="1"/>
  <c r="D14" i="2"/>
  <c r="U56" i="1"/>
  <c r="U55" i="1"/>
  <c r="U51" i="1"/>
  <c r="U50" i="1"/>
  <c r="U34" i="1"/>
  <c r="O56" i="1"/>
  <c r="O34" i="1"/>
  <c r="S34" i="1" s="1"/>
  <c r="O149" i="2" l="1"/>
  <c r="F10" i="4"/>
  <c r="E10" i="4" s="1"/>
  <c r="H149" i="2"/>
  <c r="P41" i="2"/>
  <c r="P59" i="2" s="1"/>
  <c r="N14" i="2"/>
  <c r="P14" i="2" s="1"/>
  <c r="T23" i="1"/>
  <c r="S26" i="1"/>
  <c r="V26" i="1"/>
  <c r="S56" i="1"/>
  <c r="T56" i="1" s="1"/>
  <c r="N15" i="2"/>
  <c r="P15" i="2" s="1"/>
  <c r="N59" i="2"/>
  <c r="O59" i="2" s="1"/>
  <c r="T22" i="1"/>
  <c r="T26" i="1" s="1"/>
  <c r="U36" i="1"/>
  <c r="N95" i="2"/>
  <c r="P95" i="2" s="1"/>
  <c r="D103" i="2"/>
  <c r="N80" i="2"/>
  <c r="D86" i="2"/>
  <c r="N67" i="2"/>
  <c r="D73" i="2"/>
  <c r="N46" i="2"/>
  <c r="P46" i="2" s="1"/>
  <c r="N19" i="2"/>
  <c r="P19" i="2" s="1"/>
  <c r="T74" i="1"/>
  <c r="V74" i="1"/>
  <c r="D14" i="10" s="1"/>
  <c r="S74" i="1"/>
  <c r="V66" i="1"/>
  <c r="D13" i="10" s="1"/>
  <c r="S66" i="1"/>
  <c r="U58" i="1"/>
  <c r="T44" i="1"/>
  <c r="O58" i="1"/>
  <c r="G12" i="10" s="1"/>
  <c r="E85" i="2"/>
  <c r="V85" i="1"/>
  <c r="D15" i="10" s="1"/>
  <c r="T77" i="1"/>
  <c r="T85" i="1" s="1"/>
  <c r="T61" i="1"/>
  <c r="T66" i="1" s="1"/>
  <c r="V34" i="1"/>
  <c r="V56" i="1"/>
  <c r="O36" i="1"/>
  <c r="G11" i="10" s="1"/>
  <c r="AU148" i="1"/>
  <c r="A148" i="1" s="1"/>
  <c r="AU95" i="1"/>
  <c r="A95" i="1" s="1"/>
  <c r="A69" i="1"/>
  <c r="A51" i="1"/>
  <c r="AU96" i="1"/>
  <c r="A96" i="1" s="1"/>
  <c r="A55" i="1"/>
  <c r="AU63" i="1"/>
  <c r="A63" i="1" s="1"/>
  <c r="A50" i="1"/>
  <c r="AU94" i="1"/>
  <c r="A94" i="1" s="1"/>
  <c r="AU93" i="1"/>
  <c r="A93" i="1" s="1"/>
  <c r="AU31" i="1"/>
  <c r="A31" i="1" s="1"/>
  <c r="AU32" i="1"/>
  <c r="A32" i="1" s="1"/>
  <c r="AU72" i="1"/>
  <c r="A72" i="1" s="1"/>
  <c r="AU33" i="1"/>
  <c r="A33" i="1" s="1"/>
  <c r="AU80" i="1"/>
  <c r="A80" i="1" s="1"/>
  <c r="AU29" i="1"/>
  <c r="A29" i="1" s="1"/>
  <c r="AU101" i="1"/>
  <c r="A101" i="1" s="1"/>
  <c r="AU92" i="1"/>
  <c r="A92" i="1" s="1"/>
  <c r="AU70" i="1"/>
  <c r="A70" i="1" s="1"/>
  <c r="AU91" i="1"/>
  <c r="A91" i="1" s="1"/>
  <c r="A56" i="1"/>
  <c r="AU77" i="1"/>
  <c r="A77" i="1" s="1"/>
  <c r="AU22" i="1"/>
  <c r="A22" i="1" s="1"/>
  <c r="AU64" i="1"/>
  <c r="A64" i="1" s="1"/>
  <c r="AU102" i="1"/>
  <c r="A102" i="1" s="1"/>
  <c r="AU103" i="1"/>
  <c r="A103" i="1" s="1"/>
  <c r="AU107" i="1"/>
  <c r="A107" i="1" s="1"/>
  <c r="AU112" i="1"/>
  <c r="A112" i="1" s="1"/>
  <c r="AU113" i="1"/>
  <c r="A113" i="1" s="1"/>
  <c r="AU21" i="1"/>
  <c r="A34" i="1"/>
  <c r="A35" i="1"/>
  <c r="AU90" i="1"/>
  <c r="A90" i="1" s="1"/>
  <c r="AU114" i="1"/>
  <c r="A114" i="1" s="1"/>
  <c r="AU61" i="1"/>
  <c r="A61" i="1" s="1"/>
  <c r="AU78" i="1"/>
  <c r="A78" i="1" s="1"/>
  <c r="AU62" i="1"/>
  <c r="A62" i="1" s="1"/>
  <c r="AU98" i="1"/>
  <c r="A98" i="1" s="1"/>
  <c r="AU23" i="1"/>
  <c r="A23" i="1" s="1"/>
  <c r="AU136" i="1"/>
  <c r="A136" i="1" s="1"/>
  <c r="AU97" i="1"/>
  <c r="A97" i="1" s="1"/>
  <c r="A44" i="1"/>
  <c r="AU147" i="1"/>
  <c r="A147" i="1" s="1"/>
  <c r="AU89" i="1"/>
  <c r="A89" i="1" s="1"/>
  <c r="AU30" i="1"/>
  <c r="A30" i="1" s="1"/>
  <c r="D57" i="2"/>
  <c r="N57" i="2" s="1"/>
  <c r="P57" i="2" s="1"/>
  <c r="D24" i="2"/>
  <c r="N24" i="2" s="1"/>
  <c r="P24" i="2" s="1"/>
  <c r="D13" i="2"/>
  <c r="H59" i="2" l="1"/>
  <c r="N86" i="2"/>
  <c r="O86" i="2" s="1"/>
  <c r="P80" i="2"/>
  <c r="P67" i="2"/>
  <c r="P73" i="2" s="1"/>
  <c r="P27" i="2"/>
  <c r="N27" i="2"/>
  <c r="D27" i="2"/>
  <c r="G23" i="10"/>
  <c r="U140" i="1"/>
  <c r="D60" i="2"/>
  <c r="O140" i="1"/>
  <c r="S58" i="1"/>
  <c r="T58" i="1"/>
  <c r="N60" i="2"/>
  <c r="N103" i="2"/>
  <c r="E103" i="2" s="1"/>
  <c r="E86" i="2"/>
  <c r="V36" i="1"/>
  <c r="D11" i="10" s="1"/>
  <c r="N73" i="2"/>
  <c r="E73" i="2" s="1"/>
  <c r="P86" i="2"/>
  <c r="V58" i="1"/>
  <c r="D12" i="10" s="1"/>
  <c r="S36" i="1"/>
  <c r="T34" i="1"/>
  <c r="P103" i="2"/>
  <c r="E102" i="2"/>
  <c r="E59" i="2"/>
  <c r="N13" i="2"/>
  <c r="T35" i="1"/>
  <c r="A21" i="1"/>
  <c r="E1" i="1"/>
  <c r="B1" i="4" s="1"/>
  <c r="H86" i="2" l="1"/>
  <c r="H27" i="2"/>
  <c r="H103" i="2"/>
  <c r="F6" i="4"/>
  <c r="E6" i="4" s="1"/>
  <c r="H73" i="2"/>
  <c r="N26" i="2"/>
  <c r="O26" i="2" s="1"/>
  <c r="P13" i="2"/>
  <c r="D23" i="10"/>
  <c r="P60" i="2"/>
  <c r="K140" i="1"/>
  <c r="V140" i="1"/>
  <c r="O103" i="2"/>
  <c r="K146" i="1"/>
  <c r="O141" i="1" s="1"/>
  <c r="O142" i="1" s="1"/>
  <c r="H140" i="1"/>
  <c r="F7" i="4"/>
  <c r="E60" i="2"/>
  <c r="O73" i="2"/>
  <c r="E27" i="2"/>
  <c r="O27" i="2"/>
  <c r="F8" i="4"/>
  <c r="F9" i="4"/>
  <c r="O60" i="2"/>
  <c r="E72" i="2"/>
  <c r="P26" i="2"/>
  <c r="K36" i="1"/>
  <c r="K139" i="1" s="1"/>
  <c r="T36" i="1"/>
  <c r="E26" i="2" l="1"/>
  <c r="F5" i="4"/>
  <c r="E5" i="4" s="1"/>
  <c r="H60" i="2"/>
  <c r="H26" i="2"/>
  <c r="E7" i="4"/>
  <c r="D185" i="2"/>
  <c r="N185" i="2" s="1"/>
  <c r="V142" i="1"/>
  <c r="V143" i="1" s="1"/>
  <c r="F155" i="1"/>
  <c r="E8" i="4"/>
  <c r="E9" i="4"/>
  <c r="D186" i="2"/>
  <c r="D188" i="2" s="1"/>
  <c r="N187" i="2" l="1"/>
  <c r="O187" i="2" s="1"/>
  <c r="P185" i="2"/>
  <c r="P187" i="2" s="1"/>
  <c r="K141" i="1"/>
  <c r="K142" i="1" s="1"/>
  <c r="K143" i="1" s="1"/>
  <c r="K144" i="1" s="1"/>
  <c r="K155" i="1"/>
  <c r="E187" i="2"/>
  <c r="N186" i="2"/>
  <c r="H155" i="1"/>
  <c r="F4" i="4"/>
  <c r="H187" i="2" l="1"/>
  <c r="N188" i="2"/>
  <c r="O188" i="2" s="1"/>
  <c r="P186" i="2"/>
  <c r="P188" i="2" s="1"/>
  <c r="U147" i="1"/>
  <c r="F16" i="4"/>
  <c r="E16" i="4" s="1"/>
  <c r="E4" i="4"/>
  <c r="F14" i="4" l="1"/>
  <c r="F18" i="4" s="1"/>
  <c r="E18" i="4"/>
  <c r="U148" i="1"/>
  <c r="U149" i="1" s="1"/>
  <c r="E19" i="4" l="1"/>
  <c r="E20" i="4" s="1"/>
  <c r="E23" i="4" s="1"/>
  <c r="E22" i="4" s="1"/>
  <c r="F19" i="4"/>
  <c r="F20" i="4" s="1"/>
  <c r="F23" i="4" s="1"/>
  <c r="F22" i="4" s="1"/>
  <c r="AF157" i="5"/>
  <c r="A181" i="5" l="1"/>
  <c r="AF303" i="5" l="1"/>
  <c r="AG416" i="5" s="1"/>
  <c r="A416" i="5" s="1"/>
  <c r="AF304" i="5"/>
  <c r="AG17" i="5" l="1"/>
  <c r="A17" i="5" s="1"/>
  <c r="AG431" i="5"/>
  <c r="A431" i="5" s="1"/>
  <c r="AG429" i="5"/>
  <c r="A429" i="5" s="1"/>
  <c r="AG424" i="5"/>
  <c r="A424" i="5" s="1"/>
  <c r="AG418" i="5"/>
  <c r="A418" i="5" s="1"/>
  <c r="AG425" i="5"/>
  <c r="A425" i="5" s="1"/>
  <c r="AG420" i="5"/>
  <c r="A420" i="5" s="1"/>
  <c r="AG421" i="5"/>
  <c r="A421" i="5" s="1"/>
  <c r="AG419" i="5"/>
  <c r="A419" i="5" s="1"/>
  <c r="AG153" i="5"/>
  <c r="A153" i="5" s="1"/>
  <c r="AG154" i="5"/>
  <c r="A154" i="5" s="1"/>
  <c r="AG423" i="5"/>
  <c r="A423" i="5" s="1"/>
  <c r="AG340" i="5"/>
  <c r="A340" i="5" s="1"/>
  <c r="AG466" i="5"/>
  <c r="A466" i="5" s="1"/>
  <c r="AG239" i="5"/>
  <c r="A239" i="5" s="1"/>
  <c r="AG296" i="5"/>
  <c r="A296" i="5" s="1"/>
  <c r="AG293" i="5"/>
  <c r="A293" i="5" s="1"/>
  <c r="AG185" i="5"/>
  <c r="A185" i="5" s="1"/>
  <c r="AG376" i="5"/>
  <c r="A376" i="5" s="1"/>
  <c r="AG224" i="5"/>
  <c r="A224" i="5" s="1"/>
  <c r="AG261" i="5"/>
  <c r="A261" i="5" s="1"/>
  <c r="AG345" i="5"/>
  <c r="A345" i="5" s="1"/>
  <c r="AG182" i="5"/>
  <c r="A182" i="5" s="1"/>
  <c r="AG155" i="5"/>
  <c r="A155" i="5" s="1"/>
  <c r="AG401" i="5"/>
  <c r="A401" i="5" s="1"/>
  <c r="AG56" i="5"/>
  <c r="A56" i="5" s="1"/>
  <c r="AG289" i="5"/>
  <c r="A289" i="5" s="1"/>
  <c r="AG316" i="5"/>
  <c r="A316" i="5" s="1"/>
  <c r="AG323" i="5"/>
  <c r="A323" i="5" s="1"/>
  <c r="AG164" i="5"/>
  <c r="A164" i="5" s="1"/>
  <c r="AG156" i="5"/>
  <c r="A156" i="5" s="1"/>
  <c r="AG178" i="5"/>
  <c r="A178" i="5" s="1"/>
  <c r="AG378" i="5"/>
  <c r="A378" i="5" s="1"/>
  <c r="AG18" i="5"/>
  <c r="A18" i="5" s="1"/>
  <c r="AG12" i="5"/>
  <c r="A12" i="5" s="1"/>
  <c r="AG53" i="5"/>
  <c r="A53" i="5" s="1"/>
  <c r="AG244" i="5"/>
  <c r="A244" i="5" s="1"/>
  <c r="AG23" i="5"/>
  <c r="A23" i="5" s="1"/>
  <c r="AG350" i="5"/>
  <c r="A350" i="5" s="1"/>
  <c r="AG213" i="5"/>
  <c r="A213" i="5" s="1"/>
  <c r="AG46" i="5"/>
  <c r="A46" i="5" s="1"/>
  <c r="AG452" i="5"/>
  <c r="A452" i="5" s="1"/>
  <c r="AG199" i="5"/>
  <c r="A199" i="5" s="1"/>
  <c r="AG127" i="5"/>
  <c r="A127" i="5" s="1"/>
  <c r="AG336" i="5"/>
  <c r="A336" i="5" s="1"/>
  <c r="AG158" i="5"/>
  <c r="A158" i="5" s="1"/>
  <c r="AG374" i="5"/>
  <c r="A374" i="5" s="1"/>
  <c r="AG307" i="5"/>
  <c r="A307" i="5" s="1"/>
  <c r="AG107" i="5"/>
  <c r="A107" i="5" s="1"/>
  <c r="AG337" i="5"/>
  <c r="A337" i="5" s="1"/>
  <c r="AG86" i="5"/>
  <c r="A86" i="5" s="1"/>
  <c r="AG157" i="5"/>
  <c r="A157" i="5" s="1"/>
  <c r="AG51" i="5"/>
  <c r="A51" i="5" s="1"/>
  <c r="AG129" i="5"/>
  <c r="A129" i="5" s="1"/>
  <c r="AG211" i="5"/>
  <c r="A211" i="5" s="1"/>
  <c r="AG349" i="5"/>
  <c r="A349" i="5" s="1"/>
  <c r="AG64" i="5"/>
  <c r="A64" i="5" s="1"/>
  <c r="AG68" i="5"/>
  <c r="A68" i="5" s="1"/>
  <c r="AG467" i="5"/>
  <c r="A467" i="5" s="1"/>
  <c r="AG114" i="5"/>
  <c r="A114" i="5" s="1"/>
  <c r="AG304" i="5"/>
  <c r="A304" i="5" s="1"/>
  <c r="AG9" i="5"/>
  <c r="A9" i="5" s="1"/>
  <c r="AG394" i="5"/>
  <c r="A394" i="5" s="1"/>
  <c r="AG396" i="5"/>
  <c r="A396" i="5" s="1"/>
  <c r="AG8" i="5"/>
  <c r="A8" i="5" s="1"/>
  <c r="AG63" i="5"/>
  <c r="A63" i="5" s="1"/>
  <c r="AG169" i="5"/>
  <c r="A169" i="5" s="1"/>
  <c r="AG256" i="5"/>
  <c r="A256" i="5" s="1"/>
  <c r="AG62" i="5"/>
  <c r="A62" i="5" s="1"/>
  <c r="AG355" i="5"/>
  <c r="A355" i="5" s="1"/>
  <c r="AG191" i="5"/>
  <c r="A191" i="5" s="1"/>
  <c r="AG100" i="5"/>
  <c r="A100" i="5" s="1"/>
  <c r="AG371" i="5"/>
  <c r="A371" i="5" s="1"/>
  <c r="AG265" i="5"/>
  <c r="A265" i="5" s="1"/>
  <c r="AG28" i="5"/>
  <c r="A28" i="5" s="1"/>
  <c r="AG387" i="5"/>
  <c r="A387" i="5" s="1"/>
  <c r="AG188" i="5"/>
  <c r="A188" i="5" s="1"/>
  <c r="AG29" i="5"/>
  <c r="A29" i="5" s="1"/>
  <c r="AG190" i="5"/>
  <c r="A190" i="5" s="1"/>
  <c r="AG413" i="5"/>
  <c r="A413" i="5" s="1"/>
  <c r="AG357" i="5"/>
  <c r="A357" i="5" s="1"/>
  <c r="AG297" i="5"/>
  <c r="A297" i="5" s="1"/>
  <c r="AG377" i="5"/>
  <c r="A377" i="5" s="1"/>
  <c r="AG122" i="5"/>
  <c r="A122" i="5" s="1"/>
  <c r="AG343" i="5"/>
  <c r="A343" i="5" s="1"/>
  <c r="AG369" i="5"/>
  <c r="A369" i="5" s="1"/>
  <c r="AG308" i="5"/>
  <c r="A308" i="5" s="1"/>
  <c r="AG52" i="5"/>
  <c r="A52" i="5" s="1"/>
  <c r="AG411" i="5"/>
  <c r="A411" i="5" s="1"/>
  <c r="AG249" i="5"/>
  <c r="A249" i="5" s="1"/>
  <c r="AG176" i="5"/>
  <c r="A176" i="5" s="1"/>
  <c r="AG324" i="5"/>
  <c r="A324" i="5" s="1"/>
  <c r="AG341" i="5"/>
  <c r="A341" i="5" s="1"/>
  <c r="AG403" i="5"/>
  <c r="A403" i="5" s="1"/>
  <c r="AG252" i="5"/>
  <c r="A252" i="5" s="1"/>
  <c r="AG10" i="5"/>
  <c r="A10" i="5" s="1"/>
  <c r="AG438" i="5"/>
  <c r="A438" i="5" s="1"/>
  <c r="AG439" i="5"/>
  <c r="A439" i="5" s="1"/>
  <c r="AG217" i="5"/>
  <c r="A217" i="5" s="1"/>
  <c r="AG410" i="5"/>
  <c r="A410" i="5" s="1"/>
  <c r="AG318" i="5"/>
  <c r="A318" i="5" s="1"/>
  <c r="AG362" i="5"/>
  <c r="A362" i="5" s="1"/>
  <c r="AG67" i="5"/>
  <c r="A67" i="5" s="1"/>
  <c r="AG72" i="5"/>
  <c r="A72" i="5" s="1"/>
  <c r="AG322" i="5"/>
  <c r="A322" i="5" s="1"/>
  <c r="AG326" i="5"/>
  <c r="A326" i="5" s="1"/>
  <c r="AG55" i="5"/>
  <c r="A55" i="5" s="1"/>
  <c r="AG468" i="5"/>
  <c r="A468" i="5" s="1"/>
  <c r="AG225" i="5"/>
  <c r="A225" i="5" s="1"/>
  <c r="AG351" i="5"/>
  <c r="A351" i="5" s="1"/>
  <c r="AG437" i="5"/>
  <c r="A437" i="5" s="1"/>
  <c r="AG222" i="5"/>
  <c r="A222" i="5" s="1"/>
  <c r="AG192" i="5"/>
  <c r="A192" i="5" s="1"/>
  <c r="AG382" i="5"/>
  <c r="A382" i="5" s="1"/>
  <c r="AG48" i="5"/>
  <c r="A48" i="5" s="1"/>
  <c r="AG81" i="5"/>
  <c r="A81" i="5" s="1"/>
  <c r="AG74" i="5"/>
  <c r="A74" i="5" s="1"/>
  <c r="AG347" i="5"/>
  <c r="A347" i="5" s="1"/>
  <c r="AG407" i="5"/>
  <c r="A407" i="5" s="1"/>
  <c r="AG321" i="5"/>
  <c r="A321" i="5" s="1"/>
  <c r="AG102" i="5"/>
  <c r="A102" i="5" s="1"/>
  <c r="AG408" i="5"/>
  <c r="A408" i="5" s="1"/>
  <c r="AG258" i="5"/>
  <c r="A258" i="5" s="1"/>
  <c r="AG264" i="5"/>
  <c r="A264" i="5" s="1"/>
  <c r="AG253" i="5"/>
  <c r="A253" i="5" s="1"/>
  <c r="AG220" i="5"/>
  <c r="A220" i="5" s="1"/>
  <c r="AG306" i="5"/>
  <c r="A306" i="5" s="1"/>
  <c r="AG335" i="5"/>
  <c r="A335" i="5" s="1"/>
  <c r="AG112" i="5"/>
  <c r="A112" i="5" s="1"/>
  <c r="AG269" i="5"/>
  <c r="A269" i="5" s="1"/>
  <c r="AG219" i="5"/>
  <c r="A219" i="5" s="1"/>
  <c r="AG291" i="5"/>
  <c r="A291" i="5" s="1"/>
  <c r="AG216" i="5"/>
  <c r="A216" i="5" s="1"/>
  <c r="AG250" i="5"/>
  <c r="A250" i="5" s="1"/>
  <c r="AG162" i="5"/>
  <c r="A162" i="5" s="1"/>
  <c r="AG331" i="5"/>
  <c r="A331" i="5" s="1"/>
  <c r="AG88" i="5"/>
  <c r="A88" i="5" s="1"/>
  <c r="AG237" i="5"/>
  <c r="A237" i="5" s="1"/>
  <c r="AG333" i="5"/>
  <c r="A333" i="5" s="1"/>
  <c r="AG197" i="5"/>
  <c r="A197" i="5" s="1"/>
  <c r="AG171" i="5"/>
  <c r="A171" i="5" s="1"/>
  <c r="AG329" i="5"/>
  <c r="A329" i="5" s="1"/>
  <c r="AG383" i="5"/>
  <c r="A383" i="5" s="1"/>
  <c r="AG57" i="5"/>
  <c r="A57" i="5" s="1"/>
  <c r="AG292" i="5"/>
  <c r="A292" i="5" s="1"/>
  <c r="AG260" i="5"/>
  <c r="A260" i="5" s="1"/>
  <c r="AG447" i="5"/>
  <c r="A447" i="5" s="1"/>
  <c r="AG445" i="5"/>
  <c r="A445" i="5" s="1"/>
  <c r="AG33" i="5"/>
  <c r="A33" i="5" s="1"/>
  <c r="AG193" i="5"/>
  <c r="A193" i="5" s="1"/>
  <c r="AG312" i="5"/>
  <c r="A312" i="5" s="1"/>
  <c r="AG254" i="5"/>
  <c r="A254" i="5" s="1"/>
  <c r="AG274" i="5"/>
  <c r="A274" i="5" s="1"/>
  <c r="AG290" i="5"/>
  <c r="A290" i="5" s="1"/>
  <c r="AG417" i="5"/>
  <c r="A417" i="5" s="1"/>
  <c r="AG251" i="5"/>
  <c r="A251" i="5" s="1"/>
  <c r="AG255" i="5"/>
  <c r="A255" i="5" s="1"/>
  <c r="AG79" i="5"/>
  <c r="A79" i="5" s="1"/>
  <c r="AG305" i="5"/>
  <c r="A305" i="5" s="1"/>
  <c r="AG232" i="5"/>
  <c r="A232" i="5" s="1"/>
  <c r="AG147" i="5"/>
  <c r="A147" i="5" s="1"/>
  <c r="AG30" i="5"/>
  <c r="A30" i="5" s="1"/>
  <c r="AG364" i="5"/>
  <c r="A364" i="5" s="1"/>
  <c r="AG325" i="5"/>
  <c r="A325" i="5" s="1"/>
  <c r="AG309" i="5"/>
  <c r="A309" i="5" s="1"/>
  <c r="AG375" i="5"/>
  <c r="A375" i="5" s="1"/>
  <c r="AG299" i="5"/>
  <c r="A299" i="5" s="1"/>
  <c r="AG389" i="5"/>
  <c r="A389" i="5" s="1"/>
  <c r="AG58" i="5"/>
  <c r="A58" i="5" s="1"/>
  <c r="AG95" i="5"/>
  <c r="A95" i="5" s="1"/>
  <c r="AG330" i="5"/>
  <c r="A330" i="5" s="1"/>
  <c r="AG454" i="5"/>
  <c r="A454" i="5" s="1"/>
  <c r="AG441" i="5"/>
  <c r="A441" i="5" s="1"/>
  <c r="AG406" i="5"/>
  <c r="A406" i="5" s="1"/>
  <c r="AG133" i="5"/>
  <c r="A133" i="5" s="1"/>
  <c r="AG126" i="5"/>
  <c r="A126" i="5" s="1"/>
  <c r="AG226" i="5"/>
  <c r="A226" i="5" s="1"/>
  <c r="AG246" i="5"/>
  <c r="A246" i="5" s="1"/>
  <c r="AG277" i="5"/>
  <c r="A277" i="5" s="1"/>
  <c r="AG284" i="5"/>
  <c r="A284" i="5" s="1"/>
  <c r="AG189" i="5"/>
  <c r="A189" i="5" s="1"/>
  <c r="AG415" i="5"/>
  <c r="A415" i="5" s="1"/>
  <c r="AG11" i="5"/>
  <c r="A11" i="5" s="1"/>
  <c r="AG140" i="5"/>
  <c r="A140" i="5" s="1"/>
  <c r="AG328" i="5"/>
  <c r="A328" i="5" s="1"/>
  <c r="AG381" i="5"/>
  <c r="A381" i="5" s="1"/>
  <c r="AG288" i="5"/>
  <c r="A288" i="5" s="1"/>
  <c r="AG263" i="5"/>
  <c r="A263" i="5" s="1"/>
  <c r="AG282" i="5"/>
  <c r="A282" i="5" s="1"/>
  <c r="AG109" i="5"/>
  <c r="A109" i="5" s="1"/>
  <c r="AG379" i="5"/>
  <c r="A379" i="5" s="1"/>
  <c r="AG183" i="5"/>
  <c r="A183" i="5" s="1"/>
  <c r="AG204" i="5"/>
  <c r="A204" i="5" s="1"/>
  <c r="AG295" i="5"/>
  <c r="A295" i="5" s="1"/>
  <c r="AG311" i="5"/>
  <c r="A311" i="5" s="1"/>
  <c r="AG315" i="5"/>
  <c r="A315" i="5" s="1"/>
  <c r="AG278" i="5"/>
  <c r="A278" i="5" s="1"/>
  <c r="AG60" i="5"/>
  <c r="A60" i="5" s="1"/>
  <c r="AG113" i="5"/>
  <c r="A113" i="5" s="1"/>
  <c r="AG302" i="5"/>
  <c r="A302" i="5" s="1"/>
  <c r="AG116" i="5"/>
  <c r="A116" i="5" s="1"/>
  <c r="AG469" i="5"/>
  <c r="A469" i="5" s="1"/>
  <c r="AG440" i="5"/>
  <c r="A440" i="5" s="1"/>
  <c r="AG206" i="5"/>
  <c r="A206" i="5" s="1"/>
  <c r="AG461" i="5"/>
  <c r="A461" i="5" s="1"/>
  <c r="AG332" i="5"/>
  <c r="A332" i="5" s="1"/>
  <c r="AG66" i="5"/>
  <c r="A66" i="5" s="1"/>
  <c r="AG412" i="5"/>
  <c r="A412" i="5" s="1"/>
  <c r="AG186" i="5"/>
  <c r="A186" i="5" s="1"/>
  <c r="AG59" i="5"/>
  <c r="A59" i="5" s="1"/>
  <c r="AG327" i="5"/>
  <c r="A327" i="5" s="1"/>
  <c r="AG47" i="5"/>
  <c r="A47" i="5" s="1"/>
  <c r="AG120" i="5"/>
  <c r="A120" i="5" s="1"/>
  <c r="AG93" i="5"/>
  <c r="A93" i="5" s="1"/>
  <c r="AG459" i="5"/>
  <c r="A459" i="5" s="1"/>
  <c r="AG221" i="5"/>
  <c r="A221" i="5" s="1"/>
  <c r="AG259" i="5"/>
  <c r="A259" i="5" s="1"/>
  <c r="AG16" i="5"/>
  <c r="A16" i="5" s="1"/>
  <c r="AG187" i="5"/>
  <c r="A187" i="5" s="1"/>
  <c r="AG61" i="5"/>
  <c r="A61" i="5" s="1"/>
  <c r="AG346" i="5"/>
  <c r="A346" i="5" s="1"/>
  <c r="AG414" i="5"/>
  <c r="A414" i="5" s="1"/>
  <c r="AG339" i="5"/>
  <c r="A339" i="5" s="1"/>
  <c r="AG13" i="5"/>
  <c r="A13" i="5" s="1"/>
  <c r="AG334" i="5"/>
  <c r="A334" i="5" s="1"/>
  <c r="AG149" i="5"/>
  <c r="A149" i="5" s="1"/>
  <c r="AG115" i="5"/>
  <c r="A115" i="5" s="1"/>
  <c r="AG25" i="5"/>
  <c r="A25" i="5" s="1"/>
  <c r="AG320" i="5"/>
  <c r="A320" i="5" s="1"/>
  <c r="AG50" i="5"/>
  <c r="A50" i="5" s="1"/>
  <c r="AG257" i="5"/>
  <c r="A257" i="5" s="1"/>
  <c r="AG128" i="5"/>
  <c r="A128" i="5" s="1"/>
  <c r="AG310" i="5"/>
  <c r="A310" i="5" s="1"/>
  <c r="AG271" i="5"/>
  <c r="A271" i="5" s="1"/>
  <c r="AG287" i="5"/>
  <c r="A287" i="5" s="1"/>
  <c r="AG465" i="5"/>
  <c r="A465" i="5" s="1"/>
  <c r="AG294" i="5"/>
  <c r="A294" i="5" s="1"/>
  <c r="AG464" i="5"/>
  <c r="A464" i="5" s="1"/>
  <c r="AG135" i="5"/>
  <c r="A135" i="5" s="1"/>
  <c r="AG436" i="5"/>
  <c r="A436" i="5" s="1"/>
  <c r="AG303" i="5"/>
  <c r="A303" i="5" s="1"/>
  <c r="AG342" i="5"/>
  <c r="A342" i="5" s="1"/>
  <c r="AG142" i="5"/>
  <c r="A142" i="5" s="1"/>
  <c r="AG218" i="5"/>
  <c r="A218" i="5" s="1"/>
  <c r="AG348" i="5"/>
  <c r="A348" i="5" s="1"/>
  <c r="AG184" i="5"/>
  <c r="A184" i="5" s="1"/>
  <c r="AG230" i="5"/>
  <c r="A230" i="5" s="1"/>
  <c r="AG314" i="5"/>
  <c r="A314" i="5" s="1"/>
  <c r="AG301" i="5"/>
  <c r="A301" i="5" s="1"/>
  <c r="AG298" i="5"/>
  <c r="A298" i="5" s="1"/>
  <c r="AG338" i="5"/>
  <c r="A338" i="5" s="1"/>
  <c r="AG49" i="5"/>
  <c r="A49" i="5" s="1"/>
  <c r="AG380" i="5"/>
  <c r="A380" i="5" s="1"/>
  <c r="AG54" i="5"/>
  <c r="A54" i="5" s="1"/>
  <c r="AG409" i="5"/>
  <c r="A409" i="5" s="1"/>
  <c r="AG344" i="5"/>
  <c r="A344" i="5" s="1"/>
  <c r="J1"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Wayne Neesam</author>
  </authors>
  <commentList>
    <comment ref="H24" authorId="0" shapeId="0" xr:uid="{239CB1C2-7A9D-4335-A0B5-37D405460B88}">
      <text>
        <r>
          <rPr>
            <b/>
            <sz val="9"/>
            <color indexed="81"/>
            <rFont val="Tahoma"/>
            <family val="2"/>
          </rPr>
          <t>Wayne Neesam:</t>
        </r>
        <r>
          <rPr>
            <sz val="9"/>
            <color indexed="81"/>
            <rFont val="Tahoma"/>
            <family val="2"/>
          </rPr>
          <t xml:space="preserve">
approx 2 bags per m2</t>
        </r>
      </text>
    </comment>
    <comment ref="H40" authorId="0" shapeId="0" xr:uid="{A055BD41-518A-429C-BE84-6BD5535DBE02}">
      <text>
        <r>
          <rPr>
            <b/>
            <sz val="9"/>
            <color indexed="81"/>
            <rFont val="Tahoma"/>
            <family val="2"/>
          </rPr>
          <t>Wayne Neesam:</t>
        </r>
        <r>
          <rPr>
            <sz val="9"/>
            <color indexed="81"/>
            <rFont val="Tahoma"/>
            <family val="2"/>
          </rPr>
          <t xml:space="preserve">
1 ltr cartridge does approx 1.15 volume
50 drill plugs per 6 meters length so 1 bag of 100 does 16.67 lm</t>
        </r>
      </text>
    </comment>
    <comment ref="H44" authorId="0" shapeId="0" xr:uid="{DDB1A8C1-F4B1-4207-ADAF-59D6F8DA7F63}">
      <text>
        <r>
          <rPr>
            <b/>
            <sz val="9"/>
            <color indexed="81"/>
            <rFont val="Tahoma"/>
            <family val="2"/>
          </rPr>
          <t>Wayne Neesam:</t>
        </r>
        <r>
          <rPr>
            <sz val="9"/>
            <color indexed="81"/>
            <rFont val="Tahoma"/>
            <family val="2"/>
          </rPr>
          <t xml:space="preserve">
Price is dynamic based upon multiples of 5m2 which is what contractors buy at the trade counter</t>
        </r>
      </text>
    </comment>
    <comment ref="H45" authorId="0" shapeId="0" xr:uid="{49A39545-7794-4B0B-A1DE-6316466D2DAB}">
      <text>
        <r>
          <rPr>
            <b/>
            <sz val="9"/>
            <color indexed="81"/>
            <rFont val="Tahoma"/>
            <family val="2"/>
          </rPr>
          <t>Wayne Neesam:</t>
        </r>
        <r>
          <rPr>
            <sz val="9"/>
            <color indexed="81"/>
            <rFont val="Tahoma"/>
            <family val="2"/>
          </rPr>
          <t xml:space="preserve">
Price is dynamic based upon multiples of 5m2 which is what contractors buy at the trade counter</t>
        </r>
      </text>
    </comment>
    <comment ref="H49" authorId="0" shapeId="0" xr:uid="{2CCDECBB-5D47-4EF1-8F1C-2DF1F6E9811A}">
      <text>
        <r>
          <rPr>
            <b/>
            <sz val="9"/>
            <color indexed="81"/>
            <rFont val="Tahoma"/>
            <family val="2"/>
          </rPr>
          <t>Wayne Neesam:</t>
        </r>
        <r>
          <rPr>
            <sz val="9"/>
            <color indexed="81"/>
            <rFont val="Tahoma"/>
            <family val="2"/>
          </rPr>
          <t xml:space="preserve">
Price is dynamic based upon multiples of 5m2 which is what contractors buy at the trade counter</t>
        </r>
      </text>
    </comment>
    <comment ref="H50" authorId="0" shapeId="0" xr:uid="{F677D2B8-9862-4D9C-B285-67E6F10547A2}">
      <text>
        <r>
          <rPr>
            <b/>
            <sz val="9"/>
            <color indexed="81"/>
            <rFont val="Tahoma"/>
            <family val="2"/>
          </rPr>
          <t>Wayne Neesam:</t>
        </r>
        <r>
          <rPr>
            <sz val="9"/>
            <color indexed="81"/>
            <rFont val="Tahoma"/>
            <family val="2"/>
          </rPr>
          <t xml:space="preserve">
Price is dynamic based upon multiples of 2m2 which is what contractors can buy the plugs in at the trade counter</t>
        </r>
      </text>
    </comment>
    <comment ref="H51" authorId="0" shapeId="0" xr:uid="{90430BD3-777C-4F8C-982F-41A6061A801D}">
      <text>
        <r>
          <rPr>
            <b/>
            <sz val="9"/>
            <color indexed="81"/>
            <rFont val="Tahoma"/>
            <family val="2"/>
          </rPr>
          <t>Wayne Neesam:</t>
        </r>
        <r>
          <rPr>
            <sz val="9"/>
            <color indexed="81"/>
            <rFont val="Tahoma"/>
            <family val="2"/>
          </rPr>
          <t xml:space="preserve">
Price is dynamic based upon multiples of 22m rolls which is what contractors buy at the trade counter</t>
        </r>
      </text>
    </comment>
    <comment ref="H52" authorId="0" shapeId="0" xr:uid="{090AA6A1-7137-44BA-9F04-5D61FD5CA8B5}">
      <text>
        <r>
          <rPr>
            <b/>
            <sz val="9"/>
            <color indexed="81"/>
            <rFont val="Tahoma"/>
            <family val="2"/>
          </rPr>
          <t>Wayne Neesam:</t>
        </r>
        <r>
          <rPr>
            <sz val="9"/>
            <color indexed="81"/>
            <rFont val="Tahoma"/>
            <family val="2"/>
          </rPr>
          <t xml:space="preserve">
Assumed 80 lm per 5ltr tub and we are charging £80 per tub to cover contractor costs as we may not get some of it back to re-use.</t>
        </r>
      </text>
    </comment>
    <comment ref="H53" authorId="0" shapeId="0" xr:uid="{B1D7F3FF-DAD9-429E-B1A9-AB4B1C7E2A8B}">
      <text>
        <r>
          <rPr>
            <b/>
            <sz val="9"/>
            <color indexed="81"/>
            <rFont val="Tahoma"/>
            <family val="2"/>
          </rPr>
          <t>Wayne Neesam:</t>
        </r>
        <r>
          <rPr>
            <sz val="9"/>
            <color indexed="81"/>
            <rFont val="Tahoma"/>
            <family val="2"/>
          </rPr>
          <t xml:space="preserve">
Price is dynamic based upon full bags which covers approx 12 lm</t>
        </r>
      </text>
    </comment>
    <comment ref="H55" authorId="0" shapeId="0" xr:uid="{CB728789-E0FF-44C7-8E69-9ABFA371328C}">
      <text>
        <r>
          <rPr>
            <b/>
            <sz val="9"/>
            <color indexed="81"/>
            <rFont val="Tahoma"/>
            <family val="2"/>
          </rPr>
          <t>Wayne Neesam:</t>
        </r>
        <r>
          <rPr>
            <sz val="9"/>
            <color indexed="81"/>
            <rFont val="Tahoma"/>
            <family val="2"/>
          </rPr>
          <t xml:space="preserve">
Price is dynamic based upon multiples of 5m rolls which is what contractors buy at the trade counter</t>
        </r>
      </text>
    </comment>
    <comment ref="H56" authorId="0" shapeId="0" xr:uid="{95824F34-D85F-44BE-9AF3-C2DF9F176781}">
      <text>
        <r>
          <rPr>
            <b/>
            <sz val="9"/>
            <color indexed="81"/>
            <rFont val="Tahoma"/>
            <family val="2"/>
          </rPr>
          <t>Wayne Neesam:</t>
        </r>
        <r>
          <rPr>
            <sz val="9"/>
            <color indexed="81"/>
            <rFont val="Tahoma"/>
            <family val="2"/>
          </rPr>
          <t xml:space="preserve">
Price is dynamic based upon multiples of 5m rolls which is what contractors buy at the trade counter</t>
        </r>
      </text>
    </comment>
    <comment ref="H61" authorId="0" shapeId="0" xr:uid="{E9E9F5F5-CA88-408C-8E75-2E527B265DC9}">
      <text>
        <r>
          <rPr>
            <b/>
            <sz val="9"/>
            <color indexed="81"/>
            <rFont val="Tahoma"/>
            <family val="2"/>
          </rPr>
          <t>Wayne Neesam:</t>
        </r>
        <r>
          <rPr>
            <sz val="9"/>
            <color indexed="81"/>
            <rFont val="Tahoma"/>
            <family val="2"/>
          </rPr>
          <t xml:space="preserve">
Price is dynamic based upon multiples of 2m2.
Dubbing out coat (sand/cement/SBR) - Uses SBR, building sand and cement  - 4 metres for 4 bags of sand 1 bag of cement and 0.5 tub of SBR
1 x 5ltr SBR does 8m2
1 x Bag of Building Sand does 1m2
1 x Bag of cements does does 4m2
</t>
        </r>
      </text>
    </comment>
    <comment ref="H62" authorId="0" shapeId="0" xr:uid="{63721C54-7504-43CF-9DCE-E93EF55574F4}">
      <text>
        <r>
          <rPr>
            <b/>
            <sz val="9"/>
            <color indexed="81"/>
            <rFont val="Tahoma"/>
            <family val="2"/>
          </rPr>
          <t>Wayne Neesam:</t>
        </r>
        <r>
          <rPr>
            <sz val="9"/>
            <color indexed="81"/>
            <rFont val="Tahoma"/>
            <family val="2"/>
          </rPr>
          <t xml:space="preserve">
Price is dynamic based upon full 20kg containers which cover 7m2 which is what the contractors purchase.</t>
        </r>
      </text>
    </comment>
    <comment ref="H63" authorId="0" shapeId="0" xr:uid="{C1CD32FF-E77A-465D-A7E5-39E216122EAD}">
      <text>
        <r>
          <rPr>
            <b/>
            <sz val="9"/>
            <color indexed="81"/>
            <rFont val="Tahoma"/>
            <family val="2"/>
          </rPr>
          <t>Wayne Neesam:</t>
        </r>
        <r>
          <rPr>
            <sz val="9"/>
            <color indexed="81"/>
            <rFont val="Tahoma"/>
            <family val="2"/>
          </rPr>
          <t xml:space="preserve">
Price is dynamic based upon full 20kg containers which cover 3m2 which is what the contractors purchase.</t>
        </r>
      </text>
    </comment>
    <comment ref="H64" authorId="0" shapeId="0" xr:uid="{00C4B7BA-AB1B-4148-8F49-489948DFB876}">
      <text>
        <r>
          <rPr>
            <b/>
            <sz val="9"/>
            <color indexed="81"/>
            <rFont val="Tahoma"/>
            <family val="2"/>
          </rPr>
          <t>Wayne Neesam:</t>
        </r>
        <r>
          <rPr>
            <sz val="9"/>
            <color indexed="81"/>
            <rFont val="Tahoma"/>
            <family val="2"/>
          </rPr>
          <t xml:space="preserve">
Price is dynamic based upon full bags which covers approx 12 lm</t>
        </r>
      </text>
    </comment>
    <comment ref="H69" authorId="0" shapeId="0" xr:uid="{9FC797E0-A765-4614-8857-CC64A754BE5D}">
      <text>
        <r>
          <rPr>
            <b/>
            <sz val="9"/>
            <color indexed="81"/>
            <rFont val="Tahoma"/>
            <family val="2"/>
          </rPr>
          <t>Wayne Neesam:</t>
        </r>
        <r>
          <rPr>
            <sz val="9"/>
            <color indexed="81"/>
            <rFont val="Tahoma"/>
            <family val="2"/>
          </rPr>
          <t xml:space="preserve">
Price is dynamic based upon multiples of 30m2 which is what contractors buy at the trade counter - 1 tub is approx 30m2.</t>
        </r>
      </text>
    </comment>
    <comment ref="H70" authorId="0" shapeId="0" xr:uid="{CA9AB7AD-B524-4237-8517-E7CFED2DB451}">
      <text>
        <r>
          <rPr>
            <b/>
            <sz val="9"/>
            <color indexed="81"/>
            <rFont val="Tahoma"/>
            <family val="2"/>
          </rPr>
          <t>Wayne Neesam:</t>
        </r>
        <r>
          <rPr>
            <sz val="9"/>
            <color indexed="81"/>
            <rFont val="Tahoma"/>
            <family val="2"/>
          </rPr>
          <t xml:space="preserve">
Price is dynamic based upon multiples of 30m2 which is what contractors buy at the trade counter - 1 tub is approx 30m2.</t>
        </r>
      </text>
    </comment>
    <comment ref="H71" authorId="0" shapeId="0" xr:uid="{58FCB3F9-FA67-416B-81D9-0D8C023BFA86}">
      <text>
        <r>
          <rPr>
            <b/>
            <sz val="9"/>
            <color indexed="81"/>
            <rFont val="Tahoma"/>
            <family val="2"/>
          </rPr>
          <t>Wayne Neesam:</t>
        </r>
        <r>
          <rPr>
            <sz val="9"/>
            <color indexed="81"/>
            <rFont val="Tahoma"/>
            <family val="2"/>
          </rPr>
          <t xml:space="preserve">
Price is dynamic based upon full bags which covers approx 12 lm</t>
        </r>
      </text>
    </comment>
    <comment ref="H72" authorId="0" shapeId="0" xr:uid="{1BDF5D41-2CE8-4696-9D2A-E1FB65ED6407}">
      <text>
        <r>
          <rPr>
            <b/>
            <sz val="9"/>
            <color indexed="81"/>
            <rFont val="Tahoma"/>
            <family val="2"/>
          </rPr>
          <t>Wayne Neesam:</t>
        </r>
        <r>
          <rPr>
            <sz val="9"/>
            <color indexed="81"/>
            <rFont val="Tahoma"/>
            <family val="2"/>
          </rPr>
          <t xml:space="preserve">
Price is dynamic based upon multiples of 25m2 which is what contractors buy at the trade counter - 1 bag is approx 25m2.</t>
        </r>
      </text>
    </comment>
    <comment ref="H78" authorId="0" shapeId="0" xr:uid="{AF886994-5414-49D3-9B3F-6F723BE5A20E}">
      <text>
        <r>
          <rPr>
            <b/>
            <sz val="9"/>
            <color indexed="81"/>
            <rFont val="Tahoma"/>
            <family val="2"/>
          </rPr>
          <t>Wayne Neesam:</t>
        </r>
        <r>
          <rPr>
            <sz val="9"/>
            <color indexed="81"/>
            <rFont val="Tahoma"/>
            <family val="2"/>
          </rPr>
          <t xml:space="preserve">
Added on 30% wastage for the boards rather than standard 10%</t>
        </r>
      </text>
    </comment>
    <comment ref="H79" authorId="0" shapeId="0" xr:uid="{759E2569-4B4E-4887-8711-DDEFDBD73282}">
      <text>
        <r>
          <rPr>
            <b/>
            <sz val="9"/>
            <color indexed="81"/>
            <rFont val="Tahoma"/>
            <family val="2"/>
          </rPr>
          <t>Wayne Neesam:</t>
        </r>
        <r>
          <rPr>
            <sz val="9"/>
            <color indexed="81"/>
            <rFont val="Tahoma"/>
            <family val="2"/>
          </rPr>
          <t xml:space="preserve">
Min charge of half a roll which is £7.125m2 per roll = 3.5625 m2 per half roll.
Costs are rounded up to half rolls.
1 tub of adhesive covers 1 roll but costs are rounded upto full buckets needed as unlikely to be re-used once opened.
</t>
        </r>
      </text>
    </comment>
    <comment ref="N79" authorId="0" shapeId="0" xr:uid="{FCED92AA-A60D-46A9-9C5C-287F723A930E}">
      <text>
        <r>
          <rPr>
            <b/>
            <sz val="9"/>
            <color indexed="81"/>
            <rFont val="Tahoma"/>
            <family val="2"/>
          </rPr>
          <t>Wayne Neesam:</t>
        </r>
        <r>
          <rPr>
            <sz val="9"/>
            <color indexed="81"/>
            <rFont val="Tahoma"/>
            <family val="2"/>
          </rPr>
          <t xml:space="preserve">
Min charge of 2.5 hours which is 20 mins per m2 for a 7 meter roll of isotherm</t>
        </r>
      </text>
    </comment>
    <comment ref="H80" authorId="0" shapeId="0" xr:uid="{A67AA88F-5F4A-4CD1-8FEB-9F2097834468}">
      <text>
        <r>
          <rPr>
            <b/>
            <sz val="9"/>
            <color indexed="81"/>
            <rFont val="Tahoma"/>
            <family val="2"/>
          </rPr>
          <t>Wayne Neesam:</t>
        </r>
        <r>
          <rPr>
            <sz val="9"/>
            <color indexed="81"/>
            <rFont val="Tahoma"/>
            <family val="2"/>
          </rPr>
          <t xml:space="preserve">
Price is dynamic based upon full 25kg bag which cover 10m2 which is what the contractors purchase.</t>
        </r>
      </text>
    </comment>
    <comment ref="N81" authorId="0" shapeId="0" xr:uid="{50C5AE06-836E-401A-B4B9-4D02A691278D}">
      <text>
        <r>
          <rPr>
            <b/>
            <sz val="9"/>
            <color indexed="81"/>
            <rFont val="Tahoma"/>
            <family val="2"/>
          </rPr>
          <t>Wayne Neesam:</t>
        </r>
        <r>
          <rPr>
            <sz val="9"/>
            <color indexed="81"/>
            <rFont val="Tahoma"/>
            <family val="2"/>
          </rPr>
          <t xml:space="preserve">
Built into the hours for skimming</t>
        </r>
      </text>
    </comment>
    <comment ref="N82" authorId="0" shapeId="0" xr:uid="{024D42CD-62F3-4964-866A-90B9202F600F}">
      <text>
        <r>
          <rPr>
            <b/>
            <sz val="9"/>
            <color indexed="81"/>
            <rFont val="Tahoma"/>
            <family val="2"/>
          </rPr>
          <t>Wayne Neesam:</t>
        </r>
        <r>
          <rPr>
            <sz val="9"/>
            <color indexed="81"/>
            <rFont val="Tahoma"/>
            <family val="2"/>
          </rPr>
          <t xml:space="preserve">
Built into the hours for skimming</t>
        </r>
      </text>
    </comment>
    <comment ref="N83" authorId="0" shapeId="0" xr:uid="{77C15AAC-5095-4A0C-8F3E-FC8E908C6D50}">
      <text>
        <r>
          <rPr>
            <b/>
            <sz val="9"/>
            <color indexed="81"/>
            <rFont val="Tahoma"/>
            <family val="2"/>
          </rPr>
          <t>Wayne Neesam:</t>
        </r>
        <r>
          <rPr>
            <sz val="9"/>
            <color indexed="81"/>
            <rFont val="Tahoma"/>
            <family val="2"/>
          </rPr>
          <t xml:space="preserve">
Built into the hours for skimming</t>
        </r>
      </text>
    </comment>
    <comment ref="H118" authorId="0" shapeId="0" xr:uid="{1150D11A-1180-4575-8772-36FC02329170}">
      <text>
        <r>
          <rPr>
            <b/>
            <sz val="9"/>
            <color indexed="81"/>
            <rFont val="Tahoma"/>
            <family val="2"/>
          </rPr>
          <t>Wayne Neesam:</t>
        </r>
        <r>
          <rPr>
            <sz val="9"/>
            <color indexed="81"/>
            <rFont val="Tahoma"/>
            <family val="2"/>
          </rPr>
          <t xml:space="preserve">
Price is dynamic based upon full 400g bottle which cover 100m2 which is what the contractors purchase.</t>
        </r>
      </text>
    </comment>
    <comment ref="H128" authorId="0" shapeId="0" xr:uid="{DA923868-E837-42A0-B452-09DDCAD8AD56}">
      <text>
        <r>
          <rPr>
            <b/>
            <sz val="9"/>
            <color indexed="81"/>
            <rFont val="Tahoma"/>
            <family val="2"/>
          </rPr>
          <t>Wayne Neesam:</t>
        </r>
        <r>
          <rPr>
            <sz val="9"/>
            <color indexed="81"/>
            <rFont val="Tahoma"/>
            <family val="2"/>
          </rPr>
          <t xml:space="preserve">
Price is dynamic based upon full 400g bottle which cover 100m2 which is what the contractors purchase.</t>
        </r>
      </text>
    </comment>
    <comment ref="N128" authorId="0" shapeId="0" xr:uid="{C843761B-43D4-44B6-B567-47D8A677FF5D}">
      <text>
        <r>
          <rPr>
            <b/>
            <sz val="9"/>
            <color indexed="81"/>
            <rFont val="Tahoma"/>
            <family val="2"/>
          </rPr>
          <t>Wayne Neesam:</t>
        </r>
        <r>
          <rPr>
            <sz val="9"/>
            <color indexed="81"/>
            <rFont val="Tahoma"/>
            <family val="2"/>
          </rPr>
          <t xml:space="preserve">
20 meters per hour application rate</t>
        </r>
      </text>
    </comment>
    <comment ref="O128" authorId="0" shapeId="0" xr:uid="{5741653F-297C-419E-8573-DD010A7E1466}">
      <text>
        <r>
          <rPr>
            <b/>
            <sz val="9"/>
            <color indexed="81"/>
            <rFont val="Tahoma"/>
            <family val="2"/>
          </rPr>
          <t>Wayne Neesam:</t>
        </r>
        <r>
          <rPr>
            <sz val="9"/>
            <color indexed="81"/>
            <rFont val="Tahoma"/>
            <family val="2"/>
          </rPr>
          <t xml:space="preserve">
Min charge of 54 m2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Wayne Neesam</author>
  </authors>
  <commentList>
    <comment ref="E16" authorId="0" shapeId="0" xr:uid="{FDAE39AD-D9EA-496E-9E6F-813FEBEB6751}">
      <text>
        <r>
          <rPr>
            <b/>
            <sz val="9"/>
            <color indexed="81"/>
            <rFont val="Tahoma"/>
            <family val="2"/>
          </rPr>
          <t>Wayne Neesam:</t>
        </r>
        <r>
          <rPr>
            <sz val="9"/>
            <color indexed="81"/>
            <rFont val="Tahoma"/>
            <family val="2"/>
          </rPr>
          <t xml:space="preserve">
If the calculated qty is less than 0.5 then always round to 1 
else if qty equates to a part tube of 0.5 or over then round up 
else round down</t>
        </r>
      </text>
    </comment>
  </commentList>
</comments>
</file>

<file path=xl/sharedStrings.xml><?xml version="1.0" encoding="utf-8"?>
<sst xmlns="http://schemas.openxmlformats.org/spreadsheetml/2006/main" count="3488" uniqueCount="683">
  <si>
    <t>Walls</t>
  </si>
  <si>
    <t>Materials</t>
  </si>
  <si>
    <t>Mats Tot</t>
  </si>
  <si>
    <t>Hours</t>
  </si>
  <si>
    <t>Strip out</t>
  </si>
  <si>
    <t>Plaster &amp; stud Removal (Ceilings)</t>
  </si>
  <si>
    <t>Removal of stud walls etc (Bag &amp; cart away)</t>
  </si>
  <si>
    <t>Preparatory work</t>
  </si>
  <si>
    <t>2 coat tanking slurry</t>
  </si>
  <si>
    <t>Wall/floor fillet joint</t>
  </si>
  <si>
    <t>Skimming walls (multi finish plaster)</t>
  </si>
  <si>
    <t>Labour hours sub total</t>
  </si>
  <si>
    <t>Rubbish removal skips</t>
  </si>
  <si>
    <t>Materials sub tot</t>
  </si>
  <si>
    <t>Labour sub tot</t>
  </si>
  <si>
    <t xml:space="preserve"> Price</t>
  </si>
  <si>
    <t>Vat</t>
  </si>
  <si>
    <t>Area/No.</t>
  </si>
  <si>
    <t>M/U</t>
  </si>
  <si>
    <t>Cementitious tanking system</t>
  </si>
  <si>
    <t>Dubbing out coat (sand/cement/SBR)</t>
  </si>
  <si>
    <t>Renovating plaster</t>
  </si>
  <si>
    <t>Grip grit</t>
  </si>
  <si>
    <t>LMU</t>
  </si>
  <si>
    <t>EP40 2 Pack resin Primer</t>
  </si>
  <si>
    <t>EP40 2 Pack resin top coat</t>
  </si>
  <si>
    <t>Total price inc vat</t>
  </si>
  <si>
    <t>Skip hire 8yd</t>
  </si>
  <si>
    <t>Travel</t>
  </si>
  <si>
    <t>No of days</t>
  </si>
  <si>
    <t>Hours travel</t>
  </si>
  <si>
    <t xml:space="preserve">Floor - Liquid Resin floor Membranes </t>
  </si>
  <si>
    <t>Membrane plugs for m2 listed</t>
  </si>
  <si>
    <t>Sealing Tape Lm</t>
  </si>
  <si>
    <t>Overtape Lm</t>
  </si>
  <si>
    <t>Fixing Rope Lm</t>
  </si>
  <si>
    <t xml:space="preserve">Bag up debris &amp; cart outside </t>
  </si>
  <si>
    <t>Disposal via licensed transfer agent</t>
  </si>
  <si>
    <t>Contractor hours pay</t>
  </si>
  <si>
    <t>Tot</t>
  </si>
  <si>
    <t>Contractor Materials</t>
  </si>
  <si>
    <t>Scrape back/clear sub floors</t>
  </si>
  <si>
    <t>Strip out existing timber floor (GF)</t>
  </si>
  <si>
    <t>Remove socket fronts and isolate</t>
  </si>
  <si>
    <t>Remove plaster/render (Walls)</t>
  </si>
  <si>
    <t>TT Totals</t>
  </si>
  <si>
    <t>Total hours</t>
  </si>
  <si>
    <t>Skirting board removal &amp; set aside</t>
  </si>
  <si>
    <t>mens travel</t>
  </si>
  <si>
    <t>Total</t>
  </si>
  <si>
    <t>Approx Travel cost</t>
  </si>
  <si>
    <t>No of men travelling</t>
  </si>
  <si>
    <t>Joists, 100 x 50</t>
  </si>
  <si>
    <t>Joists, 125 x 50</t>
  </si>
  <si>
    <t>Joists, 150 x 50</t>
  </si>
  <si>
    <t>Joists, 175 x 50</t>
  </si>
  <si>
    <t>Joists, 200 x 50</t>
  </si>
  <si>
    <t>Joists, 225 x 50</t>
  </si>
  <si>
    <t>Length</t>
  </si>
  <si>
    <t>Wall plate 100x25</t>
  </si>
  <si>
    <t>Install Weyrock flooring 18mm (M2)</t>
  </si>
  <si>
    <t>Install Weyrock flooring 22mm (M2)</t>
  </si>
  <si>
    <t>Install std T&amp;G Floorboards (M2)</t>
  </si>
  <si>
    <t>Floor Joists LM @ 400mm centres</t>
  </si>
  <si>
    <t>Joists Size</t>
  </si>
  <si>
    <t>Flooring deck type (M2)</t>
  </si>
  <si>
    <t>Contractor Totals</t>
  </si>
  <si>
    <t>Vehicle cost</t>
  </si>
  <si>
    <t>Distance from office to job (one way)</t>
  </si>
  <si>
    <t>Survey sheet end</t>
  </si>
  <si>
    <t xml:space="preserve">Quantity </t>
  </si>
  <si>
    <t>Clean out airbrick/fit new face</t>
  </si>
  <si>
    <t>Install additional  airbrick</t>
  </si>
  <si>
    <t>Fog sub floor void with anti fungal treatment</t>
  </si>
  <si>
    <t>Bower beams (pair)</t>
  </si>
  <si>
    <t>Flitch plates (pair)</t>
  </si>
  <si>
    <t>Treat and endwrap joist</t>
  </si>
  <si>
    <t>Section</t>
  </si>
  <si>
    <t>Item Name</t>
  </si>
  <si>
    <t>Quantity</t>
  </si>
  <si>
    <t>Unit Cost</t>
  </si>
  <si>
    <t>Unit</t>
  </si>
  <si>
    <t>Cost Code</t>
  </si>
  <si>
    <t>Markup</t>
  </si>
  <si>
    <t>Markup Type</t>
  </si>
  <si>
    <t>Item Type</t>
  </si>
  <si>
    <t>Is Taxable</t>
  </si>
  <si>
    <t>Is Optional</t>
  </si>
  <si>
    <t>Assigned To</t>
  </si>
  <si>
    <t>%</t>
  </si>
  <si>
    <t>Yes</t>
  </si>
  <si>
    <t>These are used to differentiate between the types of items and used for the labor calculations.</t>
  </si>
  <si>
    <t>Contractor Foreman Item Types</t>
  </si>
  <si>
    <t>Item</t>
  </si>
  <si>
    <t>Comments</t>
  </si>
  <si>
    <t>EQUIP</t>
  </si>
  <si>
    <t>Equipment Items</t>
  </si>
  <si>
    <t>LBR</t>
  </si>
  <si>
    <t>Labor items</t>
  </si>
  <si>
    <t>MTL</t>
  </si>
  <si>
    <t>Material Items</t>
  </si>
  <si>
    <t>Other</t>
  </si>
  <si>
    <t>Other Items</t>
  </si>
  <si>
    <t>SUB</t>
  </si>
  <si>
    <t>Subcontractors</t>
  </si>
  <si>
    <t>Sections</t>
  </si>
  <si>
    <t>n/a</t>
  </si>
  <si>
    <t>Cost Codes</t>
  </si>
  <si>
    <t>No</t>
  </si>
  <si>
    <t>Damp Equipment</t>
  </si>
  <si>
    <t>Damp Labour</t>
  </si>
  <si>
    <t>Sheet Validation</t>
  </si>
  <si>
    <t>Damp Materials</t>
  </si>
  <si>
    <t>Damp Other</t>
  </si>
  <si>
    <t>Damp Sub Contractors</t>
  </si>
  <si>
    <t>Data Lists For Contractor Foreman</t>
  </si>
  <si>
    <t>M2</t>
  </si>
  <si>
    <t>This is used to on the items for costing reference</t>
  </si>
  <si>
    <t>Unit of measures</t>
  </si>
  <si>
    <t>Each</t>
  </si>
  <si>
    <t>M3</t>
  </si>
  <si>
    <t>LM</t>
  </si>
  <si>
    <t>UOM</t>
  </si>
  <si>
    <t>Travel Costs</t>
  </si>
  <si>
    <t>Waste Removal</t>
  </si>
  <si>
    <t>Miles</t>
  </si>
  <si>
    <t>Sheet Validation to right</t>
  </si>
  <si>
    <t>Check if any data is entered</t>
  </si>
  <si>
    <t>Check if field needs to be completed</t>
  </si>
  <si>
    <t>Bags</t>
  </si>
  <si>
    <t>Pairs</t>
  </si>
  <si>
    <t xml:space="preserve">Base Labour Hourly rate </t>
  </si>
  <si>
    <t>This is used to 'Group' items in a logical order on the estimate.</t>
  </si>
  <si>
    <t>This is used in the projects to determine costs by the 'Cost Code' category (lets you see which areas you are over or under budget on).</t>
  </si>
  <si>
    <t>Enquiry Details</t>
  </si>
  <si>
    <t>Enquiry number</t>
  </si>
  <si>
    <t>Site Details</t>
  </si>
  <si>
    <t>Survey Carried Out By</t>
  </si>
  <si>
    <t>Surveyor</t>
  </si>
  <si>
    <t>DAMP SHEET</t>
  </si>
  <si>
    <t>Floor Joists &amp; Floor Decking</t>
  </si>
  <si>
    <t>CSV Import File Name Creator</t>
  </si>
  <si>
    <t>CSV File Name</t>
  </si>
  <si>
    <t>Current Date</t>
  </si>
  <si>
    <t>Full File Name</t>
  </si>
  <si>
    <t>CF-Damp-</t>
  </si>
  <si>
    <t>Difficulty hours (fireplace, corners etc)</t>
  </si>
  <si>
    <t>Thickness</t>
  </si>
  <si>
    <t>Height</t>
  </si>
  <si>
    <t>Lab Total</t>
  </si>
  <si>
    <t>Line total</t>
  </si>
  <si>
    <t xml:space="preserve">Contractor Labour Hourly rate </t>
  </si>
  <si>
    <t>Totals</t>
  </si>
  <si>
    <t>Total Hours</t>
  </si>
  <si>
    <t>Labour</t>
  </si>
  <si>
    <t>Hour Mult</t>
  </si>
  <si>
    <t>Technoseal Lm</t>
  </si>
  <si>
    <t>CF IGNORE - LINE VALUE</t>
  </si>
  <si>
    <t>CF IGNORE - Zero value Section Validation</t>
  </si>
  <si>
    <t>Customer Pricing Summary</t>
  </si>
  <si>
    <t>#</t>
  </si>
  <si>
    <t>Sub Total</t>
  </si>
  <si>
    <t>Vat at 20%</t>
  </si>
  <si>
    <t>Start of works deposit at 30%</t>
  </si>
  <si>
    <t>CF IGNORE - LINE VALUE FOR CUSTOMER SUMMARY</t>
  </si>
  <si>
    <t>EACH</t>
  </si>
  <si>
    <t>DELETE</t>
  </si>
  <si>
    <t>Cementitious tanking system - Materials</t>
  </si>
  <si>
    <t>Cementitious tanking system - Labour</t>
  </si>
  <si>
    <t>CF IGNORE - INCLUDE PRICE IN CUSTOMER SUMMARY</t>
  </si>
  <si>
    <t>For Office Only</t>
  </si>
  <si>
    <t xml:space="preserve">Tax: VAT (20%)	</t>
  </si>
  <si>
    <t>x</t>
  </si>
  <si>
    <t>The property is a:</t>
  </si>
  <si>
    <t>The property is constructed of :</t>
  </si>
  <si>
    <t>The property was built approximately :</t>
  </si>
  <si>
    <t>The terms left, right, front and rear are used in accordance with facing the front elevation from the outside of the building.</t>
  </si>
  <si>
    <t>We must draw to your attention to the scope of our inspection. The inspection was solely to identify evidence of problems which were within those areas pointed out to us at the time of our visit which are listed above. Any areas not specifically referred to in this report have not been included and are not covered by the report or estimate.</t>
  </si>
  <si>
    <t>EXTERNAL INSPECTION</t>
  </si>
  <si>
    <t>Building Defects</t>
  </si>
  <si>
    <t>Defective rainwater goods</t>
  </si>
  <si>
    <t>Perished external paintwork</t>
  </si>
  <si>
    <t>Wet rot noted to external joinery timbers</t>
  </si>
  <si>
    <t>You should check your lease and find who is responsible for the upkeep of the roof, it is possible the upstairs flat may need to carry out the repairs or it could be shared cost. Whilst the roof repairs are not causing any problems with your property at present they may do so in future if not addressed.</t>
  </si>
  <si>
    <t>Wall Ties</t>
  </si>
  <si>
    <t>Recommendation</t>
  </si>
  <si>
    <t>You should instruct our survey department to arrange a wall tie survey USCC.</t>
  </si>
  <si>
    <t>You should instruct our survey department to arrange a structural repair survey USCC.</t>
  </si>
  <si>
    <t>External Ground Levels</t>
  </si>
  <si>
    <t>There were no apparent ground level issues.</t>
  </si>
  <si>
    <t>All ground levels to be maintained at a minimum of 150mm below DPC level, paths, drives, yards etc should not cause rainwater etc to run against your property walls. You should  arrange work to correct the above issues to be carried out as soon as possible, under separate contract and costs.</t>
  </si>
  <si>
    <t>Damp Proof Course</t>
  </si>
  <si>
    <t>The area where the damp proof course should be located, was not visible and we can neither confirm or deny the existence of a damp proof course installation.</t>
  </si>
  <si>
    <t>It is possible that work may have been carried out by another company in the past.</t>
  </si>
  <si>
    <t>Proposal</t>
  </si>
  <si>
    <t xml:space="preserve">Install a low pressure injection damp proof course system, into the mortar courses of the walls as indicated on the attached sketch plan. </t>
  </si>
  <si>
    <t>Sub Floor Ventilation</t>
  </si>
  <si>
    <t>To the front elevations</t>
  </si>
  <si>
    <t>To the left elevations</t>
  </si>
  <si>
    <t>To the right elevations</t>
  </si>
  <si>
    <t>To the rear elevations</t>
  </si>
  <si>
    <t>Sub floor timbers</t>
  </si>
  <si>
    <t xml:space="preserve">A check of the sub floor timbers revealed a W/W moisture content of  </t>
  </si>
  <si>
    <t>During our inspection it was noted that some of the existing airbricks were installed too low to the external ground levels and may permit water ingress to the sub floor voids.</t>
  </si>
  <si>
    <t>During our inspection it was noted that some of the existing airbricks appeared to be blocked and may be providing insufficient airflow to the sub floor voids.</t>
  </si>
  <si>
    <t>Remove</t>
  </si>
  <si>
    <t>Install</t>
  </si>
  <si>
    <t>This will increase the airflow through the floor voids, reduce the humidity and the moisture content of linked timbers, which will greatly reduce the chances of attack by wood rotting fungi such as dry rot (serpulae lacrymans) in the future.</t>
  </si>
  <si>
    <t>Lift</t>
  </si>
  <si>
    <t>Lifting the airbricks will help to prevent water ponding and snow melting, causing water to run into the sub floor void, elevating the moisture levels of the timbers within.</t>
  </si>
  <si>
    <t>Timbers at risk</t>
  </si>
  <si>
    <t xml:space="preserve">We propose that these timbers are treated with an anti fungal fogging application. This is a short term precaution (non-guaranteed) to protect the timbers from attack whilst the improved airflow dries them out. </t>
  </si>
  <si>
    <t>INTERNAL INSPECTION</t>
  </si>
  <si>
    <t>At the time of our inspection, there was no apparent degradation to the internal plaster/render surfaces.</t>
  </si>
  <si>
    <t>Remove and set aside radiators as required</t>
  </si>
  <si>
    <t>Remove, make safe electric supply and set aside socket fronts as required</t>
  </si>
  <si>
    <t>Strip off existing plaster/render</t>
  </si>
  <si>
    <t>Strip back wallpaper as required</t>
  </si>
  <si>
    <t xml:space="preserve">Remove skirting boards/boxing as required and set aside for re-use (please refer to general notes on skirting boards) </t>
  </si>
  <si>
    <t>Install a wall floor fillet seal to join with installed membrane</t>
  </si>
  <si>
    <t>Bag up debris and dispose of debris via a licensed transfer facility</t>
  </si>
  <si>
    <t>Timber floors</t>
  </si>
  <si>
    <t>An inspection of timbers adjacent to damp masonry did not reveal any timber defects at the time of inspection.</t>
  </si>
  <si>
    <t>Polished solid wood flooring</t>
  </si>
  <si>
    <t>Carpets heavily tacked and in danger of tearing whilst lifting</t>
  </si>
  <si>
    <t>Ceramic tiling</t>
  </si>
  <si>
    <t xml:space="preserve">Should you not be able to obtain permission for a destructive inspection, you may wish to negotiate  a discount to the purchase price to allow for the fact there may be treatments, or even timber replacements required. </t>
  </si>
  <si>
    <t>Solid floors</t>
  </si>
  <si>
    <t>Graeme Hazel</t>
  </si>
  <si>
    <t>Remedial Consultant</t>
  </si>
  <si>
    <t>Steven Robinson</t>
  </si>
  <si>
    <t>Steve Robinson A.Inst.SSE.</t>
  </si>
  <si>
    <t>Mike Davison</t>
  </si>
  <si>
    <t>Technical Director</t>
  </si>
  <si>
    <t>Report</t>
  </si>
  <si>
    <t xml:space="preserve">The weather conditions were: </t>
  </si>
  <si>
    <t>← Enter Data Here</t>
  </si>
  <si>
    <t>Visibility</t>
  </si>
  <si>
    <t>Our surveyor noted lateral cracks within the render/mortar beds, this is often a sign of decayed wall ties.</t>
  </si>
  <si>
    <t xml:space="preserve">In accordance with your instructions, we carried out a survey/specific defects inspection to the above property for the reported problem which was:  </t>
  </si>
  <si>
    <t xml:space="preserve">The weather temperature was: </t>
  </si>
  <si>
    <t>Always show</t>
  </si>
  <si>
    <t>Determined by surveyor</t>
  </si>
  <si>
    <t>We noted the following building defects:</t>
  </si>
  <si>
    <t>No building defects were noted at the time of our inspection.</t>
  </si>
  <si>
    <t>•</t>
  </si>
  <si>
    <t>← Enter Visibility</t>
  </si>
  <si>
    <t>Comments for Surveyors</t>
  </si>
  <si>
    <t>The Property</t>
  </si>
  <si>
    <t>The Survey/Specific Defects Inspection</t>
  </si>
  <si>
    <t>Orientation</t>
  </si>
  <si>
    <t>The Scope</t>
  </si>
  <si>
    <t>Abbreviations Used In Report</t>
  </si>
  <si>
    <t>Our surveyor noted lateral/stepped cracks within the render/mortar beds, this is often a sign of movement within the structure of a building.</t>
  </si>
  <si>
    <t>We noted high ground levels to the following areas:</t>
  </si>
  <si>
    <t>External ground was falling towards building at:</t>
  </si>
  <si>
    <t>There is evidence of an original damp proof course in the mortar bed of the property.</t>
  </si>
  <si>
    <t>There is evidence of a chemical injection damp proof course to the property.</t>
  </si>
  <si>
    <t>Signs of salting</t>
  </si>
  <si>
    <t>Loss of key</t>
  </si>
  <si>
    <t>It is apparent that the wall plastering has suffered degradation due to the effects of dampness. We noted defects to various areas of the plaster surface:</t>
  </si>
  <si>
    <t>Shadow bands (where damp areas appear darker - resembles a shadow)</t>
  </si>
  <si>
    <t>Report produced under the guidance of Tyne Tees Damp Proofing Ltd by:</t>
  </si>
  <si>
    <t xml:space="preserve">Mike Davison CSSW  M.inst.SSE </t>
  </si>
  <si>
    <t>Show dependant on Surveyor</t>
  </si>
  <si>
    <t>Solid floors are not included in our inspection.</t>
  </si>
  <si>
    <t>There were no airbricks installed.</t>
  </si>
  <si>
    <t>← Will be visible based on above.</t>
  </si>
  <si>
    <t>← Enter number of air bricks</t>
  </si>
  <si>
    <t>← Enter number of air bricks.</t>
  </si>
  <si>
    <t>% W/W.</t>
  </si>
  <si>
    <t>It is our opinion that the above airbricks are providing sufficient airflow to the sub floor voids as the above reading is below 20% W/W.</t>
  </si>
  <si>
    <t>DPC = Damp Proof Course, DPM = Damp proof membrane, USCC = Under separate contract and costs, ACM's = Asbestos containing materials, W/W = Water Weight.</t>
  </si>
  <si>
    <t>It is our opinion that the above airbricks do not provide sufficient airflow to the sub floor voids as this moisture reading is equal to or above 20% W/W.</t>
  </si>
  <si>
    <t>← Enter W/W Data Here</t>
  </si>
  <si>
    <t xml:space="preserve">Timbers equal to or above 20% W/W are classed as being 'at risk'. </t>
  </si>
  <si>
    <t>You should check if any guarantee exists and if the work now required is covered by that guarantee as any work carried out by ourselves may invalidate existing guarantees.</t>
  </si>
  <si>
    <t>of the existing air bricks.</t>
  </si>
  <si>
    <t>Proposal (Airbricks)</t>
  </si>
  <si>
    <t>Proposal (Timbers)</t>
  </si>
  <si>
    <t>No further works required.</t>
  </si>
  <si>
    <t>← Visibility dependant on below answers</t>
  </si>
  <si>
    <t xml:space="preserve">An inspection of the floor timbers adjacent to the damp masonry, revealed issues with wood rot, please see attached timber inspection report for details. </t>
  </si>
  <si>
    <t>Laminate, vinyl, Lino or cushion-floor overlay</t>
  </si>
  <si>
    <t>Should you not be able to obtain permission for a destructive inspection, once you own the property, we can arrange for technicians to create access points (this will be quoted for separately, in addition to the survey cost), then arrange for our timber surveyor to return (a further inspection fee may apply). Our surveyor will then take moisture readings/carry out an inspection of exposed areas of the floor timbers. Should any further remedial work be required, a separate tender will be produced and forwarded for your consideration. Should our tender not be successful we would still highly recommend you arrange for an alternative inspection of the floor timbers under separate contract and costs.</t>
  </si>
  <si>
    <t>← Enter Visibility &amp; Area Here</t>
  </si>
  <si>
    <t>← Visibility dependant on above answers</t>
  </si>
  <si>
    <t>Other - (state below)</t>
  </si>
  <si>
    <t>Always Hide</t>
  </si>
  <si>
    <t>Defective pointing to chimney stack</t>
  </si>
  <si>
    <t>Defective flashings to chimney stack</t>
  </si>
  <si>
    <t>Defective pointing to ridge tiles</t>
  </si>
  <si>
    <t>Defective pointing to verge</t>
  </si>
  <si>
    <t>Defective pointing to hips</t>
  </si>
  <si>
    <t>Slipped roof slates</t>
  </si>
  <si>
    <t>Loose roof slates</t>
  </si>
  <si>
    <t>Missing roof slates</t>
  </si>
  <si>
    <t>Floors</t>
  </si>
  <si>
    <t>Non accessible areas</t>
  </si>
  <si>
    <t>Use the alt key and the mouse to 'snap' the image to the top and bottom of the cell for alignment.</t>
  </si>
  <si>
    <t>← Enter Images Descriptions</t>
  </si>
  <si>
    <t>← Add Images</t>
  </si>
  <si>
    <t>← Enter Image Visibility</t>
  </si>
  <si>
    <t>↓ Image Section 1 ↓</t>
  </si>
  <si>
    <t>↑ Image Section 1 ↑</t>
  </si>
  <si>
    <t>↓ Image Section 2 ↓</t>
  </si>
  <si>
    <t>↑ Image Section 3 ↑</t>
  </si>
  <si>
    <t>↑ Image Section 2 ↑</t>
  </si>
  <si>
    <t>↓ Image Section 3 ↓</t>
  </si>
  <si>
    <t>Hide</t>
  </si>
  <si>
    <t>Will always show</t>
  </si>
  <si>
    <t>(°C).</t>
  </si>
  <si>
    <t>Will always show (pre-populated)</t>
  </si>
  <si>
    <t>Will be visible if issues detected.</t>
  </si>
  <si>
    <t>This line will NOT show on the report</t>
  </si>
  <si>
    <t>Will be visible dependant on W/W % above.</t>
  </si>
  <si>
    <t>← Enter Visibility &amp; Data</t>
  </si>
  <si>
    <t>Optional Item?</t>
  </si>
  <si>
    <r>
      <t xml:space="preserve">Price 
</t>
    </r>
    <r>
      <rPr>
        <b/>
        <sz val="9"/>
        <rFont val="Calibri"/>
        <family val="2"/>
      </rPr>
      <t>(Without Optional items)</t>
    </r>
  </si>
  <si>
    <r>
      <t xml:space="preserve">Price 
</t>
    </r>
    <r>
      <rPr>
        <b/>
        <sz val="8"/>
        <color rgb="FFFF0000"/>
        <rFont val="Calibri"/>
        <family val="2"/>
      </rPr>
      <t>(With Optional Items)</t>
    </r>
  </si>
  <si>
    <t>Walls (Install membrane system)</t>
  </si>
  <si>
    <t>Sketch Plan</t>
  </si>
  <si>
    <t>Notes for office</t>
  </si>
  <si>
    <t>To understand page breaks the link below will be of assistance:</t>
  </si>
  <si>
    <t>https://support.microsoft.com/en-gb/office/insert-move-or-delete-page-breaks-in-a-worksheet-ad3dc726-beec-4a4c-861f-ed640612bdc2</t>
  </si>
  <si>
    <t>PDF Report Name</t>
  </si>
  <si>
    <r>
      <rPr>
        <b/>
        <sz val="11"/>
        <color theme="1"/>
        <rFont val="Calibri"/>
        <family val="2"/>
        <scheme val="minor"/>
      </rPr>
      <t>Note</t>
    </r>
    <r>
      <rPr>
        <sz val="11"/>
        <color theme="1"/>
        <rFont val="Calibri"/>
        <family val="2"/>
        <scheme val="minor"/>
      </rPr>
      <t xml:space="preserve">: This is a non-destructive inspection. You may wish to accept this report as is or you may wish to arrange for further inspection and checks, should this be the case the options available are outlined below. </t>
    </r>
  </si>
  <si>
    <r>
      <t>Our surveyor noted dampness within the concrete floor(s) marked '</t>
    </r>
    <r>
      <rPr>
        <b/>
        <sz val="11"/>
        <color theme="1"/>
        <rFont val="Calibri"/>
        <family val="2"/>
        <scheme val="minor"/>
      </rPr>
      <t xml:space="preserve">DC' </t>
    </r>
    <r>
      <rPr>
        <sz val="11"/>
        <color theme="1"/>
        <rFont val="Calibri"/>
        <family val="2"/>
        <scheme val="minor"/>
      </rPr>
      <t>on the attached sketch plan.</t>
    </r>
  </si>
  <si>
    <r>
      <t>Install a resin bonded membrane system to the top surface of the concrete floors marked '</t>
    </r>
    <r>
      <rPr>
        <b/>
        <sz val="11"/>
        <color theme="1"/>
        <rFont val="Calibri"/>
        <family val="2"/>
        <scheme val="minor"/>
      </rPr>
      <t>DC'</t>
    </r>
    <r>
      <rPr>
        <sz val="11"/>
        <color theme="1"/>
        <rFont val="Calibri"/>
        <family val="2"/>
        <scheme val="minor"/>
      </rPr>
      <t xml:space="preserve"> on the sketch plan.</t>
    </r>
  </si>
  <si>
    <t>Page Breaks:</t>
  </si>
  <si>
    <t>• Use the 'Alt' key to align an image to the bottom of the cell.</t>
  </si>
  <si>
    <t>• Try to keep images the same height especially if on the same row and ensure you use the 'alt' key to align the image to the bottom of the cell.</t>
  </si>
  <si>
    <t>• Try and keep the images centrally above their descriptions.</t>
  </si>
  <si>
    <t>Image Best Practices:</t>
  </si>
  <si>
    <t>• Try and keep the images a fraction smaller than the cell height to prevent overspill if the image cell falls on a page break.</t>
  </si>
  <si>
    <t>Weather Conditions</t>
  </si>
  <si>
    <t>Internal Reference ID:</t>
  </si>
  <si>
    <t>Cracking To Walls</t>
  </si>
  <si>
    <t>Client Name And Site Details</t>
  </si>
  <si>
    <t>• To format an image right click on it to set the height and/or crop ( a good starting height is 6cm).</t>
  </si>
  <si>
    <t>Acceptance and Permission to Proceed</t>
  </si>
  <si>
    <t>Site:</t>
  </si>
  <si>
    <t>During the survey it was not possible for the surveyor to inspect the floor timbers in certain areas, this was due to lack of access because of overlays/stained polished floors/fitted carpets.</t>
  </si>
  <si>
    <t>Email Subject Line:</t>
  </si>
  <si>
    <t>Email Content:</t>
  </si>
  <si>
    <t>ACCESS PERMISSION EMAIL TEMPLATE</t>
  </si>
  <si>
    <t>Kind Regards,</t>
  </si>
  <si>
    <t>You need to attach the following items to the estimate:</t>
  </si>
  <si>
    <r>
      <t xml:space="preserve">• </t>
    </r>
    <r>
      <rPr>
        <b/>
        <sz val="11"/>
        <color theme="1"/>
        <rFont val="Arial"/>
        <family val="2"/>
      </rPr>
      <t>The Survey Inspection Report</t>
    </r>
    <r>
      <rPr>
        <sz val="11"/>
        <color theme="1"/>
        <rFont val="Arial"/>
        <family val="2"/>
      </rPr>
      <t xml:space="preserve"> (generated from the Report tab in this document).</t>
    </r>
  </si>
  <si>
    <r>
      <t xml:space="preserve">• </t>
    </r>
    <r>
      <rPr>
        <b/>
        <sz val="11"/>
        <color theme="1"/>
        <rFont val="Arial"/>
        <family val="2"/>
      </rPr>
      <t>Access Permission Email Template</t>
    </r>
    <r>
      <rPr>
        <sz val="11"/>
        <color theme="1"/>
        <rFont val="Arial"/>
        <family val="2"/>
      </rPr>
      <t xml:space="preserve"> (generated from the Access Email Template tab in this document).</t>
    </r>
  </si>
  <si>
    <t xml:space="preserve">Office tasks when submitting an estimate </t>
  </si>
  <si>
    <t>Email Template: Will show if access permission is needed</t>
  </si>
  <si>
    <r>
      <t xml:space="preserve">• </t>
    </r>
    <r>
      <rPr>
        <b/>
        <sz val="11"/>
        <color theme="1"/>
        <rFont val="Arial"/>
        <family val="2"/>
      </rPr>
      <t>Our Terms and Conditions</t>
    </r>
    <r>
      <rPr>
        <sz val="11"/>
        <color theme="1"/>
        <rFont val="Arial"/>
        <family val="2"/>
      </rPr>
      <t xml:space="preserve"> (latest version always found in the folder '1.Current Documentation'). </t>
    </r>
  </si>
  <si>
    <r>
      <t xml:space="preserve">• </t>
    </r>
    <r>
      <rPr>
        <b/>
        <sz val="11"/>
        <color theme="1"/>
        <rFont val="Arial"/>
        <family val="2"/>
      </rPr>
      <t>General Notes for clients and Health and Safety precautions</t>
    </r>
    <r>
      <rPr>
        <sz val="11"/>
        <color theme="1"/>
        <rFont val="Arial"/>
        <family val="2"/>
      </rPr>
      <t xml:space="preserve"> (latest version always found in the folder '1.Current Documentation'). </t>
    </r>
  </si>
  <si>
    <t xml:space="preserve">Our findings and proposals are set out below and should be read in conjunction with the enclosed document 'General Notes for clients and Health and Safety precautions'. </t>
  </si>
  <si>
    <t>Defective pointing to external walls</t>
  </si>
  <si>
    <t>Blockage/vegetation to rainwater goods</t>
  </si>
  <si>
    <t>Cracks/movement to walls</t>
  </si>
  <si>
    <t>Cracks/movement to lintels</t>
  </si>
  <si>
    <t>Other not covered by above - (state below)</t>
  </si>
  <si>
    <t>Access Email Template Name</t>
  </si>
  <si>
    <t>File Name Creator</t>
  </si>
  <si>
    <t>The following areas would benefit from the installation of an aco drain channel to carry water to the drain.</t>
  </si>
  <si>
    <t>Furniture obstructing access</t>
  </si>
  <si>
    <r>
      <t xml:space="preserve">Our surveyor has carried out an inspection of the solid walls as requested. The inspection was carried out with the aid of an electronic moisture meter, a digital laser thermometer and a tactile examination. A series of temperature, capacitive and resistive readings were obtained from interior surfaces of the wall(s), our surveyor has interpreted these results and has concluded that there is evidence of </t>
    </r>
    <r>
      <rPr>
        <b/>
        <i/>
        <sz val="11"/>
        <color theme="1"/>
        <rFont val="Calibri"/>
        <family val="2"/>
        <scheme val="minor"/>
      </rPr>
      <t>dampness</t>
    </r>
    <r>
      <rPr>
        <sz val="11"/>
        <rFont val="Calibri"/>
        <family val="2"/>
        <scheme val="minor"/>
      </rPr>
      <t xml:space="preserve"> </t>
    </r>
    <r>
      <rPr>
        <sz val="11"/>
        <color theme="1"/>
        <rFont val="Calibri"/>
        <family val="2"/>
        <scheme val="minor"/>
      </rPr>
      <t>to the walls of the property.</t>
    </r>
  </si>
  <si>
    <r>
      <t xml:space="preserve">Our surveyor has carried out an inspection of the solid walls as requested. The inspection was carried out with the aid of an electronic moisture meter, a digital laser thermometer and a tactile examination. A series of temperature, capacitive and resistive readings were obtained from interior surfaces of the wall(s), our surveyor has interpreted these results and has concluded that there is evidence of </t>
    </r>
    <r>
      <rPr>
        <b/>
        <i/>
        <sz val="11"/>
        <rFont val="Calibri"/>
        <family val="2"/>
        <scheme val="minor"/>
      </rPr>
      <t>condensation</t>
    </r>
    <r>
      <rPr>
        <sz val="11"/>
        <rFont val="Calibri"/>
        <family val="2"/>
        <scheme val="minor"/>
      </rPr>
      <t xml:space="preserve"> </t>
    </r>
    <r>
      <rPr>
        <sz val="11"/>
        <color theme="1"/>
        <rFont val="Calibri"/>
        <family val="2"/>
        <scheme val="minor"/>
      </rPr>
      <t>to the walls of the property.</t>
    </r>
  </si>
  <si>
    <r>
      <t xml:space="preserve">Our surveyor has carried out an inspection of the solid walls as requested. The inspection was carried out with the aid of an electronic moisture meter, a digital laser thermometer and a tactile examination. A series of temperature, capacitive and resistive readings were obtained from interior surfaces of the wall(s), our surveyor has interpreted these results and has concluded that there is evidence of </t>
    </r>
    <r>
      <rPr>
        <b/>
        <i/>
        <sz val="11"/>
        <color theme="1"/>
        <rFont val="Calibri"/>
        <family val="2"/>
        <scheme val="minor"/>
      </rPr>
      <t xml:space="preserve">dampness and </t>
    </r>
    <r>
      <rPr>
        <b/>
        <i/>
        <sz val="11"/>
        <rFont val="Calibri"/>
        <family val="2"/>
        <scheme val="minor"/>
      </rPr>
      <t>condensation</t>
    </r>
    <r>
      <rPr>
        <sz val="11"/>
        <rFont val="Calibri"/>
        <family val="2"/>
        <scheme val="minor"/>
      </rPr>
      <t xml:space="preserve"> </t>
    </r>
    <r>
      <rPr>
        <sz val="11"/>
        <color theme="1"/>
        <rFont val="Calibri"/>
        <family val="2"/>
        <scheme val="minor"/>
      </rPr>
      <t>to the walls of the property.</t>
    </r>
  </si>
  <si>
    <r>
      <t xml:space="preserve">Our surveyor has carried out an inspection for dampness to the solid walls as requested. The inspection was carried out with the aid of an electronic moisture meter, a digital laser thermometer and a tactile examination. A series of temperature, capacitive and resistive readings were obtained from interior surfaces of the wall(s), our surveyor has interpreted these results and has concluded that there is </t>
    </r>
    <r>
      <rPr>
        <b/>
        <i/>
        <sz val="11"/>
        <color theme="1"/>
        <rFont val="Calibri"/>
        <family val="2"/>
        <scheme val="minor"/>
      </rPr>
      <t xml:space="preserve">no evidence of dampness or </t>
    </r>
    <r>
      <rPr>
        <b/>
        <i/>
        <sz val="11"/>
        <rFont val="Calibri"/>
        <family val="2"/>
        <scheme val="minor"/>
      </rPr>
      <t>condensation</t>
    </r>
    <r>
      <rPr>
        <sz val="11"/>
        <rFont val="Calibri"/>
        <family val="2"/>
        <scheme val="minor"/>
      </rPr>
      <t xml:space="preserve"> </t>
    </r>
    <r>
      <rPr>
        <sz val="11"/>
        <color theme="1"/>
        <rFont val="Calibri"/>
        <family val="2"/>
        <scheme val="minor"/>
      </rPr>
      <t xml:space="preserve">to the walls of the property </t>
    </r>
  </si>
  <si>
    <t>Date of Inspection:</t>
  </si>
  <si>
    <t>Form a french drain by installing gravel to promote breathing of the walls to reduce damp levels.</t>
  </si>
  <si>
    <t>Lower the ground levels to</t>
  </si>
  <si>
    <t>of the property to create sufficient clearance below the DPC.</t>
  </si>
  <si>
    <t>Airbricks</t>
  </si>
  <si>
    <t>Spray treatments</t>
  </si>
  <si>
    <t>Drains</t>
  </si>
  <si>
    <t>Aco Drain per linear meter</t>
  </si>
  <si>
    <t>French Drain per linear meter</t>
  </si>
  <si>
    <t>It was not possible to inspect the airbricks due to the following:</t>
  </si>
  <si>
    <t>State below - ensure that images are taken of the obstructions to be added to the report.</t>
  </si>
  <si>
    <t>Plastering &amp; finishing</t>
  </si>
  <si>
    <t xml:space="preserve">Area of Works </t>
  </si>
  <si>
    <t>Whilst this is arranged as a non-destructive inspection, properties with dampness often have problems with timbers in contact with damp masonry (such as wet rot or dry rot) leaving them at risk. If dampness is discovered, we will try to inspect any timbers in these areas of risk. This is not always possible, due to the damage that may be caused to flooring etc. We therefore cannot proceed without written permission from the property owner for a 'destructive inspection' allowing us to gain access to the sub floor voids.</t>
  </si>
  <si>
    <t>We have attached a pre-filled email template to request permission for a destructive inspection, to create further access as required to complete the report.</t>
  </si>
  <si>
    <t>RE: CREATION OF ACCESS POINTS FOR FURTHER INSPECTION</t>
  </si>
  <si>
    <t>Dear property owner,</t>
  </si>
  <si>
    <t xml:space="preserve">We have carried out a survey of your property (property details below) </t>
  </si>
  <si>
    <t>Tyne Tees Damp Proofing Ltd</t>
  </si>
  <si>
    <t>https://www.tyneteesdampproofing.co.uk/</t>
  </si>
  <si>
    <t>By allowing a surveyor/ technician to open up access points as required, you will be confirming acceptance of the above consequences and agreeing not to hold the company responsible for the cost of any associated repairs or replacements.</t>
  </si>
  <si>
    <t xml:space="preserve">To confirm that you have read and understood the above and agree to allow a surveyor/ technician to open up access points as required please respond to this email granting permission. </t>
  </si>
  <si>
    <t>To complete the survey, permission is needed to access sub-floor voids etc. On completion of the inspection the access points will be closed up and made safe. All work will be carried out as carefully as possible however it should be noted that following completion damage may be evident and laminate floors etc may be affected irreparably. Fitted carpets may disintegrate or may require professional re-fitting and stained floors may have bright unstained areas of timber evident where cuts have been made. It is also possible that cut lines will remain openly visible in laminates/overlays and that plywood overlays may not be able to be re-used depending on damage caused, and due the fixing method originally employed.</t>
  </si>
  <si>
    <t>The cost of any re-fitting/repair/replacement will have to be bourn by yourself post completion of the required access work .</t>
  </si>
  <si>
    <t xml:space="preserve">If the reported defect above, which pulls through from the master document, is no longer appropriate you can overwrite it by inputting a new one below otherwise leave it blank.  </t>
  </si>
  <si>
    <t>Will be visible based on above input.</t>
  </si>
  <si>
    <t>It was not possible to inspect the sub floor timbers adjacent to the damp masonry due to the following:</t>
  </si>
  <si>
    <t>The sub floor voids were ventilated by the following 'visible' number of airbricks:</t>
  </si>
  <si>
    <t>To the rear offshoot</t>
  </si>
  <si>
    <t>Determined by if we have a sketch</t>
  </si>
  <si>
    <t>Determined by above</t>
  </si>
  <si>
    <t>We would suggest you arrange a wall tie inspection from a reputable specialist under separate contract and costs.</t>
  </si>
  <si>
    <t>← Enter date</t>
  </si>
  <si>
    <t>We would propose for the following works to be carried out:</t>
  </si>
  <si>
    <t>Show</t>
  </si>
  <si>
    <t>Front Elevation</t>
  </si>
  <si>
    <t>Rear Elevation</t>
  </si>
  <si>
    <t>The above items should be checked and addressed in the short term (3 months maximum) as they have been identified as possible causes of moisture ingress to the fabric of the building.</t>
  </si>
  <si>
    <r>
      <t xml:space="preserve">The above items should be checked and addressed in the short term (3 months maximum) as they have been identified as possible causes of moisture ingress to the fabric of the building, </t>
    </r>
    <r>
      <rPr>
        <b/>
        <i/>
        <sz val="11"/>
        <color theme="1"/>
        <rFont val="Calibri"/>
        <family val="2"/>
        <scheme val="minor"/>
      </rPr>
      <t>failure to correct the defects may affect your guarantee</t>
    </r>
    <r>
      <rPr>
        <sz val="11"/>
        <color theme="1"/>
        <rFont val="Calibri"/>
        <family val="2"/>
        <scheme val="minor"/>
      </rPr>
      <t xml:space="preserve">. </t>
    </r>
  </si>
  <si>
    <t>It was not possible to inspect the sub floor moisture content due to the following:</t>
  </si>
  <si>
    <t>Install a wall floor fillet seal to join with installed membrane.</t>
  </si>
  <si>
    <t>Lift / upgrade existing airbrick/fit new face</t>
  </si>
  <si>
    <t>Difficulty hours (additional hours if required)</t>
  </si>
  <si>
    <t>Construct stud wall to perimeter</t>
  </si>
  <si>
    <t>Plaster boarding (inc dab/screws)</t>
  </si>
  <si>
    <t>Install Victorian T&amp;G Floorboards (M2)</t>
  </si>
  <si>
    <r>
      <rPr>
        <b/>
        <sz val="10"/>
        <rFont val="Arial Narrow"/>
        <family val="2"/>
      </rPr>
      <t xml:space="preserve">The value of the csv import on upload should match the figures to the right </t>
    </r>
    <r>
      <rPr>
        <sz val="10"/>
        <rFont val="Arial Narrow"/>
        <family val="2"/>
      </rPr>
      <t xml:space="preserve">
</t>
    </r>
    <r>
      <rPr>
        <sz val="9"/>
        <rFont val="Arial Narrow"/>
        <family val="2"/>
      </rPr>
      <t>(this may be less than the totals to the left as optional items are not calculated up on the import until the customer selects them)</t>
    </r>
  </si>
  <si>
    <t>Remove radiators &amp; cap valves</t>
  </si>
  <si>
    <t>Aquaban water repellent system</t>
  </si>
  <si>
    <t>External Wall - Aquaban Water Repellant Treatments</t>
  </si>
  <si>
    <t>External Wall - Aquaban Water Repellent Treatments</t>
  </si>
  <si>
    <t>Additional Supporting Comments From Surveyor</t>
  </si>
  <si>
    <t>Install a damp proofing system as per the attached sketch plan.</t>
  </si>
  <si>
    <t>Strip Wall Paper</t>
  </si>
  <si>
    <t>Version From</t>
  </si>
  <si>
    <t>Change</t>
  </si>
  <si>
    <t>Added stripping wall paper to costing.</t>
  </si>
  <si>
    <t>Added Sub Contractor 'clarity' section on costing sheet - Vat registered and non vat registered</t>
  </si>
  <si>
    <t>Changed the refitting of ancilliaries (refit sockets, radiator and skirting boards) to be costed in chunks of 3 hours (approx half day).  E.g. If the total calculated hours equaled 2 hours then this would be would be charged as 3 hours and if it was 5 hours we would charge as 6.</t>
  </si>
  <si>
    <t>Date</t>
  </si>
  <si>
    <t>Add VBA to updated the file name (date) on each click as the file names only changed on open so if clicking multiple times it was trying to save the same file again which is confusing)</t>
  </si>
  <si>
    <t>Version To</t>
  </si>
  <si>
    <t>Radius (mtr)</t>
  </si>
  <si>
    <t>Type</t>
  </si>
  <si>
    <t>DPC Installation - Traditional</t>
  </si>
  <si>
    <t>DPC Installation - Digital</t>
  </si>
  <si>
    <t>Added a 'Digital' DPC option to the sheet for using the Mursec Eco.</t>
  </si>
  <si>
    <t>Summary</t>
  </si>
  <si>
    <t>Notes for the surveyor: Write where problem is e.g., joists 1,2 and 3 counting from left of front elevation.</t>
  </si>
  <si>
    <t>A woodworm infestation, the attack was of common furniture beetle (anobium punctatum)</t>
  </si>
  <si>
    <t>An attack of wood rotting fungi, this was identified as wet rot</t>
  </si>
  <si>
    <t>Rotting timbers were also suffering from an infestation of woodboring weevil (Pentarthrum Huttoni)</t>
  </si>
  <si>
    <t>An attack of wood rotting fungi, this was identified as dry rot (sepulae lacrymans)</t>
  </si>
  <si>
    <t>A high W/W moisture level to the floor timbers, this was due to a lack of ventilation to the sub floor voids</t>
  </si>
  <si>
    <t>Schedule For Treatment Of Wet Rot</t>
  </si>
  <si>
    <t>Schedule For Treatment Of Wet Rot And Woodboring Weevil</t>
  </si>
  <si>
    <t>Open up affected area.</t>
  </si>
  <si>
    <t>Support any structural bearing timbers for duration of works.</t>
  </si>
  <si>
    <t>Cut out affected timbers as per SOP.</t>
  </si>
  <si>
    <t>Treat all remaining timber cut ends as per SOP.</t>
  </si>
  <si>
    <t>Prepare and place new timbers, do not fix.</t>
  </si>
  <si>
    <t>Remove new timbers.</t>
  </si>
  <si>
    <t>Treat all masonry as per SOP.</t>
  </si>
  <si>
    <t>Clean out and sterilise joist wall socket holes as per SOP.</t>
  </si>
  <si>
    <t>Treat all surfaces of new timbers with dual purpose application.</t>
  </si>
  <si>
    <t>Install bower beam metal plating system.</t>
  </si>
  <si>
    <t>Install and fix new timbers as per SOP.</t>
  </si>
  <si>
    <t xml:space="preserve">Bag up and remove debris to safe external area. </t>
  </si>
  <si>
    <t>Clean and tidy site.</t>
  </si>
  <si>
    <t>Proposals below</t>
  </si>
  <si>
    <t>Timber replacement and treatment for wood rot, as per the schedule specified below.</t>
  </si>
  <si>
    <t>Timber replacement and treatment for wood rot and woodboring insects, as per the schedule specified below.</t>
  </si>
  <si>
    <t>Treatment for woodworm infestation, as per the schedule specified below.</t>
  </si>
  <si>
    <t>Obtain permission from the vendor to carry out a destructive survey. For your convenience we have included a pre-filled email template for you to request permission from the property owner. You can use this email template to request access permission.</t>
  </si>
  <si>
    <t>ffsdf</t>
  </si>
  <si>
    <t>Add extra statements under the timber section as advised by SR.</t>
  </si>
  <si>
    <t>It was noted that you had issues in the following timbers:</t>
  </si>
  <si>
    <t>The timbers were suffering from the following issues:</t>
  </si>
  <si>
    <t>Fixed error logic in Aco drains section where you could specify there were issues but could then not specify what the issues were.</t>
  </si>
  <si>
    <t>Default 
Mats Cost</t>
  </si>
  <si>
    <t>Adjusted 
Mats Cost</t>
  </si>
  <si>
    <t>Added deposit value ex vat and inc vat for card readers.</t>
  </si>
  <si>
    <t>Ex. VAT</t>
  </si>
  <si>
    <t>Inc. VAT</t>
  </si>
  <si>
    <t xml:space="preserve">An inspection of the floor timbers adjacent to the damp masonry, revealed issues with wood rot. </t>
  </si>
  <si>
    <t>Section Price Adjustment %</t>
  </si>
  <si>
    <t>Section Price Adjustment % Values</t>
  </si>
  <si>
    <t>Default 
Lab Cost</t>
  </si>
  <si>
    <t>Adjusted 
Lab Cost</t>
  </si>
  <si>
    <t xml:space="preserve">Floor - Liquid Resin Floor Membranes </t>
  </si>
  <si>
    <t>Costing: Added in percentage adjuster to sections.
Costing: Added in questions and conditional logic for skirting boards refit.
Report: Add in more image sections for building defects.
Report: Added in image sections for Airbricks</t>
  </si>
  <si>
    <t>↓ Image Section 4 ↓</t>
  </si>
  <si>
    <t>↑ Image Section 4 ↑</t>
  </si>
  <si>
    <t>↓ Image Section 5 ↓</t>
  </si>
  <si>
    <t>↑ Image Section 5 ↑</t>
  </si>
  <si>
    <t>↓ Image Section 6 ↓</t>
  </si>
  <si>
    <t>↑ Image Section 6 ↑</t>
  </si>
  <si>
    <t>Perished external brickwork</t>
  </si>
  <si>
    <t>Defective perimeter joint</t>
  </si>
  <si>
    <t>Upgrade</t>
  </si>
  <si>
    <t xml:space="preserve"> air bricks, check airflow, adjust as necessary, clean debris &amp; reinstall.</t>
  </si>
  <si>
    <t xml:space="preserve"> air bricks to 225 x 150 airbricks.</t>
  </si>
  <si>
    <t>new 225 x 150 additional airbricks.</t>
  </si>
  <si>
    <t>Add notes below that the office need to consider when compiling the estimate and report.</t>
  </si>
  <si>
    <t>Added conditional logic to Wall ties and solid floors section on report so that it pre-populates more cells as requested by GH.  Also removed the Office comments section at the bottom of the report as it is hiiden when the filter is applied so this is replaced with an 'Office Notes' tab.</t>
  </si>
  <si>
    <t>Added Sub Contractor Costs and Sub Contractor Mats Tabs</t>
  </si>
  <si>
    <t>Sub Contractor Costs</t>
  </si>
  <si>
    <t>Site Post Code</t>
  </si>
  <si>
    <t>County</t>
  </si>
  <si>
    <t>Town / City</t>
  </si>
  <si>
    <t>First Line of site address</t>
  </si>
  <si>
    <t>Client Name</t>
  </si>
  <si>
    <t>Wykamol ISO-THERM Adhesive For Thin Internal Wall Insulation (TIWI)</t>
  </si>
  <si>
    <t>Wykamol ISO-THERM – Thin Internal Wall Insulation (TIWI) – 0.95m x 7.5m</t>
  </si>
  <si>
    <t>Plasterboards, 1220mm x 900mmx 9.5mm</t>
  </si>
  <si>
    <t>Qty</t>
  </si>
  <si>
    <t>Enquiry ID:</t>
  </si>
  <si>
    <t>On Site Acceptance Form (CAF1).</t>
  </si>
  <si>
    <t>Address 1</t>
  </si>
  <si>
    <t>Address 2</t>
  </si>
  <si>
    <t>Address 3</t>
  </si>
  <si>
    <t>Address 4</t>
  </si>
  <si>
    <t>Postcode</t>
  </si>
  <si>
    <t>Operation</t>
  </si>
  <si>
    <t>I accept the company terms and conditions of contract which I have viewed at the link below and I have paid my deposit with this order.</t>
  </si>
  <si>
    <t>https://www.tyneteesdampproofing.co.uk/terms-and-conditions/</t>
  </si>
  <si>
    <t>I wish the work to commence before the 14 day cooling off period and waive my consumer rights (please sign to confirm)</t>
  </si>
  <si>
    <t>Signed:</t>
  </si>
  <si>
    <t>Date:</t>
  </si>
  <si>
    <t>Changed wording on Projects Specific Overheads to make it look more generic and to cover more areas and removed the vehicle costs statement.
Added the On Site Approval Form Tab.</t>
  </si>
  <si>
    <t>Project Materials List</t>
  </si>
  <si>
    <t>Wykamol Ultracure Damp Proofing Cream</t>
  </si>
  <si>
    <t>Total Cost</t>
  </si>
  <si>
    <t xml:space="preserve">Usage based on </t>
  </si>
  <si>
    <t>Walls - DPC</t>
  </si>
  <si>
    <t>Walls - Membrane</t>
  </si>
  <si>
    <t>Assigned To:</t>
  </si>
  <si>
    <t>https://www.preservationshop.co.uk/product/wykamol-cm3-mesh-cavity-drain-membrane/</t>
  </si>
  <si>
    <t>1ltr Cartridge</t>
  </si>
  <si>
    <t xml:space="preserve">Drill Plugs 12mm – Grey or Black  - </t>
  </si>
  <si>
    <t>Cavity Membrane Fixing Plugs – 50mm</t>
  </si>
  <si>
    <t>Wykamol Membrane Sealing Tape – 28mm x 22m</t>
  </si>
  <si>
    <t>https://www.preservationshop.co.uk/product/cavity-membrane-fixing-plugs-50mm/</t>
  </si>
  <si>
    <t>https://www.preservationshop.co.uk/product/wykamol-membrane-sealing-tape-28mm-x-22m/</t>
  </si>
  <si>
    <t>https://www.preservationshop.co.uk/product/wykamol-ultracure-damp-proofing-cream/</t>
  </si>
  <si>
    <t>https://www.preservationshop.co.uk/product/12mm-drill-plugs-grey-for-dpc-injection/</t>
  </si>
  <si>
    <t>https://www.preservationshop.co.uk/product/wykamol-technoseal-liquid-damp-proofing-membrane-dpm/</t>
  </si>
  <si>
    <t>Wykamol Technoseal Liquid Damp Proofing Membrane 5ltr (DPM) - Black or White</t>
  </si>
  <si>
    <t>Based on 10 plugs per m2.</t>
  </si>
  <si>
    <t>n/a - as specified on the cost sheet.</t>
  </si>
  <si>
    <t>5ltr Container</t>
  </si>
  <si>
    <t>PS Product Link</t>
  </si>
  <si>
    <t>https://www.preservationshop.co.uk/product/wykamol-universal-mortar/</t>
  </si>
  <si>
    <t>25kg Bag</t>
  </si>
  <si>
    <t>Material Sheet Cost</t>
  </si>
  <si>
    <t>Total Cost (inc %)</t>
  </si>
  <si>
    <t>Variance</t>
  </si>
  <si>
    <t xml:space="preserve">Cost Sheet </t>
  </si>
  <si>
    <t>PS Item Cost</t>
  </si>
  <si>
    <t>https://www.preservationshop.co.uk/product/wykamol-fibre-tape/</t>
  </si>
  <si>
    <t>https://www.preservationshop.co.uk/product/wykamol-rope-10mm-x-5m/</t>
  </si>
  <si>
    <t>Roll x 22 mtrs</t>
  </si>
  <si>
    <t>Roll x 5 mtrs</t>
  </si>
  <si>
    <t>Wykamol – Universal Mortar</t>
  </si>
  <si>
    <t>Wykamol Rope 10mm x 5m</t>
  </si>
  <si>
    <t>Antinox Heavy Duty Floor Protection Boards – 2.4m x 1.2m</t>
  </si>
  <si>
    <t>https://www.preservationshop.co.uk/product/antinox-heavy-duty-floor-protection-boards-2-4m-x-1-2m/</t>
  </si>
  <si>
    <t>Per sheet</t>
  </si>
  <si>
    <t>Prep Work</t>
  </si>
  <si>
    <t>https://www.preservationshop.co.uk/product/wykamol-sbr-latex-5l/</t>
  </si>
  <si>
    <t>https://www.preservationshop.co.uk/product/hydradry-tanking-slurry/</t>
  </si>
  <si>
    <t>https://www.preservationshop.co.uk/product/renovating-plaster/</t>
  </si>
  <si>
    <t>7 mtrs coverage per tub</t>
  </si>
  <si>
    <t>Wykamol SBR Latex – 5ltr</t>
  </si>
  <si>
    <t>Per bag</t>
  </si>
  <si>
    <t>Cement 25kg</t>
  </si>
  <si>
    <t>https://www.preservationshop.co.uk/product/cement/</t>
  </si>
  <si>
    <t>n/a - on till only</t>
  </si>
  <si>
    <t>Wykamol Hydradry Tanking Slurry – 20kg</t>
  </si>
  <si>
    <t>20kg Container</t>
  </si>
  <si>
    <t>Wykamol Renovating Plaster – 20kg Bag</t>
  </si>
  <si>
    <t>20kg Bag</t>
  </si>
  <si>
    <t>https://www.preservationshop.co.uk/product/ep40-primer-coat/</t>
  </si>
  <si>
    <t>https://www.preservationshop.co.uk/product/wykamol-ep40-epoxy-floor-coating-5l-grey/</t>
  </si>
  <si>
    <t>https://www.preservationshop.co.uk/product/grip-grit/</t>
  </si>
  <si>
    <t>30 mtrs coverage per tub</t>
  </si>
  <si>
    <t>Wykamol suggest 3 m² / 20 Kg bag when applied at a thickness of 10 mm</t>
  </si>
  <si>
    <t>25 mtrs coverage per bag</t>
  </si>
  <si>
    <t>1 board covers 1.098 m2</t>
  </si>
  <si>
    <t>1 bag does approx. 10m2</t>
  </si>
  <si>
    <t>1 roll does 7.125 m2</t>
  </si>
  <si>
    <t>1 tub does 7.125 m2</t>
  </si>
  <si>
    <t>https://www.preservationshop.co.uk/product/multi-finish-plaster-25kg-bag-british-gypsum-thistle/</t>
  </si>
  <si>
    <t>Multi Finish Plaster – 25kg Bag – (British Gypsum Thistle)</t>
  </si>
  <si>
    <t>Per 15kg tub</t>
  </si>
  <si>
    <t>https://www.preservationshop.co.uk/product/wykamol-iso-therm-thin-internal-wall-insulation-tiwi-1m-x-7-5m/</t>
  </si>
  <si>
    <t>https://www.preservationshop.co.uk/product/wykamol-iso-therm-adhesive-for-thin-internal-wall-insulation-tiwi/</t>
  </si>
  <si>
    <t>Bag</t>
  </si>
  <si>
    <t>Plastic Airbrick 9 x 3 (Beige, Black or Terracotta)</t>
  </si>
  <si>
    <t>https://www.preservationshop.co.uk/product/plastic-air-brick-9-x-3/</t>
  </si>
  <si>
    <t>Spray Treatments</t>
  </si>
  <si>
    <t>Wykamol Microtech Dual Purpose Concentrate - 400g</t>
  </si>
  <si>
    <t>400g bottle</t>
  </si>
  <si>
    <t>https://www.preservationshop.co.uk/product/wykamol-microtech-dual-purpose-concentrate/</t>
  </si>
  <si>
    <t>DOES NOT CONTAIN ANY JOINERY MATERIALS (JOISTS, STUD WORK, FLOORING) or ACO DRAINS</t>
  </si>
  <si>
    <t>Filter</t>
  </si>
  <si>
    <t>Stripping out of items as required to proceed with works</t>
  </si>
  <si>
    <t>Gary to ask if subbies need tape</t>
  </si>
  <si>
    <t>Antinox HD Floor Protection Boards – 2.4m x 1.2m</t>
  </si>
  <si>
    <t xml:space="preserve">Usage / logic based upon: </t>
  </si>
  <si>
    <t>10 linear metres at a 115mm brick thickness = 1.15 volume per tube
Also see note in qty box.</t>
  </si>
  <si>
    <t>50 plugs to every 6LM</t>
  </si>
  <si>
    <t>Each (rounded to multiples of 50)</t>
  </si>
  <si>
    <t>Round to lengths of 5mtrs as we cut the rolls in multiples of 5 and sell as such.</t>
  </si>
  <si>
    <t>Each (rounded to multiples of 20)</t>
  </si>
  <si>
    <t>Wykamol Membrane Fibre/Fleece Tape – 115mm X 5m</t>
  </si>
  <si>
    <t>Round to rolls of 5mtrs as we sell in rolls of 5mtr minimum</t>
  </si>
  <si>
    <t>Round to rolls of 22mtrs as we sell in rolls of 22mtr minimum</t>
  </si>
  <si>
    <t>Gary to supply buckets as needed so need to ask contractors what they have already.</t>
  </si>
  <si>
    <t>Estimated usage is 80LM per 5ltr container</t>
  </si>
  <si>
    <t>Building Sand</t>
  </si>
  <si>
    <t>Dubbing out coat (sand/cement/SBR) - Uses SBR, building sand and cement  - 4 metres for 4 bags of sand 1 bag of cement and 0.5 tub of SBR. 
Haven't added 10% wastage on this but rounded to full bags / tubs.</t>
  </si>
  <si>
    <t>2 plastic airbricks make 1 actual installed airbrick</t>
  </si>
  <si>
    <t>https://www.preservationshop.co.uk/product/wykamol-enviroseal-liquid-water-repellent/</t>
  </si>
  <si>
    <t>Wykamol Enviroseal Liquid Water Repellent - 5ltr</t>
  </si>
  <si>
    <t>Based on 25 m2 per 5ltr container</t>
  </si>
  <si>
    <t>Estimated usage is 12 LM per 25ltr bag.
This covers all filet seal for all of the costing.</t>
  </si>
  <si>
    <t>Optional For Customer by Default</t>
  </si>
  <si>
    <t>Plastering Stop Bead - 3m length</t>
  </si>
  <si>
    <t>Plastering Thin Coat Angle/Corner Bead - 2.4m length</t>
  </si>
  <si>
    <t>Plastering Thin Coat Angle/Corner Bead - 3m length</t>
  </si>
  <si>
    <t>Rolls (7.125 m2 per roll)</t>
  </si>
  <si>
    <t>Wykamol CM3 Mesh Cavity Drain Membrane - 1 mtr</t>
  </si>
  <si>
    <t>Wykamol CM3 Mesh Cavity Drain Membrane - 1.2mtr</t>
  </si>
  <si>
    <t>Wall membrane CM3  - 1mtr</t>
  </si>
  <si>
    <t>Wall membrane CM3  - 1.2mtr</t>
  </si>
  <si>
    <t>Total Projected Hours</t>
  </si>
  <si>
    <t>Project Details</t>
  </si>
  <si>
    <t>Assigned to / Comments:</t>
  </si>
  <si>
    <t>400 g makes up to 25 Litres - 100m2 coverage</t>
  </si>
  <si>
    <t>Stock lengths 2.4, 3.0, 3.6, 4.2, 4.8, 5.4</t>
  </si>
  <si>
    <t>Costs
(Ex VAT)</t>
  </si>
  <si>
    <t>Updated material pricing on:
Dubbing out coat, Renovating Plaster, EP40 Top Coat, EP40 Primer, Plasterboards, skimming, Isotherm rolls and adhesive, Fog Sub Floor.
Updated hourly rate from £30.00 to £30.63 to cover the Employers NI increase.</t>
  </si>
  <si>
    <t>Added materials sheet and updated logic on many lines to ensure that we are costing rolls of membranes etc in 5m2 qtys.
Updated Contractyor cost sheet with hours.
Amalgamated the strip out costs to one line.
Allowed the editing of the customer summary lines for the surveyors including being able to set something as optional.</t>
  </si>
  <si>
    <t>Damp Proofing</t>
  </si>
  <si>
    <t>Timber treatments/replacements</t>
  </si>
  <si>
    <t>Condensation</t>
  </si>
  <si>
    <t>Other works</t>
  </si>
  <si>
    <t>I wish to proceed with the woks specified below. (tick items required and total cost)</t>
  </si>
  <si>
    <t>Tick</t>
  </si>
  <si>
    <t>Subtotal</t>
  </si>
  <si>
    <t>VAT</t>
  </si>
  <si>
    <t>Deposit</t>
  </si>
  <si>
    <t>Price</t>
  </si>
  <si>
    <t>Wall membrane CM3 - Subtotals for above 3 lines</t>
  </si>
  <si>
    <t>Wall membrane CM3  - 2mtr #1</t>
  </si>
  <si>
    <t>Wall membrane CM3  - 2mtr #2</t>
  </si>
  <si>
    <t>Wall membrane CM3  - 2mtr #3</t>
  </si>
  <si>
    <t>Added extra line in on costing for CM3 20 metre rolls</t>
  </si>
  <si>
    <t>Fixed an issue where the CSV import file was importing extra lines.</t>
  </si>
  <si>
    <t>Treat and end wrap joists as per SOP.</t>
  </si>
  <si>
    <t>Fixed errors where the stripping out labour wasn't summing correctly and also the Aquaban option box wasn't linking to the corrrect cell on the csv import.</t>
  </si>
  <si>
    <t>Project Specific Overheads</t>
  </si>
  <si>
    <t>Section Description</t>
  </si>
  <si>
    <t>Skips</t>
  </si>
  <si>
    <t>Vehicle Costs (Fuel)</t>
  </si>
  <si>
    <t>Travel Costs for Tradesmen</t>
  </si>
  <si>
    <t>Updated the wording etc on the 'Overheads' sections to olny show as Lab and Mats and added the description field to the csv upload as the wording was being cut off in the title.</t>
  </si>
  <si>
    <t>The cracking is quite pronounced and we recommend you advise for a structural engineer to assess the integrity of the building, under separate contract and costs.</t>
  </si>
  <si>
    <t>Choose Estimate Cover Sheet Image To Use (dropdown)</t>
  </si>
  <si>
    <t>View Images (this link will take you to the the Estimates Coversheet Images Tab)</t>
  </si>
  <si>
    <t xml:space="preserve">Base Travel Hourly rate </t>
  </si>
  <si>
    <t>Warmline Internal Wall Insulation</t>
  </si>
  <si>
    <t>Added Estimate Coversheet Selections To Cost Sheet.
Updated material pricing for HandyBoards and Multi Finish Plaster
Re-named Warmline Thin Wall Insulation to Warmline Internal Wall Insulation as per MD request.</t>
  </si>
  <si>
    <t>DPC Traditional Option</t>
  </si>
  <si>
    <t>Digital DPC Upsell Option</t>
  </si>
  <si>
    <t>Added more coversheet images.</t>
  </si>
  <si>
    <t>Changed the Digital DPC section to allow the Surveyor to upsell the item where they can change the markup of the unit.</t>
  </si>
  <si>
    <r>
      <t xml:space="preserve">Upsell Note to surveyor: You choose the final price to upsell by adjusting the MU percentage box below.  
</t>
    </r>
    <r>
      <rPr>
        <b/>
        <u/>
        <sz val="9"/>
        <rFont val="Arial Narrow"/>
        <family val="2"/>
      </rPr>
      <t>Do not</t>
    </r>
    <r>
      <rPr>
        <b/>
        <sz val="9"/>
        <rFont val="Arial Narrow"/>
        <family val="2"/>
      </rPr>
      <t xml:space="preserve"> go below the minimum selling price of £750 per unit.</t>
    </r>
  </si>
  <si>
    <t>(May cover any or all of the following: Covers Health &amp; Safety, Tooling Equipment, Access Equipment, Specialist Equipment, Waste Removal &amp; Disposal, Project Management Administration etc.)</t>
  </si>
  <si>
    <t>Provide insulation to suspended flooring</t>
  </si>
  <si>
    <t>Project Specifics Overhead description amended on csv upload for change to CF estimate to make it clear that the overheads may contain all or some of the items mentioned.
Added floor insulation line and updated plasterboard pricing.</t>
  </si>
  <si>
    <t>Install Engineered Flooring sheet (M2)</t>
  </si>
  <si>
    <t>Added line for Engineered flooring.</t>
  </si>
  <si>
    <t>02-10-25-08-38-34</t>
  </si>
  <si>
    <t>Fixed margin value column on csv import for beta estimates.
Applied filter to costing sheet for the headers.</t>
  </si>
  <si>
    <t>Updated master password.</t>
  </si>
  <si>
    <t>Walls Unable To Inspect</t>
  </si>
  <si>
    <t>It was not possible to inspect the moisture content of some walls due to the following:</t>
  </si>
  <si>
    <t>Added Walls unable to inspect section for GH</t>
  </si>
  <si>
    <t>Added Asbestos test to costing and report</t>
  </si>
  <si>
    <r>
      <rPr>
        <b/>
        <sz val="11"/>
        <color theme="1"/>
        <rFont val="Calibri"/>
        <family val="2"/>
        <scheme val="minor"/>
      </rPr>
      <t>Asbestos testing:</t>
    </r>
    <r>
      <rPr>
        <sz val="11"/>
        <color theme="1"/>
        <rFont val="Calibri"/>
        <family val="2"/>
        <scheme val="minor"/>
      </rPr>
      <t xml:space="preserve">  The ceiling/areas designated for the above installations is covered in Artex/decorative plasterwork. These applications can be Asbestos containing materials (ACMs). It will therefore be necessary to arrange a laboratory test to  ascertain if ACMs are present prior to the commencement of works as these pose a serious risk to health.</t>
    </r>
  </si>
  <si>
    <t>Asbestos Testing</t>
  </si>
  <si>
    <t>Install Structural Engineered Flooring sheet (M2) onto joists</t>
  </si>
  <si>
    <t>Updated pricing on the flooring labour as we have been undercharging.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</si>
</sst>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164" formatCode="_-&quot;£&quot;* #,##0.00_-;\-&quot;£&quot;* #,##0.00_-;_-&quot;£&quot;* &quot;-&quot;??_-;_-@_-"/>
    <numFmt numFmtId="165" formatCode="#,##0.00_ ;\-#,##0.00\ "/>
    <numFmt numFmtId="166" formatCode="0.0"/>
    <numFmt numFmtId="167" formatCode="0.000"/>
    <numFmt numFmtId="168" formatCode="0.0000"/>
    <numFmt numFmtId="169" formatCode="&quot;£&quot;#,##0.00"/>
    <numFmt numFmtId="170" formatCode="0.0000000000"/>
    <numFmt numFmtId="171" formatCode="0.0%"/>
  </numFmts>
  <fonts count="65" x14ac:knownFonts="1">
    <font>
      <sz val="11"/>
      <color theme="1"/>
      <name val="Calibri"/>
      <family val="2"/>
      <scheme val="minor"/>
    </font>
    <font>
      <sz val="11"/>
      <color theme="1"/>
      <name val="Calibri"/>
      <family val="2"/>
      <scheme val="minor"/>
    </font>
    <font>
      <sz val="10"/>
      <name val="Arial"/>
      <family val="2"/>
    </font>
    <font>
      <sz val="10"/>
      <name val="Arial Narrow"/>
      <family val="2"/>
    </font>
    <font>
      <b/>
      <u/>
      <sz val="10"/>
      <name val="Arial Narrow"/>
      <family val="2"/>
    </font>
    <font>
      <sz val="11"/>
      <color theme="1"/>
      <name val="Arial Narrow"/>
      <family val="2"/>
    </font>
    <font>
      <b/>
      <sz val="10"/>
      <name val="Arial Narrow"/>
      <family val="2"/>
    </font>
    <font>
      <sz val="10"/>
      <color theme="1"/>
      <name val="Arial Narrow"/>
      <family val="2"/>
    </font>
    <font>
      <sz val="10"/>
      <color indexed="8"/>
      <name val="Arial Narrow"/>
      <family val="2"/>
    </font>
    <font>
      <b/>
      <u/>
      <sz val="10"/>
      <color indexed="8"/>
      <name val="Arial Narrow"/>
      <family val="2"/>
    </font>
    <font>
      <sz val="9"/>
      <color rgb="FFFF0000"/>
      <name val="Arial Narrow"/>
      <family val="2"/>
    </font>
    <font>
      <sz val="9"/>
      <name val="Arial Narrow"/>
      <family val="2"/>
    </font>
    <font>
      <b/>
      <u/>
      <sz val="9"/>
      <name val="Arial Narrow"/>
      <family val="2"/>
    </font>
    <font>
      <sz val="9"/>
      <color theme="1"/>
      <name val="Arial Narrow"/>
      <family val="2"/>
    </font>
    <font>
      <sz val="9"/>
      <color indexed="8"/>
      <name val="Arial Narrow"/>
      <family val="2"/>
    </font>
    <font>
      <b/>
      <sz val="9"/>
      <name val="Arial Narrow"/>
      <family val="2"/>
    </font>
    <font>
      <sz val="12"/>
      <name val="Arial Narrow"/>
      <family val="2"/>
    </font>
    <font>
      <sz val="8"/>
      <name val="Arial Narrow"/>
      <family val="2"/>
    </font>
    <font>
      <b/>
      <sz val="11"/>
      <color theme="1"/>
      <name val="Calibri"/>
      <family val="2"/>
      <scheme val="minor"/>
    </font>
    <font>
      <b/>
      <sz val="14"/>
      <color theme="1"/>
      <name val="Calibri"/>
      <family val="2"/>
      <scheme val="minor"/>
    </font>
    <font>
      <b/>
      <sz val="16"/>
      <color theme="1"/>
      <name val="Arial"/>
      <family val="2"/>
    </font>
    <font>
      <b/>
      <sz val="14"/>
      <color theme="1"/>
      <name val="Arial"/>
      <family val="2"/>
    </font>
    <font>
      <b/>
      <sz val="16"/>
      <color theme="1"/>
      <name val="Calibri"/>
      <family val="2"/>
      <scheme val="minor"/>
    </font>
    <font>
      <sz val="8"/>
      <name val="Calibri"/>
      <family val="2"/>
      <scheme val="minor"/>
    </font>
    <font>
      <sz val="11"/>
      <color theme="1"/>
      <name val="Arial"/>
      <family val="2"/>
    </font>
    <font>
      <sz val="10"/>
      <color theme="1"/>
      <name val="Arial"/>
      <family val="2"/>
    </font>
    <font>
      <sz val="10"/>
      <color rgb="FFFF0000"/>
      <name val="Arial Narrow"/>
      <family val="2"/>
    </font>
    <font>
      <b/>
      <sz val="10"/>
      <color rgb="FFFF0000"/>
      <name val="Arial Narrow"/>
      <family val="2"/>
    </font>
    <font>
      <b/>
      <sz val="10"/>
      <color theme="1"/>
      <name val="Arial"/>
      <family val="2"/>
    </font>
    <font>
      <sz val="9"/>
      <color indexed="81"/>
      <name val="Tahoma"/>
      <family val="2"/>
    </font>
    <font>
      <b/>
      <sz val="9"/>
      <color indexed="81"/>
      <name val="Tahoma"/>
      <family val="2"/>
    </font>
    <font>
      <b/>
      <sz val="12"/>
      <name val="Arial Narrow"/>
      <family val="2"/>
    </font>
    <font>
      <b/>
      <sz val="10"/>
      <color indexed="8"/>
      <name val="Arial Narrow"/>
      <family val="2"/>
    </font>
    <font>
      <b/>
      <u/>
      <sz val="20"/>
      <color theme="1"/>
      <name val="Calibri"/>
      <family val="2"/>
      <scheme val="minor"/>
    </font>
    <font>
      <b/>
      <sz val="11"/>
      <name val="Calibri"/>
      <family val="2"/>
    </font>
    <font>
      <sz val="11"/>
      <color theme="0"/>
      <name val="Calibri"/>
      <family val="2"/>
      <scheme val="minor"/>
    </font>
    <font>
      <b/>
      <i/>
      <u/>
      <sz val="10"/>
      <name val="Arial Narrow"/>
      <family val="2"/>
    </font>
    <font>
      <sz val="14"/>
      <name val="Arial"/>
      <family val="2"/>
    </font>
    <font>
      <sz val="11"/>
      <name val="Arial"/>
      <family val="2"/>
    </font>
    <font>
      <b/>
      <u/>
      <sz val="11"/>
      <color theme="1"/>
      <name val="Arial"/>
      <family val="2"/>
    </font>
    <font>
      <b/>
      <sz val="11"/>
      <color theme="1"/>
      <name val="Arial"/>
      <family val="2"/>
    </font>
    <font>
      <sz val="11"/>
      <color rgb="FF00B0F0"/>
      <name val="Arial"/>
      <family val="2"/>
    </font>
    <font>
      <sz val="22"/>
      <color rgb="FF0070C0"/>
      <name val="Vladimir Script"/>
      <family val="4"/>
    </font>
    <font>
      <sz val="22"/>
      <color theme="1"/>
      <name val="Vladimir Script"/>
      <family val="4"/>
    </font>
    <font>
      <sz val="24"/>
      <color rgb="FF0070C0"/>
      <name val="Vladimir Script"/>
      <family val="4"/>
    </font>
    <font>
      <b/>
      <sz val="11"/>
      <color rgb="FFFF0000"/>
      <name val="Arial"/>
      <family val="2"/>
    </font>
    <font>
      <sz val="11"/>
      <color theme="0"/>
      <name val="Arial"/>
      <family val="2"/>
    </font>
    <font>
      <b/>
      <u/>
      <sz val="16"/>
      <color theme="1"/>
      <name val="Arial"/>
      <family val="2"/>
    </font>
    <font>
      <b/>
      <sz val="11"/>
      <color theme="0" tint="-0.499984740745262"/>
      <name val="Arial"/>
      <family val="2"/>
    </font>
    <font>
      <b/>
      <sz val="9"/>
      <name val="Calibri"/>
      <family val="2"/>
    </font>
    <font>
      <b/>
      <sz val="8"/>
      <color rgb="FFFF0000"/>
      <name val="Calibri"/>
      <family val="2"/>
    </font>
    <font>
      <u/>
      <sz val="11"/>
      <color theme="10"/>
      <name val="Calibri"/>
      <family val="2"/>
      <scheme val="minor"/>
    </font>
    <font>
      <sz val="11"/>
      <name val="Calibri"/>
      <family val="2"/>
      <scheme val="minor"/>
    </font>
    <font>
      <b/>
      <sz val="11"/>
      <color theme="0"/>
      <name val="Arial"/>
      <family val="2"/>
    </font>
    <font>
      <b/>
      <i/>
      <sz val="11"/>
      <color theme="1"/>
      <name val="Calibri"/>
      <family val="2"/>
      <scheme val="minor"/>
    </font>
    <font>
      <b/>
      <i/>
      <sz val="11"/>
      <name val="Calibri"/>
      <family val="2"/>
      <scheme val="minor"/>
    </font>
    <font>
      <i/>
      <sz val="11"/>
      <color theme="1"/>
      <name val="Calibri"/>
      <family val="2"/>
      <scheme val="minor"/>
    </font>
    <font>
      <sz val="9"/>
      <color theme="1"/>
      <name val="Arial"/>
      <family val="2"/>
    </font>
    <font>
      <b/>
      <i/>
      <sz val="10"/>
      <name val="Arial Narrow"/>
      <family val="2"/>
    </font>
    <font>
      <b/>
      <i/>
      <sz val="11"/>
      <color rgb="FFFF0000"/>
      <name val="Calibri"/>
      <family val="2"/>
      <scheme val="minor"/>
    </font>
    <font>
      <b/>
      <i/>
      <sz val="10"/>
      <color theme="1"/>
      <name val="Arial"/>
      <family val="2"/>
    </font>
    <font>
      <b/>
      <sz val="20"/>
      <color theme="1"/>
      <name val="Aptos"/>
      <family val="2"/>
    </font>
    <font>
      <i/>
      <sz val="11"/>
      <name val="Calibri"/>
      <family val="2"/>
      <scheme val="minor"/>
    </font>
    <font>
      <b/>
      <sz val="18"/>
      <color theme="1"/>
      <name val="Arial"/>
      <family val="2"/>
    </font>
    <font>
      <u/>
      <sz val="10"/>
      <color theme="10"/>
      <name val="Calibri"/>
      <family val="2"/>
      <scheme val="minor"/>
    </font>
  </fonts>
  <fills count="13">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1"/>
        <bgColor indexed="64"/>
      </patternFill>
    </fill>
    <fill>
      <patternFill patternType="solid">
        <fgColor theme="0" tint="-0.14999847407452621"/>
        <bgColor indexed="64"/>
      </patternFill>
    </fill>
    <fill>
      <patternFill patternType="solid">
        <fgColor rgb="FFFFFF00"/>
        <bgColor indexed="64"/>
      </patternFill>
    </fill>
    <fill>
      <patternFill patternType="solid">
        <fgColor rgb="FFFFC000"/>
        <bgColor indexed="64"/>
      </patternFill>
    </fill>
    <fill>
      <patternFill patternType="solid">
        <fgColor theme="8" tint="0.59999389629810485"/>
        <bgColor indexed="64"/>
      </patternFill>
    </fill>
    <fill>
      <patternFill patternType="solid">
        <fgColor rgb="FF92D050"/>
        <bgColor indexed="64"/>
      </patternFill>
    </fill>
    <fill>
      <patternFill patternType="solid">
        <fgColor rgb="FF00B0F0"/>
        <bgColor indexed="64"/>
      </patternFill>
    </fill>
    <fill>
      <patternFill patternType="solid">
        <fgColor theme="0" tint="-0.499984740745262"/>
        <bgColor indexed="64"/>
      </patternFill>
    </fill>
    <fill>
      <patternFill patternType="solid">
        <fgColor theme="8" tint="0.39997558519241921"/>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1"/>
      </left>
      <right style="thin">
        <color theme="1"/>
      </right>
      <top style="thin">
        <color theme="1"/>
      </top>
      <bottom style="thin">
        <color theme="1"/>
      </bottom>
      <diagonal/>
    </border>
    <border>
      <left/>
      <right style="thin">
        <color indexed="64"/>
      </right>
      <top style="thin">
        <color indexed="64"/>
      </top>
      <bottom/>
      <diagonal/>
    </border>
    <border>
      <left/>
      <right/>
      <top style="thin">
        <color theme="1"/>
      </top>
      <bottom style="thin">
        <color theme="1"/>
      </bottom>
      <diagonal/>
    </border>
    <border>
      <left style="medium">
        <color theme="1"/>
      </left>
      <right style="medium">
        <color theme="1"/>
      </right>
      <top style="medium">
        <color theme="1"/>
      </top>
      <bottom style="medium">
        <color theme="1"/>
      </bottom>
      <diagonal/>
    </border>
    <border>
      <left style="medium">
        <color theme="1"/>
      </left>
      <right style="medium">
        <color theme="1"/>
      </right>
      <top/>
      <bottom style="medium">
        <color theme="1"/>
      </bottom>
      <diagonal/>
    </border>
    <border>
      <left/>
      <right/>
      <top style="thin">
        <color theme="1"/>
      </top>
      <bottom style="double">
        <color theme="1"/>
      </bottom>
      <diagonal/>
    </border>
    <border>
      <left/>
      <right/>
      <top style="thin">
        <color theme="1"/>
      </top>
      <bottom/>
      <diagonal/>
    </border>
    <border>
      <left/>
      <right/>
      <top/>
      <bottom style="double">
        <color theme="1"/>
      </bottom>
      <diagonal/>
    </border>
    <border>
      <left/>
      <right style="thin">
        <color theme="1"/>
      </right>
      <top style="thin">
        <color theme="1"/>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style="thin">
        <color indexed="64"/>
      </bottom>
      <diagonal/>
    </border>
    <border>
      <left style="medium">
        <color indexed="64"/>
      </left>
      <right/>
      <top style="thin">
        <color theme="1"/>
      </top>
      <bottom style="thin">
        <color theme="1"/>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right style="medium">
        <color indexed="64"/>
      </right>
      <top/>
      <bottom style="medium">
        <color indexed="64"/>
      </bottom>
      <diagonal/>
    </border>
    <border>
      <left/>
      <right/>
      <top style="thin">
        <color indexed="64"/>
      </top>
      <bottom style="thin">
        <color indexed="64"/>
      </bottom>
      <diagonal/>
    </border>
    <border>
      <left style="thin">
        <color indexed="64"/>
      </left>
      <right style="medium">
        <color indexed="64"/>
      </right>
      <top/>
      <bottom/>
      <diagonal/>
    </border>
    <border>
      <left style="medium">
        <color indexed="64"/>
      </left>
      <right/>
      <top/>
      <bottom style="double">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bottom style="double">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theme="1"/>
      </left>
      <right style="medium">
        <color indexed="64"/>
      </right>
      <top style="medium">
        <color theme="1"/>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style="medium">
        <color indexed="64"/>
      </left>
      <right/>
      <top style="thin">
        <color indexed="64"/>
      </top>
      <bottom/>
      <diagonal/>
    </border>
    <border>
      <left style="thin">
        <color theme="1"/>
      </left>
      <right/>
      <top style="thin">
        <color theme="1"/>
      </top>
      <bottom style="thin">
        <color theme="1"/>
      </bottom>
      <diagonal/>
    </border>
    <border>
      <left/>
      <right style="thin">
        <color indexed="64"/>
      </right>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style="medium">
        <color indexed="64"/>
      </left>
      <right style="thin">
        <color indexed="64"/>
      </right>
      <top/>
      <bottom/>
      <diagonal/>
    </border>
  </borders>
  <cellStyleXfs count="12">
    <xf numFmtId="0" fontId="0" fillId="0" borderId="0"/>
    <xf numFmtId="164" fontId="1" fillId="0" borderId="0" applyFont="0" applyFill="0" applyBorder="0" applyAlignment="0" applyProtection="0"/>
    <xf numFmtId="0" fontId="2" fillId="0" borderId="0"/>
    <xf numFmtId="164" fontId="2" fillId="0" borderId="0" applyFont="0" applyFill="0" applyBorder="0" applyAlignment="0" applyProtection="0"/>
    <xf numFmtId="0" fontId="2" fillId="0" borderId="0"/>
    <xf numFmtId="0" fontId="1" fillId="0" borderId="0"/>
    <xf numFmtId="164" fontId="1" fillId="0" borderId="0" applyFont="0" applyFill="0" applyBorder="0" applyAlignment="0" applyProtection="0"/>
    <xf numFmtId="9" fontId="1" fillId="0" borderId="0" applyFont="0" applyFill="0" applyBorder="0" applyAlignment="0" applyProtection="0"/>
    <xf numFmtId="164" fontId="1" fillId="0" borderId="0" applyFont="0" applyFill="0" applyBorder="0" applyAlignment="0" applyProtection="0"/>
    <xf numFmtId="0" fontId="2" fillId="0" borderId="0"/>
    <xf numFmtId="0" fontId="51" fillId="0" borderId="0" applyNumberFormat="0" applyFill="0" applyBorder="0" applyAlignment="0" applyProtection="0"/>
    <xf numFmtId="164" fontId="1" fillId="0" borderId="0" applyFont="0" applyFill="0" applyBorder="0" applyAlignment="0" applyProtection="0"/>
  </cellStyleXfs>
  <cellXfs count="701">
    <xf numFmtId="0" fontId="0" fillId="0" borderId="0" xfId="0"/>
    <xf numFmtId="0" fontId="0" fillId="2" borderId="0" xfId="0" applyFill="1"/>
    <xf numFmtId="0" fontId="18" fillId="2" borderId="33" xfId="0" applyFont="1" applyFill="1" applyBorder="1"/>
    <xf numFmtId="0" fontId="18" fillId="2" borderId="41" xfId="0" applyFont="1" applyFill="1" applyBorder="1"/>
    <xf numFmtId="0" fontId="0" fillId="2" borderId="33" xfId="0" applyFill="1" applyBorder="1"/>
    <xf numFmtId="0" fontId="0" fillId="2" borderId="41" xfId="0" applyFill="1" applyBorder="1"/>
    <xf numFmtId="0" fontId="0" fillId="2" borderId="42" xfId="0" applyFill="1" applyBorder="1"/>
    <xf numFmtId="0" fontId="0" fillId="2" borderId="43" xfId="0" applyFill="1" applyBorder="1"/>
    <xf numFmtId="0" fontId="22" fillId="2" borderId="0" xfId="0" applyFont="1" applyFill="1"/>
    <xf numFmtId="2" fontId="0" fillId="0" borderId="0" xfId="0" applyNumberFormat="1"/>
    <xf numFmtId="0" fontId="0" fillId="2" borderId="44" xfId="0" applyFill="1" applyBorder="1"/>
    <xf numFmtId="0" fontId="0" fillId="2" borderId="45" xfId="0" applyFill="1" applyBorder="1"/>
    <xf numFmtId="0" fontId="24" fillId="2" borderId="1" xfId="5" applyFont="1" applyFill="1" applyBorder="1" applyAlignment="1">
      <alignment horizontal="center" vertical="center"/>
    </xf>
    <xf numFmtId="0" fontId="24" fillId="4" borderId="1" xfId="5" applyFont="1" applyFill="1" applyBorder="1" applyAlignment="1">
      <alignment horizontal="center" vertical="center"/>
    </xf>
    <xf numFmtId="0" fontId="24" fillId="0" borderId="0" xfId="5" applyFont="1" applyAlignment="1">
      <alignment horizontal="center" vertical="center"/>
    </xf>
    <xf numFmtId="166" fontId="11" fillId="2" borderId="27" xfId="2" applyNumberFormat="1" applyFont="1" applyFill="1" applyBorder="1" applyAlignment="1" applyProtection="1">
      <alignment horizontal="center" vertical="center"/>
      <protection locked="0"/>
    </xf>
    <xf numFmtId="166" fontId="11" fillId="2" borderId="31" xfId="2" applyNumberFormat="1" applyFont="1" applyFill="1" applyBorder="1" applyAlignment="1" applyProtection="1">
      <alignment horizontal="center" vertical="center"/>
      <protection locked="0"/>
    </xf>
    <xf numFmtId="165" fontId="13" fillId="2" borderId="27" xfId="1" applyNumberFormat="1" applyFont="1" applyFill="1" applyBorder="1" applyAlignment="1" applyProtection="1">
      <alignment horizontal="center" vertical="center"/>
      <protection locked="0"/>
    </xf>
    <xf numFmtId="2" fontId="13" fillId="2" borderId="27" xfId="2" applyNumberFormat="1" applyFont="1" applyFill="1" applyBorder="1" applyAlignment="1" applyProtection="1">
      <alignment horizontal="center" vertical="center"/>
      <protection locked="0"/>
    </xf>
    <xf numFmtId="2" fontId="11" fillId="2" borderId="27" xfId="2" applyNumberFormat="1" applyFont="1" applyFill="1" applyBorder="1" applyAlignment="1" applyProtection="1">
      <alignment horizontal="center" vertical="center"/>
      <protection locked="0"/>
    </xf>
    <xf numFmtId="2" fontId="11" fillId="2" borderId="30" xfId="2" applyNumberFormat="1" applyFont="1" applyFill="1" applyBorder="1" applyAlignment="1" applyProtection="1">
      <alignment horizontal="center" vertical="center"/>
      <protection locked="0"/>
    </xf>
    <xf numFmtId="2" fontId="11" fillId="2" borderId="31" xfId="2" applyNumberFormat="1" applyFont="1" applyFill="1" applyBorder="1" applyAlignment="1" applyProtection="1">
      <alignment horizontal="center" vertical="center"/>
      <protection locked="0"/>
    </xf>
    <xf numFmtId="2" fontId="11" fillId="2" borderId="29" xfId="2" applyNumberFormat="1" applyFont="1" applyFill="1" applyBorder="1" applyAlignment="1" applyProtection="1">
      <alignment horizontal="center" vertical="center"/>
      <protection locked="0"/>
    </xf>
    <xf numFmtId="0" fontId="0" fillId="6" borderId="0" xfId="0" applyFill="1"/>
    <xf numFmtId="164" fontId="24" fillId="0" borderId="0" xfId="8" applyFont="1" applyBorder="1" applyProtection="1"/>
    <xf numFmtId="22" fontId="0" fillId="2" borderId="41" xfId="0" applyNumberFormat="1" applyFill="1" applyBorder="1"/>
    <xf numFmtId="0" fontId="3" fillId="2" borderId="9" xfId="2" applyFont="1" applyFill="1" applyBorder="1" applyAlignment="1" applyProtection="1">
      <alignment horizontal="center" vertical="center"/>
      <protection locked="0"/>
    </xf>
    <xf numFmtId="164" fontId="11" fillId="5" borderId="0" xfId="2" applyNumberFormat="1" applyFont="1" applyFill="1" applyAlignment="1">
      <alignment vertical="center"/>
    </xf>
    <xf numFmtId="167" fontId="11" fillId="2" borderId="27" xfId="2" applyNumberFormat="1" applyFont="1" applyFill="1" applyBorder="1" applyAlignment="1" applyProtection="1">
      <alignment horizontal="center" vertical="center"/>
      <protection locked="0"/>
    </xf>
    <xf numFmtId="0" fontId="0" fillId="0" borderId="0" xfId="0" applyAlignment="1">
      <alignment horizontal="center"/>
    </xf>
    <xf numFmtId="170" fontId="0" fillId="0" borderId="0" xfId="0" applyNumberFormat="1"/>
    <xf numFmtId="0" fontId="0" fillId="3" borderId="0" xfId="0" applyFill="1"/>
    <xf numFmtId="0" fontId="34" fillId="8" borderId="59" xfId="9" applyFont="1" applyFill="1" applyBorder="1" applyAlignment="1">
      <alignment horizontal="center" vertical="center"/>
    </xf>
    <xf numFmtId="0" fontId="34" fillId="8" borderId="66" xfId="9" applyFont="1" applyFill="1" applyBorder="1" applyAlignment="1">
      <alignment horizontal="center" vertical="center"/>
    </xf>
    <xf numFmtId="0" fontId="0" fillId="2" borderId="33" xfId="0" applyFill="1" applyBorder="1" applyAlignment="1">
      <alignment horizontal="center" vertical="center"/>
    </xf>
    <xf numFmtId="169" fontId="0" fillId="2" borderId="41" xfId="0" applyNumberFormat="1" applyFill="1" applyBorder="1" applyAlignment="1">
      <alignment horizontal="center" vertical="center"/>
    </xf>
    <xf numFmtId="169" fontId="0" fillId="3" borderId="0" xfId="0" applyNumberFormat="1" applyFill="1"/>
    <xf numFmtId="169" fontId="0" fillId="4" borderId="60" xfId="0" applyNumberFormat="1" applyFill="1" applyBorder="1" applyAlignment="1">
      <alignment horizontal="center" vertical="center"/>
    </xf>
    <xf numFmtId="0" fontId="0" fillId="4" borderId="1" xfId="0" applyFill="1" applyBorder="1" applyAlignment="1">
      <alignment horizontal="right" indent="1"/>
    </xf>
    <xf numFmtId="169" fontId="0" fillId="4" borderId="41" xfId="0" applyNumberFormat="1" applyFill="1" applyBorder="1" applyAlignment="1">
      <alignment horizontal="center" vertical="center"/>
    </xf>
    <xf numFmtId="169" fontId="0" fillId="2" borderId="43" xfId="0" applyNumberFormat="1" applyFill="1" applyBorder="1" applyAlignment="1">
      <alignment horizontal="center" vertical="center"/>
    </xf>
    <xf numFmtId="0" fontId="0" fillId="4" borderId="0" xfId="0" applyFill="1"/>
    <xf numFmtId="170" fontId="0" fillId="4" borderId="0" xfId="0" applyNumberFormat="1" applyFill="1"/>
    <xf numFmtId="0" fontId="0" fillId="4" borderId="0" xfId="0" applyFill="1" applyAlignment="1">
      <alignment horizontal="center"/>
    </xf>
    <xf numFmtId="0" fontId="35" fillId="4" borderId="0" xfId="0" applyFont="1" applyFill="1" applyAlignment="1">
      <alignment horizontal="center"/>
    </xf>
    <xf numFmtId="0" fontId="0" fillId="9" borderId="0" xfId="0" applyFill="1" applyAlignment="1">
      <alignment horizontal="center"/>
    </xf>
    <xf numFmtId="0" fontId="35" fillId="4" borderId="0" xfId="0" applyFont="1" applyFill="1"/>
    <xf numFmtId="0" fontId="0" fillId="10" borderId="0" xfId="0" applyFill="1"/>
    <xf numFmtId="170" fontId="0" fillId="10" borderId="0" xfId="0" applyNumberFormat="1" applyFill="1"/>
    <xf numFmtId="0" fontId="0" fillId="10" borderId="0" xfId="0" applyFill="1" applyAlignment="1">
      <alignment horizontal="center"/>
    </xf>
    <xf numFmtId="170" fontId="0" fillId="0" borderId="0" xfId="0" applyNumberFormat="1" applyAlignment="1">
      <alignment horizontal="center"/>
    </xf>
    <xf numFmtId="170" fontId="0" fillId="10" borderId="0" xfId="0" applyNumberFormat="1" applyFill="1" applyAlignment="1">
      <alignment horizontal="center"/>
    </xf>
    <xf numFmtId="0" fontId="24" fillId="5" borderId="0" xfId="5" applyFont="1" applyFill="1"/>
    <xf numFmtId="0" fontId="24" fillId="5" borderId="0" xfId="5" applyFont="1" applyFill="1" applyAlignment="1">
      <alignment horizontal="center" vertical="center"/>
    </xf>
    <xf numFmtId="0" fontId="24" fillId="2" borderId="0" xfId="0" applyFont="1" applyFill="1" applyAlignment="1">
      <alignment horizontal="left" vertical="center"/>
    </xf>
    <xf numFmtId="0" fontId="37" fillId="5" borderId="0" xfId="0" applyFont="1" applyFill="1" applyAlignment="1">
      <alignment horizontal="center" vertical="center"/>
    </xf>
    <xf numFmtId="0" fontId="24" fillId="5" borderId="0" xfId="0" applyFont="1" applyFill="1" applyAlignment="1">
      <alignment horizontal="left" vertical="center"/>
    </xf>
    <xf numFmtId="0" fontId="38" fillId="5" borderId="0" xfId="0" applyFont="1" applyFill="1" applyAlignment="1">
      <alignment horizontal="center" vertical="center"/>
    </xf>
    <xf numFmtId="0" fontId="24" fillId="5" borderId="0" xfId="0" applyFont="1" applyFill="1" applyAlignment="1">
      <alignment vertical="center"/>
    </xf>
    <xf numFmtId="0" fontId="24" fillId="5" borderId="0" xfId="0" applyFont="1" applyFill="1" applyAlignment="1">
      <alignment horizontal="center" vertical="center"/>
    </xf>
    <xf numFmtId="0" fontId="24" fillId="5" borderId="0" xfId="0" applyFont="1" applyFill="1" applyAlignment="1">
      <alignment vertical="center" wrapText="1"/>
    </xf>
    <xf numFmtId="0" fontId="24" fillId="5" borderId="0" xfId="0" applyFont="1" applyFill="1" applyAlignment="1">
      <alignment horizontal="left" vertical="center" wrapText="1"/>
    </xf>
    <xf numFmtId="0" fontId="40" fillId="5" borderId="0" xfId="5" applyFont="1" applyFill="1" applyAlignment="1">
      <alignment vertical="center"/>
    </xf>
    <xf numFmtId="0" fontId="24" fillId="5" borderId="0" xfId="5" applyFont="1" applyFill="1" applyAlignment="1">
      <alignment horizontal="left" vertical="center"/>
    </xf>
    <xf numFmtId="0" fontId="24" fillId="5" borderId="0" xfId="5" applyFont="1" applyFill="1" applyAlignment="1">
      <alignment vertical="center"/>
    </xf>
    <xf numFmtId="0" fontId="40" fillId="5" borderId="0" xfId="0" applyFont="1" applyFill="1" applyAlignment="1">
      <alignment horizontal="left" vertical="center" wrapText="1"/>
    </xf>
    <xf numFmtId="0" fontId="38" fillId="5" borderId="0" xfId="5" applyFont="1" applyFill="1" applyAlignment="1">
      <alignment horizontal="center" vertical="center"/>
    </xf>
    <xf numFmtId="0" fontId="24" fillId="5" borderId="0" xfId="0" applyFont="1" applyFill="1"/>
    <xf numFmtId="0" fontId="38" fillId="5" borderId="0" xfId="0" applyFont="1" applyFill="1" applyAlignment="1">
      <alignment horizontal="center"/>
    </xf>
    <xf numFmtId="0" fontId="41" fillId="5" borderId="0" xfId="0" applyFont="1" applyFill="1" applyAlignment="1">
      <alignment horizontal="center" vertical="center"/>
    </xf>
    <xf numFmtId="0" fontId="24" fillId="5" borderId="0" xfId="0" applyFont="1" applyFill="1" applyAlignment="1">
      <alignment horizontal="left" wrapText="1"/>
    </xf>
    <xf numFmtId="0" fontId="24" fillId="2" borderId="0" xfId="0" applyFont="1" applyFill="1" applyAlignment="1">
      <alignment horizontal="left" wrapText="1"/>
    </xf>
    <xf numFmtId="0" fontId="24" fillId="9" borderId="1" xfId="5" applyFont="1" applyFill="1" applyBorder="1" applyAlignment="1">
      <alignment horizontal="center" vertical="center"/>
    </xf>
    <xf numFmtId="0" fontId="27" fillId="5" borderId="0" xfId="2" applyFont="1" applyFill="1" applyAlignment="1">
      <alignment vertical="center"/>
    </xf>
    <xf numFmtId="0" fontId="24" fillId="5" borderId="1" xfId="5" applyFont="1" applyFill="1" applyBorder="1" applyAlignment="1">
      <alignment horizontal="center" vertical="center"/>
    </xf>
    <xf numFmtId="0" fontId="45" fillId="5" borderId="0" xfId="5" applyFont="1" applyFill="1" applyAlignment="1">
      <alignment horizontal="center" vertical="center"/>
    </xf>
    <xf numFmtId="0" fontId="28" fillId="5" borderId="1" xfId="5" applyFont="1" applyFill="1" applyBorder="1" applyAlignment="1">
      <alignment horizontal="center" vertical="center" wrapText="1"/>
    </xf>
    <xf numFmtId="0" fontId="25" fillId="5" borderId="1" xfId="5" applyFont="1" applyFill="1" applyBorder="1" applyAlignment="1">
      <alignment horizontal="center" vertical="center" wrapText="1"/>
    </xf>
    <xf numFmtId="0" fontId="16" fillId="5" borderId="0" xfId="2" applyFont="1" applyFill="1" applyAlignment="1">
      <alignment vertical="center"/>
    </xf>
    <xf numFmtId="0" fontId="3" fillId="5" borderId="0" xfId="2" applyFont="1" applyFill="1" applyAlignment="1">
      <alignment vertical="center"/>
    </xf>
    <xf numFmtId="0" fontId="24" fillId="10" borderId="0" xfId="5" applyFont="1" applyFill="1" applyAlignment="1">
      <alignment horizontal="center" vertical="center"/>
    </xf>
    <xf numFmtId="0" fontId="24" fillId="2" borderId="1" xfId="5" applyFont="1" applyFill="1" applyBorder="1" applyAlignment="1" applyProtection="1">
      <alignment horizontal="center" vertical="center"/>
      <protection locked="0"/>
    </xf>
    <xf numFmtId="0" fontId="24" fillId="9" borderId="0" xfId="5" applyFont="1" applyFill="1" applyAlignment="1">
      <alignment horizontal="center" vertical="center"/>
    </xf>
    <xf numFmtId="164" fontId="3" fillId="5" borderId="0" xfId="2" applyNumberFormat="1" applyFont="1" applyFill="1" applyAlignment="1">
      <alignment vertical="center"/>
    </xf>
    <xf numFmtId="0" fontId="24" fillId="2" borderId="0" xfId="0" applyFont="1" applyFill="1" applyAlignment="1">
      <alignment vertical="center"/>
    </xf>
    <xf numFmtId="0" fontId="44" fillId="2" borderId="0" xfId="0" applyFont="1" applyFill="1" applyAlignment="1">
      <alignment horizontal="left" vertical="center"/>
    </xf>
    <xf numFmtId="0" fontId="24" fillId="4" borderId="0" xfId="0" applyFont="1" applyFill="1" applyAlignment="1">
      <alignment horizontal="center" vertical="center"/>
    </xf>
    <xf numFmtId="0" fontId="48" fillId="5" borderId="0" xfId="5" applyFont="1" applyFill="1" applyAlignment="1">
      <alignment horizontal="center" vertical="center"/>
    </xf>
    <xf numFmtId="0" fontId="40" fillId="9" borderId="0" xfId="5" applyFont="1" applyFill="1" applyAlignment="1">
      <alignment horizontal="center" vertical="center"/>
    </xf>
    <xf numFmtId="0" fontId="0" fillId="4" borderId="74" xfId="0" applyFill="1" applyBorder="1" applyAlignment="1">
      <alignment horizontal="right" indent="1"/>
    </xf>
    <xf numFmtId="0" fontId="34" fillId="8" borderId="66" xfId="9" applyFont="1" applyFill="1" applyBorder="1" applyAlignment="1">
      <alignment horizontal="center" vertical="center" wrapText="1"/>
    </xf>
    <xf numFmtId="169" fontId="0" fillId="2" borderId="1" xfId="0" applyNumberFormat="1" applyFill="1" applyBorder="1" applyAlignment="1">
      <alignment horizontal="center" vertical="center"/>
    </xf>
    <xf numFmtId="0" fontId="34" fillId="8" borderId="60" xfId="9" applyFont="1" applyFill="1" applyBorder="1" applyAlignment="1">
      <alignment horizontal="center" vertical="center" wrapText="1"/>
    </xf>
    <xf numFmtId="0" fontId="0" fillId="2" borderId="0" xfId="0" applyFill="1" applyAlignment="1">
      <alignment horizontal="left" vertical="center"/>
    </xf>
    <xf numFmtId="15" fontId="0" fillId="2" borderId="0" xfId="0" applyNumberFormat="1" applyFill="1" applyAlignment="1">
      <alignment vertical="center"/>
    </xf>
    <xf numFmtId="0" fontId="1" fillId="2" borderId="0" xfId="0" applyFont="1" applyFill="1" applyAlignment="1">
      <alignment horizontal="right" vertical="center"/>
    </xf>
    <xf numFmtId="0" fontId="0" fillId="2" borderId="0" xfId="0" applyFill="1" applyAlignment="1">
      <alignment horizontal="right" vertical="center"/>
    </xf>
    <xf numFmtId="0" fontId="0" fillId="2" borderId="4" xfId="0" applyFill="1" applyBorder="1" applyAlignment="1" applyProtection="1">
      <alignment horizontal="center" vertical="center"/>
      <protection locked="0"/>
    </xf>
    <xf numFmtId="0" fontId="0" fillId="2" borderId="0" xfId="0" applyFill="1" applyAlignment="1">
      <alignment horizontal="center" vertical="center" wrapText="1"/>
    </xf>
    <xf numFmtId="0" fontId="0" fillId="2" borderId="0" xfId="0" applyFill="1" applyAlignment="1">
      <alignment horizontal="right" vertical="center" wrapText="1"/>
    </xf>
    <xf numFmtId="0" fontId="24" fillId="4" borderId="0" xfId="0" applyFont="1" applyFill="1" applyAlignment="1">
      <alignment horizontal="left" vertical="center"/>
    </xf>
    <xf numFmtId="0" fontId="48" fillId="5" borderId="0" xfId="5" applyFont="1" applyFill="1" applyAlignment="1">
      <alignment horizontal="center" vertical="center" wrapText="1"/>
    </xf>
    <xf numFmtId="0" fontId="24" fillId="4" borderId="0" xfId="0" applyFont="1" applyFill="1"/>
    <xf numFmtId="1" fontId="0" fillId="2" borderId="0" xfId="0" applyNumberFormat="1" applyFill="1" applyAlignment="1" applyProtection="1">
      <alignment horizontal="left" vertical="center"/>
      <protection locked="0"/>
    </xf>
    <xf numFmtId="0" fontId="0" fillId="2" borderId="0" xfId="0" applyFill="1" applyAlignment="1">
      <alignment vertical="center"/>
    </xf>
    <xf numFmtId="164" fontId="0" fillId="3" borderId="0" xfId="0" applyNumberFormat="1" applyFill="1"/>
    <xf numFmtId="0" fontId="0" fillId="0" borderId="1" xfId="0" applyBorder="1" applyAlignment="1">
      <alignment horizontal="center"/>
    </xf>
    <xf numFmtId="0" fontId="0" fillId="0" borderId="1" xfId="0" applyBorder="1" applyAlignment="1">
      <alignment horizontal="left" wrapText="1"/>
    </xf>
    <xf numFmtId="0" fontId="18" fillId="0" borderId="1" xfId="0" applyFont="1" applyBorder="1" applyAlignment="1">
      <alignment horizontal="center"/>
    </xf>
    <xf numFmtId="0" fontId="18" fillId="0" borderId="1" xfId="0" applyFont="1" applyBorder="1" applyAlignment="1">
      <alignment horizontal="left" wrapText="1"/>
    </xf>
    <xf numFmtId="0" fontId="0" fillId="0" borderId="1" xfId="0" applyBorder="1" applyAlignment="1">
      <alignment horizontal="left"/>
    </xf>
    <xf numFmtId="14" fontId="0" fillId="0" borderId="1" xfId="0" applyNumberFormat="1" applyBorder="1" applyAlignment="1">
      <alignment horizontal="center"/>
    </xf>
    <xf numFmtId="0" fontId="11" fillId="2" borderId="62" xfId="2" applyFont="1" applyFill="1" applyBorder="1" applyAlignment="1" applyProtection="1">
      <alignment horizontal="center" vertical="center"/>
      <protection locked="0"/>
    </xf>
    <xf numFmtId="44" fontId="11" fillId="5" borderId="0" xfId="2" applyNumberFormat="1" applyFont="1" applyFill="1" applyAlignment="1">
      <alignment vertical="center"/>
    </xf>
    <xf numFmtId="169" fontId="0" fillId="4" borderId="1" xfId="0" applyNumberFormat="1" applyFill="1" applyBorder="1" applyAlignment="1">
      <alignment horizontal="center" vertical="center"/>
    </xf>
    <xf numFmtId="0" fontId="0" fillId="2" borderId="3" xfId="0" applyFill="1" applyBorder="1" applyAlignment="1">
      <alignment horizontal="center" vertical="center"/>
    </xf>
    <xf numFmtId="0" fontId="0" fillId="2" borderId="77" xfId="0" applyFill="1" applyBorder="1" applyAlignment="1">
      <alignment horizontal="center" vertical="center"/>
    </xf>
    <xf numFmtId="0" fontId="0" fillId="4" borderId="59" xfId="0" applyFill="1" applyBorder="1" applyAlignment="1">
      <alignment horizontal="right" indent="1"/>
    </xf>
    <xf numFmtId="0" fontId="0" fillId="4" borderId="33" xfId="0" applyFill="1" applyBorder="1" applyAlignment="1">
      <alignment horizontal="right" indent="1"/>
    </xf>
    <xf numFmtId="169" fontId="0" fillId="2" borderId="54" xfId="0" applyNumberFormat="1" applyFill="1" applyBorder="1" applyAlignment="1">
      <alignment horizontal="center" vertical="center"/>
    </xf>
    <xf numFmtId="0" fontId="0" fillId="2" borderId="71" xfId="0" applyFill="1" applyBorder="1" applyAlignment="1">
      <alignment horizontal="left"/>
    </xf>
    <xf numFmtId="0" fontId="0" fillId="2" borderId="72" xfId="0" applyFill="1" applyBorder="1" applyAlignment="1">
      <alignment horizontal="left"/>
    </xf>
    <xf numFmtId="0" fontId="18" fillId="10" borderId="29" xfId="0" applyFont="1" applyFill="1" applyBorder="1"/>
    <xf numFmtId="0" fontId="11" fillId="2" borderId="27" xfId="2" applyFont="1" applyFill="1" applyBorder="1" applyAlignment="1" applyProtection="1">
      <alignment horizontal="center" vertical="center"/>
      <protection locked="0"/>
    </xf>
    <xf numFmtId="164" fontId="57" fillId="4" borderId="1" xfId="8" applyFont="1" applyFill="1" applyBorder="1" applyAlignment="1" applyProtection="1">
      <alignment horizontal="center" vertical="center"/>
    </xf>
    <xf numFmtId="0" fontId="0" fillId="7" borderId="0" xfId="0" applyFill="1"/>
    <xf numFmtId="0" fontId="0" fillId="7" borderId="0" xfId="0" applyFill="1" applyAlignment="1">
      <alignment horizontal="center"/>
    </xf>
    <xf numFmtId="0" fontId="1" fillId="2" borderId="0" xfId="5" applyFill="1" applyAlignment="1">
      <alignment vertical="center"/>
    </xf>
    <xf numFmtId="0" fontId="18" fillId="6" borderId="0" xfId="0" applyFont="1" applyFill="1"/>
    <xf numFmtId="0" fontId="54" fillId="0" borderId="33" xfId="0" applyFont="1" applyBorder="1" applyAlignment="1">
      <alignment horizontal="left" vertical="center" wrapText="1"/>
    </xf>
    <xf numFmtId="0" fontId="54" fillId="0" borderId="33" xfId="0" applyFont="1" applyBorder="1" applyAlignment="1">
      <alignment horizontal="left" vertical="center"/>
    </xf>
    <xf numFmtId="0" fontId="33" fillId="0" borderId="0" xfId="0" applyFont="1" applyAlignment="1">
      <alignment vertical="center"/>
    </xf>
    <xf numFmtId="0" fontId="60" fillId="2" borderId="1" xfId="5" applyFont="1" applyFill="1" applyBorder="1" applyAlignment="1">
      <alignment horizontal="center" vertical="center"/>
    </xf>
    <xf numFmtId="0" fontId="54" fillId="0" borderId="42" xfId="0" applyFont="1" applyBorder="1" applyAlignment="1">
      <alignment horizontal="left" vertical="center"/>
    </xf>
    <xf numFmtId="0" fontId="0" fillId="0" borderId="1" xfId="0" applyBorder="1" applyAlignment="1">
      <alignment horizontal="center" vertical="center"/>
    </xf>
    <xf numFmtId="0" fontId="24" fillId="0" borderId="0" xfId="5" applyFont="1" applyAlignment="1">
      <alignment horizontal="left" vertical="center"/>
    </xf>
    <xf numFmtId="0" fontId="60" fillId="2" borderId="1" xfId="0" applyFont="1" applyFill="1" applyBorder="1" applyAlignment="1">
      <alignment horizontal="center" vertical="center" wrapText="1"/>
    </xf>
    <xf numFmtId="0" fontId="59" fillId="2" borderId="1" xfId="0" applyFont="1" applyFill="1" applyBorder="1" applyAlignment="1">
      <alignment vertical="center" wrapText="1"/>
    </xf>
    <xf numFmtId="0" fontId="62" fillId="2" borderId="1" xfId="0" applyFont="1" applyFill="1" applyBorder="1" applyAlignment="1">
      <alignment vertical="center" wrapText="1"/>
    </xf>
    <xf numFmtId="0" fontId="3" fillId="2" borderId="1" xfId="2" applyFont="1" applyFill="1" applyBorder="1" applyAlignment="1">
      <alignment vertical="center"/>
    </xf>
    <xf numFmtId="0" fontId="0" fillId="0" borderId="0" xfId="0" applyAlignment="1">
      <alignment horizontal="left"/>
    </xf>
    <xf numFmtId="169" fontId="24" fillId="0" borderId="1" xfId="5" applyNumberFormat="1" applyFont="1" applyBorder="1" applyAlignment="1">
      <alignment horizontal="center" vertical="center"/>
    </xf>
    <xf numFmtId="164" fontId="24" fillId="0" borderId="1" xfId="1" applyFont="1" applyBorder="1" applyAlignment="1">
      <alignment horizontal="center" vertical="center"/>
    </xf>
    <xf numFmtId="0" fontId="60" fillId="2" borderId="1" xfId="5" applyFont="1" applyFill="1" applyBorder="1" applyAlignment="1">
      <alignment horizontal="left" vertical="center" wrapText="1"/>
    </xf>
    <xf numFmtId="0" fontId="51" fillId="0" borderId="1" xfId="10" applyBorder="1" applyAlignment="1">
      <alignment horizontal="left" vertical="center" wrapText="1"/>
    </xf>
    <xf numFmtId="0" fontId="24" fillId="0" borderId="1" xfId="5" applyFont="1" applyBorder="1" applyAlignment="1">
      <alignment horizontal="left" vertical="center" wrapText="1"/>
    </xf>
    <xf numFmtId="0" fontId="24" fillId="0" borderId="0" xfId="5" applyFont="1" applyAlignment="1">
      <alignment horizontal="left" vertical="center" wrapText="1"/>
    </xf>
    <xf numFmtId="0" fontId="24" fillId="11" borderId="0" xfId="5" applyFont="1" applyFill="1" applyAlignment="1">
      <alignment horizontal="center" vertical="center"/>
    </xf>
    <xf numFmtId="2" fontId="7" fillId="2" borderId="1" xfId="0" applyNumberFormat="1" applyFont="1" applyFill="1" applyBorder="1" applyAlignment="1">
      <alignment horizontal="center" vertical="center" wrapText="1"/>
    </xf>
    <xf numFmtId="0" fontId="60" fillId="2" borderId="61" xfId="5" applyFont="1" applyFill="1" applyBorder="1" applyAlignment="1">
      <alignment horizontal="center" vertical="center"/>
    </xf>
    <xf numFmtId="0" fontId="24" fillId="0" borderId="1" xfId="5" applyFont="1" applyBorder="1" applyAlignment="1">
      <alignment horizontal="center" vertical="center"/>
    </xf>
    <xf numFmtId="0" fontId="24" fillId="11" borderId="1" xfId="5" applyFont="1" applyFill="1" applyBorder="1" applyAlignment="1">
      <alignment horizontal="center" vertical="center"/>
    </xf>
    <xf numFmtId="169" fontId="24" fillId="6" borderId="1" xfId="5" applyNumberFormat="1" applyFont="1" applyFill="1" applyBorder="1" applyAlignment="1">
      <alignment horizontal="center" vertical="center"/>
    </xf>
    <xf numFmtId="9" fontId="24" fillId="0" borderId="0" xfId="7" applyFont="1" applyAlignment="1">
      <alignment horizontal="center" vertical="center"/>
    </xf>
    <xf numFmtId="1" fontId="7" fillId="2" borderId="1" xfId="0" applyNumberFormat="1" applyFont="1" applyFill="1" applyBorder="1" applyAlignment="1">
      <alignment horizontal="center" vertical="center"/>
    </xf>
    <xf numFmtId="0" fontId="40" fillId="6" borderId="1" xfId="5" applyFont="1" applyFill="1" applyBorder="1" applyAlignment="1">
      <alignment horizontal="center" vertical="center"/>
    </xf>
    <xf numFmtId="169" fontId="24" fillId="2" borderId="1" xfId="5" applyNumberFormat="1" applyFont="1" applyFill="1" applyBorder="1" applyAlignment="1">
      <alignment horizontal="center" vertical="center"/>
    </xf>
    <xf numFmtId="164" fontId="24" fillId="6" borderId="1" xfId="1" applyFont="1" applyFill="1" applyBorder="1" applyAlignment="1">
      <alignment horizontal="center" vertical="center"/>
    </xf>
    <xf numFmtId="0" fontId="0" fillId="2" borderId="1" xfId="0" applyFill="1" applyBorder="1" applyAlignment="1" applyProtection="1">
      <alignment horizontal="left" vertical="center"/>
      <protection locked="0"/>
    </xf>
    <xf numFmtId="169" fontId="52" fillId="2" borderId="1" xfId="0" applyNumberFormat="1" applyFont="1" applyFill="1" applyBorder="1" applyAlignment="1">
      <alignment horizontal="center" vertical="center"/>
    </xf>
    <xf numFmtId="169" fontId="52" fillId="2" borderId="41" xfId="0" applyNumberFormat="1" applyFont="1" applyFill="1" applyBorder="1" applyAlignment="1">
      <alignment horizontal="center" vertical="center"/>
    </xf>
    <xf numFmtId="0" fontId="52" fillId="2" borderId="1" xfId="0" applyFont="1" applyFill="1" applyBorder="1" applyAlignment="1" applyProtection="1">
      <alignment horizontal="left" vertical="center"/>
      <protection locked="0"/>
    </xf>
    <xf numFmtId="0" fontId="52" fillId="2" borderId="2" xfId="0" applyFont="1" applyFill="1" applyBorder="1" applyAlignment="1">
      <alignment horizontal="left" vertical="center" wrapText="1"/>
    </xf>
    <xf numFmtId="0" fontId="0" fillId="2" borderId="41" xfId="0" applyFill="1" applyBorder="1" applyAlignment="1" applyProtection="1">
      <alignment horizontal="left" vertical="center"/>
      <protection locked="0"/>
    </xf>
    <xf numFmtId="0" fontId="0" fillId="4" borderId="79" xfId="0" applyFill="1" applyBorder="1" applyAlignment="1">
      <alignment horizontal="right" indent="1"/>
    </xf>
    <xf numFmtId="0" fontId="0" fillId="2" borderId="3" xfId="0" applyFill="1" applyBorder="1" applyAlignment="1">
      <alignment horizontal="right"/>
    </xf>
    <xf numFmtId="0" fontId="0" fillId="2" borderId="44" xfId="0" applyFill="1" applyBorder="1" applyAlignment="1">
      <alignment horizontal="center" vertical="center"/>
    </xf>
    <xf numFmtId="0" fontId="18" fillId="2" borderId="33" xfId="0" applyFont="1" applyFill="1" applyBorder="1" applyAlignment="1">
      <alignment vertical="center" textRotation="90" wrapText="1"/>
    </xf>
    <xf numFmtId="0" fontId="0" fillId="4" borderId="46" xfId="0" applyFill="1" applyBorder="1" applyAlignment="1">
      <alignment horizontal="right" indent="1"/>
    </xf>
    <xf numFmtId="0" fontId="0" fillId="4" borderId="53" xfId="0" applyFill="1" applyBorder="1" applyAlignment="1">
      <alignment horizontal="right" indent="1"/>
    </xf>
    <xf numFmtId="169" fontId="0" fillId="4" borderId="54" xfId="0" applyNumberFormat="1" applyFill="1" applyBorder="1" applyAlignment="1">
      <alignment horizontal="center" vertical="center"/>
    </xf>
    <xf numFmtId="169" fontId="0" fillId="4" borderId="43" xfId="0" applyNumberFormat="1" applyFill="1" applyBorder="1" applyAlignment="1">
      <alignment horizontal="center" vertical="center"/>
    </xf>
    <xf numFmtId="0" fontId="34" fillId="8" borderId="29" xfId="9" applyFont="1" applyFill="1" applyBorder="1" applyAlignment="1">
      <alignment horizontal="center" vertical="center" wrapText="1"/>
    </xf>
    <xf numFmtId="166" fontId="52" fillId="2" borderId="71" xfId="0" applyNumberFormat="1" applyFont="1" applyFill="1" applyBorder="1" applyAlignment="1">
      <alignment horizontal="center" vertical="center"/>
    </xf>
    <xf numFmtId="0" fontId="0" fillId="4" borderId="71" xfId="0" applyFill="1" applyBorder="1" applyAlignment="1">
      <alignment horizontal="right" indent="1"/>
    </xf>
    <xf numFmtId="0" fontId="0" fillId="4" borderId="72" xfId="0" applyFill="1" applyBorder="1" applyAlignment="1">
      <alignment horizontal="right" indent="1"/>
    </xf>
    <xf numFmtId="164" fontId="0" fillId="2" borderId="0" xfId="0" applyNumberFormat="1" applyFill="1"/>
    <xf numFmtId="169" fontId="0" fillId="2" borderId="0" xfId="0" applyNumberFormat="1" applyFill="1"/>
    <xf numFmtId="0" fontId="3" fillId="2" borderId="1" xfId="2" applyFont="1" applyFill="1" applyBorder="1" applyAlignment="1">
      <alignment horizontal="left" vertical="center" wrapText="1"/>
    </xf>
    <xf numFmtId="166" fontId="7" fillId="2" borderId="1" xfId="0" applyNumberFormat="1" applyFont="1" applyFill="1" applyBorder="1" applyAlignment="1">
      <alignment horizontal="center" vertical="center"/>
    </xf>
    <xf numFmtId="0" fontId="60" fillId="12" borderId="1" xfId="5" applyFont="1" applyFill="1" applyBorder="1" applyAlignment="1">
      <alignment horizontal="left" vertical="center"/>
    </xf>
    <xf numFmtId="0" fontId="60" fillId="12" borderId="1" xfId="5" applyFont="1" applyFill="1" applyBorder="1" applyAlignment="1">
      <alignment horizontal="center" vertical="center"/>
    </xf>
    <xf numFmtId="0" fontId="60" fillId="12" borderId="1" xfId="0" applyFont="1" applyFill="1" applyBorder="1" applyAlignment="1">
      <alignment horizontal="center" vertical="center" wrapText="1"/>
    </xf>
    <xf numFmtId="0" fontId="3" fillId="0" borderId="0" xfId="2" applyFont="1" applyAlignment="1">
      <alignment vertical="center"/>
    </xf>
    <xf numFmtId="0" fontId="3" fillId="4" borderId="0" xfId="2" applyFont="1" applyFill="1" applyAlignment="1">
      <alignment vertical="center"/>
    </xf>
    <xf numFmtId="0" fontId="28" fillId="3" borderId="1" xfId="5" applyFont="1" applyFill="1" applyBorder="1" applyAlignment="1">
      <alignment horizontal="center" vertical="center" wrapText="1"/>
    </xf>
    <xf numFmtId="0" fontId="25" fillId="2" borderId="1" xfId="5" applyFont="1" applyFill="1" applyBorder="1" applyAlignment="1">
      <alignment horizontal="center" vertical="center" wrapText="1"/>
    </xf>
    <xf numFmtId="0" fontId="11" fillId="0" borderId="0" xfId="2" applyFont="1" applyAlignment="1">
      <alignment horizontal="center" vertical="center"/>
    </xf>
    <xf numFmtId="0" fontId="11" fillId="0" borderId="0" xfId="2" applyFont="1" applyAlignment="1">
      <alignment vertical="center"/>
    </xf>
    <xf numFmtId="164" fontId="11" fillId="0" borderId="0" xfId="1" applyFont="1" applyAlignment="1" applyProtection="1">
      <alignment vertical="center"/>
    </xf>
    <xf numFmtId="0" fontId="24" fillId="0" borderId="0" xfId="5" applyFont="1"/>
    <xf numFmtId="0" fontId="27" fillId="0" borderId="0" xfId="2" applyFont="1" applyAlignment="1">
      <alignment vertical="center"/>
    </xf>
    <xf numFmtId="0" fontId="24" fillId="0" borderId="0" xfId="5" applyFont="1" applyAlignment="1">
      <alignment horizontal="center"/>
    </xf>
    <xf numFmtId="9" fontId="24" fillId="0" borderId="0" xfId="7" applyFont="1" applyProtection="1"/>
    <xf numFmtId="0" fontId="16" fillId="0" borderId="0" xfId="2" applyFont="1" applyAlignment="1">
      <alignment vertical="center"/>
    </xf>
    <xf numFmtId="0" fontId="27" fillId="2" borderId="0" xfId="2" applyFont="1" applyFill="1" applyAlignment="1">
      <alignment vertical="center"/>
    </xf>
    <xf numFmtId="0" fontId="3" fillId="3" borderId="17" xfId="2" applyFont="1" applyFill="1" applyBorder="1" applyAlignment="1">
      <alignment vertical="center"/>
    </xf>
    <xf numFmtId="0" fontId="6" fillId="3" borderId="0" xfId="2" applyFont="1" applyFill="1" applyAlignment="1">
      <alignment horizontal="left" vertical="center"/>
    </xf>
    <xf numFmtId="164" fontId="5" fillId="3" borderId="19" xfId="3" applyFont="1" applyFill="1" applyBorder="1" applyAlignment="1" applyProtection="1">
      <alignment horizontal="center" vertical="center"/>
    </xf>
    <xf numFmtId="0" fontId="58" fillId="4" borderId="1" xfId="2" applyFont="1" applyFill="1" applyBorder="1" applyAlignment="1">
      <alignment vertical="center"/>
    </xf>
    <xf numFmtId="0" fontId="11" fillId="4" borderId="1" xfId="2" applyFont="1" applyFill="1" applyBorder="1" applyAlignment="1">
      <alignment horizontal="center" vertical="center"/>
    </xf>
    <xf numFmtId="0" fontId="11" fillId="4" borderId="1" xfId="2" applyFont="1" applyFill="1" applyBorder="1" applyAlignment="1">
      <alignment horizontal="center"/>
    </xf>
    <xf numFmtId="0" fontId="10" fillId="4" borderId="1" xfId="2" applyFont="1" applyFill="1" applyBorder="1" applyAlignment="1">
      <alignment vertical="center"/>
    </xf>
    <xf numFmtId="0" fontId="11" fillId="4" borderId="1" xfId="2" applyFont="1" applyFill="1" applyBorder="1" applyAlignment="1">
      <alignment horizontal="right" vertical="center"/>
    </xf>
    <xf numFmtId="164" fontId="11" fillId="4" borderId="1" xfId="2" applyNumberFormat="1" applyFont="1" applyFill="1" applyBorder="1" applyAlignment="1">
      <alignment vertical="center"/>
    </xf>
    <xf numFmtId="164" fontId="7" fillId="4" borderId="1" xfId="3" applyFont="1" applyFill="1" applyBorder="1" applyAlignment="1" applyProtection="1">
      <alignment horizontal="center" vertical="center"/>
    </xf>
    <xf numFmtId="2" fontId="11" fillId="4" borderId="1" xfId="2" applyNumberFormat="1" applyFont="1" applyFill="1" applyBorder="1" applyAlignment="1">
      <alignment horizontal="center" vertical="center"/>
    </xf>
    <xf numFmtId="2" fontId="10" fillId="4" borderId="1" xfId="2" applyNumberFormat="1" applyFont="1" applyFill="1" applyBorder="1" applyAlignment="1">
      <alignment horizontal="center" vertical="center"/>
    </xf>
    <xf numFmtId="169" fontId="11" fillId="4" borderId="1" xfId="2" applyNumberFormat="1" applyFont="1" applyFill="1" applyBorder="1" applyAlignment="1">
      <alignment horizontal="center" vertical="center"/>
    </xf>
    <xf numFmtId="164" fontId="11" fillId="4" borderId="1" xfId="2" applyNumberFormat="1" applyFont="1" applyFill="1" applyBorder="1" applyAlignment="1">
      <alignment horizontal="center" vertical="center"/>
    </xf>
    <xf numFmtId="164" fontId="11" fillId="4" borderId="1" xfId="1" applyFont="1" applyFill="1" applyBorder="1" applyAlignment="1" applyProtection="1">
      <alignment vertical="center"/>
    </xf>
    <xf numFmtId="164" fontId="3" fillId="4" borderId="1" xfId="2" applyNumberFormat="1" applyFont="1" applyFill="1" applyBorder="1" applyAlignment="1">
      <alignment vertical="center"/>
    </xf>
    <xf numFmtId="0" fontId="3" fillId="4" borderId="1" xfId="2" applyFont="1" applyFill="1" applyBorder="1" applyAlignment="1">
      <alignment vertical="center"/>
    </xf>
    <xf numFmtId="0" fontId="24" fillId="4" borderId="0" xfId="5" applyFont="1" applyFill="1"/>
    <xf numFmtId="164" fontId="7" fillId="3" borderId="19" xfId="3" applyFont="1" applyFill="1" applyBorder="1" applyAlignment="1" applyProtection="1">
      <alignment horizontal="center" vertical="center"/>
    </xf>
    <xf numFmtId="0" fontId="6" fillId="3" borderId="4" xfId="2" applyFont="1" applyFill="1" applyBorder="1" applyAlignment="1">
      <alignment horizontal="left" vertical="center"/>
    </xf>
    <xf numFmtId="0" fontId="8" fillId="3" borderId="33" xfId="2" applyFont="1" applyFill="1" applyBorder="1" applyAlignment="1">
      <alignment horizontal="left" vertical="center"/>
    </xf>
    <xf numFmtId="166" fontId="11" fillId="3" borderId="3" xfId="2" applyNumberFormat="1" applyFont="1" applyFill="1" applyBorder="1" applyAlignment="1">
      <alignment horizontal="center" vertical="center"/>
    </xf>
    <xf numFmtId="164" fontId="14" fillId="3" borderId="3" xfId="1" applyFont="1" applyFill="1" applyBorder="1" applyAlignment="1" applyProtection="1">
      <alignment horizontal="left" vertical="center"/>
    </xf>
    <xf numFmtId="9" fontId="13" fillId="3" borderId="1" xfId="1" applyNumberFormat="1" applyFont="1" applyFill="1" applyBorder="1" applyAlignment="1" applyProtection="1">
      <alignment horizontal="center" vertical="center"/>
    </xf>
    <xf numFmtId="164" fontId="14" fillId="3" borderId="41" xfId="2" applyNumberFormat="1" applyFont="1" applyFill="1" applyBorder="1" applyAlignment="1">
      <alignment horizontal="left" vertical="center"/>
    </xf>
    <xf numFmtId="0" fontId="9" fillId="3" borderId="19" xfId="2" applyFont="1" applyFill="1" applyBorder="1" applyAlignment="1">
      <alignment horizontal="left" vertical="center"/>
    </xf>
    <xf numFmtId="2" fontId="11" fillId="3" borderId="1" xfId="2" applyNumberFormat="1" applyFont="1" applyFill="1" applyBorder="1" applyAlignment="1">
      <alignment horizontal="center" vertical="center"/>
    </xf>
    <xf numFmtId="9" fontId="11" fillId="3" borderId="1" xfId="7" applyFont="1" applyFill="1" applyBorder="1" applyAlignment="1" applyProtection="1">
      <alignment horizontal="center" vertical="center"/>
    </xf>
    <xf numFmtId="169" fontId="11" fillId="3" borderId="1" xfId="7" applyNumberFormat="1" applyFont="1" applyFill="1" applyBorder="1" applyAlignment="1" applyProtection="1">
      <alignment horizontal="center" vertical="center"/>
    </xf>
    <xf numFmtId="164" fontId="11" fillId="3" borderId="41" xfId="2" applyNumberFormat="1" applyFont="1" applyFill="1" applyBorder="1" applyAlignment="1">
      <alignment horizontal="center" vertical="center"/>
    </xf>
    <xf numFmtId="164" fontId="11" fillId="5" borderId="33" xfId="2" applyNumberFormat="1" applyFont="1" applyFill="1" applyBorder="1" applyAlignment="1">
      <alignment vertical="center"/>
    </xf>
    <xf numFmtId="164" fontId="11" fillId="5" borderId="41" xfId="1" applyFont="1" applyFill="1" applyBorder="1" applyAlignment="1" applyProtection="1">
      <alignment vertical="center"/>
    </xf>
    <xf numFmtId="0" fontId="3" fillId="0" borderId="0" xfId="2" applyFont="1" applyAlignment="1">
      <alignment vertical="center" wrapText="1"/>
    </xf>
    <xf numFmtId="0" fontId="11" fillId="3" borderId="1" xfId="2" applyFont="1" applyFill="1" applyBorder="1" applyAlignment="1">
      <alignment horizontal="center" vertical="center"/>
    </xf>
    <xf numFmtId="0" fontId="3" fillId="3" borderId="33" xfId="2" applyFont="1" applyFill="1" applyBorder="1" applyAlignment="1">
      <alignment vertical="center"/>
    </xf>
    <xf numFmtId="164" fontId="13" fillId="3" borderId="3" xfId="1" applyFont="1" applyFill="1" applyBorder="1" applyAlignment="1" applyProtection="1">
      <alignment horizontal="center" vertical="center"/>
    </xf>
    <xf numFmtId="164" fontId="14" fillId="3" borderId="45" xfId="2" applyNumberFormat="1" applyFont="1" applyFill="1" applyBorder="1" applyAlignment="1">
      <alignment horizontal="left" vertical="center"/>
    </xf>
    <xf numFmtId="0" fontId="3" fillId="3" borderId="33" xfId="2" applyFont="1" applyFill="1" applyBorder="1" applyAlignment="1">
      <alignment vertical="center" wrapText="1"/>
    </xf>
    <xf numFmtId="0" fontId="11" fillId="3" borderId="24" xfId="2" applyFont="1" applyFill="1" applyBorder="1" applyAlignment="1">
      <alignment horizontal="center"/>
    </xf>
    <xf numFmtId="0" fontId="10" fillId="3" borderId="24" xfId="2" applyFont="1" applyFill="1" applyBorder="1" applyAlignment="1">
      <alignment vertical="center"/>
    </xf>
    <xf numFmtId="0" fontId="11" fillId="3" borderId="24" xfId="2" applyFont="1" applyFill="1" applyBorder="1" applyAlignment="1">
      <alignment horizontal="right" vertical="center"/>
    </xf>
    <xf numFmtId="164" fontId="11" fillId="3" borderId="27" xfId="2" applyNumberFormat="1" applyFont="1" applyFill="1" applyBorder="1" applyAlignment="1">
      <alignment vertical="center"/>
    </xf>
    <xf numFmtId="2" fontId="11" fillId="3" borderId="54" xfId="2" applyNumberFormat="1" applyFont="1" applyFill="1" applyBorder="1" applyAlignment="1">
      <alignment horizontal="center" vertical="center"/>
    </xf>
    <xf numFmtId="2" fontId="11" fillId="3" borderId="52" xfId="2" applyNumberFormat="1" applyFont="1" applyFill="1" applyBorder="1" applyAlignment="1">
      <alignment horizontal="center" vertical="center"/>
    </xf>
    <xf numFmtId="2" fontId="10" fillId="3" borderId="52" xfId="2" applyNumberFormat="1" applyFont="1" applyFill="1" applyBorder="1" applyAlignment="1">
      <alignment horizontal="center" vertical="center"/>
    </xf>
    <xf numFmtId="169" fontId="11" fillId="3" borderId="54" xfId="2" applyNumberFormat="1" applyFont="1" applyFill="1" applyBorder="1" applyAlignment="1">
      <alignment horizontal="center" vertical="center"/>
    </xf>
    <xf numFmtId="164" fontId="11" fillId="3" borderId="43" xfId="2" applyNumberFormat="1" applyFont="1" applyFill="1" applyBorder="1" applyAlignment="1">
      <alignment horizontal="center" vertical="center"/>
    </xf>
    <xf numFmtId="164" fontId="11" fillId="5" borderId="42" xfId="2" applyNumberFormat="1" applyFont="1" applyFill="1" applyBorder="1" applyAlignment="1">
      <alignment vertical="center"/>
    </xf>
    <xf numFmtId="164" fontId="11" fillId="5" borderId="43" xfId="1" applyFont="1" applyFill="1" applyBorder="1" applyAlignment="1" applyProtection="1">
      <alignment vertical="center"/>
    </xf>
    <xf numFmtId="164" fontId="3" fillId="0" borderId="0" xfId="2" applyNumberFormat="1" applyFont="1" applyAlignment="1">
      <alignment vertical="center"/>
    </xf>
    <xf numFmtId="0" fontId="9" fillId="3" borderId="30" xfId="2" applyFont="1" applyFill="1" applyBorder="1" applyAlignment="1">
      <alignment horizontal="left" vertical="center"/>
    </xf>
    <xf numFmtId="164" fontId="13" fillId="3" borderId="1" xfId="1" applyFont="1" applyFill="1" applyBorder="1" applyAlignment="1" applyProtection="1">
      <alignment horizontal="center" vertical="center"/>
    </xf>
    <xf numFmtId="164" fontId="7" fillId="3" borderId="32" xfId="3" applyFont="1" applyFill="1" applyBorder="1" applyAlignment="1" applyProtection="1">
      <alignment horizontal="center" vertical="center"/>
    </xf>
    <xf numFmtId="2" fontId="11" fillId="3" borderId="61" xfId="2" applyNumberFormat="1" applyFont="1" applyFill="1" applyBorder="1" applyAlignment="1">
      <alignment horizontal="center" vertical="center"/>
    </xf>
    <xf numFmtId="166" fontId="11" fillId="3" borderId="1" xfId="2" applyNumberFormat="1" applyFont="1" applyFill="1" applyBorder="1" applyAlignment="1">
      <alignment horizontal="center" vertical="center"/>
    </xf>
    <xf numFmtId="164" fontId="13" fillId="3" borderId="27" xfId="3" applyFont="1" applyFill="1" applyBorder="1" applyAlignment="1" applyProtection="1">
      <alignment horizontal="center" vertical="center"/>
    </xf>
    <xf numFmtId="164" fontId="7" fillId="3" borderId="31" xfId="3" applyFont="1" applyFill="1" applyBorder="1" applyAlignment="1" applyProtection="1">
      <alignment horizontal="center" vertical="center"/>
    </xf>
    <xf numFmtId="0" fontId="9" fillId="3" borderId="17" xfId="2" applyFont="1" applyFill="1" applyBorder="1" applyAlignment="1">
      <alignment horizontal="left" vertical="center"/>
    </xf>
    <xf numFmtId="0" fontId="11" fillId="3" borderId="64" xfId="2" applyFont="1" applyFill="1" applyBorder="1" applyAlignment="1">
      <alignment horizontal="center" vertical="center"/>
    </xf>
    <xf numFmtId="0" fontId="11" fillId="3" borderId="0" xfId="2" applyFont="1" applyFill="1" applyAlignment="1">
      <alignment horizontal="right" vertical="center"/>
    </xf>
    <xf numFmtId="164" fontId="11" fillId="3" borderId="19" xfId="2" applyNumberFormat="1" applyFont="1" applyFill="1" applyBorder="1" applyAlignment="1">
      <alignment vertical="center"/>
    </xf>
    <xf numFmtId="0" fontId="3" fillId="3" borderId="18" xfId="2" applyFont="1" applyFill="1" applyBorder="1" applyAlignment="1">
      <alignment vertical="center"/>
    </xf>
    <xf numFmtId="2" fontId="11" fillId="3" borderId="0" xfId="2" applyNumberFormat="1" applyFont="1" applyFill="1" applyAlignment="1">
      <alignment horizontal="right" vertical="center"/>
    </xf>
    <xf numFmtId="2" fontId="10" fillId="3" borderId="0" xfId="2" applyNumberFormat="1" applyFont="1" applyFill="1" applyAlignment="1">
      <alignment horizontal="right" vertical="center"/>
    </xf>
    <xf numFmtId="164" fontId="11" fillId="5" borderId="36" xfId="1" applyFont="1" applyFill="1" applyBorder="1" applyAlignment="1" applyProtection="1">
      <alignment vertical="center"/>
    </xf>
    <xf numFmtId="0" fontId="13" fillId="3" borderId="3" xfId="0" applyFont="1" applyFill="1" applyBorder="1" applyAlignment="1">
      <alignment horizontal="center" vertical="center"/>
    </xf>
    <xf numFmtId="164" fontId="11" fillId="3" borderId="1" xfId="1" applyFont="1" applyFill="1" applyBorder="1" applyAlignment="1" applyProtection="1">
      <alignment horizontal="left" vertical="center" wrapText="1"/>
    </xf>
    <xf numFmtId="0" fontId="13" fillId="3" borderId="19" xfId="0" applyFont="1" applyFill="1" applyBorder="1" applyAlignment="1">
      <alignment horizontal="left" vertical="center"/>
    </xf>
    <xf numFmtId="164" fontId="11" fillId="5" borderId="3" xfId="2" applyNumberFormat="1" applyFont="1" applyFill="1" applyBorder="1" applyAlignment="1">
      <alignment vertical="center"/>
    </xf>
    <xf numFmtId="0" fontId="13" fillId="0" borderId="0" xfId="0" applyFont="1" applyAlignment="1">
      <alignment horizontal="left" vertical="center"/>
    </xf>
    <xf numFmtId="2" fontId="11" fillId="3" borderId="3" xfId="2" applyNumberFormat="1" applyFont="1" applyFill="1" applyBorder="1" applyAlignment="1">
      <alignment horizontal="center" vertical="center"/>
    </xf>
    <xf numFmtId="164" fontId="11" fillId="3" borderId="3" xfId="1" applyFont="1" applyFill="1" applyBorder="1" applyAlignment="1" applyProtection="1">
      <alignment horizontal="center" vertical="center"/>
    </xf>
    <xf numFmtId="164" fontId="3" fillId="3" borderId="19" xfId="1" applyFont="1" applyFill="1" applyBorder="1" applyAlignment="1" applyProtection="1">
      <alignment horizontal="center" vertical="center"/>
    </xf>
    <xf numFmtId="0" fontId="3" fillId="3" borderId="0" xfId="2" applyFont="1" applyFill="1" applyAlignment="1">
      <alignment vertical="center"/>
    </xf>
    <xf numFmtId="2" fontId="11" fillId="3" borderId="0" xfId="2" applyNumberFormat="1" applyFont="1" applyFill="1" applyAlignment="1">
      <alignment horizontal="center" vertical="center"/>
    </xf>
    <xf numFmtId="164" fontId="13" fillId="3" borderId="0" xfId="1" applyFont="1" applyFill="1" applyBorder="1" applyAlignment="1" applyProtection="1">
      <alignment horizontal="center" vertical="center"/>
    </xf>
    <xf numFmtId="9" fontId="13" fillId="3" borderId="0" xfId="1" applyNumberFormat="1" applyFont="1" applyFill="1" applyBorder="1" applyAlignment="1" applyProtection="1">
      <alignment horizontal="center" vertical="center"/>
    </xf>
    <xf numFmtId="164" fontId="11" fillId="3" borderId="19" xfId="1" applyFont="1" applyFill="1" applyBorder="1" applyAlignment="1" applyProtection="1">
      <alignment horizontal="center" vertical="center"/>
    </xf>
    <xf numFmtId="9" fontId="10" fillId="3" borderId="0" xfId="7" applyFont="1" applyFill="1" applyBorder="1" applyAlignment="1" applyProtection="1">
      <alignment horizontal="right" vertical="center"/>
    </xf>
    <xf numFmtId="164" fontId="11" fillId="5" borderId="19" xfId="1" applyFont="1" applyFill="1" applyBorder="1" applyAlignment="1" applyProtection="1">
      <alignment vertical="center"/>
    </xf>
    <xf numFmtId="166" fontId="11" fillId="3" borderId="7" xfId="2" applyNumberFormat="1" applyFont="1" applyFill="1" applyBorder="1" applyAlignment="1">
      <alignment horizontal="center" vertical="center"/>
    </xf>
    <xf numFmtId="164" fontId="13" fillId="3" borderId="7" xfId="1" applyFont="1" applyFill="1" applyBorder="1" applyAlignment="1" applyProtection="1">
      <alignment horizontal="center" vertical="center"/>
    </xf>
    <xf numFmtId="9" fontId="13" fillId="3" borderId="2" xfId="1" applyNumberFormat="1" applyFont="1" applyFill="1" applyBorder="1" applyAlignment="1" applyProtection="1">
      <alignment horizontal="center" vertical="center"/>
    </xf>
    <xf numFmtId="2" fontId="3" fillId="3" borderId="19" xfId="2" applyNumberFormat="1" applyFont="1" applyFill="1" applyBorder="1" applyAlignment="1">
      <alignment horizontal="center" vertical="center"/>
    </xf>
    <xf numFmtId="168" fontId="11" fillId="3" borderId="1" xfId="2" applyNumberFormat="1" applyFont="1" applyFill="1" applyBorder="1" applyAlignment="1">
      <alignment horizontal="center" vertical="center"/>
    </xf>
    <xf numFmtId="164" fontId="3" fillId="3" borderId="32" xfId="1" applyFont="1" applyFill="1" applyBorder="1" applyAlignment="1" applyProtection="1">
      <alignment horizontal="center" vertical="center"/>
    </xf>
    <xf numFmtId="2" fontId="11" fillId="3" borderId="7" xfId="2" applyNumberFormat="1" applyFont="1" applyFill="1" applyBorder="1" applyAlignment="1">
      <alignment horizontal="center" vertical="center"/>
    </xf>
    <xf numFmtId="166" fontId="11" fillId="3" borderId="5" xfId="2" applyNumberFormat="1" applyFont="1" applyFill="1" applyBorder="1" applyAlignment="1">
      <alignment horizontal="center" vertical="center"/>
    </xf>
    <xf numFmtId="9" fontId="13" fillId="3" borderId="61" xfId="1" applyNumberFormat="1" applyFont="1" applyFill="1" applyBorder="1" applyAlignment="1" applyProtection="1">
      <alignment horizontal="center" vertical="center"/>
    </xf>
    <xf numFmtId="164" fontId="11" fillId="3" borderId="70" xfId="1" applyFont="1" applyFill="1" applyBorder="1" applyAlignment="1" applyProtection="1">
      <alignment horizontal="center" vertical="center"/>
    </xf>
    <xf numFmtId="164" fontId="7" fillId="3" borderId="34" xfId="3" applyFont="1" applyFill="1" applyBorder="1" applyAlignment="1" applyProtection="1">
      <alignment horizontal="center" vertical="center"/>
    </xf>
    <xf numFmtId="169" fontId="11" fillId="3" borderId="54" xfId="7" applyNumberFormat="1" applyFont="1" applyFill="1" applyBorder="1" applyAlignment="1" applyProtection="1">
      <alignment horizontal="center" vertical="center"/>
    </xf>
    <xf numFmtId="164" fontId="11" fillId="5" borderId="53" xfId="2" applyNumberFormat="1" applyFont="1" applyFill="1" applyBorder="1" applyAlignment="1">
      <alignment vertical="center"/>
    </xf>
    <xf numFmtId="164" fontId="3" fillId="3" borderId="31" xfId="1" applyFont="1" applyFill="1" applyBorder="1" applyAlignment="1" applyProtection="1">
      <alignment horizontal="center" vertical="center"/>
    </xf>
    <xf numFmtId="164" fontId="11" fillId="5" borderId="52" xfId="2" applyNumberFormat="1" applyFont="1" applyFill="1" applyBorder="1" applyAlignment="1">
      <alignment vertical="center"/>
    </xf>
    <xf numFmtId="0" fontId="6" fillId="3" borderId="0" xfId="2" applyFont="1" applyFill="1" applyAlignment="1">
      <alignment horizontal="center" vertical="center"/>
    </xf>
    <xf numFmtId="164" fontId="3" fillId="3" borderId="30" xfId="1" applyFont="1" applyFill="1" applyBorder="1" applyAlignment="1" applyProtection="1">
      <alignment horizontal="center" vertical="center"/>
    </xf>
    <xf numFmtId="9" fontId="13" fillId="3" borderId="6" xfId="1" applyNumberFormat="1" applyFont="1" applyFill="1" applyBorder="1" applyAlignment="1" applyProtection="1">
      <alignment horizontal="center" vertical="center"/>
    </xf>
    <xf numFmtId="164" fontId="13" fillId="3" borderId="62" xfId="3" applyFont="1" applyFill="1" applyBorder="1" applyAlignment="1" applyProtection="1">
      <alignment horizontal="center" vertical="center"/>
    </xf>
    <xf numFmtId="0" fontId="4" fillId="3" borderId="0" xfId="2" applyFont="1" applyFill="1" applyAlignment="1">
      <alignment horizontal="center" vertical="center"/>
    </xf>
    <xf numFmtId="0" fontId="4" fillId="3" borderId="4" xfId="2" applyFont="1" applyFill="1" applyBorder="1" applyAlignment="1">
      <alignment horizontal="left" vertical="center"/>
    </xf>
    <xf numFmtId="164" fontId="11" fillId="3" borderId="28" xfId="1" applyFont="1" applyFill="1" applyBorder="1" applyAlignment="1" applyProtection="1">
      <alignment horizontal="center" vertical="center"/>
    </xf>
    <xf numFmtId="164" fontId="11" fillId="3" borderId="48" xfId="1" applyFont="1" applyFill="1" applyBorder="1" applyAlignment="1" applyProtection="1">
      <alignment horizontal="center" vertical="center"/>
    </xf>
    <xf numFmtId="164" fontId="11" fillId="3" borderId="62" xfId="1" applyFont="1" applyFill="1" applyBorder="1" applyAlignment="1" applyProtection="1">
      <alignment horizontal="center" vertical="center"/>
    </xf>
    <xf numFmtId="0" fontId="6" fillId="3" borderId="0" xfId="2" applyFont="1" applyFill="1" applyAlignment="1">
      <alignment vertical="center"/>
    </xf>
    <xf numFmtId="164" fontId="11" fillId="3" borderId="0" xfId="1" applyFont="1" applyFill="1" applyBorder="1" applyAlignment="1" applyProtection="1">
      <alignment horizontal="center" vertical="center"/>
    </xf>
    <xf numFmtId="2" fontId="15" fillId="3" borderId="1" xfId="2" applyNumberFormat="1" applyFont="1" applyFill="1" applyBorder="1" applyAlignment="1">
      <alignment horizontal="center" vertical="center" wrapText="1"/>
    </xf>
    <xf numFmtId="0" fontId="15" fillId="3" borderId="1" xfId="2" applyFont="1" applyFill="1" applyBorder="1" applyAlignment="1">
      <alignment horizontal="center" vertical="center"/>
    </xf>
    <xf numFmtId="164" fontId="11" fillId="3" borderId="32" xfId="1" applyFont="1" applyFill="1" applyBorder="1" applyAlignment="1" applyProtection="1">
      <alignment horizontal="right" vertical="center"/>
    </xf>
    <xf numFmtId="2" fontId="11" fillId="3" borderId="19" xfId="2" applyNumberFormat="1" applyFont="1" applyFill="1" applyBorder="1" applyAlignment="1">
      <alignment horizontal="right" vertical="center"/>
    </xf>
    <xf numFmtId="2" fontId="10" fillId="5" borderId="0" xfId="2" applyNumberFormat="1" applyFont="1" applyFill="1" applyAlignment="1">
      <alignment horizontal="right" vertical="center"/>
    </xf>
    <xf numFmtId="164" fontId="11" fillId="5" borderId="36" xfId="2" applyNumberFormat="1" applyFont="1" applyFill="1" applyBorder="1" applyAlignment="1">
      <alignment vertical="center"/>
    </xf>
    <xf numFmtId="164" fontId="11" fillId="0" borderId="0" xfId="2" applyNumberFormat="1" applyFont="1" applyAlignment="1">
      <alignment vertical="center"/>
    </xf>
    <xf numFmtId="0" fontId="13" fillId="3" borderId="1" xfId="0" applyFont="1" applyFill="1" applyBorder="1" applyAlignment="1">
      <alignment horizontal="center" vertical="center"/>
    </xf>
    <xf numFmtId="164" fontId="13" fillId="3" borderId="28" xfId="0" applyNumberFormat="1" applyFont="1" applyFill="1" applyBorder="1" applyAlignment="1">
      <alignment horizontal="left" vertical="center"/>
    </xf>
    <xf numFmtId="0" fontId="13" fillId="3" borderId="32" xfId="0" applyFont="1" applyFill="1" applyBorder="1" applyAlignment="1">
      <alignment horizontal="left" vertical="center"/>
    </xf>
    <xf numFmtId="165" fontId="11" fillId="3" borderId="1" xfId="6" applyNumberFormat="1" applyFont="1" applyFill="1" applyBorder="1" applyAlignment="1" applyProtection="1">
      <alignment horizontal="center" vertical="center"/>
    </xf>
    <xf numFmtId="164" fontId="11" fillId="5" borderId="3" xfId="1" applyFont="1" applyFill="1" applyBorder="1" applyAlignment="1" applyProtection="1">
      <alignment vertical="center"/>
    </xf>
    <xf numFmtId="164" fontId="13" fillId="5" borderId="41" xfId="1" applyFont="1" applyFill="1" applyBorder="1" applyAlignment="1" applyProtection="1">
      <alignment horizontal="right" vertical="center"/>
    </xf>
    <xf numFmtId="0" fontId="13" fillId="0" borderId="0" xfId="0" applyFont="1" applyAlignment="1">
      <alignment horizontal="right" vertical="center"/>
    </xf>
    <xf numFmtId="0" fontId="11" fillId="3" borderId="32" xfId="2" applyFont="1" applyFill="1" applyBorder="1" applyAlignment="1">
      <alignment vertical="center"/>
    </xf>
    <xf numFmtId="0" fontId="13" fillId="3" borderId="2" xfId="0" applyFont="1" applyFill="1" applyBorder="1" applyAlignment="1">
      <alignment horizontal="center" vertical="center"/>
    </xf>
    <xf numFmtId="164" fontId="11" fillId="3" borderId="32" xfId="1" applyFont="1" applyFill="1" applyBorder="1" applyAlignment="1" applyProtection="1">
      <alignment horizontal="center" vertical="center"/>
    </xf>
    <xf numFmtId="0" fontId="24" fillId="0" borderId="0" xfId="5" applyFont="1" applyAlignment="1">
      <alignment vertical="center"/>
    </xf>
    <xf numFmtId="164" fontId="13" fillId="3" borderId="0" xfId="1" applyFont="1" applyFill="1" applyBorder="1" applyAlignment="1" applyProtection="1">
      <alignment horizontal="right" vertical="center"/>
    </xf>
    <xf numFmtId="0" fontId="3" fillId="3" borderId="0" xfId="2" applyFont="1" applyFill="1" applyAlignment="1">
      <alignment horizontal="right" vertical="center"/>
    </xf>
    <xf numFmtId="0" fontId="11" fillId="3" borderId="30" xfId="2" applyFont="1" applyFill="1" applyBorder="1" applyAlignment="1">
      <alignment horizontal="right" vertical="center"/>
    </xf>
    <xf numFmtId="164" fontId="11" fillId="3" borderId="54" xfId="2" applyNumberFormat="1" applyFont="1" applyFill="1" applyBorder="1" applyAlignment="1">
      <alignment horizontal="center" vertical="center"/>
    </xf>
    <xf numFmtId="0" fontId="4" fillId="3" borderId="16" xfId="2" applyFont="1" applyFill="1" applyBorder="1" applyAlignment="1">
      <alignment horizontal="left" vertical="center"/>
    </xf>
    <xf numFmtId="0" fontId="4" fillId="3" borderId="50" xfId="2" applyFont="1" applyFill="1" applyBorder="1" applyAlignment="1">
      <alignment horizontal="center" vertical="center"/>
    </xf>
    <xf numFmtId="0" fontId="4" fillId="3" borderId="17" xfId="2" applyFont="1" applyFill="1" applyBorder="1" applyAlignment="1">
      <alignment horizontal="center" vertical="center"/>
    </xf>
    <xf numFmtId="166" fontId="11" fillId="3" borderId="53" xfId="2" applyNumberFormat="1" applyFont="1" applyFill="1" applyBorder="1" applyAlignment="1">
      <alignment horizontal="center" vertical="center"/>
    </xf>
    <xf numFmtId="164" fontId="11" fillId="3" borderId="53" xfId="1" applyFont="1" applyFill="1" applyBorder="1" applyAlignment="1" applyProtection="1">
      <alignment horizontal="center" vertical="center"/>
    </xf>
    <xf numFmtId="9" fontId="13" fillId="3" borderId="54" xfId="1" applyNumberFormat="1" applyFont="1" applyFill="1" applyBorder="1" applyAlignment="1" applyProtection="1">
      <alignment horizontal="center" vertical="center"/>
    </xf>
    <xf numFmtId="164" fontId="11" fillId="3" borderId="41" xfId="2" applyNumberFormat="1" applyFont="1" applyFill="1" applyBorder="1" applyAlignment="1">
      <alignment vertical="center"/>
    </xf>
    <xf numFmtId="164" fontId="11" fillId="5" borderId="34" xfId="1" applyFont="1" applyFill="1" applyBorder="1" applyAlignment="1" applyProtection="1">
      <alignment vertical="center"/>
    </xf>
    <xf numFmtId="0" fontId="11" fillId="4" borderId="61" xfId="2" applyFont="1" applyFill="1" applyBorder="1" applyAlignment="1">
      <alignment horizontal="right" vertical="center"/>
    </xf>
    <xf numFmtId="2" fontId="11" fillId="4" borderId="61" xfId="2" applyNumberFormat="1" applyFont="1" applyFill="1" applyBorder="1" applyAlignment="1">
      <alignment horizontal="center" vertical="center"/>
    </xf>
    <xf numFmtId="2" fontId="10" fillId="4" borderId="61" xfId="2" applyNumberFormat="1" applyFont="1" applyFill="1" applyBorder="1" applyAlignment="1">
      <alignment horizontal="center" vertical="center"/>
    </xf>
    <xf numFmtId="169" fontId="11" fillId="4" borderId="61" xfId="2" applyNumberFormat="1" applyFont="1" applyFill="1" applyBorder="1" applyAlignment="1">
      <alignment horizontal="center" vertical="center"/>
    </xf>
    <xf numFmtId="164" fontId="11" fillId="4" borderId="61" xfId="2" applyNumberFormat="1" applyFont="1" applyFill="1" applyBorder="1" applyAlignment="1">
      <alignment horizontal="center" vertical="center"/>
    </xf>
    <xf numFmtId="164" fontId="13" fillId="3" borderId="0" xfId="3" applyFont="1" applyFill="1" applyBorder="1" applyAlignment="1" applyProtection="1">
      <alignment horizontal="center" vertical="center"/>
    </xf>
    <xf numFmtId="0" fontId="3" fillId="3" borderId="15" xfId="2" applyFont="1" applyFill="1" applyBorder="1" applyAlignment="1">
      <alignment vertical="center"/>
    </xf>
    <xf numFmtId="0" fontId="10" fillId="3" borderId="16" xfId="2" applyFont="1" applyFill="1" applyBorder="1" applyAlignment="1">
      <alignment horizontal="right" vertical="center"/>
    </xf>
    <xf numFmtId="2" fontId="11" fillId="3" borderId="16" xfId="2" applyNumberFormat="1" applyFont="1" applyFill="1" applyBorder="1" applyAlignment="1">
      <alignment horizontal="right" vertical="center"/>
    </xf>
    <xf numFmtId="0" fontId="11" fillId="3" borderId="16" xfId="2" applyFont="1" applyFill="1" applyBorder="1" applyAlignment="1">
      <alignment horizontal="right" vertical="center"/>
    </xf>
    <xf numFmtId="0" fontId="11" fillId="3" borderId="16" xfId="2" applyFont="1" applyFill="1" applyBorder="1" applyAlignment="1">
      <alignment vertical="center"/>
    </xf>
    <xf numFmtId="0" fontId="11" fillId="5" borderId="15" xfId="2" applyFont="1" applyFill="1" applyBorder="1" applyAlignment="1">
      <alignment vertical="center"/>
    </xf>
    <xf numFmtId="164" fontId="11" fillId="5" borderId="17" xfId="1" applyFont="1" applyFill="1" applyBorder="1" applyAlignment="1" applyProtection="1">
      <alignment vertical="center"/>
    </xf>
    <xf numFmtId="0" fontId="3" fillId="3" borderId="8" xfId="2" applyFont="1" applyFill="1" applyBorder="1" applyAlignment="1">
      <alignment horizontal="center" vertical="center"/>
    </xf>
    <xf numFmtId="0" fontId="3" fillId="3" borderId="8" xfId="2" applyFont="1" applyFill="1" applyBorder="1" applyAlignment="1">
      <alignment horizontal="right" vertical="center"/>
    </xf>
    <xf numFmtId="0" fontId="3" fillId="3" borderId="14" xfId="2" applyFont="1" applyFill="1" applyBorder="1" applyAlignment="1">
      <alignment horizontal="right" vertical="center"/>
    </xf>
    <xf numFmtId="164" fontId="13" fillId="3" borderId="6" xfId="3" applyFont="1" applyFill="1" applyBorder="1" applyAlignment="1" applyProtection="1">
      <alignment horizontal="center" vertical="center"/>
    </xf>
    <xf numFmtId="0" fontId="6" fillId="3" borderId="18" xfId="2" applyFont="1" applyFill="1" applyBorder="1" applyAlignment="1">
      <alignment horizontal="right" vertical="center"/>
    </xf>
    <xf numFmtId="2" fontId="11" fillId="3" borderId="4" xfId="2" applyNumberFormat="1" applyFont="1" applyFill="1" applyBorder="1" applyAlignment="1">
      <alignment horizontal="right" vertical="center"/>
    </xf>
    <xf numFmtId="0" fontId="10" fillId="3" borderId="0" xfId="2" applyFont="1" applyFill="1" applyAlignment="1">
      <alignment horizontal="right" vertical="center"/>
    </xf>
    <xf numFmtId="164" fontId="11" fillId="3" borderId="0" xfId="2" applyNumberFormat="1" applyFont="1" applyFill="1" applyAlignment="1">
      <alignment vertical="center"/>
    </xf>
    <xf numFmtId="164" fontId="11" fillId="5" borderId="37" xfId="2" applyNumberFormat="1" applyFont="1" applyFill="1" applyBorder="1" applyAlignment="1">
      <alignment vertical="center"/>
    </xf>
    <xf numFmtId="164" fontId="11" fillId="5" borderId="58" xfId="1" applyFont="1" applyFill="1" applyBorder="1" applyAlignment="1" applyProtection="1">
      <alignment vertical="center"/>
    </xf>
    <xf numFmtId="0" fontId="3" fillId="3" borderId="18" xfId="2" applyFont="1" applyFill="1" applyBorder="1" applyAlignment="1">
      <alignment horizontal="right" vertical="center"/>
    </xf>
    <xf numFmtId="0" fontId="11" fillId="3" borderId="0" xfId="2" applyFont="1" applyFill="1" applyAlignment="1">
      <alignment horizontal="center" vertical="center"/>
    </xf>
    <xf numFmtId="2" fontId="15" fillId="3" borderId="0" xfId="2" applyNumberFormat="1" applyFont="1" applyFill="1" applyAlignment="1">
      <alignment horizontal="right" vertical="center"/>
    </xf>
    <xf numFmtId="164" fontId="11" fillId="5" borderId="18" xfId="2" applyNumberFormat="1" applyFont="1" applyFill="1" applyBorder="1" applyAlignment="1">
      <alignment vertical="center"/>
    </xf>
    <xf numFmtId="0" fontId="15" fillId="3" borderId="0" xfId="2" applyFont="1" applyFill="1" applyAlignment="1">
      <alignment horizontal="right" vertical="center"/>
    </xf>
    <xf numFmtId="0" fontId="11" fillId="3" borderId="0" xfId="2" applyFont="1" applyFill="1" applyAlignment="1">
      <alignment vertical="center"/>
    </xf>
    <xf numFmtId="164" fontId="11" fillId="3" borderId="11" xfId="2" applyNumberFormat="1" applyFont="1" applyFill="1" applyBorder="1" applyAlignment="1">
      <alignment vertical="center"/>
    </xf>
    <xf numFmtId="2" fontId="11" fillId="3" borderId="26" xfId="2" applyNumberFormat="1" applyFont="1" applyFill="1" applyBorder="1" applyAlignment="1">
      <alignment horizontal="right" vertical="center"/>
    </xf>
    <xf numFmtId="0" fontId="3" fillId="3" borderId="22" xfId="2" applyFont="1" applyFill="1" applyBorder="1" applyAlignment="1">
      <alignment horizontal="right" vertical="center"/>
    </xf>
    <xf numFmtId="0" fontId="11" fillId="3" borderId="4" xfId="2" applyFont="1" applyFill="1" applyBorder="1" applyAlignment="1">
      <alignment horizontal="center" vertical="center"/>
    </xf>
    <xf numFmtId="0" fontId="15" fillId="3" borderId="4" xfId="2" applyFont="1" applyFill="1" applyBorder="1" applyAlignment="1">
      <alignment horizontal="right" vertical="center"/>
    </xf>
    <xf numFmtId="164" fontId="11" fillId="3" borderId="13" xfId="2" applyNumberFormat="1" applyFont="1" applyFill="1" applyBorder="1" applyAlignment="1">
      <alignment vertical="center"/>
    </xf>
    <xf numFmtId="0" fontId="12" fillId="3" borderId="4" xfId="2" applyFont="1" applyFill="1" applyBorder="1" applyAlignment="1">
      <alignment horizontal="right" vertical="center"/>
    </xf>
    <xf numFmtId="0" fontId="12" fillId="3" borderId="0" xfId="2" applyFont="1" applyFill="1" applyAlignment="1">
      <alignment horizontal="right" vertical="center"/>
    </xf>
    <xf numFmtId="164" fontId="11" fillId="3" borderId="10" xfId="2" applyNumberFormat="1" applyFont="1" applyFill="1" applyBorder="1" applyAlignment="1">
      <alignment vertical="center"/>
    </xf>
    <xf numFmtId="0" fontId="3" fillId="3" borderId="23" xfId="2" applyFont="1" applyFill="1" applyBorder="1" applyAlignment="1">
      <alignment vertical="center"/>
    </xf>
    <xf numFmtId="0" fontId="11" fillId="3" borderId="24" xfId="2" applyFont="1" applyFill="1" applyBorder="1" applyAlignment="1">
      <alignment vertical="center"/>
    </xf>
    <xf numFmtId="0" fontId="11" fillId="5" borderId="23" xfId="2" applyFont="1" applyFill="1" applyBorder="1" applyAlignment="1">
      <alignment vertical="center"/>
    </xf>
    <xf numFmtId="0" fontId="11" fillId="5" borderId="34" xfId="2" applyFont="1" applyFill="1" applyBorder="1" applyAlignment="1">
      <alignment vertical="center"/>
    </xf>
    <xf numFmtId="2" fontId="3" fillId="3" borderId="0" xfId="2" applyNumberFormat="1" applyFont="1" applyFill="1" applyAlignment="1">
      <alignment horizontal="center" vertical="center"/>
    </xf>
    <xf numFmtId="1" fontId="26" fillId="3" borderId="9" xfId="2" applyNumberFormat="1" applyFont="1" applyFill="1" applyBorder="1" applyAlignment="1">
      <alignment horizontal="center" vertical="center"/>
    </xf>
    <xf numFmtId="0" fontId="3" fillId="3" borderId="9" xfId="2" applyFont="1" applyFill="1" applyBorder="1" applyAlignment="1">
      <alignment horizontal="center" vertical="center"/>
    </xf>
    <xf numFmtId="0" fontId="3" fillId="3" borderId="24" xfId="2" applyFont="1" applyFill="1" applyBorder="1" applyAlignment="1">
      <alignment vertical="center"/>
    </xf>
    <xf numFmtId="0" fontId="3" fillId="3" borderId="23" xfId="2" applyFont="1" applyFill="1" applyBorder="1" applyAlignment="1">
      <alignment horizontal="right" vertical="center"/>
    </xf>
    <xf numFmtId="0" fontId="11" fillId="3" borderId="24" xfId="2" applyFont="1" applyFill="1" applyBorder="1" applyAlignment="1">
      <alignment horizontal="center" vertical="center"/>
    </xf>
    <xf numFmtId="2" fontId="3" fillId="3" borderId="24" xfId="2" applyNumberFormat="1" applyFont="1" applyFill="1" applyBorder="1" applyAlignment="1">
      <alignment horizontal="center" vertical="center"/>
    </xf>
    <xf numFmtId="0" fontId="11" fillId="0" borderId="0" xfId="2" applyFont="1" applyAlignment="1">
      <alignment horizontal="right" vertical="center"/>
    </xf>
    <xf numFmtId="2" fontId="11" fillId="0" borderId="0" xfId="2" applyNumberFormat="1" applyFont="1" applyAlignment="1">
      <alignment horizontal="right" vertical="center"/>
    </xf>
    <xf numFmtId="0" fontId="11" fillId="0" borderId="0" xfId="2" applyFont="1" applyAlignment="1">
      <alignment vertical="center" wrapText="1"/>
    </xf>
    <xf numFmtId="0" fontId="11" fillId="3" borderId="22" xfId="2" applyFont="1" applyFill="1" applyBorder="1" applyAlignment="1">
      <alignment horizontal="center" vertical="center" wrapText="1"/>
    </xf>
    <xf numFmtId="0" fontId="11" fillId="3" borderId="0" xfId="2" applyFont="1" applyFill="1" applyAlignment="1">
      <alignment horizontal="center" vertical="center" wrapText="1"/>
    </xf>
    <xf numFmtId="0" fontId="17" fillId="3" borderId="0" xfId="2" applyFont="1" applyFill="1" applyAlignment="1">
      <alignment horizontal="center" vertical="center" wrapText="1"/>
    </xf>
    <xf numFmtId="0" fontId="11" fillId="3" borderId="19" xfId="2" applyFont="1" applyFill="1" applyBorder="1" applyAlignment="1">
      <alignment horizontal="center" vertical="center" wrapText="1"/>
    </xf>
    <xf numFmtId="0" fontId="11" fillId="0" borderId="0" xfId="2" applyFont="1" applyAlignment="1">
      <alignment horizontal="right" vertical="center" wrapText="1"/>
    </xf>
    <xf numFmtId="2" fontId="11" fillId="0" borderId="0" xfId="2" applyNumberFormat="1" applyFont="1" applyAlignment="1">
      <alignment horizontal="right" vertical="center" wrapText="1"/>
    </xf>
    <xf numFmtId="164" fontId="11" fillId="0" borderId="0" xfId="2" applyNumberFormat="1" applyFont="1" applyAlignment="1">
      <alignment vertical="center" wrapText="1"/>
    </xf>
    <xf numFmtId="164" fontId="11" fillId="0" borderId="0" xfId="1" applyFont="1" applyAlignment="1" applyProtection="1">
      <alignment vertical="center" wrapText="1"/>
    </xf>
    <xf numFmtId="164" fontId="11" fillId="3" borderId="72" xfId="1" applyFont="1" applyFill="1" applyBorder="1" applyAlignment="1" applyProtection="1">
      <alignment horizontal="center" vertical="center"/>
    </xf>
    <xf numFmtId="2" fontId="11" fillId="3" borderId="51" xfId="2" applyNumberFormat="1" applyFont="1" applyFill="1" applyBorder="1" applyAlignment="1">
      <alignment horizontal="center" vertical="center"/>
    </xf>
    <xf numFmtId="164" fontId="11" fillId="3" borderId="52" xfId="2" applyNumberFormat="1" applyFont="1" applyFill="1" applyBorder="1" applyAlignment="1">
      <alignment vertical="center"/>
    </xf>
    <xf numFmtId="164" fontId="11" fillId="3" borderId="52" xfId="1" applyFont="1" applyFill="1" applyBorder="1" applyAlignment="1" applyProtection="1">
      <alignment horizontal="center" vertical="center"/>
    </xf>
    <xf numFmtId="0" fontId="24" fillId="0" borderId="0" xfId="5" applyFont="1" applyAlignment="1">
      <alignment horizontal="right" vertical="center"/>
    </xf>
    <xf numFmtId="0" fontId="10" fillId="0" borderId="0" xfId="2" applyFont="1" applyAlignment="1">
      <alignment horizontal="right" vertical="center"/>
    </xf>
    <xf numFmtId="1" fontId="11" fillId="2" borderId="27" xfId="2" applyNumberFormat="1" applyFont="1" applyFill="1" applyBorder="1" applyAlignment="1" applyProtection="1">
      <alignment horizontal="center" vertical="center"/>
      <protection locked="0"/>
    </xf>
    <xf numFmtId="1" fontId="11" fillId="2" borderId="31" xfId="2" applyNumberFormat="1" applyFont="1" applyFill="1" applyBorder="1" applyAlignment="1" applyProtection="1">
      <alignment horizontal="center" vertical="center"/>
      <protection locked="0"/>
    </xf>
    <xf numFmtId="2" fontId="11" fillId="3" borderId="2" xfId="2" applyNumberFormat="1" applyFont="1" applyFill="1" applyBorder="1" applyAlignment="1">
      <alignment horizontal="center" vertical="center"/>
    </xf>
    <xf numFmtId="0" fontId="59" fillId="0" borderId="1" xfId="0" applyFont="1" applyBorder="1" applyAlignment="1">
      <alignment vertical="center" wrapText="1"/>
    </xf>
    <xf numFmtId="0" fontId="24" fillId="0" borderId="0" xfId="5" applyFont="1" applyAlignment="1">
      <alignment horizontal="center" vertical="center" wrapText="1"/>
    </xf>
    <xf numFmtId="0" fontId="58" fillId="4" borderId="2" xfId="2" applyFont="1" applyFill="1" applyBorder="1" applyAlignment="1">
      <alignment vertical="center"/>
    </xf>
    <xf numFmtId="0" fontId="11" fillId="4" borderId="2" xfId="2" applyFont="1" applyFill="1" applyBorder="1" applyAlignment="1">
      <alignment horizontal="center" vertical="center"/>
    </xf>
    <xf numFmtId="0" fontId="11" fillId="4" borderId="2" xfId="2" applyFont="1" applyFill="1" applyBorder="1" applyAlignment="1">
      <alignment horizontal="center"/>
    </xf>
    <xf numFmtId="0" fontId="10" fillId="4" borderId="2" xfId="2" applyFont="1" applyFill="1" applyBorder="1" applyAlignment="1">
      <alignment vertical="center"/>
    </xf>
    <xf numFmtId="0" fontId="11" fillId="4" borderId="2" xfId="2" applyFont="1" applyFill="1" applyBorder="1" applyAlignment="1">
      <alignment horizontal="right" vertical="center"/>
    </xf>
    <xf numFmtId="164" fontId="11" fillId="4" borderId="2" xfId="2" applyNumberFormat="1" applyFont="1" applyFill="1" applyBorder="1" applyAlignment="1">
      <alignment vertical="center"/>
    </xf>
    <xf numFmtId="0" fontId="11" fillId="3" borderId="0" xfId="2" applyFont="1" applyFill="1" applyAlignment="1">
      <alignment horizontal="center"/>
    </xf>
    <xf numFmtId="0" fontId="10" fillId="3" borderId="0" xfId="2" applyFont="1" applyFill="1" applyAlignment="1">
      <alignment vertical="center"/>
    </xf>
    <xf numFmtId="0" fontId="52" fillId="2" borderId="1" xfId="0" applyFont="1" applyFill="1" applyBorder="1" applyAlignment="1" applyProtection="1">
      <alignment horizontal="center" vertical="center"/>
      <protection locked="0"/>
    </xf>
    <xf numFmtId="0" fontId="52" fillId="2" borderId="1" xfId="0" applyFont="1" applyFill="1" applyBorder="1" applyAlignment="1">
      <alignment horizontal="center" vertical="center"/>
    </xf>
    <xf numFmtId="0" fontId="0" fillId="10" borderId="0" xfId="0" applyFill="1" applyAlignment="1">
      <alignment wrapText="1"/>
    </xf>
    <xf numFmtId="0" fontId="11" fillId="0" borderId="0" xfId="2" applyFont="1" applyAlignment="1">
      <alignment horizontal="left" vertical="center"/>
    </xf>
    <xf numFmtId="0" fontId="13" fillId="3" borderId="12" xfId="3" applyNumberFormat="1" applyFont="1" applyFill="1" applyBorder="1" applyAlignment="1" applyProtection="1">
      <alignment horizontal="center" vertical="center"/>
    </xf>
    <xf numFmtId="0" fontId="11" fillId="3" borderId="67" xfId="2" applyFont="1" applyFill="1" applyBorder="1" applyAlignment="1">
      <alignment vertical="center"/>
    </xf>
    <xf numFmtId="164" fontId="14" fillId="3" borderId="35" xfId="1" applyFont="1" applyFill="1" applyBorder="1" applyAlignment="1" applyProtection="1">
      <alignment horizontal="left" vertical="center"/>
    </xf>
    <xf numFmtId="164" fontId="14" fillId="3" borderId="40" xfId="2" applyNumberFormat="1" applyFont="1" applyFill="1" applyBorder="1" applyAlignment="1">
      <alignment horizontal="left" vertical="center"/>
    </xf>
    <xf numFmtId="171" fontId="13" fillId="2" borderId="27" xfId="1" applyNumberFormat="1" applyFont="1" applyFill="1" applyBorder="1" applyAlignment="1" applyProtection="1">
      <alignment horizontal="center" vertical="center"/>
      <protection locked="0"/>
    </xf>
    <xf numFmtId="0" fontId="0" fillId="0" borderId="1" xfId="0" quotePrefix="1" applyBorder="1" applyAlignment="1">
      <alignment horizontal="left" wrapText="1"/>
    </xf>
    <xf numFmtId="170" fontId="0" fillId="6" borderId="0" xfId="0" applyNumberFormat="1" applyFill="1"/>
    <xf numFmtId="170" fontId="0" fillId="6" borderId="0" xfId="0" applyNumberFormat="1" applyFill="1" applyAlignment="1">
      <alignment horizontal="center"/>
    </xf>
    <xf numFmtId="164" fontId="11" fillId="3" borderId="14" xfId="1" applyFont="1" applyFill="1" applyBorder="1" applyAlignment="1">
      <alignment horizontal="center" vertical="center"/>
    </xf>
    <xf numFmtId="0" fontId="0" fillId="2" borderId="0" xfId="0" applyFill="1" applyAlignment="1">
      <alignment horizontal="left" vertical="center" wrapText="1"/>
    </xf>
    <xf numFmtId="0" fontId="39" fillId="7" borderId="0" xfId="5" applyFont="1" applyFill="1" applyAlignment="1">
      <alignment horizontal="left" wrapText="1"/>
    </xf>
    <xf numFmtId="0" fontId="24" fillId="2"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0" fontId="0" fillId="2" borderId="0" xfId="0" applyFill="1" applyAlignment="1" applyProtection="1">
      <alignment horizontal="left" vertical="center" wrapText="1"/>
      <protection locked="0"/>
    </xf>
    <xf numFmtId="0" fontId="1" fillId="2" borderId="0" xfId="5" applyFill="1" applyAlignment="1">
      <alignment horizontal="left" vertical="center" wrapText="1"/>
    </xf>
    <xf numFmtId="0" fontId="28" fillId="2" borderId="1" xfId="0" applyFont="1" applyFill="1" applyBorder="1" applyAlignment="1" applyProtection="1">
      <alignment horizontal="center" vertical="center" wrapText="1"/>
      <protection locked="0"/>
    </xf>
    <xf numFmtId="0" fontId="0" fillId="2" borderId="35" xfId="0" applyFill="1" applyBorder="1" applyAlignment="1" applyProtection="1">
      <alignment horizontal="center" vertical="center"/>
      <protection locked="0"/>
    </xf>
    <xf numFmtId="0" fontId="0" fillId="2" borderId="0" xfId="0" applyFill="1" applyAlignment="1">
      <alignment horizontal="left" vertical="center"/>
    </xf>
    <xf numFmtId="0" fontId="40" fillId="2" borderId="0" xfId="0" applyFont="1" applyFill="1" applyAlignment="1" applyProtection="1">
      <alignment horizontal="left" vertical="center" wrapText="1"/>
      <protection locked="0"/>
    </xf>
    <xf numFmtId="0" fontId="24" fillId="5" borderId="1" xfId="5" applyFont="1" applyFill="1" applyBorder="1" applyAlignment="1">
      <alignment horizontal="left" vertical="center" wrapText="1"/>
    </xf>
    <xf numFmtId="0" fontId="39" fillId="2" borderId="0" xfId="5" applyFont="1" applyFill="1" applyAlignment="1">
      <alignment horizontal="left"/>
    </xf>
    <xf numFmtId="0" fontId="24" fillId="2" borderId="0" xfId="0" applyFont="1" applyFill="1" applyAlignment="1">
      <alignment horizontal="left" vertical="center"/>
    </xf>
    <xf numFmtId="0" fontId="40" fillId="2" borderId="0" xfId="0" applyFont="1" applyFill="1" applyAlignment="1">
      <alignment horizontal="left" vertical="center"/>
    </xf>
    <xf numFmtId="0" fontId="42" fillId="2" borderId="0" xfId="0" applyFont="1" applyFill="1" applyAlignment="1">
      <alignment horizontal="left" vertical="center"/>
    </xf>
    <xf numFmtId="0" fontId="43" fillId="2" borderId="0" xfId="0" applyFont="1" applyFill="1" applyAlignment="1">
      <alignment horizontal="left" vertical="center"/>
    </xf>
    <xf numFmtId="0" fontId="40" fillId="2" borderId="0" xfId="0" applyFont="1" applyFill="1" applyAlignment="1">
      <alignment horizontal="left" wrapText="1"/>
    </xf>
    <xf numFmtId="0" fontId="0" fillId="2" borderId="0" xfId="0" applyFill="1" applyAlignment="1">
      <alignment vertical="top" wrapText="1"/>
    </xf>
    <xf numFmtId="0" fontId="0" fillId="2" borderId="0" xfId="5" applyFont="1" applyFill="1" applyAlignment="1">
      <alignment horizontal="left" vertical="center" wrapText="1"/>
    </xf>
    <xf numFmtId="0" fontId="46" fillId="4" borderId="0" xfId="0" applyFont="1" applyFill="1" applyAlignment="1">
      <alignment horizontal="center" vertical="center"/>
    </xf>
    <xf numFmtId="0" fontId="53" fillId="4" borderId="1" xfId="5" applyFont="1" applyFill="1" applyBorder="1" applyAlignment="1">
      <alignment horizontal="left" vertical="center"/>
    </xf>
    <xf numFmtId="0" fontId="24" fillId="5" borderId="1" xfId="5" applyFont="1" applyFill="1" applyBorder="1" applyAlignment="1">
      <alignment horizontal="left" vertical="center"/>
    </xf>
    <xf numFmtId="0" fontId="24" fillId="7" borderId="1" xfId="0" applyFont="1" applyFill="1" applyBorder="1" applyAlignment="1">
      <alignment horizontal="center" vertical="center"/>
    </xf>
    <xf numFmtId="0" fontId="39" fillId="2" borderId="0" xfId="5" applyFont="1" applyFill="1" applyAlignment="1">
      <alignment horizontal="center"/>
    </xf>
    <xf numFmtId="0" fontId="1" fillId="2" borderId="0" xfId="5" applyFill="1" applyAlignment="1">
      <alignment horizontal="left" vertical="center"/>
    </xf>
    <xf numFmtId="0" fontId="0" fillId="2" borderId="0" xfId="0" applyFill="1" applyAlignment="1" applyProtection="1">
      <alignment horizontal="left" vertical="center"/>
      <protection locked="0"/>
    </xf>
    <xf numFmtId="0" fontId="0" fillId="2" borderId="0" xfId="5" applyFont="1" applyFill="1" applyAlignment="1">
      <alignment horizontal="left" vertical="center"/>
    </xf>
    <xf numFmtId="0" fontId="40" fillId="2" borderId="0" xfId="0" applyFont="1" applyFill="1" applyAlignment="1">
      <alignment horizontal="left" vertical="center" wrapText="1"/>
    </xf>
    <xf numFmtId="15" fontId="0" fillId="2" borderId="0" xfId="0" applyNumberFormat="1" applyFill="1" applyAlignment="1" applyProtection="1">
      <alignment horizontal="left" vertical="center"/>
      <protection locked="0"/>
    </xf>
    <xf numFmtId="0" fontId="21" fillId="3" borderId="62" xfId="5" applyFont="1" applyFill="1" applyBorder="1" applyAlignment="1">
      <alignment horizontal="center" vertical="center"/>
    </xf>
    <xf numFmtId="0" fontId="21" fillId="3" borderId="56" xfId="5" applyFont="1" applyFill="1" applyBorder="1" applyAlignment="1">
      <alignment horizontal="center" vertical="center"/>
    </xf>
    <xf numFmtId="0" fontId="20" fillId="3" borderId="55" xfId="5" applyFont="1" applyFill="1" applyBorder="1" applyAlignment="1">
      <alignment horizontal="center" vertical="center"/>
    </xf>
    <xf numFmtId="0" fontId="20" fillId="3" borderId="56" xfId="5" applyFont="1" applyFill="1" applyBorder="1" applyAlignment="1">
      <alignment horizontal="center" vertical="center"/>
    </xf>
    <xf numFmtId="0" fontId="20" fillId="3" borderId="57" xfId="5" applyFont="1" applyFill="1" applyBorder="1" applyAlignment="1">
      <alignment horizontal="center" vertical="center"/>
    </xf>
    <xf numFmtId="0" fontId="24" fillId="2" borderId="16" xfId="5" applyFont="1" applyFill="1" applyBorder="1" applyAlignment="1">
      <alignment horizontal="center"/>
    </xf>
    <xf numFmtId="0" fontId="24" fillId="2" borderId="0" xfId="5" applyFont="1" applyFill="1" applyAlignment="1">
      <alignment horizontal="center"/>
    </xf>
    <xf numFmtId="0" fontId="39" fillId="2" borderId="24" xfId="0" applyFont="1" applyFill="1" applyBorder="1" applyAlignment="1">
      <alignment horizontal="center" vertical="center"/>
    </xf>
    <xf numFmtId="0" fontId="39" fillId="2" borderId="0" xfId="5" applyFont="1" applyFill="1"/>
    <xf numFmtId="0" fontId="47" fillId="2" borderId="0" xfId="0" applyFont="1" applyFill="1" applyAlignment="1">
      <alignment horizontal="center" vertical="center"/>
    </xf>
    <xf numFmtId="0" fontId="1" fillId="2" borderId="0" xfId="0" applyFont="1" applyFill="1" applyAlignment="1">
      <alignment horizontal="left" vertical="center" wrapText="1"/>
    </xf>
    <xf numFmtId="0" fontId="1" fillId="2" borderId="0" xfId="0" applyFont="1" applyFill="1" applyAlignment="1">
      <alignment horizontal="center" vertical="center" wrapText="1"/>
    </xf>
    <xf numFmtId="0" fontId="1" fillId="2" borderId="0" xfId="0" applyFont="1" applyFill="1" applyAlignment="1">
      <alignment horizontal="center" vertical="center"/>
    </xf>
    <xf numFmtId="0" fontId="56" fillId="2" borderId="0" xfId="0" applyFont="1" applyFill="1" applyAlignment="1" applyProtection="1">
      <alignment horizontal="center" vertical="center"/>
      <protection locked="0"/>
    </xf>
    <xf numFmtId="0" fontId="40" fillId="5" borderId="1" xfId="5" applyFont="1" applyFill="1" applyBorder="1" applyAlignment="1">
      <alignment horizontal="left" vertical="center"/>
    </xf>
    <xf numFmtId="0" fontId="0" fillId="2" borderId="0" xfId="0" applyFill="1" applyAlignment="1">
      <alignment horizontal="left" vertical="top" wrapText="1"/>
    </xf>
    <xf numFmtId="0" fontId="0" fillId="2" borderId="4" xfId="0" applyFill="1" applyBorder="1" applyAlignment="1" applyProtection="1">
      <alignment horizontal="center" vertical="center"/>
      <protection locked="0"/>
    </xf>
    <xf numFmtId="0" fontId="51" fillId="5" borderId="1" xfId="10" applyFill="1" applyBorder="1" applyAlignment="1">
      <alignment horizontal="left" wrapText="1"/>
    </xf>
    <xf numFmtId="0" fontId="24" fillId="7" borderId="61" xfId="0" applyFont="1" applyFill="1" applyBorder="1" applyAlignment="1">
      <alignment horizontal="center" vertical="center"/>
    </xf>
    <xf numFmtId="0" fontId="52" fillId="2" borderId="0" xfId="0" applyFont="1" applyFill="1" applyAlignment="1">
      <alignment horizontal="left" vertical="center"/>
    </xf>
    <xf numFmtId="0" fontId="0" fillId="7" borderId="0" xfId="0" applyFill="1" applyAlignment="1">
      <alignment horizontal="center" vertical="center" wrapText="1"/>
    </xf>
    <xf numFmtId="2" fontId="1" fillId="2" borderId="0" xfId="5" applyNumberFormat="1" applyFill="1" applyAlignment="1" applyProtection="1">
      <alignment horizontal="center" vertical="center" wrapText="1"/>
      <protection locked="0"/>
    </xf>
    <xf numFmtId="0" fontId="6" fillId="3" borderId="15" xfId="2" applyFont="1" applyFill="1" applyBorder="1" applyAlignment="1">
      <alignment horizontal="left" vertical="center"/>
    </xf>
    <xf numFmtId="0" fontId="6" fillId="3" borderId="16" xfId="2" applyFont="1" applyFill="1" applyBorder="1" applyAlignment="1">
      <alignment horizontal="left" vertical="center"/>
    </xf>
    <xf numFmtId="0" fontId="6" fillId="3" borderId="38" xfId="2" applyFont="1" applyFill="1" applyBorder="1" applyAlignment="1">
      <alignment horizontal="left" vertical="center"/>
    </xf>
    <xf numFmtId="0" fontId="6" fillId="3" borderId="50" xfId="2" applyFont="1" applyFill="1" applyBorder="1" applyAlignment="1">
      <alignment horizontal="left" vertical="center"/>
    </xf>
    <xf numFmtId="0" fontId="6" fillId="3" borderId="39" xfId="2" applyFont="1" applyFill="1" applyBorder="1" applyAlignment="1">
      <alignment horizontal="left" vertical="center"/>
    </xf>
    <xf numFmtId="0" fontId="6" fillId="5" borderId="50" xfId="2" applyFont="1" applyFill="1" applyBorder="1" applyAlignment="1">
      <alignment horizontal="center" vertical="center" wrapText="1"/>
    </xf>
    <xf numFmtId="0" fontId="6" fillId="5" borderId="39" xfId="2" applyFont="1" applyFill="1" applyBorder="1" applyAlignment="1">
      <alignment horizontal="center" vertical="center" wrapText="1"/>
    </xf>
    <xf numFmtId="0" fontId="3" fillId="3" borderId="33" xfId="2" applyFont="1" applyFill="1" applyBorder="1" applyAlignment="1">
      <alignment vertical="center"/>
    </xf>
    <xf numFmtId="0" fontId="3" fillId="3" borderId="1" xfId="2" applyFont="1" applyFill="1" applyBorder="1" applyAlignment="1">
      <alignment vertical="center"/>
    </xf>
    <xf numFmtId="0" fontId="58" fillId="3" borderId="23" xfId="2" applyFont="1" applyFill="1" applyBorder="1" applyAlignment="1">
      <alignment vertical="center"/>
    </xf>
    <xf numFmtId="0" fontId="58" fillId="3" borderId="24" xfId="2" applyFont="1" applyFill="1" applyBorder="1" applyAlignment="1">
      <alignment vertical="center"/>
    </xf>
    <xf numFmtId="0" fontId="11" fillId="3" borderId="51" xfId="2" applyFont="1" applyFill="1" applyBorder="1" applyAlignment="1">
      <alignment horizontal="right" vertical="center"/>
    </xf>
    <xf numFmtId="0" fontId="11" fillId="3" borderId="53" xfId="2" applyFont="1" applyFill="1" applyBorder="1" applyAlignment="1">
      <alignment horizontal="right" vertical="center"/>
    </xf>
    <xf numFmtId="169" fontId="3" fillId="3" borderId="54" xfId="2" applyNumberFormat="1" applyFont="1" applyFill="1" applyBorder="1" applyAlignment="1">
      <alignment horizontal="center" vertical="center"/>
    </xf>
    <xf numFmtId="169" fontId="3" fillId="3" borderId="43" xfId="2" applyNumberFormat="1" applyFont="1" applyFill="1" applyBorder="1" applyAlignment="1">
      <alignment horizontal="center" vertical="center"/>
    </xf>
    <xf numFmtId="0" fontId="3" fillId="3" borderId="25" xfId="2" applyFont="1" applyFill="1" applyBorder="1" applyAlignment="1">
      <alignment horizontal="center" vertical="center"/>
    </xf>
    <xf numFmtId="0" fontId="3" fillId="3" borderId="26" xfId="2" applyFont="1" applyFill="1" applyBorder="1" applyAlignment="1">
      <alignment horizontal="center" vertical="center"/>
    </xf>
    <xf numFmtId="0" fontId="6" fillId="3" borderId="1" xfId="2" applyFont="1" applyFill="1" applyBorder="1" applyAlignment="1">
      <alignment horizontal="center" vertical="center"/>
    </xf>
    <xf numFmtId="0" fontId="3" fillId="3" borderId="33" xfId="2" applyFont="1" applyFill="1" applyBorder="1" applyAlignment="1">
      <alignment vertical="center" wrapText="1"/>
    </xf>
    <xf numFmtId="0" fontId="3" fillId="3" borderId="1" xfId="2" applyFont="1" applyFill="1" applyBorder="1" applyAlignment="1">
      <alignment vertical="center" wrapText="1"/>
    </xf>
    <xf numFmtId="0" fontId="36" fillId="3" borderId="15" xfId="2" applyFont="1" applyFill="1" applyBorder="1" applyAlignment="1">
      <alignment horizontal="center" vertical="center"/>
    </xf>
    <xf numFmtId="0" fontId="36" fillId="3" borderId="16" xfId="2" applyFont="1" applyFill="1" applyBorder="1" applyAlignment="1">
      <alignment horizontal="center" vertical="center"/>
    </xf>
    <xf numFmtId="0" fontId="36" fillId="3" borderId="17" xfId="2" applyFont="1" applyFill="1" applyBorder="1" applyAlignment="1">
      <alignment horizontal="center" vertical="center"/>
    </xf>
    <xf numFmtId="0" fontId="36" fillId="3" borderId="18" xfId="2" applyFont="1" applyFill="1" applyBorder="1" applyAlignment="1">
      <alignment horizontal="center" vertical="center"/>
    </xf>
    <xf numFmtId="0" fontId="36" fillId="3" borderId="0" xfId="2" applyFont="1" applyFill="1" applyAlignment="1">
      <alignment horizontal="center" vertical="center"/>
    </xf>
    <xf numFmtId="0" fontId="36" fillId="3" borderId="19" xfId="2" applyFont="1" applyFill="1" applyBorder="1" applyAlignment="1">
      <alignment horizontal="center" vertical="center"/>
    </xf>
    <xf numFmtId="0" fontId="3" fillId="3" borderId="33" xfId="2" applyFont="1" applyFill="1" applyBorder="1" applyAlignment="1">
      <alignment horizontal="center" vertical="center" wrapText="1"/>
    </xf>
    <xf numFmtId="0" fontId="3" fillId="3" borderId="1" xfId="2" applyFont="1" applyFill="1" applyBorder="1" applyAlignment="1">
      <alignment horizontal="center" vertical="center" wrapText="1"/>
    </xf>
    <xf numFmtId="0" fontId="3" fillId="3" borderId="42" xfId="2" applyFont="1" applyFill="1" applyBorder="1" applyAlignment="1">
      <alignment horizontal="center" vertical="center" wrapText="1"/>
    </xf>
    <xf numFmtId="0" fontId="3" fillId="3" borderId="54" xfId="2" applyFont="1" applyFill="1" applyBorder="1" applyAlignment="1">
      <alignment horizontal="center" vertical="center" wrapText="1"/>
    </xf>
    <xf numFmtId="0" fontId="6" fillId="3" borderId="54" xfId="2" applyFont="1" applyFill="1" applyBorder="1" applyAlignment="1">
      <alignment horizontal="center" vertical="center"/>
    </xf>
    <xf numFmtId="169" fontId="3" fillId="3" borderId="1" xfId="2" applyNumberFormat="1" applyFont="1" applyFill="1" applyBorder="1" applyAlignment="1">
      <alignment horizontal="center" vertical="center"/>
    </xf>
    <xf numFmtId="169" fontId="3" fillId="3" borderId="41" xfId="2" applyNumberFormat="1" applyFont="1" applyFill="1" applyBorder="1" applyAlignment="1">
      <alignment horizontal="center" vertical="center"/>
    </xf>
    <xf numFmtId="2" fontId="11" fillId="3" borderId="4" xfId="2" applyNumberFormat="1" applyFont="1" applyFill="1" applyBorder="1" applyAlignment="1">
      <alignment horizontal="left" vertical="center"/>
    </xf>
    <xf numFmtId="0" fontId="15" fillId="3" borderId="28" xfId="2" applyFont="1" applyFill="1" applyBorder="1" applyAlignment="1">
      <alignment horizontal="center" vertical="center"/>
    </xf>
    <xf numFmtId="0" fontId="15" fillId="3" borderId="35" xfId="2" applyFont="1" applyFill="1" applyBorder="1" applyAlignment="1">
      <alignment horizontal="center" vertical="center"/>
    </xf>
    <xf numFmtId="0" fontId="3" fillId="3" borderId="33" xfId="2" applyFont="1" applyFill="1" applyBorder="1" applyAlignment="1">
      <alignment horizontal="left" vertical="center"/>
    </xf>
    <xf numFmtId="0" fontId="3" fillId="3" borderId="1" xfId="2" applyFont="1" applyFill="1" applyBorder="1" applyAlignment="1">
      <alignment horizontal="left" vertical="center"/>
    </xf>
    <xf numFmtId="164" fontId="11" fillId="5" borderId="51" xfId="2" applyNumberFormat="1" applyFont="1" applyFill="1" applyBorder="1" applyAlignment="1">
      <alignment horizontal="center" vertical="center"/>
    </xf>
    <xf numFmtId="164" fontId="11" fillId="5" borderId="67" xfId="2" applyNumberFormat="1" applyFont="1" applyFill="1" applyBorder="1" applyAlignment="1">
      <alignment horizontal="center" vertical="center"/>
    </xf>
    <xf numFmtId="0" fontId="3" fillId="3" borderId="33" xfId="4" applyFont="1" applyFill="1" applyBorder="1" applyAlignment="1">
      <alignment horizontal="left" vertical="center" wrapText="1"/>
    </xf>
    <xf numFmtId="0" fontId="3" fillId="3" borderId="1" xfId="4" applyFont="1" applyFill="1" applyBorder="1" applyAlignment="1">
      <alignment horizontal="left" vertical="center" wrapText="1"/>
    </xf>
    <xf numFmtId="0" fontId="6" fillId="3" borderId="18" xfId="2" applyFont="1" applyFill="1" applyBorder="1" applyAlignment="1">
      <alignment vertical="center"/>
    </xf>
    <xf numFmtId="0" fontId="6" fillId="3" borderId="0" xfId="2" applyFont="1" applyFill="1" applyAlignment="1">
      <alignment vertical="center"/>
    </xf>
    <xf numFmtId="0" fontId="15" fillId="3" borderId="29" xfId="2" applyFont="1" applyFill="1" applyBorder="1" applyAlignment="1">
      <alignment horizontal="center" vertical="center" wrapText="1"/>
    </xf>
    <xf numFmtId="0" fontId="15" fillId="3" borderId="71" xfId="2" applyFont="1" applyFill="1" applyBorder="1" applyAlignment="1">
      <alignment horizontal="center" vertical="center" wrapText="1"/>
    </xf>
    <xf numFmtId="0" fontId="3" fillId="3" borderId="21" xfId="2" applyFont="1" applyFill="1" applyBorder="1" applyAlignment="1">
      <alignment horizontal="left" vertical="center"/>
    </xf>
    <xf numFmtId="0" fontId="3" fillId="3" borderId="8" xfId="2" applyFont="1" applyFill="1" applyBorder="1" applyAlignment="1">
      <alignment horizontal="left" vertical="center"/>
    </xf>
    <xf numFmtId="0" fontId="3" fillId="3" borderId="14" xfId="2" applyFont="1" applyFill="1" applyBorder="1" applyAlignment="1">
      <alignment horizontal="left" vertical="center"/>
    </xf>
    <xf numFmtId="0" fontId="3" fillId="3" borderId="20" xfId="2" applyFont="1" applyFill="1" applyBorder="1" applyAlignment="1">
      <alignment vertical="center"/>
    </xf>
    <xf numFmtId="0" fontId="3" fillId="3" borderId="35" xfId="2" applyFont="1" applyFill="1" applyBorder="1" applyAlignment="1">
      <alignment vertical="center"/>
    </xf>
    <xf numFmtId="0" fontId="3" fillId="3" borderId="3" xfId="2" applyFont="1" applyFill="1" applyBorder="1" applyAlignment="1">
      <alignment vertical="center"/>
    </xf>
    <xf numFmtId="0" fontId="3" fillId="0" borderId="16" xfId="2" applyFont="1" applyBorder="1" applyAlignment="1">
      <alignment horizontal="center" vertical="center"/>
    </xf>
    <xf numFmtId="0" fontId="15" fillId="3" borderId="59" xfId="2" applyFont="1" applyFill="1" applyBorder="1" applyAlignment="1">
      <alignment horizontal="center" vertical="center"/>
    </xf>
    <xf numFmtId="0" fontId="15" fillId="3" borderId="66" xfId="2" applyFont="1" applyFill="1" applyBorder="1" applyAlignment="1">
      <alignment horizontal="center" vertical="center"/>
    </xf>
    <xf numFmtId="0" fontId="15" fillId="3" borderId="60" xfId="2" applyFont="1" applyFill="1" applyBorder="1" applyAlignment="1">
      <alignment horizontal="center" vertical="center"/>
    </xf>
    <xf numFmtId="0" fontId="3" fillId="3" borderId="18" xfId="2" applyFont="1" applyFill="1" applyBorder="1" applyAlignment="1">
      <alignment vertical="center"/>
    </xf>
    <xf numFmtId="0" fontId="3" fillId="3" borderId="0" xfId="2" applyFont="1" applyFill="1" applyAlignment="1">
      <alignment vertical="center"/>
    </xf>
    <xf numFmtId="0" fontId="8" fillId="3" borderId="42" xfId="2" applyFont="1" applyFill="1" applyBorder="1" applyAlignment="1">
      <alignment horizontal="left" vertical="center"/>
    </xf>
    <xf numFmtId="0" fontId="8" fillId="3" borderId="54" xfId="2" applyFont="1" applyFill="1" applyBorder="1" applyAlignment="1">
      <alignment horizontal="left" vertical="center"/>
    </xf>
    <xf numFmtId="0" fontId="8" fillId="3" borderId="68" xfId="2" applyFont="1" applyFill="1" applyBorder="1" applyAlignment="1">
      <alignment horizontal="left" vertical="center"/>
    </xf>
    <xf numFmtId="2" fontId="11" fillId="3" borderId="76" xfId="2" applyNumberFormat="1" applyFont="1" applyFill="1" applyBorder="1" applyAlignment="1">
      <alignment horizontal="center" vertical="center"/>
    </xf>
    <xf numFmtId="2" fontId="11" fillId="3" borderId="8" xfId="2" applyNumberFormat="1" applyFont="1" applyFill="1" applyBorder="1" applyAlignment="1">
      <alignment horizontal="center" vertical="center"/>
    </xf>
    <xf numFmtId="2" fontId="11" fillId="3" borderId="14" xfId="2" applyNumberFormat="1" applyFont="1" applyFill="1" applyBorder="1" applyAlignment="1">
      <alignment horizontal="center" vertical="center"/>
    </xf>
    <xf numFmtId="0" fontId="3" fillId="3" borderId="46" xfId="2" applyFont="1" applyFill="1" applyBorder="1" applyAlignment="1">
      <alignment vertical="center"/>
    </xf>
    <xf numFmtId="0" fontId="3" fillId="3" borderId="47" xfId="2" applyFont="1" applyFill="1" applyBorder="1" applyAlignment="1">
      <alignment vertical="center"/>
    </xf>
    <xf numFmtId="2" fontId="11" fillId="2" borderId="62" xfId="2" applyNumberFormat="1" applyFont="1" applyFill="1" applyBorder="1" applyAlignment="1" applyProtection="1">
      <alignment horizontal="left" vertical="center"/>
      <protection locked="0"/>
    </xf>
    <xf numFmtId="2" fontId="11" fillId="2" borderId="56" xfId="2" applyNumberFormat="1" applyFont="1" applyFill="1" applyBorder="1" applyAlignment="1" applyProtection="1">
      <alignment horizontal="left" vertical="center"/>
      <protection locked="0"/>
    </xf>
    <xf numFmtId="2" fontId="11" fillId="2" borderId="57" xfId="2" applyNumberFormat="1" applyFont="1" applyFill="1" applyBorder="1" applyAlignment="1" applyProtection="1">
      <alignment horizontal="left" vertical="center"/>
      <protection locked="0"/>
    </xf>
    <xf numFmtId="0" fontId="24" fillId="3" borderId="1" xfId="5" applyFont="1" applyFill="1" applyBorder="1" applyAlignment="1">
      <alignment horizontal="left"/>
    </xf>
    <xf numFmtId="0" fontId="24" fillId="3" borderId="41" xfId="5" applyFont="1" applyFill="1" applyBorder="1" applyAlignment="1">
      <alignment horizontal="left"/>
    </xf>
    <xf numFmtId="0" fontId="24" fillId="3" borderId="51" xfId="5" applyFont="1" applyFill="1" applyBorder="1" applyAlignment="1">
      <alignment horizontal="left"/>
    </xf>
    <xf numFmtId="0" fontId="24" fillId="3" borderId="52" xfId="5" applyFont="1" applyFill="1" applyBorder="1" applyAlignment="1">
      <alignment horizontal="left"/>
    </xf>
    <xf numFmtId="0" fontId="24" fillId="3" borderId="53" xfId="5" applyFont="1" applyFill="1" applyBorder="1" applyAlignment="1">
      <alignment horizontal="left"/>
    </xf>
    <xf numFmtId="0" fontId="24" fillId="3" borderId="54" xfId="5" applyFont="1" applyFill="1" applyBorder="1" applyAlignment="1">
      <alignment horizontal="left"/>
    </xf>
    <xf numFmtId="0" fontId="24" fillId="3" borderId="43" xfId="5" applyFont="1" applyFill="1" applyBorder="1" applyAlignment="1">
      <alignment horizontal="left"/>
    </xf>
    <xf numFmtId="0" fontId="21" fillId="3" borderId="38" xfId="5" applyFont="1" applyFill="1" applyBorder="1" applyAlignment="1">
      <alignment horizontal="left"/>
    </xf>
    <xf numFmtId="0" fontId="21" fillId="3" borderId="50" xfId="5" applyFont="1" applyFill="1" applyBorder="1" applyAlignment="1">
      <alignment horizontal="left"/>
    </xf>
    <xf numFmtId="0" fontId="21" fillId="3" borderId="39" xfId="5" applyFont="1" applyFill="1" applyBorder="1" applyAlignment="1">
      <alignment horizontal="left"/>
    </xf>
    <xf numFmtId="2" fontId="11" fillId="3" borderId="66" xfId="2" applyNumberFormat="1" applyFont="1" applyFill="1" applyBorder="1" applyAlignment="1">
      <alignment horizontal="center" vertical="center" wrapText="1"/>
    </xf>
    <xf numFmtId="2" fontId="11" fillId="3" borderId="2" xfId="2" applyNumberFormat="1" applyFont="1" applyFill="1" applyBorder="1" applyAlignment="1">
      <alignment horizontal="center" vertical="center" wrapText="1"/>
    </xf>
    <xf numFmtId="0" fontId="11" fillId="3" borderId="66" xfId="2" applyFont="1" applyFill="1" applyBorder="1" applyAlignment="1">
      <alignment horizontal="center" vertical="center"/>
    </xf>
    <xf numFmtId="0" fontId="11" fillId="3" borderId="2" xfId="2" applyFont="1" applyFill="1" applyBorder="1" applyAlignment="1">
      <alignment horizontal="center" vertical="center"/>
    </xf>
    <xf numFmtId="0" fontId="15" fillId="6" borderId="78" xfId="2" applyFont="1" applyFill="1" applyBorder="1" applyAlignment="1">
      <alignment horizontal="left" vertical="top" wrapText="1"/>
    </xf>
    <xf numFmtId="0" fontId="15" fillId="6" borderId="0" xfId="2" applyFont="1" applyFill="1" applyAlignment="1">
      <alignment horizontal="left" vertical="top" wrapText="1"/>
    </xf>
    <xf numFmtId="0" fontId="15" fillId="6" borderId="19" xfId="2" applyFont="1" applyFill="1" applyBorder="1" applyAlignment="1">
      <alignment horizontal="left" vertical="top" wrapText="1"/>
    </xf>
    <xf numFmtId="0" fontId="3" fillId="3" borderId="20" xfId="2" applyFont="1" applyFill="1" applyBorder="1" applyAlignment="1">
      <alignment horizontal="left" vertical="center" wrapText="1"/>
    </xf>
    <xf numFmtId="0" fontId="3" fillId="3" borderId="3" xfId="2" applyFont="1" applyFill="1" applyBorder="1" applyAlignment="1">
      <alignment horizontal="left" vertical="center" wrapText="1"/>
    </xf>
    <xf numFmtId="0" fontId="3" fillId="3" borderId="28" xfId="2" applyFont="1" applyFill="1" applyBorder="1" applyAlignment="1">
      <alignment vertical="center"/>
    </xf>
    <xf numFmtId="0" fontId="32" fillId="3" borderId="38" xfId="2" applyFont="1" applyFill="1" applyBorder="1" applyAlignment="1">
      <alignment horizontal="left" vertical="center"/>
    </xf>
    <xf numFmtId="0" fontId="32" fillId="3" borderId="50" xfId="2" applyFont="1" applyFill="1" applyBorder="1" applyAlignment="1">
      <alignment horizontal="left" vertical="center"/>
    </xf>
    <xf numFmtId="0" fontId="32" fillId="3" borderId="39" xfId="2" applyFont="1" applyFill="1" applyBorder="1" applyAlignment="1">
      <alignment horizontal="left" vertical="center"/>
    </xf>
    <xf numFmtId="0" fontId="24" fillId="3" borderId="28" xfId="5" applyFont="1" applyFill="1" applyBorder="1" applyAlignment="1">
      <alignment horizontal="left"/>
    </xf>
    <xf numFmtId="0" fontId="24" fillId="3" borderId="35" xfId="5" applyFont="1" applyFill="1" applyBorder="1" applyAlignment="1">
      <alignment horizontal="left"/>
    </xf>
    <xf numFmtId="0" fontId="24" fillId="3" borderId="40" xfId="5" applyFont="1" applyFill="1" applyBorder="1" applyAlignment="1">
      <alignment horizontal="left"/>
    </xf>
    <xf numFmtId="0" fontId="24" fillId="3" borderId="20" xfId="5" applyFont="1" applyFill="1" applyBorder="1" applyAlignment="1">
      <alignment horizontal="left"/>
    </xf>
    <xf numFmtId="0" fontId="24" fillId="3" borderId="3" xfId="5" applyFont="1" applyFill="1" applyBorder="1" applyAlignment="1">
      <alignment horizontal="left"/>
    </xf>
    <xf numFmtId="0" fontId="11" fillId="3" borderId="66" xfId="2" applyFont="1" applyFill="1" applyBorder="1" applyAlignment="1">
      <alignment horizontal="center" vertical="center" wrapText="1"/>
    </xf>
    <xf numFmtId="0" fontId="21" fillId="3" borderId="46" xfId="5" applyFont="1" applyFill="1" applyBorder="1" applyAlignment="1">
      <alignment horizontal="center" vertical="center"/>
    </xf>
    <xf numFmtId="0" fontId="21" fillId="3" borderId="47" xfId="5" applyFont="1" applyFill="1" applyBorder="1" applyAlignment="1">
      <alignment horizontal="center" vertical="center"/>
    </xf>
    <xf numFmtId="0" fontId="8" fillId="3" borderId="33" xfId="2" applyFont="1" applyFill="1" applyBorder="1" applyAlignment="1">
      <alignment horizontal="left" vertical="center" wrapText="1"/>
    </xf>
    <xf numFmtId="0" fontId="8" fillId="3" borderId="1" xfId="2" applyFont="1" applyFill="1" applyBorder="1" applyAlignment="1">
      <alignment horizontal="left" vertical="center" wrapText="1"/>
    </xf>
    <xf numFmtId="0" fontId="8" fillId="3" borderId="28" xfId="2" applyFont="1" applyFill="1" applyBorder="1" applyAlignment="1">
      <alignment horizontal="left" vertical="center" wrapText="1"/>
    </xf>
    <xf numFmtId="0" fontId="3" fillId="3" borderId="28" xfId="2" applyFont="1" applyFill="1" applyBorder="1" applyAlignment="1">
      <alignment horizontal="left" vertical="center"/>
    </xf>
    <xf numFmtId="0" fontId="3" fillId="3" borderId="80" xfId="2" applyFont="1" applyFill="1" applyBorder="1" applyAlignment="1">
      <alignment vertical="center"/>
    </xf>
    <xf numFmtId="0" fontId="3" fillId="3" borderId="64" xfId="2" applyFont="1" applyFill="1" applyBorder="1" applyAlignment="1">
      <alignment vertical="center"/>
    </xf>
    <xf numFmtId="0" fontId="3" fillId="3" borderId="78" xfId="2" applyFont="1" applyFill="1" applyBorder="1" applyAlignment="1">
      <alignment vertical="center"/>
    </xf>
    <xf numFmtId="0" fontId="3" fillId="3" borderId="28" xfId="4" applyFont="1" applyFill="1" applyBorder="1" applyAlignment="1">
      <alignment horizontal="left" vertical="center" wrapText="1"/>
    </xf>
    <xf numFmtId="0" fontId="8" fillId="3" borderId="33" xfId="2" applyFont="1" applyFill="1" applyBorder="1" applyAlignment="1">
      <alignment horizontal="left" vertical="center"/>
    </xf>
    <xf numFmtId="0" fontId="8" fillId="3" borderId="1" xfId="2" applyFont="1" applyFill="1" applyBorder="1" applyAlignment="1">
      <alignment horizontal="left" vertical="center"/>
    </xf>
    <xf numFmtId="0" fontId="8" fillId="3" borderId="28" xfId="2" applyFont="1" applyFill="1" applyBorder="1" applyAlignment="1">
      <alignment horizontal="left" vertical="center"/>
    </xf>
    <xf numFmtId="164" fontId="13" fillId="3" borderId="60" xfId="3" applyFont="1" applyFill="1" applyBorder="1" applyAlignment="1" applyProtection="1">
      <alignment horizontal="center" vertical="center"/>
    </xf>
    <xf numFmtId="164" fontId="13" fillId="3" borderId="45" xfId="3" applyFont="1" applyFill="1" applyBorder="1" applyAlignment="1" applyProtection="1">
      <alignment horizontal="center" vertical="center"/>
    </xf>
    <xf numFmtId="0" fontId="6" fillId="3" borderId="18" xfId="2" applyFont="1" applyFill="1" applyBorder="1" applyAlignment="1">
      <alignment horizontal="left" vertical="center"/>
    </xf>
    <xf numFmtId="0" fontId="11" fillId="3" borderId="2" xfId="2" applyFont="1" applyFill="1" applyBorder="1" applyAlignment="1">
      <alignment horizontal="center" vertical="center" wrapText="1"/>
    </xf>
    <xf numFmtId="0" fontId="4" fillId="3" borderId="20" xfId="2" applyFont="1" applyFill="1" applyBorder="1" applyAlignment="1">
      <alignment horizontal="left" vertical="top"/>
    </xf>
    <xf numFmtId="0" fontId="4" fillId="3" borderId="3" xfId="2" applyFont="1" applyFill="1" applyBorder="1" applyAlignment="1">
      <alignment horizontal="left" vertical="top"/>
    </xf>
    <xf numFmtId="0" fontId="4" fillId="3" borderId="20" xfId="2" applyFont="1" applyFill="1" applyBorder="1" applyAlignment="1">
      <alignment horizontal="left" vertical="center"/>
    </xf>
    <xf numFmtId="0" fontId="4" fillId="3" borderId="3" xfId="2" applyFont="1" applyFill="1" applyBorder="1" applyAlignment="1">
      <alignment horizontal="left" vertical="center"/>
    </xf>
    <xf numFmtId="0" fontId="6" fillId="5" borderId="50" xfId="2" applyFont="1" applyFill="1" applyBorder="1" applyAlignment="1">
      <alignment horizontal="center" vertical="center"/>
    </xf>
    <xf numFmtId="0" fontId="6" fillId="5" borderId="39" xfId="2" applyFont="1" applyFill="1" applyBorder="1" applyAlignment="1">
      <alignment horizontal="center" vertical="center"/>
    </xf>
    <xf numFmtId="0" fontId="31" fillId="7" borderId="15" xfId="2" applyFont="1" applyFill="1" applyBorder="1" applyAlignment="1">
      <alignment horizontal="center" vertical="center"/>
    </xf>
    <xf numFmtId="0" fontId="31" fillId="7" borderId="16" xfId="2" applyFont="1" applyFill="1" applyBorder="1" applyAlignment="1">
      <alignment horizontal="center" vertical="center"/>
    </xf>
    <xf numFmtId="0" fontId="31" fillId="7" borderId="17" xfId="2" applyFont="1" applyFill="1" applyBorder="1" applyAlignment="1">
      <alignment horizontal="center" vertical="center"/>
    </xf>
    <xf numFmtId="0" fontId="32" fillId="3" borderId="16" xfId="2" applyFont="1" applyFill="1" applyBorder="1" applyAlignment="1">
      <alignment horizontal="left" vertical="center"/>
    </xf>
    <xf numFmtId="0" fontId="6" fillId="3" borderId="0" xfId="2" applyFont="1" applyFill="1" applyAlignment="1">
      <alignment horizontal="left" vertical="center"/>
    </xf>
    <xf numFmtId="0" fontId="6" fillId="3" borderId="19" xfId="2" applyFont="1" applyFill="1" applyBorder="1" applyAlignment="1">
      <alignment horizontal="left" vertical="center"/>
    </xf>
    <xf numFmtId="0" fontId="6" fillId="3" borderId="22" xfId="2" applyFont="1" applyFill="1" applyBorder="1" applyAlignment="1">
      <alignment horizontal="left" vertical="center"/>
    </xf>
    <xf numFmtId="0" fontId="6" fillId="3" borderId="4" xfId="2" applyFont="1" applyFill="1" applyBorder="1" applyAlignment="1">
      <alignment horizontal="left" vertical="center"/>
    </xf>
    <xf numFmtId="0" fontId="6" fillId="3" borderId="69" xfId="2" applyFont="1" applyFill="1" applyBorder="1" applyAlignment="1">
      <alignment horizontal="left" vertical="center"/>
    </xf>
    <xf numFmtId="0" fontId="6" fillId="5" borderId="22" xfId="2" applyFont="1" applyFill="1" applyBorder="1" applyAlignment="1">
      <alignment horizontal="center" vertical="center"/>
    </xf>
    <xf numFmtId="0" fontId="6" fillId="5" borderId="69" xfId="2" applyFont="1" applyFill="1" applyBorder="1" applyAlignment="1">
      <alignment horizontal="center" vertical="center"/>
    </xf>
    <xf numFmtId="0" fontId="6" fillId="5" borderId="38" xfId="2" applyFont="1" applyFill="1" applyBorder="1" applyAlignment="1">
      <alignment horizontal="center" vertical="center"/>
    </xf>
    <xf numFmtId="0" fontId="3" fillId="3" borderId="63" xfId="2" applyFont="1" applyFill="1" applyBorder="1" applyAlignment="1">
      <alignment vertical="center"/>
    </xf>
    <xf numFmtId="0" fontId="3" fillId="3" borderId="61" xfId="2" applyFont="1" applyFill="1" applyBorder="1" applyAlignment="1">
      <alignment vertical="center"/>
    </xf>
    <xf numFmtId="0" fontId="3" fillId="3" borderId="49" xfId="2" applyFont="1" applyFill="1" applyBorder="1" applyAlignment="1">
      <alignment vertical="center"/>
    </xf>
    <xf numFmtId="164" fontId="11" fillId="5" borderId="65" xfId="1" applyFont="1" applyFill="1" applyBorder="1" applyAlignment="1" applyProtection="1">
      <alignment horizontal="center" vertical="center" wrapText="1"/>
    </xf>
    <xf numFmtId="164" fontId="11" fillId="5" borderId="36" xfId="1" applyFont="1" applyFill="1" applyBorder="1" applyAlignment="1" applyProtection="1">
      <alignment horizontal="center" vertical="center" wrapText="1"/>
    </xf>
    <xf numFmtId="164" fontId="11" fillId="5" borderId="15" xfId="1" applyFont="1" applyFill="1" applyBorder="1" applyAlignment="1" applyProtection="1">
      <alignment horizontal="center" vertical="center" wrapText="1"/>
    </xf>
    <xf numFmtId="164" fontId="11" fillId="5" borderId="18" xfId="1" applyFont="1" applyFill="1" applyBorder="1" applyAlignment="1" applyProtection="1">
      <alignment horizontal="center" vertical="center" wrapText="1"/>
    </xf>
    <xf numFmtId="0" fontId="11" fillId="3" borderId="60" xfId="2" applyFont="1" applyFill="1" applyBorder="1" applyAlignment="1">
      <alignment horizontal="center" vertical="center"/>
    </xf>
    <xf numFmtId="0" fontId="11" fillId="3" borderId="45" xfId="2" applyFont="1" applyFill="1" applyBorder="1" applyAlignment="1">
      <alignment horizontal="center" vertical="center"/>
    </xf>
    <xf numFmtId="0" fontId="6" fillId="5" borderId="4" xfId="2" applyFont="1" applyFill="1" applyBorder="1" applyAlignment="1">
      <alignment horizontal="center" vertical="center" wrapText="1"/>
    </xf>
    <xf numFmtId="0" fontId="6" fillId="5" borderId="69" xfId="2" applyFont="1" applyFill="1" applyBorder="1" applyAlignment="1">
      <alignment horizontal="center" vertical="center" wrapText="1"/>
    </xf>
    <xf numFmtId="0" fontId="15" fillId="3" borderId="20" xfId="2" applyFont="1" applyFill="1" applyBorder="1" applyAlignment="1">
      <alignment horizontal="center" vertical="center"/>
    </xf>
    <xf numFmtId="0" fontId="15" fillId="3" borderId="3" xfId="2" applyFont="1" applyFill="1" applyBorder="1" applyAlignment="1">
      <alignment horizontal="center" vertical="center"/>
    </xf>
    <xf numFmtId="0" fontId="58" fillId="3" borderId="20" xfId="2" applyFont="1" applyFill="1" applyBorder="1" applyAlignment="1">
      <alignment horizontal="left" vertical="center"/>
    </xf>
    <xf numFmtId="0" fontId="58" fillId="3" borderId="35" xfId="2" applyFont="1" applyFill="1" applyBorder="1" applyAlignment="1">
      <alignment horizontal="left" vertical="center"/>
    </xf>
    <xf numFmtId="0" fontId="3" fillId="3" borderId="20" xfId="2" applyFont="1" applyFill="1" applyBorder="1" applyAlignment="1">
      <alignment vertical="center" wrapText="1"/>
    </xf>
    <xf numFmtId="0" fontId="3" fillId="3" borderId="35" xfId="2" applyFont="1" applyFill="1" applyBorder="1" applyAlignment="1">
      <alignment vertical="center" wrapText="1"/>
    </xf>
    <xf numFmtId="0" fontId="3" fillId="3" borderId="3" xfId="2" applyFont="1" applyFill="1" applyBorder="1" applyAlignment="1">
      <alignment vertical="center" wrapText="1"/>
    </xf>
    <xf numFmtId="0" fontId="64" fillId="0" borderId="62" xfId="10" applyFont="1" applyBorder="1" applyAlignment="1">
      <alignment horizontal="center" vertical="center"/>
    </xf>
    <xf numFmtId="0" fontId="64" fillId="0" borderId="56" xfId="10" applyFont="1" applyBorder="1" applyAlignment="1">
      <alignment horizontal="center" vertical="center"/>
    </xf>
    <xf numFmtId="0" fontId="64" fillId="0" borderId="57" xfId="10" applyFont="1" applyBorder="1" applyAlignment="1">
      <alignment horizontal="center" vertical="center"/>
    </xf>
    <xf numFmtId="0" fontId="3" fillId="3" borderId="75" xfId="2" applyFont="1" applyFill="1" applyBorder="1" applyAlignment="1">
      <alignment horizontal="left" vertical="center" wrapText="1"/>
    </xf>
    <xf numFmtId="0" fontId="3" fillId="3" borderId="7" xfId="2" applyFont="1" applyFill="1" applyBorder="1" applyAlignment="1">
      <alignment horizontal="left" vertical="center" wrapText="1"/>
    </xf>
    <xf numFmtId="0" fontId="3" fillId="3" borderId="33" xfId="2" applyFont="1" applyFill="1" applyBorder="1" applyAlignment="1">
      <alignment horizontal="left" vertical="center" wrapText="1"/>
    </xf>
    <xf numFmtId="0" fontId="3" fillId="3" borderId="1" xfId="2" applyFont="1" applyFill="1" applyBorder="1" applyAlignment="1">
      <alignment horizontal="left" vertical="center" wrapText="1"/>
    </xf>
    <xf numFmtId="0" fontId="3" fillId="3" borderId="61" xfId="2" applyFont="1" applyFill="1" applyBorder="1" applyAlignment="1">
      <alignment horizontal="left" vertical="center" wrapText="1"/>
    </xf>
    <xf numFmtId="0" fontId="4" fillId="3" borderId="15" xfId="2" applyFont="1" applyFill="1" applyBorder="1" applyAlignment="1">
      <alignment horizontal="left" vertical="center"/>
    </xf>
    <xf numFmtId="0" fontId="4" fillId="3" borderId="16" xfId="2" applyFont="1" applyFill="1" applyBorder="1" applyAlignment="1">
      <alignment horizontal="left" vertical="center"/>
    </xf>
    <xf numFmtId="0" fontId="0" fillId="3" borderId="24" xfId="0" applyFill="1" applyBorder="1" applyAlignment="1">
      <alignment horizontal="center"/>
    </xf>
    <xf numFmtId="0" fontId="33" fillId="2" borderId="46" xfId="0" applyFont="1" applyFill="1" applyBorder="1" applyAlignment="1">
      <alignment horizontal="center" vertical="center"/>
    </xf>
    <xf numFmtId="0" fontId="33" fillId="2" borderId="47" xfId="0" applyFont="1" applyFill="1" applyBorder="1" applyAlignment="1">
      <alignment horizontal="center" vertical="center"/>
    </xf>
    <xf numFmtId="0" fontId="33" fillId="2" borderId="55" xfId="0" applyFont="1" applyFill="1" applyBorder="1" applyAlignment="1">
      <alignment horizontal="center" vertical="center"/>
    </xf>
    <xf numFmtId="0" fontId="33" fillId="2" borderId="73" xfId="0" applyFont="1" applyFill="1" applyBorder="1" applyAlignment="1">
      <alignment horizontal="center" vertical="center"/>
    </xf>
    <xf numFmtId="0" fontId="18" fillId="2" borderId="30" xfId="0" applyFont="1" applyFill="1" applyBorder="1" applyAlignment="1">
      <alignment horizontal="center" vertical="center" textRotation="90" wrapText="1"/>
    </xf>
    <xf numFmtId="0" fontId="18" fillId="2" borderId="32" xfId="0" applyFont="1" applyFill="1" applyBorder="1" applyAlignment="1">
      <alignment horizontal="center" vertical="center" textRotation="90" wrapText="1"/>
    </xf>
    <xf numFmtId="0" fontId="18" fillId="2" borderId="31" xfId="0" applyFont="1" applyFill="1" applyBorder="1" applyAlignment="1">
      <alignment horizontal="center" vertical="center" textRotation="90" wrapText="1"/>
    </xf>
    <xf numFmtId="0" fontId="0" fillId="2" borderId="33" xfId="0" applyFill="1" applyBorder="1" applyAlignment="1">
      <alignment horizontal="right"/>
    </xf>
    <xf numFmtId="0" fontId="0" fillId="2" borderId="1" xfId="0" applyFill="1" applyBorder="1" applyAlignment="1">
      <alignment horizontal="right"/>
    </xf>
    <xf numFmtId="0" fontId="0" fillId="2" borderId="33" xfId="0" applyFill="1" applyBorder="1" applyAlignment="1">
      <alignment horizontal="center" vertical="center"/>
    </xf>
    <xf numFmtId="0" fontId="0" fillId="2" borderId="42" xfId="0" applyFill="1" applyBorder="1" applyAlignment="1">
      <alignment horizontal="center" vertical="center"/>
    </xf>
    <xf numFmtId="0" fontId="0" fillId="0" borderId="1" xfId="0" applyBorder="1" applyAlignment="1">
      <alignment horizontal="left" vertical="center" wrapText="1"/>
    </xf>
    <xf numFmtId="0" fontId="0" fillId="0" borderId="28" xfId="0" applyBorder="1" applyAlignment="1">
      <alignment horizontal="center"/>
    </xf>
    <xf numFmtId="0" fontId="0" fillId="0" borderId="3" xfId="0" applyBorder="1" applyAlignment="1">
      <alignment horizontal="center"/>
    </xf>
    <xf numFmtId="0" fontId="0" fillId="0" borderId="0" xfId="0" applyAlignment="1">
      <alignment horizontal="left" vertical="center" wrapText="1"/>
    </xf>
    <xf numFmtId="0" fontId="0" fillId="0" borderId="1" xfId="0" applyBorder="1" applyAlignment="1">
      <alignment horizontal="center" vertical="center"/>
    </xf>
    <xf numFmtId="0" fontId="0" fillId="0" borderId="28" xfId="0" applyBorder="1" applyAlignment="1">
      <alignment horizontal="center" vertical="center"/>
    </xf>
    <xf numFmtId="0" fontId="0" fillId="0" borderId="35" xfId="0" applyBorder="1" applyAlignment="1">
      <alignment horizontal="center" vertical="center"/>
    </xf>
    <xf numFmtId="0" fontId="0" fillId="0" borderId="3" xfId="0" applyBorder="1" applyAlignment="1">
      <alignment horizontal="center" vertical="center"/>
    </xf>
    <xf numFmtId="0" fontId="0" fillId="0" borderId="1" xfId="0" applyBorder="1" applyAlignment="1">
      <alignment horizontal="left" vertical="center"/>
    </xf>
    <xf numFmtId="0" fontId="51" fillId="0" borderId="0" xfId="10" applyAlignment="1">
      <alignment horizontal="left"/>
    </xf>
    <xf numFmtId="0" fontId="0" fillId="0" borderId="1" xfId="0" applyBorder="1" applyAlignment="1">
      <alignment horizontal="left"/>
    </xf>
    <xf numFmtId="0" fontId="18" fillId="0" borderId="1" xfId="0" applyFont="1" applyBorder="1" applyAlignment="1">
      <alignment horizontal="left"/>
    </xf>
    <xf numFmtId="0" fontId="18" fillId="0" borderId="28" xfId="0" applyFont="1" applyBorder="1" applyAlignment="1">
      <alignment horizontal="center"/>
    </xf>
    <xf numFmtId="0" fontId="18" fillId="0" borderId="3" xfId="0" applyFont="1" applyBorder="1" applyAlignment="1">
      <alignment horizontal="center"/>
    </xf>
    <xf numFmtId="0" fontId="61" fillId="0" borderId="0" xfId="0" applyFont="1" applyAlignment="1">
      <alignment horizontal="center" vertical="center"/>
    </xf>
    <xf numFmtId="0" fontId="24" fillId="2" borderId="0" xfId="0" applyFont="1" applyFill="1" applyAlignment="1">
      <alignment horizontal="center"/>
    </xf>
    <xf numFmtId="0" fontId="51" fillId="2" borderId="0" xfId="10" applyFill="1" applyAlignment="1">
      <alignment horizontal="left"/>
    </xf>
    <xf numFmtId="0" fontId="24" fillId="2" borderId="0" xfId="0" applyFont="1" applyFill="1" applyAlignment="1">
      <alignment horizontal="left"/>
    </xf>
    <xf numFmtId="0" fontId="39" fillId="2" borderId="0" xfId="0" applyFont="1" applyFill="1" applyAlignment="1">
      <alignment horizontal="left"/>
    </xf>
    <xf numFmtId="0" fontId="24" fillId="2" borderId="0" xfId="0" applyFont="1" applyFill="1" applyAlignment="1">
      <alignment horizontal="left" vertical="center" wrapText="1"/>
    </xf>
    <xf numFmtId="0" fontId="39" fillId="2" borderId="0" xfId="0" applyFont="1" applyFill="1" applyAlignment="1">
      <alignment horizontal="center" vertical="center"/>
    </xf>
    <xf numFmtId="0" fontId="24" fillId="2" borderId="0" xfId="0" applyFont="1" applyFill="1" applyAlignment="1">
      <alignment horizontal="left" vertical="top" wrapText="1"/>
    </xf>
    <xf numFmtId="0" fontId="40" fillId="2" borderId="0" xfId="0" applyFont="1" applyFill="1" applyAlignment="1">
      <alignment horizontal="left"/>
    </xf>
    <xf numFmtId="0" fontId="21" fillId="8" borderId="59" xfId="5" applyFont="1" applyFill="1" applyBorder="1" applyAlignment="1">
      <alignment horizontal="left"/>
    </xf>
    <xf numFmtId="0" fontId="21" fillId="8" borderId="66" xfId="5" applyFont="1" applyFill="1" applyBorder="1" applyAlignment="1">
      <alignment horizontal="left"/>
    </xf>
    <xf numFmtId="0" fontId="21" fillId="8" borderId="60" xfId="5" applyFont="1" applyFill="1" applyBorder="1" applyAlignment="1">
      <alignment horizontal="left"/>
    </xf>
    <xf numFmtId="0" fontId="24" fillId="2" borderId="33" xfId="5" applyFont="1" applyFill="1" applyBorder="1" applyAlignment="1">
      <alignment horizontal="left"/>
    </xf>
    <xf numFmtId="0" fontId="24" fillId="2" borderId="1" xfId="5" applyFont="1" applyFill="1" applyBorder="1" applyAlignment="1">
      <alignment horizontal="left"/>
    </xf>
    <xf numFmtId="0" fontId="24" fillId="2" borderId="42" xfId="5" applyFont="1" applyFill="1" applyBorder="1" applyAlignment="1">
      <alignment horizontal="left"/>
    </xf>
    <xf numFmtId="0" fontId="24" fillId="2" borderId="54" xfId="5" applyFont="1" applyFill="1" applyBorder="1" applyAlignment="1">
      <alignment horizontal="left"/>
    </xf>
    <xf numFmtId="0" fontId="24" fillId="2" borderId="41" xfId="5" applyFont="1" applyFill="1" applyBorder="1" applyAlignment="1">
      <alignment horizontal="left"/>
    </xf>
    <xf numFmtId="0" fontId="24" fillId="2" borderId="43" xfId="5" applyFont="1" applyFill="1" applyBorder="1" applyAlignment="1">
      <alignment horizontal="left"/>
    </xf>
    <xf numFmtId="0" fontId="39" fillId="3" borderId="38" xfId="5" applyFont="1" applyFill="1" applyBorder="1" applyAlignment="1">
      <alignment horizontal="left"/>
    </xf>
    <xf numFmtId="0" fontId="39" fillId="3" borderId="50" xfId="5" applyFont="1" applyFill="1" applyBorder="1" applyAlignment="1">
      <alignment horizontal="left"/>
    </xf>
    <xf numFmtId="0" fontId="39" fillId="3" borderId="39" xfId="5" applyFont="1" applyFill="1" applyBorder="1" applyAlignment="1">
      <alignment horizontal="left"/>
    </xf>
    <xf numFmtId="0" fontId="0" fillId="0" borderId="68" xfId="0" applyBorder="1" applyAlignment="1">
      <alignment horizontal="center" vertical="center"/>
    </xf>
    <xf numFmtId="0" fontId="0" fillId="0" borderId="52" xfId="0" applyBorder="1" applyAlignment="1">
      <alignment horizontal="center" vertical="center"/>
    </xf>
    <xf numFmtId="0" fontId="0" fillId="0" borderId="67" xfId="0" applyBorder="1" applyAlignment="1">
      <alignment horizontal="center" vertical="center"/>
    </xf>
    <xf numFmtId="0" fontId="24" fillId="0" borderId="1" xfId="5" applyFont="1" applyBorder="1" applyAlignment="1">
      <alignment horizontal="center" vertical="center"/>
    </xf>
    <xf numFmtId="169" fontId="24" fillId="0" borderId="2" xfId="5" applyNumberFormat="1" applyFont="1" applyBorder="1" applyAlignment="1">
      <alignment horizontal="center" vertical="center"/>
    </xf>
    <xf numFmtId="169" fontId="24" fillId="0" borderId="64" xfId="5" applyNumberFormat="1" applyFont="1" applyBorder="1" applyAlignment="1">
      <alignment horizontal="center" vertical="center"/>
    </xf>
    <xf numFmtId="169" fontId="24" fillId="0" borderId="61" xfId="5" applyNumberFormat="1" applyFont="1" applyBorder="1" applyAlignment="1">
      <alignment horizontal="center" vertical="center"/>
    </xf>
    <xf numFmtId="0" fontId="62" fillId="2" borderId="2" xfId="0" applyFont="1" applyFill="1" applyBorder="1" applyAlignment="1">
      <alignment horizontal="left" vertical="center" wrapText="1"/>
    </xf>
    <xf numFmtId="0" fontId="62" fillId="2" borderId="64" xfId="0" applyFont="1" applyFill="1" applyBorder="1" applyAlignment="1">
      <alignment horizontal="left" vertical="center" wrapText="1"/>
    </xf>
    <xf numFmtId="0" fontId="62" fillId="2" borderId="61" xfId="0" applyFont="1" applyFill="1" applyBorder="1" applyAlignment="1">
      <alignment horizontal="left" vertical="center" wrapText="1"/>
    </xf>
    <xf numFmtId="0" fontId="63" fillId="6" borderId="1" xfId="5" applyFont="1" applyFill="1" applyBorder="1" applyAlignment="1">
      <alignment horizontal="center" vertical="center"/>
    </xf>
    <xf numFmtId="0" fontId="0" fillId="0" borderId="40" xfId="0" applyBorder="1" applyAlignment="1">
      <alignment horizontal="center" vertical="center"/>
    </xf>
    <xf numFmtId="0" fontId="18" fillId="10" borderId="59" xfId="0" applyFont="1" applyFill="1" applyBorder="1"/>
    <xf numFmtId="0" fontId="18" fillId="10" borderId="60" xfId="0" applyFont="1" applyFill="1" applyBorder="1"/>
    <xf numFmtId="0" fontId="18" fillId="2" borderId="38" xfId="0" applyFont="1" applyFill="1" applyBorder="1"/>
    <xf numFmtId="0" fontId="18" fillId="2" borderId="39" xfId="0" applyFont="1" applyFill="1" applyBorder="1"/>
    <xf numFmtId="0" fontId="19" fillId="10" borderId="20" xfId="0" applyFont="1" applyFill="1" applyBorder="1" applyAlignment="1">
      <alignment horizontal="left"/>
    </xf>
    <xf numFmtId="0" fontId="19" fillId="10" borderId="40" xfId="0" applyFont="1" applyFill="1" applyBorder="1" applyAlignment="1">
      <alignment horizontal="left"/>
    </xf>
  </cellXfs>
  <cellStyles count="12">
    <cellStyle name="Currency" xfId="1" builtinId="4"/>
    <cellStyle name="Currency 2" xfId="6" xr:uid="{2800CA73-A752-4263-8D78-0F714433584E}"/>
    <cellStyle name="Currency 2 2" xfId="8" xr:uid="{9B4C19C7-EDBC-4695-A55E-7C5F25836D44}"/>
    <cellStyle name="Currency 3" xfId="3" xr:uid="{E738330B-3C4B-4D82-BF97-1D7ABF652E88}"/>
    <cellStyle name="Currency 4" xfId="11" xr:uid="{C672EACA-6EB0-4547-9718-4E0DD8228F50}"/>
    <cellStyle name="Hyperlink" xfId="10" builtinId="8"/>
    <cellStyle name="Normal" xfId="0" builtinId="0"/>
    <cellStyle name="Normal 2" xfId="5" xr:uid="{9E243402-6172-4704-B3E0-F7004D7B61E8}"/>
    <cellStyle name="Normal 3" xfId="4" xr:uid="{82BA8019-1716-471F-AE80-55969D00D4AB}"/>
    <cellStyle name="Normal 5" xfId="9" xr:uid="{5C8E3641-7180-4F94-86EC-4D4A265B2AC6}"/>
    <cellStyle name="Normal 7" xfId="2" xr:uid="{762588F1-C23B-4202-BE97-B189D55CDF85}"/>
    <cellStyle name="Per cent" xfId="7" builtinId="5"/>
  </cellStyles>
  <dxfs count="581">
    <dxf>
      <font>
        <b/>
        <i val="0"/>
        <color theme="0"/>
      </font>
      <fill>
        <patternFill>
          <bgColor rgb="FFFF0000"/>
        </patternFill>
      </fill>
    </dxf>
    <dxf>
      <font>
        <b/>
        <i val="0"/>
        <color auto="1"/>
      </font>
      <fill>
        <patternFill>
          <bgColor rgb="FF92D050"/>
        </patternFill>
      </fill>
    </dxf>
    <dxf>
      <font>
        <b/>
        <i val="0"/>
        <color theme="0"/>
      </font>
      <fill>
        <patternFill>
          <bgColor rgb="FFFF0000"/>
        </patternFill>
      </fill>
    </dxf>
    <dxf>
      <font>
        <b/>
        <i val="0"/>
        <color auto="1"/>
      </font>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ont>
        <b/>
        <i val="0"/>
        <color theme="0"/>
      </font>
      <fill>
        <patternFill>
          <bgColor rgb="FFFF0000"/>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tint="-0.14996795556505021"/>
      </font>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0"/>
      </font>
      <fill>
        <patternFill>
          <bgColor rgb="FFFF0000"/>
        </patternFill>
      </fill>
    </dxf>
    <dxf>
      <font>
        <b/>
        <i val="0"/>
      </font>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7.emf"/></Relationships>
</file>

<file path=xl/drawings/_rels/drawing3.x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27</xdr:col>
      <xdr:colOff>139700</xdr:colOff>
      <xdr:row>0</xdr:row>
      <xdr:rowOff>76200</xdr:rowOff>
    </xdr:from>
    <xdr:to>
      <xdr:col>27</xdr:col>
      <xdr:colOff>1511300</xdr:colOff>
      <xdr:row>0</xdr:row>
      <xdr:rowOff>368300</xdr:rowOff>
    </xdr:to>
    <xdr:sp macro="" textlink="">
      <xdr:nvSpPr>
        <xdr:cNvPr id="5124" name="CommandButton1" hidden="1">
          <a:extLst>
            <a:ext uri="{63B3BB69-23CF-44E3-9099-C40C66FF867C}">
              <a14:compatExt xmlns:a14="http://schemas.microsoft.com/office/drawing/2010/main"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27</xdr:col>
      <xdr:colOff>1778000</xdr:colOff>
      <xdr:row>0</xdr:row>
      <xdr:rowOff>76200</xdr:rowOff>
    </xdr:from>
    <xdr:to>
      <xdr:col>27</xdr:col>
      <xdr:colOff>2959100</xdr:colOff>
      <xdr:row>0</xdr:row>
      <xdr:rowOff>381000</xdr:rowOff>
    </xdr:to>
    <xdr:sp macro="" textlink="">
      <xdr:nvSpPr>
        <xdr:cNvPr id="5125" name="SpellCheck_Sheet" hidden="1">
          <a:extLst>
            <a:ext uri="{63B3BB69-23CF-44E3-9099-C40C66FF867C}">
              <a14:compatExt xmlns:a14="http://schemas.microsoft.com/office/drawing/2010/main"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27</xdr:col>
      <xdr:colOff>139700</xdr:colOff>
      <xdr:row>0</xdr:row>
      <xdr:rowOff>76200</xdr:rowOff>
    </xdr:from>
    <xdr:to>
      <xdr:col>27</xdr:col>
      <xdr:colOff>1511300</xdr:colOff>
      <xdr:row>0</xdr:row>
      <xdr:rowOff>368300</xdr:rowOff>
    </xdr:to>
    <xdr:pic>
      <xdr:nvPicPr>
        <xdr:cNvPr id="2" name="CommandButton1">
          <a:extLst>
            <a:ext uri="{FF2B5EF4-FFF2-40B4-BE49-F238E27FC236}">
              <a16:creationId xmlns:a16="http://schemas.microsoft.com/office/drawing/2014/main" id="{F5C0F61A-8FC5-345B-D5FC-316C4D73BB7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18600" y="76200"/>
          <a:ext cx="1371600" cy="292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27</xdr:col>
      <xdr:colOff>1778000</xdr:colOff>
      <xdr:row>0</xdr:row>
      <xdr:rowOff>76200</xdr:rowOff>
    </xdr:from>
    <xdr:to>
      <xdr:col>27</xdr:col>
      <xdr:colOff>2959100</xdr:colOff>
      <xdr:row>0</xdr:row>
      <xdr:rowOff>381000</xdr:rowOff>
    </xdr:to>
    <xdr:pic>
      <xdr:nvPicPr>
        <xdr:cNvPr id="3" name="SpellCheck_Sheet">
          <a:extLst>
            <a:ext uri="{FF2B5EF4-FFF2-40B4-BE49-F238E27FC236}">
              <a16:creationId xmlns:a16="http://schemas.microsoft.com/office/drawing/2014/main" id="{3026290C-9D8A-06C3-9FBF-02DB61C4C244}"/>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756900" y="76200"/>
          <a:ext cx="1181100" cy="304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22</xdr:col>
      <xdr:colOff>101600</xdr:colOff>
      <xdr:row>0</xdr:row>
      <xdr:rowOff>50800</xdr:rowOff>
    </xdr:from>
    <xdr:to>
      <xdr:col>22</xdr:col>
      <xdr:colOff>1739900</xdr:colOff>
      <xdr:row>0</xdr:row>
      <xdr:rowOff>419100</xdr:rowOff>
    </xdr:to>
    <xdr:sp macro="" textlink="">
      <xdr:nvSpPr>
        <xdr:cNvPr id="3073" name="CommandButton1" hidden="1">
          <a:extLst>
            <a:ext uri="{63B3BB69-23CF-44E3-9099-C40C66FF867C}">
              <a14:compatExt xmlns:a14="http://schemas.microsoft.com/office/drawing/2010/main"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9</xdr:col>
      <xdr:colOff>457200</xdr:colOff>
      <xdr:row>19</xdr:row>
      <xdr:rowOff>12700</xdr:rowOff>
    </xdr:from>
    <xdr:to>
      <xdr:col>10</xdr:col>
      <xdr:colOff>787400</xdr:colOff>
      <xdr:row>20</xdr:row>
      <xdr:rowOff>0</xdr:rowOff>
    </xdr:to>
    <xdr:sp macro="" textlink="">
      <xdr:nvSpPr>
        <xdr:cNvPr id="3083" name="Preparation_Section_Zero" hidden="1">
          <a:extLst>
            <a:ext uri="{63B3BB69-23CF-44E3-9099-C40C66FF867C}">
              <a14:compatExt xmlns:a14="http://schemas.microsoft.com/office/drawing/2010/main" spid="_x0000_s3083"/>
            </a:ext>
            <a:ext uri="{FF2B5EF4-FFF2-40B4-BE49-F238E27FC236}">
              <a16:creationId xmlns:a16="http://schemas.microsoft.com/office/drawing/2014/main" id="{00000000-0008-0000-0100-00000B0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9</xdr:col>
      <xdr:colOff>457200</xdr:colOff>
      <xdr:row>27</xdr:row>
      <xdr:rowOff>12700</xdr:rowOff>
    </xdr:from>
    <xdr:to>
      <xdr:col>10</xdr:col>
      <xdr:colOff>787400</xdr:colOff>
      <xdr:row>27</xdr:row>
      <xdr:rowOff>304800</xdr:rowOff>
    </xdr:to>
    <xdr:sp macro="" textlink="">
      <xdr:nvSpPr>
        <xdr:cNvPr id="3084" name="Stripout_Section_Zero" hidden="1">
          <a:extLst>
            <a:ext uri="{63B3BB69-23CF-44E3-9099-C40C66FF867C}">
              <a14:compatExt xmlns:a14="http://schemas.microsoft.com/office/drawing/2010/main" spid="_x0000_s3084"/>
            </a:ext>
            <a:ext uri="{FF2B5EF4-FFF2-40B4-BE49-F238E27FC236}">
              <a16:creationId xmlns:a16="http://schemas.microsoft.com/office/drawing/2014/main" id="{00000000-0008-0000-0100-00000C0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9</xdr:col>
      <xdr:colOff>457200</xdr:colOff>
      <xdr:row>37</xdr:row>
      <xdr:rowOff>12700</xdr:rowOff>
    </xdr:from>
    <xdr:to>
      <xdr:col>10</xdr:col>
      <xdr:colOff>787400</xdr:colOff>
      <xdr:row>37</xdr:row>
      <xdr:rowOff>304800</xdr:rowOff>
    </xdr:to>
    <xdr:sp macro="" textlink="">
      <xdr:nvSpPr>
        <xdr:cNvPr id="3085" name="Walls_Section_Zero" hidden="1">
          <a:extLst>
            <a:ext uri="{63B3BB69-23CF-44E3-9099-C40C66FF867C}">
              <a14:compatExt xmlns:a14="http://schemas.microsoft.com/office/drawing/2010/main" spid="_x0000_s3085"/>
            </a:ext>
            <a:ext uri="{FF2B5EF4-FFF2-40B4-BE49-F238E27FC236}">
              <a16:creationId xmlns:a16="http://schemas.microsoft.com/office/drawing/2014/main" id="{00000000-0008-0000-0100-00000D0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9</xdr:col>
      <xdr:colOff>469900</xdr:colOff>
      <xdr:row>59</xdr:row>
      <xdr:rowOff>12700</xdr:rowOff>
    </xdr:from>
    <xdr:to>
      <xdr:col>10</xdr:col>
      <xdr:colOff>800100</xdr:colOff>
      <xdr:row>59</xdr:row>
      <xdr:rowOff>304800</xdr:rowOff>
    </xdr:to>
    <xdr:sp macro="" textlink="">
      <xdr:nvSpPr>
        <xdr:cNvPr id="3086" name="Tanking_Section_Zero" hidden="1">
          <a:extLst>
            <a:ext uri="{63B3BB69-23CF-44E3-9099-C40C66FF867C}">
              <a14:compatExt xmlns:a14="http://schemas.microsoft.com/office/drawing/2010/main" spid="_x0000_s3086"/>
            </a:ext>
            <a:ext uri="{FF2B5EF4-FFF2-40B4-BE49-F238E27FC236}">
              <a16:creationId xmlns:a16="http://schemas.microsoft.com/office/drawing/2014/main" id="{00000000-0008-0000-0100-00000E0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9</xdr:col>
      <xdr:colOff>469900</xdr:colOff>
      <xdr:row>67</xdr:row>
      <xdr:rowOff>12700</xdr:rowOff>
    </xdr:from>
    <xdr:to>
      <xdr:col>10</xdr:col>
      <xdr:colOff>800100</xdr:colOff>
      <xdr:row>67</xdr:row>
      <xdr:rowOff>304800</xdr:rowOff>
    </xdr:to>
    <xdr:sp macro="" textlink="">
      <xdr:nvSpPr>
        <xdr:cNvPr id="3087" name="Floor_Resin_Section_Zero" hidden="1">
          <a:extLst>
            <a:ext uri="{63B3BB69-23CF-44E3-9099-C40C66FF867C}">
              <a14:compatExt xmlns:a14="http://schemas.microsoft.com/office/drawing/2010/main" spid="_x0000_s3087"/>
            </a:ext>
            <a:ext uri="{FF2B5EF4-FFF2-40B4-BE49-F238E27FC236}">
              <a16:creationId xmlns:a16="http://schemas.microsoft.com/office/drawing/2014/main" id="{00000000-0008-0000-0100-00000F0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9</xdr:col>
      <xdr:colOff>457200</xdr:colOff>
      <xdr:row>75</xdr:row>
      <xdr:rowOff>12700</xdr:rowOff>
    </xdr:from>
    <xdr:to>
      <xdr:col>10</xdr:col>
      <xdr:colOff>787400</xdr:colOff>
      <xdr:row>75</xdr:row>
      <xdr:rowOff>304800</xdr:rowOff>
    </xdr:to>
    <xdr:sp macro="" textlink="">
      <xdr:nvSpPr>
        <xdr:cNvPr id="3088" name="Plastering_Section_Zero" hidden="1">
          <a:extLst>
            <a:ext uri="{63B3BB69-23CF-44E3-9099-C40C66FF867C}">
              <a14:compatExt xmlns:a14="http://schemas.microsoft.com/office/drawing/2010/main" spid="_x0000_s3088"/>
            </a:ext>
            <a:ext uri="{FF2B5EF4-FFF2-40B4-BE49-F238E27FC236}">
              <a16:creationId xmlns:a16="http://schemas.microsoft.com/office/drawing/2014/main" id="{00000000-0008-0000-0100-0000100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9</xdr:col>
      <xdr:colOff>469900</xdr:colOff>
      <xdr:row>86</xdr:row>
      <xdr:rowOff>12700</xdr:rowOff>
    </xdr:from>
    <xdr:to>
      <xdr:col>10</xdr:col>
      <xdr:colOff>800100</xdr:colOff>
      <xdr:row>86</xdr:row>
      <xdr:rowOff>304800</xdr:rowOff>
    </xdr:to>
    <xdr:sp macro="" textlink="">
      <xdr:nvSpPr>
        <xdr:cNvPr id="3089" name="Floor_Joists_Section_Zero" hidden="1">
          <a:extLst>
            <a:ext uri="{63B3BB69-23CF-44E3-9099-C40C66FF867C}">
              <a14:compatExt xmlns:a14="http://schemas.microsoft.com/office/drawing/2010/main" spid="_x0000_s3089"/>
            </a:ext>
            <a:ext uri="{FF2B5EF4-FFF2-40B4-BE49-F238E27FC236}">
              <a16:creationId xmlns:a16="http://schemas.microsoft.com/office/drawing/2014/main" id="{00000000-0008-0000-0100-0000110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9</xdr:col>
      <xdr:colOff>469900</xdr:colOff>
      <xdr:row>99</xdr:row>
      <xdr:rowOff>12700</xdr:rowOff>
    </xdr:from>
    <xdr:to>
      <xdr:col>10</xdr:col>
      <xdr:colOff>800100</xdr:colOff>
      <xdr:row>99</xdr:row>
      <xdr:rowOff>304800</xdr:rowOff>
    </xdr:to>
    <xdr:sp macro="" textlink="">
      <xdr:nvSpPr>
        <xdr:cNvPr id="3090" name="Floor_Deck_Section_Zero" hidden="1">
          <a:extLst>
            <a:ext uri="{63B3BB69-23CF-44E3-9099-C40C66FF867C}">
              <a14:compatExt xmlns:a14="http://schemas.microsoft.com/office/drawing/2010/main" spid="_x0000_s3090"/>
            </a:ext>
            <a:ext uri="{FF2B5EF4-FFF2-40B4-BE49-F238E27FC236}">
              <a16:creationId xmlns:a16="http://schemas.microsoft.com/office/drawing/2014/main" id="{00000000-0008-0000-0100-0000120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9</xdr:col>
      <xdr:colOff>444500</xdr:colOff>
      <xdr:row>110</xdr:row>
      <xdr:rowOff>12700</xdr:rowOff>
    </xdr:from>
    <xdr:to>
      <xdr:col>10</xdr:col>
      <xdr:colOff>787400</xdr:colOff>
      <xdr:row>110</xdr:row>
      <xdr:rowOff>304800</xdr:rowOff>
    </xdr:to>
    <xdr:sp macro="" textlink="">
      <xdr:nvSpPr>
        <xdr:cNvPr id="3091" name="Airbricks_Section_Zero" hidden="1">
          <a:extLst>
            <a:ext uri="{63B3BB69-23CF-44E3-9099-C40C66FF867C}">
              <a14:compatExt xmlns:a14="http://schemas.microsoft.com/office/drawing/2010/main" spid="_x0000_s3091"/>
            </a:ext>
            <a:ext uri="{FF2B5EF4-FFF2-40B4-BE49-F238E27FC236}">
              <a16:creationId xmlns:a16="http://schemas.microsoft.com/office/drawing/2014/main" id="{00000000-0008-0000-0100-0000130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9</xdr:col>
      <xdr:colOff>444500</xdr:colOff>
      <xdr:row>116</xdr:row>
      <xdr:rowOff>12700</xdr:rowOff>
    </xdr:from>
    <xdr:to>
      <xdr:col>10</xdr:col>
      <xdr:colOff>787400</xdr:colOff>
      <xdr:row>116</xdr:row>
      <xdr:rowOff>304800</xdr:rowOff>
    </xdr:to>
    <xdr:sp macro="" textlink="">
      <xdr:nvSpPr>
        <xdr:cNvPr id="3092" name="Spray_Treatments_Section_Zero" hidden="1">
          <a:extLst>
            <a:ext uri="{63B3BB69-23CF-44E3-9099-C40C66FF867C}">
              <a14:compatExt xmlns:a14="http://schemas.microsoft.com/office/drawing/2010/main" spid="_x0000_s3092"/>
            </a:ext>
            <a:ext uri="{FF2B5EF4-FFF2-40B4-BE49-F238E27FC236}">
              <a16:creationId xmlns:a16="http://schemas.microsoft.com/office/drawing/2014/main" id="{00000000-0008-0000-0100-0000140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9</xdr:col>
      <xdr:colOff>457200</xdr:colOff>
      <xdr:row>121</xdr:row>
      <xdr:rowOff>25400</xdr:rowOff>
    </xdr:from>
    <xdr:to>
      <xdr:col>10</xdr:col>
      <xdr:colOff>787400</xdr:colOff>
      <xdr:row>122</xdr:row>
      <xdr:rowOff>0</xdr:rowOff>
    </xdr:to>
    <xdr:sp macro="" textlink="">
      <xdr:nvSpPr>
        <xdr:cNvPr id="3093" name="Drains_Section_Zero" hidden="1">
          <a:extLst>
            <a:ext uri="{63B3BB69-23CF-44E3-9099-C40C66FF867C}">
              <a14:compatExt xmlns:a14="http://schemas.microsoft.com/office/drawing/2010/main" spid="_x0000_s3093"/>
            </a:ext>
            <a:ext uri="{FF2B5EF4-FFF2-40B4-BE49-F238E27FC236}">
              <a16:creationId xmlns:a16="http://schemas.microsoft.com/office/drawing/2014/main" id="{00000000-0008-0000-0100-0000150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9</xdr:col>
      <xdr:colOff>457200</xdr:colOff>
      <xdr:row>134</xdr:row>
      <xdr:rowOff>12700</xdr:rowOff>
    </xdr:from>
    <xdr:to>
      <xdr:col>10</xdr:col>
      <xdr:colOff>787400</xdr:colOff>
      <xdr:row>134</xdr:row>
      <xdr:rowOff>304800</xdr:rowOff>
    </xdr:to>
    <xdr:sp macro="" textlink="">
      <xdr:nvSpPr>
        <xdr:cNvPr id="3095" name="Skip_Hire_Section_Zero" hidden="1">
          <a:extLst>
            <a:ext uri="{63B3BB69-23CF-44E3-9099-C40C66FF867C}">
              <a14:compatExt xmlns:a14="http://schemas.microsoft.com/office/drawing/2010/main" spid="_x0000_s3095"/>
            </a:ext>
            <a:ext uri="{FF2B5EF4-FFF2-40B4-BE49-F238E27FC236}">
              <a16:creationId xmlns:a16="http://schemas.microsoft.com/office/drawing/2014/main" id="{00000000-0008-0000-0100-0000170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9</xdr:col>
      <xdr:colOff>457200</xdr:colOff>
      <xdr:row>126</xdr:row>
      <xdr:rowOff>25400</xdr:rowOff>
    </xdr:from>
    <xdr:to>
      <xdr:col>10</xdr:col>
      <xdr:colOff>787400</xdr:colOff>
      <xdr:row>126</xdr:row>
      <xdr:rowOff>304800</xdr:rowOff>
    </xdr:to>
    <xdr:sp macro="" textlink="">
      <xdr:nvSpPr>
        <xdr:cNvPr id="3135" name="Aquaban_Section_Zero" hidden="1">
          <a:extLst>
            <a:ext uri="{63B3BB69-23CF-44E3-9099-C40C66FF867C}">
              <a14:compatExt xmlns:a14="http://schemas.microsoft.com/office/drawing/2010/main" spid="_x0000_s3135"/>
            </a:ext>
            <a:ext uri="{FF2B5EF4-FFF2-40B4-BE49-F238E27FC236}">
              <a16:creationId xmlns:a16="http://schemas.microsoft.com/office/drawing/2014/main" id="{00000000-0008-0000-0100-00003F0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9</xdr:col>
      <xdr:colOff>467590</xdr:colOff>
      <xdr:row>40</xdr:row>
      <xdr:rowOff>294410</xdr:rowOff>
    </xdr:from>
    <xdr:to>
      <xdr:col>9</xdr:col>
      <xdr:colOff>467591</xdr:colOff>
      <xdr:row>41</xdr:row>
      <xdr:rowOff>129888</xdr:rowOff>
    </xdr:to>
    <xdr:cxnSp macro="">
      <xdr:nvCxnSpPr>
        <xdr:cNvPr id="3" name="Straight Arrow Connector 2">
          <a:extLst>
            <a:ext uri="{FF2B5EF4-FFF2-40B4-BE49-F238E27FC236}">
              <a16:creationId xmlns:a16="http://schemas.microsoft.com/office/drawing/2014/main" id="{6EDC3A70-A6CC-84B6-B84F-A8E80D0ED73C}"/>
            </a:ext>
          </a:extLst>
        </xdr:cNvPr>
        <xdr:cNvCxnSpPr/>
      </xdr:nvCxnSpPr>
      <xdr:spPr>
        <a:xfrm flipH="1">
          <a:off x="5792931" y="8667751"/>
          <a:ext cx="1" cy="424296"/>
        </a:xfrm>
        <a:prstGeom prst="straightConnector1">
          <a:avLst/>
        </a:prstGeom>
        <a:ln w="28575">
          <a:solidFill>
            <a:schemeClr val="tx1"/>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469900</xdr:colOff>
      <xdr:row>130</xdr:row>
      <xdr:rowOff>12700</xdr:rowOff>
    </xdr:from>
    <xdr:to>
      <xdr:col>11</xdr:col>
      <xdr:colOff>0</xdr:colOff>
      <xdr:row>130</xdr:row>
      <xdr:rowOff>292100</xdr:rowOff>
    </xdr:to>
    <xdr:sp macro="" textlink="">
      <xdr:nvSpPr>
        <xdr:cNvPr id="3221" name="Asbestos_Section_Zero" hidden="1">
          <a:extLst>
            <a:ext uri="{63B3BB69-23CF-44E3-9099-C40C66FF867C}">
              <a14:compatExt xmlns:a14="http://schemas.microsoft.com/office/drawing/2010/main" spid="_x0000_s3221"/>
            </a:ext>
            <a:ext uri="{FF2B5EF4-FFF2-40B4-BE49-F238E27FC236}">
              <a16:creationId xmlns:a16="http://schemas.microsoft.com/office/drawing/2014/main" id="{00000000-0008-0000-0100-0000950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22</xdr:col>
      <xdr:colOff>101600</xdr:colOff>
      <xdr:row>0</xdr:row>
      <xdr:rowOff>50800</xdr:rowOff>
    </xdr:from>
    <xdr:to>
      <xdr:col>22</xdr:col>
      <xdr:colOff>1739900</xdr:colOff>
      <xdr:row>0</xdr:row>
      <xdr:rowOff>419100</xdr:rowOff>
    </xdr:to>
    <xdr:pic>
      <xdr:nvPicPr>
        <xdr:cNvPr id="2" name="CommandButton1">
          <a:extLst>
            <a:ext uri="{FF2B5EF4-FFF2-40B4-BE49-F238E27FC236}">
              <a16:creationId xmlns:a16="http://schemas.microsoft.com/office/drawing/2014/main" id="{F8336D2E-AC8A-2209-1A72-46DDE9F03225}"/>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735300" y="50800"/>
          <a:ext cx="1638300" cy="368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9</xdr:col>
      <xdr:colOff>457200</xdr:colOff>
      <xdr:row>19</xdr:row>
      <xdr:rowOff>12700</xdr:rowOff>
    </xdr:from>
    <xdr:to>
      <xdr:col>10</xdr:col>
      <xdr:colOff>787400</xdr:colOff>
      <xdr:row>20</xdr:row>
      <xdr:rowOff>0</xdr:rowOff>
    </xdr:to>
    <xdr:pic>
      <xdr:nvPicPr>
        <xdr:cNvPr id="4" name="Preparation_Section_Zero">
          <a:extLst>
            <a:ext uri="{FF2B5EF4-FFF2-40B4-BE49-F238E27FC236}">
              <a16:creationId xmlns:a16="http://schemas.microsoft.com/office/drawing/2014/main" id="{2FA63C94-FA22-6841-6705-B2CE72E78AC4}"/>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40500" y="1244600"/>
          <a:ext cx="977900" cy="292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9</xdr:col>
      <xdr:colOff>457200</xdr:colOff>
      <xdr:row>27</xdr:row>
      <xdr:rowOff>12700</xdr:rowOff>
    </xdr:from>
    <xdr:to>
      <xdr:col>10</xdr:col>
      <xdr:colOff>787400</xdr:colOff>
      <xdr:row>27</xdr:row>
      <xdr:rowOff>304800</xdr:rowOff>
    </xdr:to>
    <xdr:pic>
      <xdr:nvPicPr>
        <xdr:cNvPr id="5" name="Stripout_Section_Zero">
          <a:extLst>
            <a:ext uri="{FF2B5EF4-FFF2-40B4-BE49-F238E27FC236}">
              <a16:creationId xmlns:a16="http://schemas.microsoft.com/office/drawing/2014/main" id="{0C32CAA9-32F9-5D26-5D00-09D82C03D68F}"/>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40500" y="2895600"/>
          <a:ext cx="977900" cy="292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9</xdr:col>
      <xdr:colOff>457200</xdr:colOff>
      <xdr:row>37</xdr:row>
      <xdr:rowOff>12700</xdr:rowOff>
    </xdr:from>
    <xdr:to>
      <xdr:col>10</xdr:col>
      <xdr:colOff>787400</xdr:colOff>
      <xdr:row>37</xdr:row>
      <xdr:rowOff>304800</xdr:rowOff>
    </xdr:to>
    <xdr:pic>
      <xdr:nvPicPr>
        <xdr:cNvPr id="6" name="Walls_Section_Zero">
          <a:extLst>
            <a:ext uri="{FF2B5EF4-FFF2-40B4-BE49-F238E27FC236}">
              <a16:creationId xmlns:a16="http://schemas.microsoft.com/office/drawing/2014/main" id="{EF651341-BDAA-944F-2229-E6723BD0644B}"/>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40500" y="4991100"/>
          <a:ext cx="977900" cy="292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9</xdr:col>
      <xdr:colOff>469900</xdr:colOff>
      <xdr:row>59</xdr:row>
      <xdr:rowOff>12700</xdr:rowOff>
    </xdr:from>
    <xdr:to>
      <xdr:col>10</xdr:col>
      <xdr:colOff>800100</xdr:colOff>
      <xdr:row>59</xdr:row>
      <xdr:rowOff>304800</xdr:rowOff>
    </xdr:to>
    <xdr:pic>
      <xdr:nvPicPr>
        <xdr:cNvPr id="7" name="Tanking_Section_Zero">
          <a:extLst>
            <a:ext uri="{FF2B5EF4-FFF2-40B4-BE49-F238E27FC236}">
              <a16:creationId xmlns:a16="http://schemas.microsoft.com/office/drawing/2014/main" id="{0EA9B8FF-E973-A466-7129-D08477DF1A9E}"/>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53200" y="9588500"/>
          <a:ext cx="977900" cy="292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9</xdr:col>
      <xdr:colOff>469900</xdr:colOff>
      <xdr:row>67</xdr:row>
      <xdr:rowOff>12700</xdr:rowOff>
    </xdr:from>
    <xdr:to>
      <xdr:col>10</xdr:col>
      <xdr:colOff>800100</xdr:colOff>
      <xdr:row>67</xdr:row>
      <xdr:rowOff>304800</xdr:rowOff>
    </xdr:to>
    <xdr:pic>
      <xdr:nvPicPr>
        <xdr:cNvPr id="8" name="Floor_Resin_Section_Zero">
          <a:extLst>
            <a:ext uri="{FF2B5EF4-FFF2-40B4-BE49-F238E27FC236}">
              <a16:creationId xmlns:a16="http://schemas.microsoft.com/office/drawing/2014/main" id="{09733725-E5B7-AD3D-362B-27124D05351C}"/>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53200" y="11087100"/>
          <a:ext cx="977900" cy="292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9</xdr:col>
      <xdr:colOff>457200</xdr:colOff>
      <xdr:row>75</xdr:row>
      <xdr:rowOff>12700</xdr:rowOff>
    </xdr:from>
    <xdr:to>
      <xdr:col>10</xdr:col>
      <xdr:colOff>787400</xdr:colOff>
      <xdr:row>75</xdr:row>
      <xdr:rowOff>304800</xdr:rowOff>
    </xdr:to>
    <xdr:pic>
      <xdr:nvPicPr>
        <xdr:cNvPr id="9" name="Plastering_Section_Zero">
          <a:extLst>
            <a:ext uri="{FF2B5EF4-FFF2-40B4-BE49-F238E27FC236}">
              <a16:creationId xmlns:a16="http://schemas.microsoft.com/office/drawing/2014/main" id="{96A904C1-4966-1B76-E9DD-5D0FC940EA6D}"/>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40500" y="12623800"/>
          <a:ext cx="977900" cy="292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9</xdr:col>
      <xdr:colOff>469900</xdr:colOff>
      <xdr:row>86</xdr:row>
      <xdr:rowOff>12700</xdr:rowOff>
    </xdr:from>
    <xdr:to>
      <xdr:col>10</xdr:col>
      <xdr:colOff>800100</xdr:colOff>
      <xdr:row>86</xdr:row>
      <xdr:rowOff>304800</xdr:rowOff>
    </xdr:to>
    <xdr:pic>
      <xdr:nvPicPr>
        <xdr:cNvPr id="10" name="Floor_Joists_Section_Zero">
          <a:extLst>
            <a:ext uri="{FF2B5EF4-FFF2-40B4-BE49-F238E27FC236}">
              <a16:creationId xmlns:a16="http://schemas.microsoft.com/office/drawing/2014/main" id="{438490F2-D22C-6C60-5E5B-F13C4B784BAA}"/>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53200" y="14732000"/>
          <a:ext cx="977900" cy="292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9</xdr:col>
      <xdr:colOff>469900</xdr:colOff>
      <xdr:row>99</xdr:row>
      <xdr:rowOff>12700</xdr:rowOff>
    </xdr:from>
    <xdr:to>
      <xdr:col>10</xdr:col>
      <xdr:colOff>800100</xdr:colOff>
      <xdr:row>99</xdr:row>
      <xdr:rowOff>304800</xdr:rowOff>
    </xdr:to>
    <xdr:pic>
      <xdr:nvPicPr>
        <xdr:cNvPr id="11" name="Floor_Deck_Section_Zero">
          <a:extLst>
            <a:ext uri="{FF2B5EF4-FFF2-40B4-BE49-F238E27FC236}">
              <a16:creationId xmlns:a16="http://schemas.microsoft.com/office/drawing/2014/main" id="{E87BDFFE-B1FB-969B-8FF1-9F34453C91D3}"/>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53200" y="17284700"/>
          <a:ext cx="977900" cy="292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9</xdr:col>
      <xdr:colOff>444500</xdr:colOff>
      <xdr:row>110</xdr:row>
      <xdr:rowOff>12700</xdr:rowOff>
    </xdr:from>
    <xdr:to>
      <xdr:col>10</xdr:col>
      <xdr:colOff>787400</xdr:colOff>
      <xdr:row>110</xdr:row>
      <xdr:rowOff>304800</xdr:rowOff>
    </xdr:to>
    <xdr:pic>
      <xdr:nvPicPr>
        <xdr:cNvPr id="12" name="Airbricks_Section_Zero">
          <a:extLst>
            <a:ext uri="{FF2B5EF4-FFF2-40B4-BE49-F238E27FC236}">
              <a16:creationId xmlns:a16="http://schemas.microsoft.com/office/drawing/2014/main" id="{E97BCF86-9DAC-EC79-86B2-CDBD713FFC6B}"/>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527800" y="19583400"/>
          <a:ext cx="990600" cy="292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9</xdr:col>
      <xdr:colOff>444500</xdr:colOff>
      <xdr:row>116</xdr:row>
      <xdr:rowOff>12700</xdr:rowOff>
    </xdr:from>
    <xdr:to>
      <xdr:col>10</xdr:col>
      <xdr:colOff>787400</xdr:colOff>
      <xdr:row>116</xdr:row>
      <xdr:rowOff>304800</xdr:rowOff>
    </xdr:to>
    <xdr:pic>
      <xdr:nvPicPr>
        <xdr:cNvPr id="13" name="Spray_Treatments_Section_Zero">
          <a:extLst>
            <a:ext uri="{FF2B5EF4-FFF2-40B4-BE49-F238E27FC236}">
              <a16:creationId xmlns:a16="http://schemas.microsoft.com/office/drawing/2014/main" id="{17968252-6693-8D06-AF32-3FAFD3FE1EE3}"/>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527800" y="20777200"/>
          <a:ext cx="990600" cy="292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9</xdr:col>
      <xdr:colOff>457200</xdr:colOff>
      <xdr:row>121</xdr:row>
      <xdr:rowOff>25400</xdr:rowOff>
    </xdr:from>
    <xdr:to>
      <xdr:col>10</xdr:col>
      <xdr:colOff>787400</xdr:colOff>
      <xdr:row>122</xdr:row>
      <xdr:rowOff>0</xdr:rowOff>
    </xdr:to>
    <xdr:pic>
      <xdr:nvPicPr>
        <xdr:cNvPr id="14" name="Drains_Section_Zero">
          <a:extLst>
            <a:ext uri="{FF2B5EF4-FFF2-40B4-BE49-F238E27FC236}">
              <a16:creationId xmlns:a16="http://schemas.microsoft.com/office/drawing/2014/main" id="{7D9DE29E-EC58-5C93-A157-BE8AC040BC67}"/>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40500" y="21767800"/>
          <a:ext cx="977900" cy="292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9</xdr:col>
      <xdr:colOff>457200</xdr:colOff>
      <xdr:row>134</xdr:row>
      <xdr:rowOff>12700</xdr:rowOff>
    </xdr:from>
    <xdr:to>
      <xdr:col>10</xdr:col>
      <xdr:colOff>787400</xdr:colOff>
      <xdr:row>134</xdr:row>
      <xdr:rowOff>304800</xdr:rowOff>
    </xdr:to>
    <xdr:pic>
      <xdr:nvPicPr>
        <xdr:cNvPr id="15" name="Skip_Hire_Section_Zero">
          <a:extLst>
            <a:ext uri="{FF2B5EF4-FFF2-40B4-BE49-F238E27FC236}">
              <a16:creationId xmlns:a16="http://schemas.microsoft.com/office/drawing/2014/main" id="{AC783B3C-B1D8-1594-DF45-491CFEFBDDEB}"/>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40500" y="24320500"/>
          <a:ext cx="977900" cy="292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9</xdr:col>
      <xdr:colOff>457200</xdr:colOff>
      <xdr:row>126</xdr:row>
      <xdr:rowOff>25400</xdr:rowOff>
    </xdr:from>
    <xdr:to>
      <xdr:col>10</xdr:col>
      <xdr:colOff>787400</xdr:colOff>
      <xdr:row>126</xdr:row>
      <xdr:rowOff>304800</xdr:rowOff>
    </xdr:to>
    <xdr:pic>
      <xdr:nvPicPr>
        <xdr:cNvPr id="16" name="Aquaban_Section_Zero">
          <a:extLst>
            <a:ext uri="{FF2B5EF4-FFF2-40B4-BE49-F238E27FC236}">
              <a16:creationId xmlns:a16="http://schemas.microsoft.com/office/drawing/2014/main" id="{1180F541-15F1-FDDE-1017-23DC92BB9304}"/>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540500" y="22758400"/>
          <a:ext cx="977900" cy="279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9</xdr:col>
      <xdr:colOff>469900</xdr:colOff>
      <xdr:row>130</xdr:row>
      <xdr:rowOff>12700</xdr:rowOff>
    </xdr:from>
    <xdr:to>
      <xdr:col>11</xdr:col>
      <xdr:colOff>0</xdr:colOff>
      <xdr:row>130</xdr:row>
      <xdr:rowOff>292100</xdr:rowOff>
    </xdr:to>
    <xdr:pic>
      <xdr:nvPicPr>
        <xdr:cNvPr id="17" name="Asbestos_Section_Zero">
          <a:extLst>
            <a:ext uri="{FF2B5EF4-FFF2-40B4-BE49-F238E27FC236}">
              <a16:creationId xmlns:a16="http://schemas.microsoft.com/office/drawing/2014/main" id="{FA5F7AB7-59E9-F492-5A19-F92A912DD809}"/>
            </a:ext>
          </a:extLst>
        </xdr:cNvPr>
        <xdr:cNvPicPr preferRelativeResize="0">
          <a:picLocks noChangeArrowheads="1" noChangeShapeType="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553200" y="23533100"/>
          <a:ext cx="1104900" cy="279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165100</xdr:colOff>
      <xdr:row>0</xdr:row>
      <xdr:rowOff>101600</xdr:rowOff>
    </xdr:from>
    <xdr:to>
      <xdr:col>10</xdr:col>
      <xdr:colOff>2819400</xdr:colOff>
      <xdr:row>0</xdr:row>
      <xdr:rowOff>469900</xdr:rowOff>
    </xdr:to>
    <xdr:sp macro="" textlink="">
      <xdr:nvSpPr>
        <xdr:cNvPr id="9217" name="CommandButton1" hidden="1">
          <a:extLst>
            <a:ext uri="{63B3BB69-23CF-44E3-9099-C40C66FF867C}">
              <a14:compatExt xmlns:a14="http://schemas.microsoft.com/office/drawing/2010/main"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10</xdr:col>
      <xdr:colOff>165100</xdr:colOff>
      <xdr:row>0</xdr:row>
      <xdr:rowOff>101600</xdr:rowOff>
    </xdr:from>
    <xdr:to>
      <xdr:col>10</xdr:col>
      <xdr:colOff>2819400</xdr:colOff>
      <xdr:row>0</xdr:row>
      <xdr:rowOff>469900</xdr:rowOff>
    </xdr:to>
    <xdr:pic>
      <xdr:nvPicPr>
        <xdr:cNvPr id="2" name="CommandButton1">
          <a:extLst>
            <a:ext uri="{FF2B5EF4-FFF2-40B4-BE49-F238E27FC236}">
              <a16:creationId xmlns:a16="http://schemas.microsoft.com/office/drawing/2014/main" id="{92A67FD8-9F2D-9996-FF0B-F7B697150F86}"/>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0700" y="101600"/>
          <a:ext cx="2654300" cy="368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6</xdr:col>
      <xdr:colOff>47625</xdr:colOff>
      <xdr:row>101</xdr:row>
      <xdr:rowOff>381001</xdr:rowOff>
    </xdr:from>
    <xdr:to>
      <xdr:col>10</xdr:col>
      <xdr:colOff>0</xdr:colOff>
      <xdr:row>105</xdr:row>
      <xdr:rowOff>47626</xdr:rowOff>
    </xdr:to>
    <xdr:sp macro="" textlink="">
      <xdr:nvSpPr>
        <xdr:cNvPr id="2" name="Callout: Left Arrow 1">
          <a:extLst>
            <a:ext uri="{FF2B5EF4-FFF2-40B4-BE49-F238E27FC236}">
              <a16:creationId xmlns:a16="http://schemas.microsoft.com/office/drawing/2014/main" id="{07A43D72-4F20-4314-BF92-4F1801AF5264}"/>
            </a:ext>
          </a:extLst>
        </xdr:cNvPr>
        <xdr:cNvSpPr/>
      </xdr:nvSpPr>
      <xdr:spPr>
        <a:xfrm>
          <a:off x="4924425" y="20764501"/>
          <a:ext cx="2390775" cy="619125"/>
        </a:xfrm>
        <a:prstGeom prst="leftArrowCallou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ysClr val="windowText" lastClr="000000"/>
              </a:solidFill>
            </a:rPr>
            <a:t>Copy and paste</a:t>
          </a:r>
          <a:r>
            <a:rPr lang="en-GB" sz="1100" b="1" baseline="0">
              <a:solidFill>
                <a:sysClr val="windowText" lastClr="000000"/>
              </a:solidFill>
            </a:rPr>
            <a:t> this into the email subject.</a:t>
          </a:r>
          <a:endParaRPr lang="en-GB" sz="1100" b="1">
            <a:solidFill>
              <a:sysClr val="windowText" lastClr="000000"/>
            </a:solidFill>
          </a:endParaRPr>
        </a:p>
      </xdr:txBody>
    </xdr:sp>
    <xdr:clientData/>
  </xdr:twoCellAnchor>
  <xdr:twoCellAnchor>
    <xdr:from>
      <xdr:col>6</xdr:col>
      <xdr:colOff>85725</xdr:colOff>
      <xdr:row>109</xdr:row>
      <xdr:rowOff>133350</xdr:rowOff>
    </xdr:from>
    <xdr:to>
      <xdr:col>10</xdr:col>
      <xdr:colOff>0</xdr:colOff>
      <xdr:row>113</xdr:row>
      <xdr:rowOff>85725</xdr:rowOff>
    </xdr:to>
    <xdr:sp macro="" textlink="">
      <xdr:nvSpPr>
        <xdr:cNvPr id="3" name="Callout: Left Arrow 2">
          <a:extLst>
            <a:ext uri="{FF2B5EF4-FFF2-40B4-BE49-F238E27FC236}">
              <a16:creationId xmlns:a16="http://schemas.microsoft.com/office/drawing/2014/main" id="{E2471F2C-55CF-4F12-81C4-5963236AEE06}"/>
            </a:ext>
          </a:extLst>
        </xdr:cNvPr>
        <xdr:cNvSpPr/>
      </xdr:nvSpPr>
      <xdr:spPr>
        <a:xfrm>
          <a:off x="4962525" y="22231350"/>
          <a:ext cx="2352675" cy="714375"/>
        </a:xfrm>
        <a:prstGeom prst="leftArrowCallou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ysClr val="windowText" lastClr="000000"/>
              </a:solidFill>
            </a:rPr>
            <a:t>Copy and paste</a:t>
          </a:r>
          <a:r>
            <a:rPr lang="en-GB" sz="1100" b="1" baseline="0">
              <a:solidFill>
                <a:sysClr val="windowText" lastClr="000000"/>
              </a:solidFill>
            </a:rPr>
            <a:t> this whole section into the email body.</a:t>
          </a:r>
          <a:endParaRPr lang="en-GB" sz="1100" b="1">
            <a:solidFill>
              <a:sysClr val="windowText" lastClr="000000"/>
            </a:solidFill>
          </a:endParaRPr>
        </a:p>
      </xdr:txBody>
    </xdr:sp>
    <xdr:clientData/>
  </xdr:twoCellAnchor>
  <xdr:twoCellAnchor>
    <xdr:from>
      <xdr:col>5</xdr:col>
      <xdr:colOff>333375</xdr:colOff>
      <xdr:row>1</xdr:row>
      <xdr:rowOff>57150</xdr:rowOff>
    </xdr:from>
    <xdr:to>
      <xdr:col>7</xdr:col>
      <xdr:colOff>238125</xdr:colOff>
      <xdr:row>8</xdr:row>
      <xdr:rowOff>76200</xdr:rowOff>
    </xdr:to>
    <xdr:sp macro="" textlink="">
      <xdr:nvSpPr>
        <xdr:cNvPr id="4" name="Arrow: Down 3">
          <a:extLst>
            <a:ext uri="{FF2B5EF4-FFF2-40B4-BE49-F238E27FC236}">
              <a16:creationId xmlns:a16="http://schemas.microsoft.com/office/drawing/2014/main" id="{FA59F108-0FBB-BEF6-88B4-8C2EE455D28F}"/>
            </a:ext>
          </a:extLst>
        </xdr:cNvPr>
        <xdr:cNvSpPr/>
      </xdr:nvSpPr>
      <xdr:spPr>
        <a:xfrm>
          <a:off x="10601325" y="180975"/>
          <a:ext cx="1514475" cy="1743075"/>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kern="1200"/>
            <a:t>Not part of print area</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northeastdampspecialists.sharepoint.com/sites/TyneTees/Shared%20Documents/Tyne%20Tees/Tyne%20Tees%20Operating%20Documents/2.Current/1.%20Blank%20Project%20Folder/1.Customer-Details-For-Linked-Documents.xlsm" TargetMode="External"/><Relationship Id="rId1" Type="http://schemas.openxmlformats.org/officeDocument/2006/relationships/externalLinkPath" Target="https://northeastdampspecialists.sharepoint.com/sites/TyneTees/Shared%20Documents/Tyne%20Tees/Contractor%20Foreman%20Documents/1.Blank%20Work%20Sheet/1.Customer-Details-For-Linked-Docume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etails"/>
      <sheetName val="Project Folder Process"/>
      <sheetName val="1"/>
    </sheetNames>
    <sheetDataSet>
      <sheetData sheetId="0">
        <row r="4">
          <cell r="C4"/>
        </row>
        <row r="7">
          <cell r="B7" t="str">
            <v>Client Name</v>
          </cell>
          <cell r="C7"/>
        </row>
        <row r="8">
          <cell r="B8" t="str">
            <v>First Line of site address</v>
          </cell>
          <cell r="C8"/>
        </row>
        <row r="9">
          <cell r="B9" t="str">
            <v>Town / City</v>
          </cell>
          <cell r="C9"/>
        </row>
        <row r="10">
          <cell r="B10" t="str">
            <v>County</v>
          </cell>
          <cell r="C10"/>
        </row>
        <row r="11">
          <cell r="B11" t="str">
            <v>Site Post Code</v>
          </cell>
          <cell r="C11"/>
        </row>
        <row r="12">
          <cell r="C12"/>
        </row>
        <row r="13">
          <cell r="C13"/>
        </row>
        <row r="16">
          <cell r="C16"/>
        </row>
      </sheetData>
      <sheetData sheetId="1"/>
      <sheetData sheetId="2" refreshError="1"/>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support.microsoft.com/en-gb/office/insert-move-or-delete-page-breaks-in-a-worksheet-ad3dc726-beec-4a4c-861f-ed640612bdc2" TargetMode="Externa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4.bin"/><Relationship Id="rId1" Type="http://schemas.openxmlformats.org/officeDocument/2006/relationships/hyperlink" Target="https://www.tyneteesdampproofing.co.uk/terms-and-conditions/" TargetMode="Externa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hyperlink" Target="https://www.tyneteesdampproofing.co.uk/"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hyperlink" Target="https://www.preservationshop.co.uk/product/wykamol-fibre-tape/" TargetMode="External"/><Relationship Id="rId13" Type="http://schemas.openxmlformats.org/officeDocument/2006/relationships/hyperlink" Target="https://www.preservationshop.co.uk/product/hydradry-tanking-slurry/" TargetMode="External"/><Relationship Id="rId18" Type="http://schemas.openxmlformats.org/officeDocument/2006/relationships/hyperlink" Target="https://www.preservationshop.co.uk/product/multi-finish-plaster-25kg-bag-british-gypsum-thistle/" TargetMode="External"/><Relationship Id="rId26" Type="http://schemas.openxmlformats.org/officeDocument/2006/relationships/printerSettings" Target="../printerSettings/printerSettings8.bin"/><Relationship Id="rId3" Type="http://schemas.openxmlformats.org/officeDocument/2006/relationships/hyperlink" Target="https://www.preservationshop.co.uk/product/wykamol-membrane-sealing-tape-28mm-x-22m/" TargetMode="External"/><Relationship Id="rId21" Type="http://schemas.openxmlformats.org/officeDocument/2006/relationships/hyperlink" Target="https://www.preservationshop.co.uk/product/plastic-air-brick-9-x-3/" TargetMode="External"/><Relationship Id="rId7" Type="http://schemas.openxmlformats.org/officeDocument/2006/relationships/hyperlink" Target="https://www.preservationshop.co.uk/product/wykamol-universal-mortar/" TargetMode="External"/><Relationship Id="rId12" Type="http://schemas.openxmlformats.org/officeDocument/2006/relationships/hyperlink" Target="https://www.preservationshop.co.uk/product/cement/" TargetMode="External"/><Relationship Id="rId17" Type="http://schemas.openxmlformats.org/officeDocument/2006/relationships/hyperlink" Target="https://www.preservationshop.co.uk/product/grip-grit/" TargetMode="External"/><Relationship Id="rId25" Type="http://schemas.openxmlformats.org/officeDocument/2006/relationships/hyperlink" Target="https://www.preservationshop.co.uk/product/wykamol-cm3-mesh-cavity-drain-membrane/" TargetMode="External"/><Relationship Id="rId2" Type="http://schemas.openxmlformats.org/officeDocument/2006/relationships/hyperlink" Target="https://www.preservationshop.co.uk/product/wykamol-cm3-mesh-cavity-drain-membrane/" TargetMode="External"/><Relationship Id="rId16" Type="http://schemas.openxmlformats.org/officeDocument/2006/relationships/hyperlink" Target="https://www.preservationshop.co.uk/product/wykamol-ep40-epoxy-floor-coating-5l-grey/" TargetMode="External"/><Relationship Id="rId20" Type="http://schemas.openxmlformats.org/officeDocument/2006/relationships/hyperlink" Target="https://www.preservationshop.co.uk/product/wykamol-iso-therm-adhesive-for-thin-internal-wall-insulation-tiwi/" TargetMode="External"/><Relationship Id="rId1" Type="http://schemas.openxmlformats.org/officeDocument/2006/relationships/hyperlink" Target="https://www.preservationshop.co.uk/product/cavity-membrane-fixing-plugs-50mm/" TargetMode="External"/><Relationship Id="rId6" Type="http://schemas.openxmlformats.org/officeDocument/2006/relationships/hyperlink" Target="https://www.preservationshop.co.uk/product/wykamol-technoseal-liquid-damp-proofing-membrane-dpm/" TargetMode="External"/><Relationship Id="rId11" Type="http://schemas.openxmlformats.org/officeDocument/2006/relationships/hyperlink" Target="https://www.preservationshop.co.uk/product/wykamol-sbr-latex-5l/" TargetMode="External"/><Relationship Id="rId24" Type="http://schemas.openxmlformats.org/officeDocument/2006/relationships/hyperlink" Target="https://www.preservationshop.co.uk/product/wykamol-cm3-mesh-cavity-drain-membrane/" TargetMode="External"/><Relationship Id="rId5" Type="http://schemas.openxmlformats.org/officeDocument/2006/relationships/hyperlink" Target="https://www.preservationshop.co.uk/product/12mm-drill-plugs-grey-for-dpc-injection/" TargetMode="External"/><Relationship Id="rId15" Type="http://schemas.openxmlformats.org/officeDocument/2006/relationships/hyperlink" Target="https://www.preservationshop.co.uk/product/ep40-primer-coat/" TargetMode="External"/><Relationship Id="rId23" Type="http://schemas.openxmlformats.org/officeDocument/2006/relationships/hyperlink" Target="https://www.preservationshop.co.uk/product/wykamol-enviroseal-liquid-water-repellent/" TargetMode="External"/><Relationship Id="rId28" Type="http://schemas.openxmlformats.org/officeDocument/2006/relationships/comments" Target="../comments2.xml"/><Relationship Id="rId10" Type="http://schemas.openxmlformats.org/officeDocument/2006/relationships/hyperlink" Target="https://www.preservationshop.co.uk/product/antinox-heavy-duty-floor-protection-boards-2-4m-x-1-2m/" TargetMode="External"/><Relationship Id="rId19" Type="http://schemas.openxmlformats.org/officeDocument/2006/relationships/hyperlink" Target="https://www.preservationshop.co.uk/product/wykamol-iso-therm-thin-internal-wall-insulation-tiwi-1m-x-7-5m/" TargetMode="External"/><Relationship Id="rId4" Type="http://schemas.openxmlformats.org/officeDocument/2006/relationships/hyperlink" Target="https://www.preservationshop.co.uk/product/wykamol-ultracure-damp-proofing-cream/" TargetMode="External"/><Relationship Id="rId9" Type="http://schemas.openxmlformats.org/officeDocument/2006/relationships/hyperlink" Target="https://www.preservationshop.co.uk/product/wykamol-rope-10mm-x-5m/" TargetMode="External"/><Relationship Id="rId14" Type="http://schemas.openxmlformats.org/officeDocument/2006/relationships/hyperlink" Target="https://www.preservationshop.co.uk/product/renovating-plaster/" TargetMode="External"/><Relationship Id="rId22" Type="http://schemas.openxmlformats.org/officeDocument/2006/relationships/hyperlink" Target="https://www.preservationshop.co.uk/product/wykamol-microtech-dual-purpose-concentrate/" TargetMode="External"/><Relationship Id="rId27"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F4F79D-34B6-4B67-8D1E-AF7225E51608}">
  <sheetPr codeName="Sheet5">
    <tabColor rgb="FFFF0000"/>
    <pageSetUpPr fitToPage="1"/>
  </sheetPr>
  <dimension ref="A1:AI544"/>
  <sheetViews>
    <sheetView tabSelected="1" zoomScaleNormal="130" zoomScaleSheetLayoutView="120" workbookViewId="0">
      <pane xSplit="3" ySplit="4" topLeftCell="D5" activePane="bottomRight" state="frozen"/>
      <selection pane="topRight" activeCell="D1" sqref="D1"/>
      <selection pane="bottomLeft" activeCell="A5" sqref="A5"/>
      <selection pane="bottomRight" activeCell="D14" sqref="D14:Z14"/>
    </sheetView>
  </sheetViews>
  <sheetFormatPr baseColWidth="10" defaultColWidth="9.33203125" defaultRowHeight="14" outlineLevelCol="1" x14ac:dyDescent="0.2"/>
  <cols>
    <col min="1" max="1" width="2.6640625" style="56" customWidth="1"/>
    <col min="2" max="2" width="11.5" style="56" customWidth="1"/>
    <col min="3" max="3" width="2.6640625" style="57" customWidth="1"/>
    <col min="4" max="5" width="3.6640625" style="56" customWidth="1"/>
    <col min="6" max="6" width="4.5" style="56" customWidth="1"/>
    <col min="7" max="7" width="5.33203125" style="56" customWidth="1"/>
    <col min="8" max="8" width="7" style="56" customWidth="1"/>
    <col min="9" max="9" width="3.6640625" style="56" customWidth="1"/>
    <col min="10" max="10" width="4.33203125" style="56" customWidth="1"/>
    <col min="11" max="15" width="3.6640625" style="56" customWidth="1"/>
    <col min="16" max="16" width="1.5" style="56" customWidth="1"/>
    <col min="17" max="18" width="3.6640625" style="56" customWidth="1"/>
    <col min="19" max="19" width="4.83203125" style="56" customWidth="1"/>
    <col min="20" max="24" width="3.6640625" style="56" customWidth="1"/>
    <col min="25" max="25" width="10.5" style="56" customWidth="1"/>
    <col min="26" max="26" width="4.5" style="56" customWidth="1"/>
    <col min="27" max="27" width="3.5" style="56" customWidth="1"/>
    <col min="28" max="28" width="45.1640625" style="59" customWidth="1"/>
    <col min="29" max="29" width="3.6640625" style="56" customWidth="1"/>
    <col min="30" max="30" width="37.33203125" style="53" hidden="1" customWidth="1" outlineLevel="1"/>
    <col min="31" max="31" width="16.33203125" style="79" hidden="1" customWidth="1" outlineLevel="1"/>
    <col min="32" max="32" width="13.5" style="79" hidden="1" customWidth="1" outlineLevel="1"/>
    <col min="33" max="33" width="17.5" style="79" hidden="1" customWidth="1" outlineLevel="1"/>
    <col min="34" max="34" width="9.33203125" style="56" collapsed="1"/>
    <col min="35" max="16384" width="9.33203125" style="56"/>
  </cols>
  <sheetData>
    <row r="1" spans="1:33" ht="35.25" customHeight="1" thickBot="1" x14ac:dyDescent="0.2">
      <c r="D1" s="453" t="s">
        <v>111</v>
      </c>
      <c r="E1" s="454"/>
      <c r="F1" s="454"/>
      <c r="G1" s="454"/>
      <c r="H1" s="454"/>
      <c r="I1" s="454"/>
      <c r="J1" s="455" t="str">
        <f>IF(SUM(AF:AF)=0,"SHEET NOT YET STARTED",IF(SUM(AG:AG)&gt;0,"SHEET NOT COMPLETE","SHEET COMPLETE"))</f>
        <v>SHEET NOT COMPLETE</v>
      </c>
      <c r="K1" s="456"/>
      <c r="L1" s="456"/>
      <c r="M1" s="456"/>
      <c r="N1" s="456"/>
      <c r="O1" s="456"/>
      <c r="P1" s="456"/>
      <c r="Q1" s="456"/>
      <c r="R1" s="456"/>
      <c r="S1" s="456"/>
      <c r="T1" s="456"/>
      <c r="U1" s="456"/>
      <c r="V1" s="456"/>
      <c r="W1" s="456"/>
      <c r="X1" s="456"/>
      <c r="Y1" s="456"/>
      <c r="Z1" s="457"/>
      <c r="AB1" s="86"/>
      <c r="AC1" s="100"/>
      <c r="AD1" s="64"/>
      <c r="AE1" s="52"/>
      <c r="AF1" s="52"/>
      <c r="AG1" s="52"/>
    </row>
    <row r="2" spans="1:33" ht="7.5" customHeight="1" x14ac:dyDescent="0.15">
      <c r="AD2" s="64"/>
      <c r="AE2" s="52"/>
      <c r="AF2" s="52"/>
      <c r="AG2" s="52"/>
    </row>
    <row r="3" spans="1:33" ht="27" customHeight="1" x14ac:dyDescent="0.15">
      <c r="A3" s="52"/>
      <c r="B3" s="72"/>
      <c r="C3" s="55"/>
      <c r="D3" s="462" t="s">
        <v>234</v>
      </c>
      <c r="E3" s="462"/>
      <c r="F3" s="462"/>
      <c r="G3" s="462"/>
      <c r="H3" s="462"/>
      <c r="I3" s="462"/>
      <c r="J3" s="462"/>
      <c r="K3" s="462"/>
      <c r="L3" s="462"/>
      <c r="M3" s="462"/>
      <c r="N3" s="462"/>
      <c r="O3" s="462"/>
      <c r="P3" s="462"/>
      <c r="Q3" s="462"/>
      <c r="R3" s="462"/>
      <c r="S3" s="462"/>
      <c r="T3" s="462"/>
      <c r="U3" s="462"/>
      <c r="V3" s="462"/>
      <c r="W3" s="462"/>
      <c r="X3" s="462"/>
      <c r="Y3" s="462"/>
      <c r="Z3" s="462"/>
      <c r="AB3" s="75" t="s">
        <v>247</v>
      </c>
      <c r="AD3" s="88" t="s">
        <v>237</v>
      </c>
      <c r="AE3" s="76" t="s">
        <v>126</v>
      </c>
      <c r="AF3" s="77" t="s">
        <v>127</v>
      </c>
      <c r="AG3" s="77" t="s">
        <v>128</v>
      </c>
    </row>
    <row r="4" spans="1:33" ht="13.5" customHeight="1" thickBot="1" x14ac:dyDescent="0.2">
      <c r="A4" s="73" t="str">
        <f>IF(AG4=1,"X","")</f>
        <v/>
      </c>
      <c r="B4" s="74">
        <v>1</v>
      </c>
      <c r="D4" s="460"/>
      <c r="E4" s="460"/>
      <c r="F4" s="460"/>
      <c r="G4" s="460"/>
      <c r="H4" s="460"/>
      <c r="I4" s="460"/>
      <c r="J4" s="460"/>
      <c r="K4" s="460"/>
      <c r="L4" s="460"/>
      <c r="M4" s="460"/>
      <c r="N4" s="460"/>
      <c r="O4" s="460"/>
      <c r="P4" s="460"/>
      <c r="Q4" s="460"/>
      <c r="R4" s="460"/>
      <c r="S4" s="460"/>
      <c r="T4" s="460"/>
      <c r="U4" s="460"/>
      <c r="V4" s="460"/>
      <c r="W4" s="460"/>
      <c r="X4" s="460"/>
      <c r="Y4" s="460"/>
      <c r="Z4" s="460"/>
      <c r="AD4" s="82" t="s">
        <v>241</v>
      </c>
      <c r="AE4" s="52"/>
      <c r="AF4" s="13"/>
      <c r="AG4" s="13"/>
    </row>
    <row r="5" spans="1:33" ht="5" customHeight="1" x14ac:dyDescent="0.15">
      <c r="A5" s="73" t="str">
        <f t="shared" ref="A5:A159" si="0">IF(AG5=1,"X","")</f>
        <v/>
      </c>
      <c r="B5" s="74">
        <v>1</v>
      </c>
      <c r="D5" s="458"/>
      <c r="E5" s="458"/>
      <c r="F5" s="458"/>
      <c r="G5" s="458"/>
      <c r="H5" s="458"/>
      <c r="I5" s="458"/>
      <c r="J5" s="458"/>
      <c r="K5" s="458"/>
      <c r="L5" s="458"/>
      <c r="M5" s="458"/>
      <c r="N5" s="458"/>
      <c r="O5" s="458"/>
      <c r="P5" s="458"/>
      <c r="Q5" s="458"/>
      <c r="R5" s="458"/>
      <c r="S5" s="458"/>
      <c r="T5" s="458"/>
      <c r="U5" s="458"/>
      <c r="V5" s="458"/>
      <c r="W5" s="458"/>
      <c r="X5" s="458"/>
      <c r="Y5" s="458"/>
      <c r="Z5" s="458"/>
      <c r="AD5" s="82" t="s">
        <v>241</v>
      </c>
      <c r="AE5" s="52"/>
      <c r="AF5" s="13"/>
      <c r="AG5" s="13"/>
    </row>
    <row r="6" spans="1:33" ht="18.75" customHeight="1" x14ac:dyDescent="0.15">
      <c r="A6" s="73" t="str">
        <f t="shared" si="0"/>
        <v/>
      </c>
      <c r="B6" s="74">
        <v>1</v>
      </c>
      <c r="D6" s="461" t="s">
        <v>338</v>
      </c>
      <c r="E6" s="461"/>
      <c r="F6" s="461"/>
      <c r="G6" s="461"/>
      <c r="H6" s="461"/>
      <c r="I6" s="461"/>
      <c r="J6" s="461"/>
      <c r="K6" s="461"/>
      <c r="L6" s="461"/>
      <c r="M6" s="461"/>
      <c r="N6" s="461"/>
      <c r="O6" s="461"/>
      <c r="P6" s="461"/>
      <c r="Q6" s="461"/>
      <c r="R6" s="461"/>
      <c r="S6" s="461"/>
      <c r="T6" s="461"/>
      <c r="U6" s="461"/>
      <c r="V6" s="461"/>
      <c r="W6" s="461"/>
      <c r="X6" s="461"/>
      <c r="Y6" s="461"/>
      <c r="Z6" s="461"/>
      <c r="AB6" s="87" t="s">
        <v>310</v>
      </c>
      <c r="AD6" s="82" t="s">
        <v>241</v>
      </c>
      <c r="AE6" s="52"/>
      <c r="AF6" s="13"/>
      <c r="AG6" s="13"/>
    </row>
    <row r="7" spans="1:33" ht="5" customHeight="1" x14ac:dyDescent="0.15">
      <c r="A7" s="73" t="str">
        <f t="shared" si="0"/>
        <v/>
      </c>
      <c r="B7" s="74">
        <v>1</v>
      </c>
      <c r="D7" s="450"/>
      <c r="E7" s="450"/>
      <c r="F7" s="450"/>
      <c r="G7" s="450"/>
      <c r="H7" s="450"/>
      <c r="I7" s="450"/>
      <c r="J7" s="450"/>
      <c r="K7" s="450"/>
      <c r="L7" s="450"/>
      <c r="M7" s="450"/>
      <c r="N7" s="450"/>
      <c r="O7" s="450"/>
      <c r="P7" s="450"/>
      <c r="Q7" s="450"/>
      <c r="R7" s="450"/>
      <c r="S7" s="450"/>
      <c r="T7" s="450"/>
      <c r="U7" s="450"/>
      <c r="V7" s="450"/>
      <c r="W7" s="450"/>
      <c r="X7" s="450"/>
      <c r="Y7" s="450"/>
      <c r="Z7" s="450"/>
      <c r="AD7" s="82" t="s">
        <v>241</v>
      </c>
      <c r="AE7" s="52"/>
      <c r="AF7" s="13"/>
      <c r="AG7" s="13"/>
    </row>
    <row r="8" spans="1:33" ht="15" x14ac:dyDescent="0.15">
      <c r="A8" s="73" t="str">
        <f>IF(AG8=1,"X","")</f>
        <v>X</v>
      </c>
      <c r="B8" s="74">
        <v>1</v>
      </c>
      <c r="D8" s="450" t="str">
        <f>Costing!E7</f>
        <v/>
      </c>
      <c r="E8" s="450"/>
      <c r="F8" s="450"/>
      <c r="G8" s="450"/>
      <c r="H8" s="450"/>
      <c r="I8" s="450"/>
      <c r="J8" s="450"/>
      <c r="K8" s="450"/>
      <c r="L8" s="450"/>
      <c r="M8" s="450"/>
      <c r="N8" s="450"/>
      <c r="O8" s="450"/>
      <c r="P8" s="450"/>
      <c r="Q8" s="450"/>
      <c r="R8" s="450"/>
      <c r="S8" s="450"/>
      <c r="T8" s="450"/>
      <c r="U8" s="450"/>
      <c r="V8" s="450"/>
      <c r="W8" s="450"/>
      <c r="X8" s="450"/>
      <c r="Y8" s="450"/>
      <c r="Z8" s="450"/>
      <c r="AB8" s="87" t="s">
        <v>312</v>
      </c>
      <c r="AD8" s="82" t="s">
        <v>241</v>
      </c>
      <c r="AE8" s="52"/>
      <c r="AF8" s="74">
        <f>IF(D8&lt;&gt;"",1,0)</f>
        <v>0</v>
      </c>
      <c r="AG8" s="74">
        <f>IF(AND(SUM(AF:AF)&gt;0,OR(D8="",D8=0)),1,0)</f>
        <v>1</v>
      </c>
    </row>
    <row r="9" spans="1:33" ht="15" x14ac:dyDescent="0.15">
      <c r="A9" s="73" t="str">
        <f t="shared" si="0"/>
        <v>X</v>
      </c>
      <c r="B9" s="74">
        <v>1</v>
      </c>
      <c r="D9" s="448" t="str">
        <f>Costing!E8</f>
        <v/>
      </c>
      <c r="E9" s="448"/>
      <c r="F9" s="448"/>
      <c r="G9" s="448"/>
      <c r="H9" s="448"/>
      <c r="I9" s="448"/>
      <c r="J9" s="448"/>
      <c r="K9" s="448"/>
      <c r="L9" s="448"/>
      <c r="M9" s="448"/>
      <c r="N9" s="448"/>
      <c r="O9" s="448"/>
      <c r="P9" s="448"/>
      <c r="Q9" s="448"/>
      <c r="R9" s="448"/>
      <c r="S9" s="448"/>
      <c r="T9" s="448"/>
      <c r="U9" s="448"/>
      <c r="V9" s="448"/>
      <c r="W9" s="448"/>
      <c r="X9" s="448"/>
      <c r="Y9" s="448"/>
      <c r="Z9" s="448"/>
      <c r="AB9" s="87" t="s">
        <v>312</v>
      </c>
      <c r="AD9" s="82" t="s">
        <v>241</v>
      </c>
      <c r="AE9" s="52"/>
      <c r="AF9" s="74">
        <f>IF(D9&lt;&gt;"",1,0)</f>
        <v>0</v>
      </c>
      <c r="AG9" s="74">
        <f>IF(AND(SUM(AF:AF)&gt;0,OR(D9="",D9=0)),1,0)</f>
        <v>1</v>
      </c>
    </row>
    <row r="10" spans="1:33" ht="15" x14ac:dyDescent="0.15">
      <c r="A10" s="73" t="str">
        <f t="shared" si="0"/>
        <v>X</v>
      </c>
      <c r="B10" s="74">
        <v>1</v>
      </c>
      <c r="D10" s="448" t="str">
        <f>Costing!E9</f>
        <v/>
      </c>
      <c r="E10" s="448"/>
      <c r="F10" s="448"/>
      <c r="G10" s="448"/>
      <c r="H10" s="448"/>
      <c r="I10" s="448"/>
      <c r="J10" s="448"/>
      <c r="K10" s="448"/>
      <c r="L10" s="448"/>
      <c r="M10" s="448"/>
      <c r="N10" s="448"/>
      <c r="O10" s="448"/>
      <c r="P10" s="448"/>
      <c r="Q10" s="448"/>
      <c r="R10" s="448"/>
      <c r="S10" s="448"/>
      <c r="T10" s="448"/>
      <c r="U10" s="448"/>
      <c r="V10" s="448"/>
      <c r="W10" s="448"/>
      <c r="X10" s="448"/>
      <c r="Y10" s="448"/>
      <c r="Z10" s="448"/>
      <c r="AB10" s="87" t="s">
        <v>312</v>
      </c>
      <c r="AD10" s="82" t="s">
        <v>241</v>
      </c>
      <c r="AE10" s="52"/>
      <c r="AF10" s="74">
        <f t="shared" ref="AF10:AF11" si="1">IF(D10&lt;&gt;"",1,0)</f>
        <v>0</v>
      </c>
      <c r="AG10" s="74">
        <f>IF(AND(SUM(AF:AF)&gt;0,OR(D10="",D10=0)),1,0)</f>
        <v>1</v>
      </c>
    </row>
    <row r="11" spans="1:33" ht="15" x14ac:dyDescent="0.15">
      <c r="A11" s="73" t="str">
        <f t="shared" si="0"/>
        <v>X</v>
      </c>
      <c r="B11" s="74">
        <v>1</v>
      </c>
      <c r="D11" s="448" t="str">
        <f>Costing!E10</f>
        <v/>
      </c>
      <c r="E11" s="448"/>
      <c r="F11" s="448"/>
      <c r="G11" s="448"/>
      <c r="H11" s="448"/>
      <c r="I11" s="448"/>
      <c r="J11" s="448"/>
      <c r="K11" s="448"/>
      <c r="L11" s="448"/>
      <c r="M11" s="448"/>
      <c r="N11" s="448"/>
      <c r="O11" s="448"/>
      <c r="P11" s="448"/>
      <c r="Q11" s="448"/>
      <c r="R11" s="448"/>
      <c r="S11" s="448"/>
      <c r="T11" s="448"/>
      <c r="U11" s="448"/>
      <c r="V11" s="448"/>
      <c r="W11" s="448"/>
      <c r="X11" s="448"/>
      <c r="Y11" s="448"/>
      <c r="Z11" s="448"/>
      <c r="AB11" s="87" t="s">
        <v>312</v>
      </c>
      <c r="AD11" s="82" t="s">
        <v>241</v>
      </c>
      <c r="AE11" s="52"/>
      <c r="AF11" s="74">
        <f t="shared" si="1"/>
        <v>0</v>
      </c>
      <c r="AG11" s="74">
        <f>IF(AND(SUM(AF:AF)&gt;0,OR(D11="",D11=0)),1,0)</f>
        <v>1</v>
      </c>
    </row>
    <row r="12" spans="1:33" ht="15" x14ac:dyDescent="0.15">
      <c r="A12" s="73" t="str">
        <f t="shared" si="0"/>
        <v>X</v>
      </c>
      <c r="B12" s="74">
        <v>1</v>
      </c>
      <c r="D12" s="448" t="str">
        <f>Costing!E11</f>
        <v/>
      </c>
      <c r="E12" s="448"/>
      <c r="F12" s="448"/>
      <c r="G12" s="448"/>
      <c r="H12" s="448"/>
      <c r="I12" s="448"/>
      <c r="J12" s="448"/>
      <c r="K12" s="448"/>
      <c r="L12" s="448"/>
      <c r="M12" s="448"/>
      <c r="N12" s="448"/>
      <c r="O12" s="448"/>
      <c r="P12" s="448"/>
      <c r="Q12" s="448"/>
      <c r="R12" s="448"/>
      <c r="S12" s="448"/>
      <c r="T12" s="448"/>
      <c r="U12" s="448"/>
      <c r="V12" s="448"/>
      <c r="W12" s="448"/>
      <c r="X12" s="448"/>
      <c r="Y12" s="448"/>
      <c r="Z12" s="448"/>
      <c r="AB12" s="87" t="s">
        <v>312</v>
      </c>
      <c r="AD12" s="82" t="s">
        <v>241</v>
      </c>
      <c r="AE12" s="52"/>
      <c r="AF12" s="74">
        <f>IF(D12&lt;&gt;"",1,0)</f>
        <v>0</v>
      </c>
      <c r="AG12" s="74">
        <f>IF(AND(SUM(AF:AF)&gt;0,OR(D12="",D12=0)),1,0)</f>
        <v>1</v>
      </c>
    </row>
    <row r="13" spans="1:33" ht="15" x14ac:dyDescent="0.15">
      <c r="A13" s="73" t="str">
        <f>IF(AG13=1,"X","")</f>
        <v>X</v>
      </c>
      <c r="B13" s="74">
        <v>1</v>
      </c>
      <c r="D13" s="450" t="s">
        <v>336</v>
      </c>
      <c r="E13" s="450"/>
      <c r="F13" s="450"/>
      <c r="G13" s="450"/>
      <c r="H13" s="450"/>
      <c r="I13" s="450" t="str">
        <f>Costing!E4</f>
        <v/>
      </c>
      <c r="J13" s="450"/>
      <c r="K13" s="450"/>
      <c r="L13" s="450"/>
      <c r="M13" s="450"/>
      <c r="N13" s="450"/>
      <c r="O13" s="450"/>
      <c r="P13" s="450"/>
      <c r="Q13" s="450"/>
      <c r="R13" s="450"/>
      <c r="S13" s="450"/>
      <c r="T13" s="450"/>
      <c r="U13" s="450"/>
      <c r="V13" s="450"/>
      <c r="W13" s="450"/>
      <c r="X13" s="450"/>
      <c r="Y13" s="450"/>
      <c r="Z13" s="450"/>
      <c r="AB13" s="87" t="s">
        <v>312</v>
      </c>
      <c r="AD13" s="82" t="s">
        <v>241</v>
      </c>
      <c r="AE13" s="52"/>
      <c r="AF13" s="74">
        <f>IF(I13&lt;&gt;"",1,0)</f>
        <v>0</v>
      </c>
      <c r="AG13" s="74">
        <f>IF(AND(SUM(AF:AF)&gt;0,OR(I13="",I13=0)),1,0)</f>
        <v>1</v>
      </c>
    </row>
    <row r="14" spans="1:33" ht="5" customHeight="1" x14ac:dyDescent="0.15">
      <c r="A14" s="73" t="str">
        <f t="shared" si="0"/>
        <v/>
      </c>
      <c r="B14" s="74">
        <v>1</v>
      </c>
      <c r="D14" s="459"/>
      <c r="E14" s="459"/>
      <c r="F14" s="459"/>
      <c r="G14" s="459"/>
      <c r="H14" s="459"/>
      <c r="I14" s="459"/>
      <c r="J14" s="459"/>
      <c r="K14" s="459"/>
      <c r="L14" s="459"/>
      <c r="M14" s="459"/>
      <c r="N14" s="459"/>
      <c r="O14" s="459"/>
      <c r="P14" s="459"/>
      <c r="Q14" s="459"/>
      <c r="R14" s="459"/>
      <c r="S14" s="459"/>
      <c r="T14" s="459"/>
      <c r="U14" s="459"/>
      <c r="V14" s="459"/>
      <c r="W14" s="459"/>
      <c r="X14" s="459"/>
      <c r="Y14" s="459"/>
      <c r="Z14" s="459"/>
      <c r="AD14" s="82" t="s">
        <v>241</v>
      </c>
      <c r="AE14" s="52"/>
      <c r="AF14" s="13"/>
      <c r="AG14" s="13"/>
    </row>
    <row r="15" spans="1:33" ht="18.75" customHeight="1" x14ac:dyDescent="0.15">
      <c r="A15" s="73" t="str">
        <f t="shared" si="0"/>
        <v/>
      </c>
      <c r="B15" s="74">
        <v>1</v>
      </c>
      <c r="D15" s="435" t="s">
        <v>335</v>
      </c>
      <c r="E15" s="435"/>
      <c r="F15" s="435"/>
      <c r="G15" s="435"/>
      <c r="H15" s="435"/>
      <c r="I15" s="435"/>
      <c r="J15" s="435"/>
      <c r="K15" s="435"/>
      <c r="L15" s="435"/>
      <c r="M15" s="435"/>
      <c r="N15" s="435"/>
      <c r="O15" s="435"/>
      <c r="P15" s="435"/>
      <c r="Q15" s="435"/>
      <c r="R15" s="435"/>
      <c r="S15" s="435"/>
      <c r="T15" s="435"/>
      <c r="U15" s="435"/>
      <c r="V15" s="435"/>
      <c r="W15" s="435"/>
      <c r="X15" s="435"/>
      <c r="Y15" s="435"/>
      <c r="Z15" s="435"/>
      <c r="AB15" s="87" t="s">
        <v>310</v>
      </c>
      <c r="AD15" s="82" t="s">
        <v>241</v>
      </c>
      <c r="AE15" s="52"/>
      <c r="AF15" s="13"/>
      <c r="AG15" s="13"/>
    </row>
    <row r="16" spans="1:33" ht="16" x14ac:dyDescent="0.2">
      <c r="A16" s="73" t="str">
        <f t="shared" si="0"/>
        <v>X</v>
      </c>
      <c r="B16" s="74">
        <v>1</v>
      </c>
      <c r="D16" s="432" t="s">
        <v>368</v>
      </c>
      <c r="E16" s="432"/>
      <c r="F16" s="432"/>
      <c r="G16" s="432"/>
      <c r="H16" s="432"/>
      <c r="I16" s="432"/>
      <c r="J16" s="432"/>
      <c r="K16" s="452"/>
      <c r="L16" s="452"/>
      <c r="M16" s="452"/>
      <c r="N16" s="452"/>
      <c r="O16" s="452"/>
      <c r="P16" s="452"/>
      <c r="Q16" s="452"/>
      <c r="R16" s="452"/>
      <c r="S16" s="452"/>
      <c r="T16" s="452"/>
      <c r="U16" s="452"/>
      <c r="V16" s="452"/>
      <c r="W16" s="452"/>
      <c r="X16" s="452"/>
      <c r="Y16" s="452"/>
      <c r="Z16" s="452"/>
      <c r="AB16" s="75" t="s">
        <v>400</v>
      </c>
      <c r="AD16" s="82" t="s">
        <v>241</v>
      </c>
      <c r="AE16" s="78"/>
      <c r="AF16" s="74">
        <f>IF(K16&lt;&gt;"",1,0)</f>
        <v>0</v>
      </c>
      <c r="AG16" s="74">
        <f>IF(AND(SUM(AF:AF)&gt;0,K16=""),1,0)</f>
        <v>1</v>
      </c>
    </row>
    <row r="17" spans="1:33" ht="16" x14ac:dyDescent="0.2">
      <c r="A17" s="73" t="str">
        <f t="shared" si="0"/>
        <v>X</v>
      </c>
      <c r="B17" s="74">
        <v>1</v>
      </c>
      <c r="D17" s="432" t="s">
        <v>235</v>
      </c>
      <c r="E17" s="432"/>
      <c r="F17" s="432"/>
      <c r="G17" s="432"/>
      <c r="H17" s="432"/>
      <c r="I17" s="432"/>
      <c r="J17" s="432"/>
      <c r="K17" s="452"/>
      <c r="L17" s="452"/>
      <c r="M17" s="452"/>
      <c r="N17" s="452"/>
      <c r="O17" s="452"/>
      <c r="P17" s="452"/>
      <c r="Q17" s="452"/>
      <c r="R17" s="452"/>
      <c r="S17" s="452"/>
      <c r="T17" s="452"/>
      <c r="U17" s="452"/>
      <c r="V17" s="452"/>
      <c r="W17" s="452"/>
      <c r="X17" s="452"/>
      <c r="Y17" s="452"/>
      <c r="Z17" s="452"/>
      <c r="AB17" s="75" t="s">
        <v>236</v>
      </c>
      <c r="AD17" s="82" t="s">
        <v>241</v>
      </c>
      <c r="AE17" s="78"/>
      <c r="AF17" s="74">
        <f>IF(K17&lt;&gt;"",1,0)</f>
        <v>0</v>
      </c>
      <c r="AG17" s="74">
        <f>IF(AND(SUM(AF:AF)&gt;0,K17=""),1,0)</f>
        <v>1</v>
      </c>
    </row>
    <row r="18" spans="1:33" ht="16" x14ac:dyDescent="0.2">
      <c r="A18" s="73" t="str">
        <f t="shared" ref="A18" si="2">IF(AG18=1,"X","")</f>
        <v>X</v>
      </c>
      <c r="B18" s="74">
        <v>1</v>
      </c>
      <c r="D18" s="432" t="s">
        <v>240</v>
      </c>
      <c r="E18" s="432"/>
      <c r="F18" s="432"/>
      <c r="G18" s="432"/>
      <c r="H18" s="432"/>
      <c r="I18" s="432"/>
      <c r="J18" s="432"/>
      <c r="K18" s="103"/>
      <c r="L18" s="94" t="s">
        <v>311</v>
      </c>
      <c r="M18" s="104"/>
      <c r="N18" s="104"/>
      <c r="O18" s="104"/>
      <c r="P18" s="104"/>
      <c r="Q18" s="104"/>
      <c r="R18" s="104"/>
      <c r="S18" s="104"/>
      <c r="T18" s="104"/>
      <c r="U18" s="104"/>
      <c r="V18" s="104"/>
      <c r="W18" s="104"/>
      <c r="X18" s="104"/>
      <c r="Y18" s="104"/>
      <c r="Z18" s="104"/>
      <c r="AB18" s="75" t="s">
        <v>236</v>
      </c>
      <c r="AD18" s="82" t="s">
        <v>241</v>
      </c>
      <c r="AE18" s="78"/>
      <c r="AF18" s="74">
        <f>IF(K18&lt;&gt;"",1,0)</f>
        <v>0</v>
      </c>
      <c r="AG18" s="74">
        <f>IF(AND(SUM(AF:AF)&gt;0,K18=""),1,0)</f>
        <v>1</v>
      </c>
    </row>
    <row r="19" spans="1:33" ht="31" customHeight="1" x14ac:dyDescent="0.15">
      <c r="A19" s="73" t="str">
        <f t="shared" si="0"/>
        <v/>
      </c>
      <c r="B19" s="74">
        <v>1</v>
      </c>
      <c r="D19" s="435" t="s">
        <v>248</v>
      </c>
      <c r="E19" s="435"/>
      <c r="F19" s="435"/>
      <c r="G19" s="435"/>
      <c r="H19" s="435"/>
      <c r="I19" s="435"/>
      <c r="J19" s="435"/>
      <c r="K19" s="435"/>
      <c r="L19" s="435"/>
      <c r="M19" s="435"/>
      <c r="N19" s="435"/>
      <c r="O19" s="435"/>
      <c r="P19" s="435"/>
      <c r="Q19" s="435"/>
      <c r="R19" s="435"/>
      <c r="S19" s="435"/>
      <c r="T19" s="435"/>
      <c r="U19" s="435"/>
      <c r="V19" s="435"/>
      <c r="W19" s="435"/>
      <c r="X19" s="435"/>
      <c r="Y19" s="435"/>
      <c r="Z19" s="435"/>
      <c r="AB19" s="87" t="s">
        <v>310</v>
      </c>
      <c r="AD19" s="82" t="s">
        <v>241</v>
      </c>
      <c r="AE19" s="78"/>
      <c r="AF19" s="13"/>
      <c r="AG19" s="13"/>
    </row>
    <row r="20" spans="1:33" ht="21" customHeight="1" x14ac:dyDescent="0.2">
      <c r="A20" s="73" t="str">
        <f t="shared" ref="A20" si="3">IF(AG20=1,"X","")</f>
        <v/>
      </c>
      <c r="B20" s="74">
        <v>0</v>
      </c>
      <c r="D20" s="446" t="s">
        <v>299</v>
      </c>
      <c r="E20" s="446"/>
      <c r="F20" s="446"/>
      <c r="G20" s="446"/>
      <c r="H20" s="446"/>
      <c r="I20" s="446"/>
      <c r="J20" s="446"/>
      <c r="K20" s="446"/>
      <c r="L20" s="446"/>
      <c r="M20" s="446"/>
      <c r="N20" s="446"/>
      <c r="O20" s="446"/>
      <c r="P20" s="446"/>
      <c r="Q20" s="446"/>
      <c r="R20" s="446"/>
      <c r="S20" s="446"/>
      <c r="T20" s="446"/>
      <c r="U20" s="446"/>
      <c r="V20" s="446"/>
      <c r="W20" s="446"/>
      <c r="X20" s="446"/>
      <c r="Y20" s="446"/>
      <c r="Z20" s="446"/>
      <c r="AB20" s="87" t="s">
        <v>314</v>
      </c>
      <c r="AD20" s="82" t="s">
        <v>288</v>
      </c>
      <c r="AE20" s="27"/>
      <c r="AF20" s="13"/>
      <c r="AG20" s="13"/>
    </row>
    <row r="21" spans="1:33" ht="15.75" customHeight="1" x14ac:dyDescent="0.2">
      <c r="A21" s="73"/>
      <c r="B21" s="74">
        <v>0</v>
      </c>
      <c r="D21" s="443" t="s">
        <v>303</v>
      </c>
      <c r="E21" s="443"/>
      <c r="F21" s="443"/>
      <c r="G21" s="443"/>
      <c r="H21" s="443"/>
      <c r="I21" s="443"/>
      <c r="J21" s="443"/>
      <c r="K21" s="443"/>
      <c r="L21" s="443"/>
      <c r="M21" s="443"/>
      <c r="N21" s="443"/>
      <c r="O21" s="443"/>
      <c r="P21" s="443"/>
      <c r="Q21" s="443"/>
      <c r="R21" s="443"/>
      <c r="S21" s="443"/>
      <c r="T21" s="443"/>
      <c r="U21" s="443"/>
      <c r="V21" s="443"/>
      <c r="W21" s="443"/>
      <c r="X21" s="443"/>
      <c r="Y21" s="443"/>
      <c r="Z21" s="443"/>
      <c r="AB21" s="87" t="s">
        <v>314</v>
      </c>
      <c r="AD21" s="82" t="s">
        <v>288</v>
      </c>
      <c r="AE21" s="27"/>
      <c r="AF21" s="13"/>
      <c r="AG21" s="13"/>
    </row>
    <row r="22" spans="1:33" ht="8.5" customHeight="1" x14ac:dyDescent="0.15">
      <c r="A22" s="73" t="str">
        <f>IF(AG22=1,"X","")</f>
        <v/>
      </c>
      <c r="B22" s="74">
        <f>IF(OR(D23="Show",Q23="Show"),1,0)</f>
        <v>1</v>
      </c>
      <c r="D22" s="426"/>
      <c r="E22" s="426"/>
      <c r="F22" s="426"/>
      <c r="G22" s="426"/>
      <c r="H22" s="426"/>
      <c r="I22" s="426"/>
      <c r="J22" s="426"/>
      <c r="K22" s="426"/>
      <c r="L22" s="426"/>
      <c r="M22" s="426"/>
      <c r="N22" s="426"/>
      <c r="O22" s="426"/>
      <c r="P22" s="426"/>
      <c r="Q22" s="426"/>
      <c r="R22" s="426"/>
      <c r="S22" s="426"/>
      <c r="T22" s="426"/>
      <c r="U22" s="426"/>
      <c r="V22" s="426"/>
      <c r="W22" s="426"/>
      <c r="X22" s="426"/>
      <c r="Y22" s="426"/>
      <c r="Z22" s="426"/>
      <c r="AD22" s="82" t="s">
        <v>241</v>
      </c>
      <c r="AE22" s="52"/>
      <c r="AF22" s="13"/>
      <c r="AG22" s="13"/>
    </row>
    <row r="23" spans="1:33" ht="18" customHeight="1" x14ac:dyDescent="0.2">
      <c r="A23" s="73" t="str">
        <f t="shared" ref="A23:A26" si="4">IF(AG23=1,"X","")</f>
        <v/>
      </c>
      <c r="B23" s="74">
        <v>0</v>
      </c>
      <c r="D23" s="427" t="s">
        <v>402</v>
      </c>
      <c r="E23" s="427"/>
      <c r="F23" s="427"/>
      <c r="G23" s="427"/>
      <c r="H23" s="427"/>
      <c r="I23" s="427"/>
      <c r="J23" s="427"/>
      <c r="K23" s="427"/>
      <c r="L23" s="427"/>
      <c r="M23" s="427"/>
      <c r="N23" s="427"/>
      <c r="O23" s="84"/>
      <c r="P23" s="84"/>
      <c r="Q23" s="427" t="s">
        <v>402</v>
      </c>
      <c r="R23" s="427"/>
      <c r="S23" s="427"/>
      <c r="T23" s="427"/>
      <c r="U23" s="427"/>
      <c r="V23" s="427"/>
      <c r="W23" s="427"/>
      <c r="X23" s="427"/>
      <c r="Y23" s="427"/>
      <c r="Z23" s="427"/>
      <c r="AA23" s="65"/>
      <c r="AB23" s="75" t="s">
        <v>302</v>
      </c>
      <c r="AD23" s="80" t="s">
        <v>242</v>
      </c>
      <c r="AE23" s="27"/>
      <c r="AF23" s="74">
        <f>IF(OR(D23="Show",D23="",Q23="Show",Q23=""),1,0)</f>
        <v>1</v>
      </c>
      <c r="AG23" s="74">
        <f>IF(AND(SUM(AF:AF)&gt;0,OR(D23="",Q23="")),1,0)</f>
        <v>0</v>
      </c>
    </row>
    <row r="24" spans="1:33" ht="197.25" customHeight="1" x14ac:dyDescent="0.2">
      <c r="A24" s="73" t="str">
        <f t="shared" si="4"/>
        <v/>
      </c>
      <c r="B24" s="74">
        <f>B22</f>
        <v>1</v>
      </c>
      <c r="D24" s="427"/>
      <c r="E24" s="427"/>
      <c r="F24" s="427"/>
      <c r="G24" s="427"/>
      <c r="H24" s="427"/>
      <c r="I24" s="427"/>
      <c r="J24" s="427"/>
      <c r="K24" s="427"/>
      <c r="L24" s="427"/>
      <c r="M24" s="427"/>
      <c r="N24" s="427"/>
      <c r="O24" s="84"/>
      <c r="P24" s="84"/>
      <c r="Q24" s="427"/>
      <c r="R24" s="427"/>
      <c r="S24" s="427"/>
      <c r="T24" s="427"/>
      <c r="U24" s="427"/>
      <c r="V24" s="427"/>
      <c r="W24" s="427"/>
      <c r="X24" s="427"/>
      <c r="Y24" s="427"/>
      <c r="Z24" s="427"/>
      <c r="AA24" s="65"/>
      <c r="AB24" s="75" t="s">
        <v>301</v>
      </c>
      <c r="AD24" s="80" t="s">
        <v>242</v>
      </c>
      <c r="AE24" s="78"/>
      <c r="AF24" s="13"/>
      <c r="AG24" s="13"/>
    </row>
    <row r="25" spans="1:33" ht="18" customHeight="1" x14ac:dyDescent="0.2">
      <c r="A25" s="73" t="str">
        <f t="shared" si="4"/>
        <v/>
      </c>
      <c r="B25" s="74">
        <f>B24</f>
        <v>1</v>
      </c>
      <c r="D25" s="430" t="s">
        <v>403</v>
      </c>
      <c r="E25" s="430"/>
      <c r="F25" s="430"/>
      <c r="G25" s="430"/>
      <c r="H25" s="430"/>
      <c r="I25" s="430"/>
      <c r="J25" s="430"/>
      <c r="K25" s="430"/>
      <c r="L25" s="430"/>
      <c r="M25" s="430"/>
      <c r="N25" s="430"/>
      <c r="O25" s="84"/>
      <c r="P25" s="84"/>
      <c r="Q25" s="430" t="s">
        <v>404</v>
      </c>
      <c r="R25" s="430"/>
      <c r="S25" s="430"/>
      <c r="T25" s="430"/>
      <c r="U25" s="430"/>
      <c r="V25" s="430"/>
      <c r="W25" s="430"/>
      <c r="X25" s="430"/>
      <c r="Y25" s="430"/>
      <c r="Z25" s="430"/>
      <c r="AA25" s="65"/>
      <c r="AB25" s="75" t="s">
        <v>300</v>
      </c>
      <c r="AD25" s="80" t="s">
        <v>242</v>
      </c>
      <c r="AE25" s="78"/>
      <c r="AF25" s="74">
        <f>IF(OR(D23="Show",D23="",Q23="Show",Q23=""),1,0)</f>
        <v>1</v>
      </c>
      <c r="AG25" s="74">
        <f>IF(AND(SUM(AF:AF)&gt;0,OR(AND(D23="Show",D25=""),AND(Q23="Show",Q25=""))),1,0)</f>
        <v>0</v>
      </c>
    </row>
    <row r="26" spans="1:33" ht="8.5" customHeight="1" x14ac:dyDescent="0.15">
      <c r="A26" s="73" t="str">
        <f t="shared" si="4"/>
        <v/>
      </c>
      <c r="B26" s="74">
        <f>B25</f>
        <v>1</v>
      </c>
      <c r="D26" s="426"/>
      <c r="E26" s="426"/>
      <c r="F26" s="426"/>
      <c r="G26" s="426"/>
      <c r="H26" s="426"/>
      <c r="I26" s="426"/>
      <c r="J26" s="426"/>
      <c r="K26" s="426"/>
      <c r="L26" s="426"/>
      <c r="M26" s="426"/>
      <c r="N26" s="426"/>
      <c r="O26" s="426"/>
      <c r="P26" s="426"/>
      <c r="Q26" s="426"/>
      <c r="R26" s="426"/>
      <c r="S26" s="426"/>
      <c r="T26" s="426"/>
      <c r="U26" s="426"/>
      <c r="V26" s="426"/>
      <c r="W26" s="426"/>
      <c r="X26" s="426"/>
      <c r="Y26" s="426"/>
      <c r="Z26" s="426"/>
      <c r="AA26" s="65"/>
      <c r="AD26" s="82" t="s">
        <v>241</v>
      </c>
      <c r="AE26" s="52"/>
      <c r="AF26" s="13"/>
      <c r="AG26" s="13"/>
    </row>
    <row r="27" spans="1:33" ht="15.75" customHeight="1" x14ac:dyDescent="0.2">
      <c r="A27" s="73"/>
      <c r="B27" s="74">
        <v>0</v>
      </c>
      <c r="D27" s="443" t="s">
        <v>304</v>
      </c>
      <c r="E27" s="443"/>
      <c r="F27" s="443"/>
      <c r="G27" s="443"/>
      <c r="H27" s="443"/>
      <c r="I27" s="443"/>
      <c r="J27" s="443"/>
      <c r="K27" s="443"/>
      <c r="L27" s="443"/>
      <c r="M27" s="443"/>
      <c r="N27" s="443"/>
      <c r="O27" s="443"/>
      <c r="P27" s="443"/>
      <c r="Q27" s="443"/>
      <c r="R27" s="443"/>
      <c r="S27" s="443"/>
      <c r="T27" s="443"/>
      <c r="U27" s="443"/>
      <c r="V27" s="443"/>
      <c r="W27" s="443"/>
      <c r="X27" s="443"/>
      <c r="Y27" s="443"/>
      <c r="Z27" s="443"/>
      <c r="AB27" s="87" t="s">
        <v>314</v>
      </c>
      <c r="AD27" s="82" t="s">
        <v>288</v>
      </c>
      <c r="AE27" s="27"/>
      <c r="AF27" s="13"/>
      <c r="AG27" s="13"/>
    </row>
    <row r="28" spans="1:33" ht="15" customHeight="1" x14ac:dyDescent="0.2">
      <c r="A28" s="73" t="str">
        <f t="shared" si="0"/>
        <v>X</v>
      </c>
      <c r="B28" s="74">
        <v>1</v>
      </c>
      <c r="D28" s="432" t="s">
        <v>173</v>
      </c>
      <c r="E28" s="432"/>
      <c r="F28" s="432"/>
      <c r="G28" s="432"/>
      <c r="H28" s="432"/>
      <c r="I28" s="432"/>
      <c r="J28" s="432"/>
      <c r="K28" s="432"/>
      <c r="L28" s="432"/>
      <c r="M28" s="449"/>
      <c r="N28" s="449"/>
      <c r="O28" s="449"/>
      <c r="P28" s="449"/>
      <c r="Q28" s="449"/>
      <c r="R28" s="449"/>
      <c r="S28" s="449"/>
      <c r="T28" s="449"/>
      <c r="U28" s="449"/>
      <c r="V28" s="449"/>
      <c r="W28" s="449"/>
      <c r="X28" s="449"/>
      <c r="Y28" s="449"/>
      <c r="Z28" s="449"/>
      <c r="AB28" s="75" t="s">
        <v>236</v>
      </c>
      <c r="AD28" s="82" t="s">
        <v>241</v>
      </c>
      <c r="AE28" s="78"/>
      <c r="AF28" s="74">
        <f>IF(M28&lt;&gt;"",1,0)</f>
        <v>0</v>
      </c>
      <c r="AG28" s="74">
        <f>IF(AND(SUM(AF:AF)&gt;0,M28=""),1,0)</f>
        <v>1</v>
      </c>
    </row>
    <row r="29" spans="1:33" ht="16" x14ac:dyDescent="0.2">
      <c r="A29" s="73" t="str">
        <f t="shared" si="0"/>
        <v>X</v>
      </c>
      <c r="B29" s="74">
        <v>1</v>
      </c>
      <c r="D29" s="432" t="s">
        <v>174</v>
      </c>
      <c r="E29" s="432"/>
      <c r="F29" s="432"/>
      <c r="G29" s="432"/>
      <c r="H29" s="432"/>
      <c r="I29" s="432"/>
      <c r="J29" s="432"/>
      <c r="K29" s="432"/>
      <c r="L29" s="432"/>
      <c r="M29" s="449"/>
      <c r="N29" s="449"/>
      <c r="O29" s="449"/>
      <c r="P29" s="449"/>
      <c r="Q29" s="449"/>
      <c r="R29" s="449"/>
      <c r="S29" s="449"/>
      <c r="T29" s="449"/>
      <c r="U29" s="449"/>
      <c r="V29" s="449"/>
      <c r="W29" s="449"/>
      <c r="X29" s="449"/>
      <c r="Y29" s="449"/>
      <c r="Z29" s="449"/>
      <c r="AB29" s="75" t="s">
        <v>236</v>
      </c>
      <c r="AD29" s="82" t="s">
        <v>241</v>
      </c>
      <c r="AE29" s="78"/>
      <c r="AF29" s="74">
        <f>IF(M29&lt;&gt;"",1,0)</f>
        <v>0</v>
      </c>
      <c r="AG29" s="74">
        <f>IF(AND(SUM(AF:AF)&gt;0,M29=""),1,0)</f>
        <v>1</v>
      </c>
    </row>
    <row r="30" spans="1:33" ht="16" x14ac:dyDescent="0.2">
      <c r="A30" s="73" t="str">
        <f t="shared" si="0"/>
        <v>X</v>
      </c>
      <c r="B30" s="74">
        <v>1</v>
      </c>
      <c r="D30" s="432" t="s">
        <v>175</v>
      </c>
      <c r="E30" s="432"/>
      <c r="F30" s="432"/>
      <c r="G30" s="432"/>
      <c r="H30" s="432"/>
      <c r="I30" s="432"/>
      <c r="J30" s="432"/>
      <c r="K30" s="432"/>
      <c r="L30" s="432"/>
      <c r="M30" s="449"/>
      <c r="N30" s="449"/>
      <c r="O30" s="449"/>
      <c r="P30" s="449"/>
      <c r="Q30" s="449"/>
      <c r="R30" s="449"/>
      <c r="S30" s="449"/>
      <c r="T30" s="449"/>
      <c r="U30" s="449"/>
      <c r="V30" s="449"/>
      <c r="W30" s="449"/>
      <c r="X30" s="449"/>
      <c r="Y30" s="449"/>
      <c r="Z30" s="449"/>
      <c r="AB30" s="75" t="s">
        <v>236</v>
      </c>
      <c r="AD30" s="82" t="s">
        <v>241</v>
      </c>
      <c r="AE30" s="78"/>
      <c r="AF30" s="74">
        <f>IF(M30&lt;&gt;"",1,0)</f>
        <v>0</v>
      </c>
      <c r="AG30" s="74">
        <f>IF(AND(SUM(AF:AF)&gt;0,M30=""),1,0)</f>
        <v>1</v>
      </c>
    </row>
    <row r="31" spans="1:33" ht="31" customHeight="1" x14ac:dyDescent="0.15">
      <c r="A31" s="73" t="str">
        <f t="shared" si="0"/>
        <v/>
      </c>
      <c r="B31" s="74">
        <v>1</v>
      </c>
      <c r="D31" s="435" t="s">
        <v>249</v>
      </c>
      <c r="E31" s="435"/>
      <c r="F31" s="435"/>
      <c r="G31" s="435"/>
      <c r="H31" s="435"/>
      <c r="I31" s="435"/>
      <c r="J31" s="435"/>
      <c r="K31" s="435"/>
      <c r="L31" s="435"/>
      <c r="M31" s="435"/>
      <c r="N31" s="435"/>
      <c r="O31" s="435"/>
      <c r="P31" s="435"/>
      <c r="Q31" s="435"/>
      <c r="R31" s="435"/>
      <c r="S31" s="435"/>
      <c r="T31" s="435"/>
      <c r="U31" s="435"/>
      <c r="V31" s="435"/>
      <c r="W31" s="435"/>
      <c r="X31" s="435"/>
      <c r="Y31" s="435"/>
      <c r="Z31" s="435"/>
      <c r="AB31" s="87" t="s">
        <v>310</v>
      </c>
      <c r="AD31" s="82" t="s">
        <v>241</v>
      </c>
      <c r="AE31" s="78"/>
      <c r="AF31" s="13"/>
      <c r="AG31" s="13"/>
    </row>
    <row r="32" spans="1:33" ht="34.5" customHeight="1" x14ac:dyDescent="0.2">
      <c r="A32" s="73" t="str">
        <f t="shared" si="0"/>
        <v/>
      </c>
      <c r="B32" s="74">
        <v>1</v>
      </c>
      <c r="D32" s="424" t="s">
        <v>239</v>
      </c>
      <c r="E32" s="424"/>
      <c r="F32" s="424"/>
      <c r="G32" s="424"/>
      <c r="H32" s="424"/>
      <c r="I32" s="424"/>
      <c r="J32" s="424"/>
      <c r="K32" s="424"/>
      <c r="L32" s="424"/>
      <c r="M32" s="424"/>
      <c r="N32" s="424"/>
      <c r="O32" s="424"/>
      <c r="P32" s="424"/>
      <c r="Q32" s="424"/>
      <c r="R32" s="424"/>
      <c r="S32" s="424"/>
      <c r="T32" s="424"/>
      <c r="U32" s="424"/>
      <c r="V32" s="424"/>
      <c r="W32" s="424"/>
      <c r="X32" s="424"/>
      <c r="Y32" s="424"/>
      <c r="Z32" s="424"/>
      <c r="AA32" s="60"/>
      <c r="AB32" s="87" t="s">
        <v>310</v>
      </c>
      <c r="AD32" s="82" t="s">
        <v>241</v>
      </c>
      <c r="AE32" s="78"/>
      <c r="AF32" s="13"/>
      <c r="AG32" s="13"/>
    </row>
    <row r="33" spans="1:33" ht="18" customHeight="1" x14ac:dyDescent="0.2">
      <c r="A33" s="73" t="str">
        <f t="shared" si="0"/>
        <v>X</v>
      </c>
      <c r="B33" s="74">
        <v>1</v>
      </c>
      <c r="D33" s="451" t="str">
        <f>IF(D35&lt;&gt;"",D35,IF([1]Details!$C$13=0,"",[1]Details!$C$13))</f>
        <v/>
      </c>
      <c r="E33" s="451"/>
      <c r="F33" s="451"/>
      <c r="G33" s="451"/>
      <c r="H33" s="451"/>
      <c r="I33" s="451"/>
      <c r="J33" s="451"/>
      <c r="K33" s="451"/>
      <c r="L33" s="451"/>
      <c r="M33" s="451"/>
      <c r="N33" s="451"/>
      <c r="O33" s="451"/>
      <c r="P33" s="451"/>
      <c r="Q33" s="451"/>
      <c r="R33" s="451"/>
      <c r="S33" s="451"/>
      <c r="T33" s="451"/>
      <c r="U33" s="451"/>
      <c r="V33" s="451"/>
      <c r="W33" s="451"/>
      <c r="X33" s="451"/>
      <c r="Y33" s="451"/>
      <c r="Z33" s="451"/>
      <c r="AA33" s="61"/>
      <c r="AB33" s="87" t="s">
        <v>312</v>
      </c>
      <c r="AD33" s="82" t="s">
        <v>241</v>
      </c>
      <c r="AE33" s="78"/>
      <c r="AF33" s="74">
        <f>IF(D33&lt;&gt;"",1,0)</f>
        <v>0</v>
      </c>
      <c r="AG33" s="74">
        <f>IF(AND(SUM(AF:AF)&gt;0,OR(D33="",D33=0)),1,0)</f>
        <v>1</v>
      </c>
    </row>
    <row r="34" spans="1:33" ht="31" customHeight="1" x14ac:dyDescent="0.15">
      <c r="A34" s="73" t="str">
        <f t="shared" si="0"/>
        <v/>
      </c>
      <c r="B34" s="74">
        <v>0</v>
      </c>
      <c r="D34" s="425" t="s">
        <v>392</v>
      </c>
      <c r="E34" s="425"/>
      <c r="F34" s="425"/>
      <c r="G34" s="425"/>
      <c r="H34" s="425"/>
      <c r="I34" s="425"/>
      <c r="J34" s="425"/>
      <c r="K34" s="425"/>
      <c r="L34" s="425"/>
      <c r="M34" s="425"/>
      <c r="N34" s="425"/>
      <c r="O34" s="425"/>
      <c r="P34" s="425"/>
      <c r="Q34" s="425"/>
      <c r="R34" s="425"/>
      <c r="S34" s="425"/>
      <c r="T34" s="425"/>
      <c r="U34" s="425"/>
      <c r="V34" s="425"/>
      <c r="W34" s="425"/>
      <c r="X34" s="425"/>
      <c r="Y34" s="425"/>
      <c r="Z34" s="425"/>
      <c r="AB34" s="87" t="s">
        <v>314</v>
      </c>
      <c r="AC34" s="58"/>
      <c r="AD34" s="82" t="s">
        <v>288</v>
      </c>
      <c r="AE34" s="27"/>
      <c r="AF34" s="13"/>
      <c r="AG34" s="13"/>
    </row>
    <row r="35" spans="1:33" ht="18" customHeight="1" x14ac:dyDescent="0.2">
      <c r="A35" s="73" t="str">
        <f t="shared" ref="A35" si="5">IF(AG35=1,"X","")</f>
        <v/>
      </c>
      <c r="B35" s="74">
        <v>0</v>
      </c>
      <c r="D35" s="433"/>
      <c r="E35" s="433"/>
      <c r="F35" s="433"/>
      <c r="G35" s="433"/>
      <c r="H35" s="433"/>
      <c r="I35" s="433"/>
      <c r="J35" s="433"/>
      <c r="K35" s="433"/>
      <c r="L35" s="433"/>
      <c r="M35" s="433"/>
      <c r="N35" s="433"/>
      <c r="O35" s="433"/>
      <c r="P35" s="433"/>
      <c r="Q35" s="433"/>
      <c r="R35" s="433"/>
      <c r="S35" s="433"/>
      <c r="T35" s="433"/>
      <c r="U35" s="433"/>
      <c r="V35" s="433"/>
      <c r="W35" s="433"/>
      <c r="X35" s="433"/>
      <c r="Y35" s="433"/>
      <c r="Z35" s="433"/>
      <c r="AA35" s="61"/>
      <c r="AB35" s="87" t="s">
        <v>314</v>
      </c>
      <c r="AD35" s="82" t="s">
        <v>288</v>
      </c>
      <c r="AE35" s="78"/>
      <c r="AF35" s="13"/>
      <c r="AG35" s="13"/>
    </row>
    <row r="36" spans="1:33" x14ac:dyDescent="0.15">
      <c r="A36" s="73" t="str">
        <f t="shared" ref="A36" si="6">IF(AG36=1,"X","")</f>
        <v/>
      </c>
      <c r="B36" s="74">
        <v>1</v>
      </c>
      <c r="D36" s="426"/>
      <c r="E36" s="426"/>
      <c r="F36" s="426"/>
      <c r="G36" s="426"/>
      <c r="H36" s="426"/>
      <c r="I36" s="426"/>
      <c r="J36" s="426"/>
      <c r="K36" s="426"/>
      <c r="L36" s="426"/>
      <c r="M36" s="426"/>
      <c r="N36" s="426"/>
      <c r="O36" s="426"/>
      <c r="P36" s="426"/>
      <c r="Q36" s="426"/>
      <c r="R36" s="426"/>
      <c r="S36" s="426"/>
      <c r="T36" s="426"/>
      <c r="U36" s="426"/>
      <c r="V36" s="426"/>
      <c r="W36" s="426"/>
      <c r="X36" s="426"/>
      <c r="Y36" s="426"/>
      <c r="Z36" s="426"/>
      <c r="AD36" s="82" t="s">
        <v>241</v>
      </c>
      <c r="AE36" s="52"/>
      <c r="AF36" s="13"/>
      <c r="AG36" s="13"/>
    </row>
    <row r="37" spans="1:33" ht="29.25" customHeight="1" x14ac:dyDescent="0.2">
      <c r="A37" s="73" t="str">
        <f t="shared" si="0"/>
        <v/>
      </c>
      <c r="B37" s="74">
        <v>1</v>
      </c>
      <c r="D37" s="424" t="s">
        <v>354</v>
      </c>
      <c r="E37" s="424"/>
      <c r="F37" s="424"/>
      <c r="G37" s="424"/>
      <c r="H37" s="424"/>
      <c r="I37" s="424"/>
      <c r="J37" s="424"/>
      <c r="K37" s="424"/>
      <c r="L37" s="424"/>
      <c r="M37" s="424"/>
      <c r="N37" s="424"/>
      <c r="O37" s="424"/>
      <c r="P37" s="424"/>
      <c r="Q37" s="424"/>
      <c r="R37" s="424"/>
      <c r="S37" s="424"/>
      <c r="T37" s="424"/>
      <c r="U37" s="424"/>
      <c r="V37" s="424"/>
      <c r="W37" s="424"/>
      <c r="X37" s="424"/>
      <c r="Y37" s="424"/>
      <c r="Z37" s="424"/>
      <c r="AA37" s="60"/>
      <c r="AB37" s="87" t="s">
        <v>310</v>
      </c>
      <c r="AD37" s="82" t="s">
        <v>241</v>
      </c>
      <c r="AE37" s="78"/>
      <c r="AF37" s="13"/>
      <c r="AG37" s="13"/>
    </row>
    <row r="38" spans="1:33" ht="31" customHeight="1" x14ac:dyDescent="0.15">
      <c r="A38" s="73" t="str">
        <f t="shared" si="0"/>
        <v/>
      </c>
      <c r="B38" s="74">
        <v>1</v>
      </c>
      <c r="D38" s="435" t="s">
        <v>250</v>
      </c>
      <c r="E38" s="435"/>
      <c r="F38" s="435"/>
      <c r="G38" s="435"/>
      <c r="H38" s="435"/>
      <c r="I38" s="435"/>
      <c r="J38" s="435"/>
      <c r="K38" s="435"/>
      <c r="L38" s="435"/>
      <c r="M38" s="435"/>
      <c r="N38" s="435"/>
      <c r="O38" s="435"/>
      <c r="P38" s="435"/>
      <c r="Q38" s="435"/>
      <c r="R38" s="435"/>
      <c r="S38" s="435"/>
      <c r="T38" s="435"/>
      <c r="U38" s="435"/>
      <c r="V38" s="435"/>
      <c r="W38" s="435"/>
      <c r="X38" s="435"/>
      <c r="Y38" s="435"/>
      <c r="Z38" s="435"/>
      <c r="AB38" s="87" t="s">
        <v>310</v>
      </c>
      <c r="AD38" s="82" t="s">
        <v>241</v>
      </c>
      <c r="AE38" s="78"/>
      <c r="AF38" s="13"/>
      <c r="AG38" s="13"/>
    </row>
    <row r="39" spans="1:33" ht="30.75" customHeight="1" x14ac:dyDescent="0.2">
      <c r="A39" s="73" t="str">
        <f t="shared" si="0"/>
        <v/>
      </c>
      <c r="B39" s="74">
        <v>1</v>
      </c>
      <c r="D39" s="424" t="s">
        <v>176</v>
      </c>
      <c r="E39" s="424"/>
      <c r="F39" s="424"/>
      <c r="G39" s="424"/>
      <c r="H39" s="424"/>
      <c r="I39" s="424"/>
      <c r="J39" s="424"/>
      <c r="K39" s="424"/>
      <c r="L39" s="424"/>
      <c r="M39" s="424"/>
      <c r="N39" s="424"/>
      <c r="O39" s="424"/>
      <c r="P39" s="424"/>
      <c r="Q39" s="424"/>
      <c r="R39" s="424"/>
      <c r="S39" s="424"/>
      <c r="T39" s="424"/>
      <c r="U39" s="424"/>
      <c r="V39" s="424"/>
      <c r="W39" s="424"/>
      <c r="X39" s="424"/>
      <c r="Y39" s="424"/>
      <c r="Z39" s="424"/>
      <c r="AA39" s="60"/>
      <c r="AB39" s="87" t="s">
        <v>310</v>
      </c>
      <c r="AD39" s="82" t="s">
        <v>241</v>
      </c>
      <c r="AE39" s="78"/>
      <c r="AF39" s="13"/>
      <c r="AG39" s="13"/>
    </row>
    <row r="40" spans="1:33" ht="31" customHeight="1" x14ac:dyDescent="0.15">
      <c r="A40" s="73" t="str">
        <f t="shared" si="0"/>
        <v/>
      </c>
      <c r="B40" s="74">
        <v>1</v>
      </c>
      <c r="D40" s="435" t="s">
        <v>251</v>
      </c>
      <c r="E40" s="435"/>
      <c r="F40" s="435"/>
      <c r="G40" s="435"/>
      <c r="H40" s="435"/>
      <c r="I40" s="435"/>
      <c r="J40" s="435"/>
      <c r="K40" s="435"/>
      <c r="L40" s="435"/>
      <c r="M40" s="435"/>
      <c r="N40" s="435"/>
      <c r="O40" s="435"/>
      <c r="P40" s="435"/>
      <c r="Q40" s="435"/>
      <c r="R40" s="435"/>
      <c r="S40" s="435"/>
      <c r="T40" s="435"/>
      <c r="U40" s="435"/>
      <c r="V40" s="435"/>
      <c r="W40" s="435"/>
      <c r="X40" s="435"/>
      <c r="Y40" s="435"/>
      <c r="Z40" s="435"/>
      <c r="AB40" s="87" t="s">
        <v>310</v>
      </c>
      <c r="AD40" s="82" t="s">
        <v>241</v>
      </c>
      <c r="AE40" s="78"/>
      <c r="AF40" s="13"/>
      <c r="AG40" s="13"/>
    </row>
    <row r="41" spans="1:33" ht="66.75" customHeight="1" x14ac:dyDescent="0.2">
      <c r="A41" s="73" t="str">
        <f t="shared" si="0"/>
        <v/>
      </c>
      <c r="B41" s="74">
        <v>1</v>
      </c>
      <c r="D41" s="424" t="s">
        <v>177</v>
      </c>
      <c r="E41" s="424"/>
      <c r="F41" s="424"/>
      <c r="G41" s="424"/>
      <c r="H41" s="424"/>
      <c r="I41" s="424"/>
      <c r="J41" s="424"/>
      <c r="K41" s="424"/>
      <c r="L41" s="424"/>
      <c r="M41" s="424"/>
      <c r="N41" s="424"/>
      <c r="O41" s="424"/>
      <c r="P41" s="424"/>
      <c r="Q41" s="424"/>
      <c r="R41" s="424"/>
      <c r="S41" s="424"/>
      <c r="T41" s="424"/>
      <c r="U41" s="424"/>
      <c r="V41" s="424"/>
      <c r="W41" s="424"/>
      <c r="X41" s="424"/>
      <c r="Y41" s="424"/>
      <c r="Z41" s="424"/>
      <c r="AA41" s="60"/>
      <c r="AB41" s="87" t="s">
        <v>310</v>
      </c>
      <c r="AD41" s="82" t="s">
        <v>241</v>
      </c>
      <c r="AE41" s="78"/>
      <c r="AF41" s="13"/>
      <c r="AG41" s="13"/>
    </row>
    <row r="42" spans="1:33" ht="31" customHeight="1" x14ac:dyDescent="0.15">
      <c r="A42" s="73" t="str">
        <f t="shared" si="0"/>
        <v/>
      </c>
      <c r="B42" s="74">
        <v>1</v>
      </c>
      <c r="D42" s="435" t="s">
        <v>252</v>
      </c>
      <c r="E42" s="435"/>
      <c r="F42" s="435"/>
      <c r="G42" s="435"/>
      <c r="H42" s="435"/>
      <c r="I42" s="435"/>
      <c r="J42" s="435"/>
      <c r="K42" s="435"/>
      <c r="L42" s="435"/>
      <c r="M42" s="435"/>
      <c r="N42" s="435"/>
      <c r="O42" s="435"/>
      <c r="P42" s="435"/>
      <c r="Q42" s="435"/>
      <c r="R42" s="435"/>
      <c r="S42" s="435"/>
      <c r="T42" s="435"/>
      <c r="U42" s="435"/>
      <c r="V42" s="435"/>
      <c r="W42" s="435"/>
      <c r="X42" s="435"/>
      <c r="Y42" s="435"/>
      <c r="Z42" s="435"/>
      <c r="AB42" s="87" t="s">
        <v>310</v>
      </c>
      <c r="AD42" s="82" t="s">
        <v>241</v>
      </c>
      <c r="AE42" s="78"/>
      <c r="AF42" s="13"/>
      <c r="AG42" s="13"/>
    </row>
    <row r="43" spans="1:33" ht="31.5" customHeight="1" x14ac:dyDescent="0.2">
      <c r="A43" s="73" t="str">
        <f t="shared" si="0"/>
        <v/>
      </c>
      <c r="B43" s="74">
        <v>1</v>
      </c>
      <c r="D43" s="424" t="s">
        <v>272</v>
      </c>
      <c r="E43" s="424"/>
      <c r="F43" s="424"/>
      <c r="G43" s="424"/>
      <c r="H43" s="424"/>
      <c r="I43" s="424"/>
      <c r="J43" s="424"/>
      <c r="K43" s="424"/>
      <c r="L43" s="424"/>
      <c r="M43" s="424"/>
      <c r="N43" s="424"/>
      <c r="O43" s="424"/>
      <c r="P43" s="424"/>
      <c r="Q43" s="424"/>
      <c r="R43" s="424"/>
      <c r="S43" s="424"/>
      <c r="T43" s="424"/>
      <c r="U43" s="424"/>
      <c r="V43" s="424"/>
      <c r="W43" s="424"/>
      <c r="X43" s="424"/>
      <c r="Y43" s="424"/>
      <c r="Z43" s="424"/>
      <c r="AB43" s="87" t="s">
        <v>310</v>
      </c>
      <c r="AD43" s="82" t="s">
        <v>241</v>
      </c>
      <c r="AE43" s="78"/>
      <c r="AF43" s="13"/>
      <c r="AG43" s="13"/>
    </row>
    <row r="44" spans="1:33" ht="31" customHeight="1" x14ac:dyDescent="0.15">
      <c r="A44" s="73" t="str">
        <f t="shared" si="0"/>
        <v/>
      </c>
      <c r="B44" s="74">
        <v>1</v>
      </c>
      <c r="D44" s="447" t="s">
        <v>178</v>
      </c>
      <c r="E44" s="447"/>
      <c r="F44" s="447"/>
      <c r="G44" s="447"/>
      <c r="H44" s="447"/>
      <c r="I44" s="447"/>
      <c r="J44" s="447"/>
      <c r="K44" s="447"/>
      <c r="L44" s="447"/>
      <c r="M44" s="447"/>
      <c r="N44" s="447"/>
      <c r="O44" s="447"/>
      <c r="P44" s="447"/>
      <c r="Q44" s="447"/>
      <c r="R44" s="447"/>
      <c r="S44" s="447"/>
      <c r="T44" s="447"/>
      <c r="U44" s="447"/>
      <c r="V44" s="447"/>
      <c r="W44" s="447"/>
      <c r="X44" s="447"/>
      <c r="Y44" s="447"/>
      <c r="Z44" s="447"/>
      <c r="AB44" s="87" t="s">
        <v>310</v>
      </c>
      <c r="AD44" s="82" t="s">
        <v>241</v>
      </c>
      <c r="AE44" s="78"/>
      <c r="AF44" s="13"/>
      <c r="AG44" s="13"/>
    </row>
    <row r="45" spans="1:33" ht="31" customHeight="1" x14ac:dyDescent="0.15">
      <c r="A45" s="73" t="str">
        <f t="shared" si="0"/>
        <v/>
      </c>
      <c r="B45" s="74">
        <v>1</v>
      </c>
      <c r="D45" s="435" t="s">
        <v>179</v>
      </c>
      <c r="E45" s="435"/>
      <c r="F45" s="435"/>
      <c r="G45" s="435"/>
      <c r="H45" s="435"/>
      <c r="I45" s="435"/>
      <c r="J45" s="435"/>
      <c r="K45" s="435"/>
      <c r="L45" s="435"/>
      <c r="M45" s="435"/>
      <c r="N45" s="435"/>
      <c r="O45" s="435"/>
      <c r="P45" s="435"/>
      <c r="Q45" s="435"/>
      <c r="R45" s="435"/>
      <c r="S45" s="435"/>
      <c r="T45" s="435"/>
      <c r="U45" s="435"/>
      <c r="V45" s="435"/>
      <c r="W45" s="435"/>
      <c r="X45" s="435"/>
      <c r="Y45" s="435"/>
      <c r="Z45" s="435"/>
      <c r="AA45" s="62"/>
      <c r="AB45" s="87" t="s">
        <v>310</v>
      </c>
      <c r="AD45" s="82" t="s">
        <v>241</v>
      </c>
      <c r="AE45" s="78"/>
      <c r="AF45" s="13"/>
      <c r="AG45" s="13"/>
    </row>
    <row r="46" spans="1:33" ht="18" customHeight="1" x14ac:dyDescent="0.2">
      <c r="A46" s="73" t="str">
        <f>IF(AG46=1,"X","")</f>
        <v>X</v>
      </c>
      <c r="B46" s="81"/>
      <c r="D46" s="448" t="s">
        <v>244</v>
      </c>
      <c r="E46" s="448"/>
      <c r="F46" s="448"/>
      <c r="G46" s="448"/>
      <c r="H46" s="448"/>
      <c r="I46" s="448"/>
      <c r="J46" s="448"/>
      <c r="K46" s="448"/>
      <c r="L46" s="448"/>
      <c r="M46" s="448"/>
      <c r="N46" s="448"/>
      <c r="O46" s="448"/>
      <c r="P46" s="448"/>
      <c r="Q46" s="448"/>
      <c r="R46" s="448"/>
      <c r="S46" s="448"/>
      <c r="T46" s="448"/>
      <c r="U46" s="448"/>
      <c r="V46" s="448"/>
      <c r="W46" s="448"/>
      <c r="X46" s="448"/>
      <c r="Y46" s="448"/>
      <c r="Z46" s="448"/>
      <c r="AA46" s="62"/>
      <c r="AB46" s="75" t="s">
        <v>246</v>
      </c>
      <c r="AD46" s="80" t="s">
        <v>242</v>
      </c>
      <c r="AE46" s="78"/>
      <c r="AF46" s="74">
        <f>IF(B46&lt;&gt;"",1,0)</f>
        <v>0</v>
      </c>
      <c r="AG46" s="74">
        <f>IF(AND(SUM(AF:AF)&gt;0,$B$46=""),1,0)</f>
        <v>1</v>
      </c>
    </row>
    <row r="47" spans="1:33" ht="18" customHeight="1" x14ac:dyDescent="0.2">
      <c r="A47" s="73" t="str">
        <f t="shared" si="0"/>
        <v>X</v>
      </c>
      <c r="B47" s="74" t="str">
        <f>IF($B$46="","",IF($B$46=1,0,1))</f>
        <v/>
      </c>
      <c r="D47" s="448" t="s">
        <v>243</v>
      </c>
      <c r="E47" s="448"/>
      <c r="F47" s="448"/>
      <c r="G47" s="448"/>
      <c r="H47" s="448"/>
      <c r="I47" s="448"/>
      <c r="J47" s="448"/>
      <c r="K47" s="448"/>
      <c r="L47" s="448"/>
      <c r="M47" s="448"/>
      <c r="N47" s="448"/>
      <c r="O47" s="448"/>
      <c r="P47" s="448"/>
      <c r="Q47" s="448"/>
      <c r="R47" s="448"/>
      <c r="S47" s="448"/>
      <c r="T47" s="448"/>
      <c r="U47" s="448"/>
      <c r="V47" s="448"/>
      <c r="W47" s="448"/>
      <c r="X47" s="448"/>
      <c r="Y47" s="448"/>
      <c r="Z47" s="448"/>
      <c r="AA47" s="62"/>
      <c r="AB47" s="87" t="s">
        <v>393</v>
      </c>
      <c r="AD47" s="80" t="s">
        <v>242</v>
      </c>
      <c r="AE47" s="78"/>
      <c r="AF47" s="74">
        <f>IF(B47&lt;&gt;"",1,0)</f>
        <v>0</v>
      </c>
      <c r="AG47" s="74">
        <f t="shared" ref="AG47:AG64" si="7">IF(AND(SUM(AF:AF)&gt;0,$B$46=0,OR(B47=FALSE,B47="")),1,0)</f>
        <v>1</v>
      </c>
    </row>
    <row r="48" spans="1:33" ht="18" customHeight="1" x14ac:dyDescent="0.2">
      <c r="A48" s="73" t="str">
        <f t="shared" si="0"/>
        <v>X</v>
      </c>
      <c r="B48" s="81" t="str">
        <f>IF($B$46="","",IF($B$46=1,0,""))</f>
        <v/>
      </c>
      <c r="D48" s="95" t="s">
        <v>245</v>
      </c>
      <c r="E48" s="448" t="s">
        <v>289</v>
      </c>
      <c r="F48" s="448"/>
      <c r="G48" s="448"/>
      <c r="H48" s="448"/>
      <c r="I48" s="448"/>
      <c r="J48" s="448"/>
      <c r="K48" s="448"/>
      <c r="L48" s="448"/>
      <c r="M48" s="448"/>
      <c r="N48" s="448"/>
      <c r="O48" s="448"/>
      <c r="P48" s="448"/>
      <c r="Q48" s="448"/>
      <c r="R48" s="448"/>
      <c r="S48" s="448"/>
      <c r="T48" s="448"/>
      <c r="U48" s="448"/>
      <c r="V48" s="448"/>
      <c r="W48" s="448"/>
      <c r="X48" s="448"/>
      <c r="Y48" s="448"/>
      <c r="Z48" s="448"/>
      <c r="AB48" s="75" t="s">
        <v>246</v>
      </c>
      <c r="AD48" s="80" t="s">
        <v>242</v>
      </c>
      <c r="AE48" s="78"/>
      <c r="AF48" s="74">
        <f t="shared" ref="AF48:AF64" si="8">IF(B48&lt;&gt;"",1,0)</f>
        <v>0</v>
      </c>
      <c r="AG48" s="74">
        <f t="shared" si="7"/>
        <v>1</v>
      </c>
    </row>
    <row r="49" spans="1:33" ht="18" customHeight="1" x14ac:dyDescent="0.2">
      <c r="A49" s="73" t="str">
        <f t="shared" ref="A49" si="9">IF(AG49=1,"X","")</f>
        <v>X</v>
      </c>
      <c r="B49" s="81" t="str">
        <f t="shared" ref="B49:B64" si="10">IF($B$46="","",IF($B$46=1,0,""))</f>
        <v/>
      </c>
      <c r="D49" s="95" t="s">
        <v>245</v>
      </c>
      <c r="E49" s="448" t="s">
        <v>290</v>
      </c>
      <c r="F49" s="448"/>
      <c r="G49" s="448"/>
      <c r="H49" s="448"/>
      <c r="I49" s="448"/>
      <c r="J49" s="448"/>
      <c r="K49" s="448"/>
      <c r="L49" s="448"/>
      <c r="M49" s="448"/>
      <c r="N49" s="448"/>
      <c r="O49" s="448"/>
      <c r="P49" s="448"/>
      <c r="Q49" s="448"/>
      <c r="R49" s="448"/>
      <c r="S49" s="448"/>
      <c r="T49" s="448"/>
      <c r="U49" s="448"/>
      <c r="V49" s="448"/>
      <c r="W49" s="448"/>
      <c r="X49" s="448"/>
      <c r="Y49" s="448"/>
      <c r="Z49" s="448"/>
      <c r="AB49" s="75" t="s">
        <v>246</v>
      </c>
      <c r="AD49" s="80" t="s">
        <v>242</v>
      </c>
      <c r="AE49" s="78"/>
      <c r="AF49" s="74">
        <f t="shared" si="8"/>
        <v>0</v>
      </c>
      <c r="AG49" s="74">
        <f t="shared" si="7"/>
        <v>1</v>
      </c>
    </row>
    <row r="50" spans="1:33" ht="20" customHeight="1" x14ac:dyDescent="0.2">
      <c r="A50" s="73" t="str">
        <f t="shared" ref="A50" si="11">IF(AG50=1,"X","")</f>
        <v>X</v>
      </c>
      <c r="B50" s="81" t="str">
        <f t="shared" si="10"/>
        <v/>
      </c>
      <c r="D50" s="95" t="s">
        <v>245</v>
      </c>
      <c r="E50" s="448" t="s">
        <v>291</v>
      </c>
      <c r="F50" s="448"/>
      <c r="G50" s="448"/>
      <c r="H50" s="448"/>
      <c r="I50" s="448"/>
      <c r="J50" s="448"/>
      <c r="K50" s="448"/>
      <c r="L50" s="448"/>
      <c r="M50" s="448"/>
      <c r="N50" s="448"/>
      <c r="O50" s="448"/>
      <c r="P50" s="448"/>
      <c r="Q50" s="448"/>
      <c r="R50" s="448"/>
      <c r="S50" s="448"/>
      <c r="T50" s="448"/>
      <c r="U50" s="448"/>
      <c r="V50" s="448"/>
      <c r="W50" s="448"/>
      <c r="X50" s="448"/>
      <c r="Y50" s="448"/>
      <c r="Z50" s="448"/>
      <c r="AB50" s="75" t="s">
        <v>246</v>
      </c>
      <c r="AD50" s="80" t="s">
        <v>242</v>
      </c>
      <c r="AE50" s="78"/>
      <c r="AF50" s="74">
        <f t="shared" si="8"/>
        <v>0</v>
      </c>
      <c r="AG50" s="74">
        <f t="shared" si="7"/>
        <v>1</v>
      </c>
    </row>
    <row r="51" spans="1:33" ht="20" customHeight="1" x14ac:dyDescent="0.2">
      <c r="A51" s="73" t="str">
        <f t="shared" ref="A51" si="12">IF(AG51=1,"X","")</f>
        <v>X</v>
      </c>
      <c r="B51" s="81" t="str">
        <f t="shared" si="10"/>
        <v/>
      </c>
      <c r="D51" s="95" t="s">
        <v>245</v>
      </c>
      <c r="E51" s="448" t="s">
        <v>292</v>
      </c>
      <c r="F51" s="448"/>
      <c r="G51" s="448"/>
      <c r="H51" s="448"/>
      <c r="I51" s="448"/>
      <c r="J51" s="448"/>
      <c r="K51" s="448"/>
      <c r="L51" s="448"/>
      <c r="M51" s="448"/>
      <c r="N51" s="448"/>
      <c r="O51" s="448"/>
      <c r="P51" s="448"/>
      <c r="Q51" s="448"/>
      <c r="R51" s="448"/>
      <c r="S51" s="448"/>
      <c r="T51" s="448"/>
      <c r="U51" s="448"/>
      <c r="V51" s="448"/>
      <c r="W51" s="448"/>
      <c r="X51" s="448"/>
      <c r="Y51" s="448"/>
      <c r="Z51" s="448"/>
      <c r="AB51" s="75" t="s">
        <v>246</v>
      </c>
      <c r="AD51" s="80" t="s">
        <v>242</v>
      </c>
      <c r="AE51" s="78"/>
      <c r="AF51" s="74">
        <f t="shared" si="8"/>
        <v>0</v>
      </c>
      <c r="AG51" s="74">
        <f t="shared" si="7"/>
        <v>1</v>
      </c>
    </row>
    <row r="52" spans="1:33" ht="20" customHeight="1" x14ac:dyDescent="0.2">
      <c r="A52" s="73" t="str">
        <f t="shared" ref="A52" si="13">IF(AG52=1,"X","")</f>
        <v>X</v>
      </c>
      <c r="B52" s="81" t="str">
        <f t="shared" si="10"/>
        <v/>
      </c>
      <c r="D52" s="95" t="s">
        <v>245</v>
      </c>
      <c r="E52" s="448" t="s">
        <v>293</v>
      </c>
      <c r="F52" s="448"/>
      <c r="G52" s="448"/>
      <c r="H52" s="448"/>
      <c r="I52" s="448"/>
      <c r="J52" s="448"/>
      <c r="K52" s="448"/>
      <c r="L52" s="448"/>
      <c r="M52" s="448"/>
      <c r="N52" s="448"/>
      <c r="O52" s="448"/>
      <c r="P52" s="448"/>
      <c r="Q52" s="448"/>
      <c r="R52" s="448"/>
      <c r="S52" s="448"/>
      <c r="T52" s="448"/>
      <c r="U52" s="448"/>
      <c r="V52" s="448"/>
      <c r="W52" s="448"/>
      <c r="X52" s="448"/>
      <c r="Y52" s="448"/>
      <c r="Z52" s="448"/>
      <c r="AB52" s="75" t="s">
        <v>246</v>
      </c>
      <c r="AD52" s="80" t="s">
        <v>242</v>
      </c>
      <c r="AE52" s="78"/>
      <c r="AF52" s="74">
        <f t="shared" si="8"/>
        <v>0</v>
      </c>
      <c r="AG52" s="74">
        <f t="shared" si="7"/>
        <v>1</v>
      </c>
    </row>
    <row r="53" spans="1:33" ht="18" customHeight="1" x14ac:dyDescent="0.2">
      <c r="A53" s="73" t="str">
        <f t="shared" si="0"/>
        <v>X</v>
      </c>
      <c r="B53" s="81" t="str">
        <f t="shared" si="10"/>
        <v/>
      </c>
      <c r="D53" s="95" t="s">
        <v>245</v>
      </c>
      <c r="E53" s="448" t="s">
        <v>294</v>
      </c>
      <c r="F53" s="448"/>
      <c r="G53" s="448"/>
      <c r="H53" s="448"/>
      <c r="I53" s="448"/>
      <c r="J53" s="448"/>
      <c r="K53" s="448"/>
      <c r="L53" s="448"/>
      <c r="M53" s="448"/>
      <c r="N53" s="448"/>
      <c r="O53" s="448"/>
      <c r="P53" s="448"/>
      <c r="Q53" s="448"/>
      <c r="R53" s="448"/>
      <c r="S53" s="448"/>
      <c r="T53" s="448"/>
      <c r="U53" s="448"/>
      <c r="V53" s="448"/>
      <c r="W53" s="448"/>
      <c r="X53" s="448"/>
      <c r="Y53" s="448"/>
      <c r="Z53" s="448"/>
      <c r="AB53" s="75" t="s">
        <v>246</v>
      </c>
      <c r="AD53" s="80" t="s">
        <v>242</v>
      </c>
      <c r="AE53" s="78"/>
      <c r="AF53" s="74">
        <f t="shared" si="8"/>
        <v>0</v>
      </c>
      <c r="AG53" s="74">
        <f t="shared" si="7"/>
        <v>1</v>
      </c>
    </row>
    <row r="54" spans="1:33" ht="18" customHeight="1" x14ac:dyDescent="0.2">
      <c r="A54" s="73" t="str">
        <f t="shared" ref="A54" si="14">IF(AG54=1,"X","")</f>
        <v>X</v>
      </c>
      <c r="B54" s="81" t="str">
        <f t="shared" si="10"/>
        <v/>
      </c>
      <c r="D54" s="95" t="s">
        <v>245</v>
      </c>
      <c r="E54" s="448" t="s">
        <v>295</v>
      </c>
      <c r="F54" s="448"/>
      <c r="G54" s="448"/>
      <c r="H54" s="448"/>
      <c r="I54" s="448"/>
      <c r="J54" s="448"/>
      <c r="K54" s="448"/>
      <c r="L54" s="448"/>
      <c r="M54" s="448"/>
      <c r="N54" s="448"/>
      <c r="O54" s="448"/>
      <c r="P54" s="448"/>
      <c r="Q54" s="448"/>
      <c r="R54" s="448"/>
      <c r="S54" s="448"/>
      <c r="T54" s="448"/>
      <c r="U54" s="448"/>
      <c r="V54" s="448"/>
      <c r="W54" s="448"/>
      <c r="X54" s="448"/>
      <c r="Y54" s="448"/>
      <c r="Z54" s="448"/>
      <c r="AB54" s="75" t="s">
        <v>246</v>
      </c>
      <c r="AD54" s="80" t="s">
        <v>242</v>
      </c>
      <c r="AE54" s="78"/>
      <c r="AF54" s="74">
        <f t="shared" si="8"/>
        <v>0</v>
      </c>
      <c r="AG54" s="74">
        <f t="shared" si="7"/>
        <v>1</v>
      </c>
    </row>
    <row r="55" spans="1:33" ht="18" customHeight="1" x14ac:dyDescent="0.2">
      <c r="A55" s="73" t="str">
        <f t="shared" ref="A55" si="15">IF(AG55=1,"X","")</f>
        <v>X</v>
      </c>
      <c r="B55" s="81" t="str">
        <f t="shared" si="10"/>
        <v/>
      </c>
      <c r="D55" s="95" t="s">
        <v>245</v>
      </c>
      <c r="E55" s="448" t="s">
        <v>296</v>
      </c>
      <c r="F55" s="448"/>
      <c r="G55" s="448"/>
      <c r="H55" s="448"/>
      <c r="I55" s="448"/>
      <c r="J55" s="448"/>
      <c r="K55" s="448"/>
      <c r="L55" s="448"/>
      <c r="M55" s="448"/>
      <c r="N55" s="448"/>
      <c r="O55" s="448"/>
      <c r="P55" s="448"/>
      <c r="Q55" s="448"/>
      <c r="R55" s="448"/>
      <c r="S55" s="448"/>
      <c r="T55" s="448"/>
      <c r="U55" s="448"/>
      <c r="V55" s="448"/>
      <c r="W55" s="448"/>
      <c r="X55" s="448"/>
      <c r="Y55" s="448"/>
      <c r="Z55" s="448"/>
      <c r="AB55" s="75" t="s">
        <v>246</v>
      </c>
      <c r="AD55" s="80" t="s">
        <v>242</v>
      </c>
      <c r="AE55" s="78"/>
      <c r="AF55" s="74">
        <f t="shared" si="8"/>
        <v>0</v>
      </c>
      <c r="AG55" s="74">
        <f t="shared" si="7"/>
        <v>1</v>
      </c>
    </row>
    <row r="56" spans="1:33" ht="18" customHeight="1" x14ac:dyDescent="0.2">
      <c r="A56" s="73" t="str">
        <f t="shared" si="0"/>
        <v>X</v>
      </c>
      <c r="B56" s="81" t="str">
        <f t="shared" si="10"/>
        <v/>
      </c>
      <c r="D56" s="95" t="s">
        <v>245</v>
      </c>
      <c r="E56" s="448" t="s">
        <v>180</v>
      </c>
      <c r="F56" s="448"/>
      <c r="G56" s="448"/>
      <c r="H56" s="448"/>
      <c r="I56" s="448"/>
      <c r="J56" s="448"/>
      <c r="K56" s="448"/>
      <c r="L56" s="448"/>
      <c r="M56" s="448"/>
      <c r="N56" s="448"/>
      <c r="O56" s="448"/>
      <c r="P56" s="448"/>
      <c r="Q56" s="448"/>
      <c r="R56" s="448"/>
      <c r="S56" s="448"/>
      <c r="T56" s="448"/>
      <c r="U56" s="448"/>
      <c r="V56" s="448"/>
      <c r="W56" s="448"/>
      <c r="X56" s="448"/>
      <c r="Y56" s="448"/>
      <c r="Z56" s="448"/>
      <c r="AB56" s="75" t="s">
        <v>246</v>
      </c>
      <c r="AD56" s="80" t="s">
        <v>242</v>
      </c>
      <c r="AE56" s="78"/>
      <c r="AF56" s="74">
        <f t="shared" si="8"/>
        <v>0</v>
      </c>
      <c r="AG56" s="74">
        <f t="shared" si="7"/>
        <v>1</v>
      </c>
    </row>
    <row r="57" spans="1:33" ht="18" customHeight="1" x14ac:dyDescent="0.2">
      <c r="A57" s="73" t="str">
        <f t="shared" ref="A57" si="16">IF(AG57=1,"X","")</f>
        <v>X</v>
      </c>
      <c r="B57" s="81" t="str">
        <f t="shared" si="10"/>
        <v/>
      </c>
      <c r="D57" s="95" t="s">
        <v>245</v>
      </c>
      <c r="E57" s="448" t="s">
        <v>356</v>
      </c>
      <c r="F57" s="448"/>
      <c r="G57" s="448"/>
      <c r="H57" s="448"/>
      <c r="I57" s="448"/>
      <c r="J57" s="448"/>
      <c r="K57" s="448"/>
      <c r="L57" s="448"/>
      <c r="M57" s="448"/>
      <c r="N57" s="448"/>
      <c r="O57" s="448"/>
      <c r="P57" s="448"/>
      <c r="Q57" s="448"/>
      <c r="R57" s="448"/>
      <c r="S57" s="448"/>
      <c r="T57" s="448"/>
      <c r="U57" s="448"/>
      <c r="V57" s="448"/>
      <c r="W57" s="448"/>
      <c r="X57" s="448"/>
      <c r="Y57" s="448"/>
      <c r="Z57" s="448"/>
      <c r="AB57" s="75" t="s">
        <v>246</v>
      </c>
      <c r="AD57" s="80" t="s">
        <v>242</v>
      </c>
      <c r="AE57" s="78"/>
      <c r="AF57" s="74">
        <f t="shared" ref="AF57" si="17">IF(B57&lt;&gt;"",1,0)</f>
        <v>0</v>
      </c>
      <c r="AG57" s="74">
        <f t="shared" si="7"/>
        <v>1</v>
      </c>
    </row>
    <row r="58" spans="1:33" ht="18" customHeight="1" x14ac:dyDescent="0.2">
      <c r="A58" s="73" t="str">
        <f t="shared" si="0"/>
        <v>X</v>
      </c>
      <c r="B58" s="81" t="str">
        <f t="shared" si="10"/>
        <v/>
      </c>
      <c r="D58" s="95" t="s">
        <v>245</v>
      </c>
      <c r="E58" s="448" t="s">
        <v>355</v>
      </c>
      <c r="F58" s="448"/>
      <c r="G58" s="448"/>
      <c r="H58" s="448"/>
      <c r="I58" s="448"/>
      <c r="J58" s="448"/>
      <c r="K58" s="448"/>
      <c r="L58" s="448"/>
      <c r="M58" s="448"/>
      <c r="N58" s="448"/>
      <c r="O58" s="448"/>
      <c r="P58" s="448"/>
      <c r="Q58" s="448"/>
      <c r="R58" s="448"/>
      <c r="S58" s="448"/>
      <c r="T58" s="448"/>
      <c r="U58" s="448"/>
      <c r="V58" s="448"/>
      <c r="W58" s="448"/>
      <c r="X58" s="448"/>
      <c r="Y58" s="448"/>
      <c r="Z58" s="448"/>
      <c r="AB58" s="75" t="s">
        <v>246</v>
      </c>
      <c r="AD58" s="80" t="s">
        <v>242</v>
      </c>
      <c r="AE58" s="78"/>
      <c r="AF58" s="74">
        <f t="shared" si="8"/>
        <v>0</v>
      </c>
      <c r="AG58" s="74">
        <f t="shared" si="7"/>
        <v>1</v>
      </c>
    </row>
    <row r="59" spans="1:33" ht="18" customHeight="1" x14ac:dyDescent="0.2">
      <c r="A59" s="73" t="str">
        <f t="shared" si="0"/>
        <v>X</v>
      </c>
      <c r="B59" s="81" t="str">
        <f t="shared" si="10"/>
        <v/>
      </c>
      <c r="D59" s="95" t="s">
        <v>245</v>
      </c>
      <c r="E59" s="448" t="s">
        <v>181</v>
      </c>
      <c r="F59" s="448"/>
      <c r="G59" s="448"/>
      <c r="H59" s="448"/>
      <c r="I59" s="448"/>
      <c r="J59" s="448"/>
      <c r="K59" s="448"/>
      <c r="L59" s="448"/>
      <c r="M59" s="448"/>
      <c r="N59" s="448"/>
      <c r="O59" s="448"/>
      <c r="P59" s="448"/>
      <c r="Q59" s="448"/>
      <c r="R59" s="448"/>
      <c r="S59" s="448"/>
      <c r="T59" s="448"/>
      <c r="U59" s="448"/>
      <c r="V59" s="448"/>
      <c r="W59" s="448"/>
      <c r="X59" s="448"/>
      <c r="Y59" s="448"/>
      <c r="Z59" s="448"/>
      <c r="AB59" s="75" t="s">
        <v>246</v>
      </c>
      <c r="AD59" s="80" t="s">
        <v>242</v>
      </c>
      <c r="AE59" s="78"/>
      <c r="AF59" s="74">
        <f t="shared" si="8"/>
        <v>0</v>
      </c>
      <c r="AG59" s="74">
        <f t="shared" si="7"/>
        <v>1</v>
      </c>
    </row>
    <row r="60" spans="1:33" ht="18" customHeight="1" x14ac:dyDescent="0.2">
      <c r="A60" s="73" t="str">
        <f t="shared" si="0"/>
        <v>X</v>
      </c>
      <c r="B60" s="81" t="str">
        <f t="shared" si="10"/>
        <v/>
      </c>
      <c r="D60" s="95" t="s">
        <v>245</v>
      </c>
      <c r="E60" s="448" t="s">
        <v>182</v>
      </c>
      <c r="F60" s="448"/>
      <c r="G60" s="448"/>
      <c r="H60" s="448"/>
      <c r="I60" s="448"/>
      <c r="J60" s="448"/>
      <c r="K60" s="448"/>
      <c r="L60" s="448"/>
      <c r="M60" s="448"/>
      <c r="N60" s="448"/>
      <c r="O60" s="448"/>
      <c r="P60" s="448"/>
      <c r="Q60" s="448"/>
      <c r="R60" s="448"/>
      <c r="S60" s="448"/>
      <c r="T60" s="448"/>
      <c r="U60" s="448"/>
      <c r="V60" s="448"/>
      <c r="W60" s="448"/>
      <c r="X60" s="448"/>
      <c r="Y60" s="448"/>
      <c r="Z60" s="448"/>
      <c r="AB60" s="75" t="s">
        <v>246</v>
      </c>
      <c r="AD60" s="80" t="s">
        <v>242</v>
      </c>
      <c r="AE60" s="78"/>
      <c r="AF60" s="74">
        <f t="shared" si="8"/>
        <v>0</v>
      </c>
      <c r="AG60" s="74">
        <f t="shared" si="7"/>
        <v>1</v>
      </c>
    </row>
    <row r="61" spans="1:33" ht="18" customHeight="1" x14ac:dyDescent="0.2">
      <c r="A61" s="73" t="str">
        <f t="shared" ref="A61:A62" si="18">IF(AG61=1,"X","")</f>
        <v>X</v>
      </c>
      <c r="B61" s="81" t="str">
        <f t="shared" si="10"/>
        <v/>
      </c>
      <c r="D61" s="95" t="s">
        <v>245</v>
      </c>
      <c r="E61" s="448" t="s">
        <v>485</v>
      </c>
      <c r="F61" s="448"/>
      <c r="G61" s="448"/>
      <c r="H61" s="448"/>
      <c r="I61" s="448"/>
      <c r="J61" s="448"/>
      <c r="K61" s="448"/>
      <c r="L61" s="448"/>
      <c r="M61" s="448"/>
      <c r="N61" s="448"/>
      <c r="O61" s="448"/>
      <c r="P61" s="448"/>
      <c r="Q61" s="448"/>
      <c r="R61" s="448"/>
      <c r="S61" s="448"/>
      <c r="T61" s="448"/>
      <c r="U61" s="448"/>
      <c r="V61" s="448"/>
      <c r="W61" s="448"/>
      <c r="X61" s="448"/>
      <c r="Y61" s="448"/>
      <c r="Z61" s="448"/>
      <c r="AA61" s="63"/>
      <c r="AB61" s="75" t="s">
        <v>246</v>
      </c>
      <c r="AD61" s="80" t="s">
        <v>242</v>
      </c>
      <c r="AE61" s="78"/>
      <c r="AF61" s="74">
        <f t="shared" ref="AF61:AF62" si="19">IF(B61&lt;&gt;"",1,0)</f>
        <v>0</v>
      </c>
      <c r="AG61" s="74">
        <f t="shared" si="7"/>
        <v>1</v>
      </c>
    </row>
    <row r="62" spans="1:33" ht="18" customHeight="1" x14ac:dyDescent="0.2">
      <c r="A62" s="73" t="str">
        <f t="shared" si="18"/>
        <v>X</v>
      </c>
      <c r="B62" s="81" t="str">
        <f t="shared" si="10"/>
        <v/>
      </c>
      <c r="D62" s="95" t="s">
        <v>245</v>
      </c>
      <c r="E62" s="448" t="s">
        <v>486</v>
      </c>
      <c r="F62" s="448"/>
      <c r="G62" s="448"/>
      <c r="H62" s="448"/>
      <c r="I62" s="448"/>
      <c r="J62" s="448"/>
      <c r="K62" s="448"/>
      <c r="L62" s="448"/>
      <c r="M62" s="448"/>
      <c r="N62" s="448"/>
      <c r="O62" s="448"/>
      <c r="P62" s="448"/>
      <c r="Q62" s="448"/>
      <c r="R62" s="448"/>
      <c r="S62" s="448"/>
      <c r="T62" s="448"/>
      <c r="U62" s="448"/>
      <c r="V62" s="448"/>
      <c r="W62" s="448"/>
      <c r="X62" s="448"/>
      <c r="Y62" s="448"/>
      <c r="Z62" s="448"/>
      <c r="AA62" s="63"/>
      <c r="AB62" s="75" t="s">
        <v>246</v>
      </c>
      <c r="AD62" s="80" t="s">
        <v>242</v>
      </c>
      <c r="AE62" s="78"/>
      <c r="AF62" s="74">
        <f t="shared" si="19"/>
        <v>0</v>
      </c>
      <c r="AG62" s="74">
        <f t="shared" si="7"/>
        <v>1</v>
      </c>
    </row>
    <row r="63" spans="1:33" ht="18" customHeight="1" x14ac:dyDescent="0.2">
      <c r="A63" s="73" t="str">
        <f t="shared" si="0"/>
        <v>X</v>
      </c>
      <c r="B63" s="81" t="str">
        <f t="shared" si="10"/>
        <v/>
      </c>
      <c r="D63" s="95" t="s">
        <v>245</v>
      </c>
      <c r="E63" s="448" t="s">
        <v>357</v>
      </c>
      <c r="F63" s="448"/>
      <c r="G63" s="448"/>
      <c r="H63" s="448"/>
      <c r="I63" s="448"/>
      <c r="J63" s="448"/>
      <c r="K63" s="448"/>
      <c r="L63" s="448"/>
      <c r="M63" s="448"/>
      <c r="N63" s="448"/>
      <c r="O63" s="448"/>
      <c r="P63" s="448"/>
      <c r="Q63" s="448"/>
      <c r="R63" s="448"/>
      <c r="S63" s="448"/>
      <c r="T63" s="448"/>
      <c r="U63" s="448"/>
      <c r="V63" s="448"/>
      <c r="W63" s="448"/>
      <c r="X63" s="448"/>
      <c r="Y63" s="448"/>
      <c r="Z63" s="448"/>
      <c r="AA63" s="63"/>
      <c r="AB63" s="75" t="s">
        <v>246</v>
      </c>
      <c r="AD63" s="80" t="s">
        <v>242</v>
      </c>
      <c r="AE63" s="78"/>
      <c r="AF63" s="74">
        <f t="shared" si="8"/>
        <v>0</v>
      </c>
      <c r="AG63" s="74">
        <f t="shared" si="7"/>
        <v>1</v>
      </c>
    </row>
    <row r="64" spans="1:33" ht="18" customHeight="1" x14ac:dyDescent="0.2">
      <c r="A64" s="73" t="str">
        <f t="shared" ref="A64:A74" si="20">IF(AG64=1,"X","")</f>
        <v>X</v>
      </c>
      <c r="B64" s="81" t="str">
        <f t="shared" si="10"/>
        <v/>
      </c>
      <c r="D64" s="95" t="s">
        <v>245</v>
      </c>
      <c r="E64" s="448" t="s">
        <v>358</v>
      </c>
      <c r="F64" s="448"/>
      <c r="G64" s="448"/>
      <c r="H64" s="448"/>
      <c r="I64" s="448"/>
      <c r="J64" s="448"/>
      <c r="K64" s="448"/>
      <c r="L64" s="448"/>
      <c r="M64" s="448"/>
      <c r="N64" s="448"/>
      <c r="O64" s="448"/>
      <c r="P64" s="448"/>
      <c r="Q64" s="448"/>
      <c r="R64" s="448"/>
      <c r="S64" s="448"/>
      <c r="T64" s="448"/>
      <c r="U64" s="448"/>
      <c r="V64" s="448"/>
      <c r="W64" s="448"/>
      <c r="X64" s="448"/>
      <c r="Y64" s="448"/>
      <c r="Z64" s="448"/>
      <c r="AA64" s="63"/>
      <c r="AB64" s="75" t="s">
        <v>246</v>
      </c>
      <c r="AD64" s="80" t="s">
        <v>242</v>
      </c>
      <c r="AE64" s="78"/>
      <c r="AF64" s="74">
        <f t="shared" si="8"/>
        <v>0</v>
      </c>
      <c r="AG64" s="74">
        <f t="shared" si="7"/>
        <v>1</v>
      </c>
    </row>
    <row r="65" spans="1:33" s="58" customFormat="1" ht="18.5" customHeight="1" x14ac:dyDescent="0.2">
      <c r="A65" s="73" t="str">
        <f t="shared" si="20"/>
        <v/>
      </c>
      <c r="B65" s="74">
        <v>0</v>
      </c>
      <c r="C65" s="57"/>
      <c r="D65" s="99" t="s">
        <v>245</v>
      </c>
      <c r="E65" s="424" t="s">
        <v>359</v>
      </c>
      <c r="F65" s="424"/>
      <c r="G65" s="424"/>
      <c r="H65" s="424"/>
      <c r="I65" s="424"/>
      <c r="J65" s="424"/>
      <c r="K65" s="424"/>
      <c r="L65" s="424"/>
      <c r="M65" s="424"/>
      <c r="N65" s="424"/>
      <c r="O65" s="424"/>
      <c r="P65" s="424"/>
      <c r="Q65" s="424"/>
      <c r="R65" s="424"/>
      <c r="S65" s="424"/>
      <c r="T65" s="424"/>
      <c r="U65" s="424"/>
      <c r="V65" s="424"/>
      <c r="W65" s="424"/>
      <c r="X65" s="424"/>
      <c r="Y65" s="424"/>
      <c r="Z65" s="424"/>
      <c r="AA65" s="60"/>
      <c r="AB65" s="87" t="s">
        <v>314</v>
      </c>
      <c r="AD65" s="82" t="s">
        <v>288</v>
      </c>
      <c r="AE65" s="27"/>
      <c r="AF65" s="13"/>
      <c r="AG65" s="13"/>
    </row>
    <row r="66" spans="1:33" s="58" customFormat="1" ht="18" customHeight="1" x14ac:dyDescent="0.2">
      <c r="A66" s="73" t="str">
        <f t="shared" si="20"/>
        <v>X</v>
      </c>
      <c r="B66" s="81" t="str">
        <f t="shared" ref="B66:B68" si="21">IF($B$46="","",IF($B$46=1,0,""))</f>
        <v/>
      </c>
      <c r="C66" s="57"/>
      <c r="D66" s="99" t="s">
        <v>245</v>
      </c>
      <c r="E66" s="428"/>
      <c r="F66" s="428"/>
      <c r="G66" s="428"/>
      <c r="H66" s="428"/>
      <c r="I66" s="428"/>
      <c r="J66" s="428"/>
      <c r="K66" s="428"/>
      <c r="L66" s="428"/>
      <c r="M66" s="428"/>
      <c r="N66" s="428"/>
      <c r="O66" s="428"/>
      <c r="P66" s="428"/>
      <c r="Q66" s="428"/>
      <c r="R66" s="428"/>
      <c r="S66" s="428"/>
      <c r="T66" s="428"/>
      <c r="U66" s="428"/>
      <c r="V66" s="428"/>
      <c r="W66" s="428"/>
      <c r="X66" s="428"/>
      <c r="Y66" s="428"/>
      <c r="Z66" s="428"/>
      <c r="AA66" s="61"/>
      <c r="AB66" s="75" t="s">
        <v>316</v>
      </c>
      <c r="AD66" s="80" t="s">
        <v>242</v>
      </c>
      <c r="AE66" s="78"/>
      <c r="AF66" s="74">
        <f t="shared" ref="AF66:AF68" si="22">IF(B66&lt;&gt;"",1,0)</f>
        <v>0</v>
      </c>
      <c r="AG66" s="74">
        <f>IF(AND(SUM(AF:AF)&gt;0,$B$46=0,OR(B66=FALSE,AND(B66=1,E66=""),AND(B66="",E66=""),AND(B66="",E66&lt;&gt;""),AND(B66=0,E66&lt;&gt;""))),1,0)</f>
        <v>1</v>
      </c>
    </row>
    <row r="67" spans="1:33" s="58" customFormat="1" ht="18" customHeight="1" x14ac:dyDescent="0.2">
      <c r="A67" s="73" t="str">
        <f t="shared" si="20"/>
        <v>X</v>
      </c>
      <c r="B67" s="81" t="str">
        <f t="shared" si="21"/>
        <v/>
      </c>
      <c r="C67" s="57"/>
      <c r="D67" s="99" t="s">
        <v>245</v>
      </c>
      <c r="E67" s="428"/>
      <c r="F67" s="428"/>
      <c r="G67" s="428"/>
      <c r="H67" s="428"/>
      <c r="I67" s="428"/>
      <c r="J67" s="428"/>
      <c r="K67" s="428"/>
      <c r="L67" s="428"/>
      <c r="M67" s="428"/>
      <c r="N67" s="428"/>
      <c r="O67" s="428"/>
      <c r="P67" s="428"/>
      <c r="Q67" s="428"/>
      <c r="R67" s="428"/>
      <c r="S67" s="428"/>
      <c r="T67" s="428"/>
      <c r="U67" s="428"/>
      <c r="V67" s="428"/>
      <c r="W67" s="428"/>
      <c r="X67" s="428"/>
      <c r="Y67" s="428"/>
      <c r="Z67" s="428"/>
      <c r="AA67" s="61"/>
      <c r="AB67" s="75" t="s">
        <v>316</v>
      </c>
      <c r="AD67" s="80" t="s">
        <v>242</v>
      </c>
      <c r="AE67" s="78"/>
      <c r="AF67" s="74">
        <f t="shared" si="22"/>
        <v>0</v>
      </c>
      <c r="AG67" s="74">
        <f>IF(AND(SUM(AF:AF)&gt;0,$B$46=0,OR(B67=FALSE,AND(B67=1,E67=""),AND(B67="",E67=""),AND(B67="",E67&lt;&gt;""),AND(B67=0,E67&lt;&gt;""))),1,0)</f>
        <v>1</v>
      </c>
    </row>
    <row r="68" spans="1:33" s="58" customFormat="1" ht="18" customHeight="1" x14ac:dyDescent="0.2">
      <c r="A68" s="73" t="str">
        <f t="shared" si="20"/>
        <v>X</v>
      </c>
      <c r="B68" s="81" t="str">
        <f t="shared" si="21"/>
        <v/>
      </c>
      <c r="C68" s="57"/>
      <c r="D68" s="99" t="s">
        <v>245</v>
      </c>
      <c r="E68" s="428"/>
      <c r="F68" s="428"/>
      <c r="G68" s="428"/>
      <c r="H68" s="428"/>
      <c r="I68" s="428"/>
      <c r="J68" s="428"/>
      <c r="K68" s="428"/>
      <c r="L68" s="428"/>
      <c r="M68" s="428"/>
      <c r="N68" s="428"/>
      <c r="O68" s="428"/>
      <c r="P68" s="428"/>
      <c r="Q68" s="428"/>
      <c r="R68" s="428"/>
      <c r="S68" s="428"/>
      <c r="T68" s="428"/>
      <c r="U68" s="428"/>
      <c r="V68" s="428"/>
      <c r="W68" s="428"/>
      <c r="X68" s="428"/>
      <c r="Y68" s="428"/>
      <c r="Z68" s="428"/>
      <c r="AA68" s="61"/>
      <c r="AB68" s="75" t="s">
        <v>316</v>
      </c>
      <c r="AD68" s="80" t="s">
        <v>242</v>
      </c>
      <c r="AE68" s="78"/>
      <c r="AF68" s="74">
        <f t="shared" si="22"/>
        <v>0</v>
      </c>
      <c r="AG68" s="74">
        <f>IF(AND(SUM(AF:AF)&gt;0,$B$46=0,OR(B68=FALSE,AND(B68=1,E68=""),AND(B68="",E68=""),AND(B68="",E68&lt;&gt;""),AND(B68=0,E68&lt;&gt;""))),1,0)</f>
        <v>1</v>
      </c>
    </row>
    <row r="69" spans="1:33" ht="21" customHeight="1" x14ac:dyDescent="0.2">
      <c r="A69" s="73" t="str">
        <f t="shared" ref="A69" si="23">IF(AG69=1,"X","")</f>
        <v/>
      </c>
      <c r="B69" s="74">
        <v>0</v>
      </c>
      <c r="D69" s="446" t="s">
        <v>299</v>
      </c>
      <c r="E69" s="446"/>
      <c r="F69" s="446"/>
      <c r="G69" s="446"/>
      <c r="H69" s="446"/>
      <c r="I69" s="446"/>
      <c r="J69" s="446"/>
      <c r="K69" s="446"/>
      <c r="L69" s="446"/>
      <c r="M69" s="446"/>
      <c r="N69" s="446"/>
      <c r="O69" s="446"/>
      <c r="P69" s="446"/>
      <c r="Q69" s="446"/>
      <c r="R69" s="446"/>
      <c r="S69" s="446"/>
      <c r="T69" s="446"/>
      <c r="U69" s="446"/>
      <c r="V69" s="446"/>
      <c r="W69" s="446"/>
      <c r="X69" s="446"/>
      <c r="Y69" s="446"/>
      <c r="Z69" s="446"/>
      <c r="AB69" s="87" t="s">
        <v>314</v>
      </c>
      <c r="AD69" s="82" t="s">
        <v>288</v>
      </c>
      <c r="AE69" s="27"/>
      <c r="AF69" s="13"/>
      <c r="AG69" s="13"/>
    </row>
    <row r="70" spans="1:33" ht="15.75" customHeight="1" x14ac:dyDescent="0.2">
      <c r="A70" s="73"/>
      <c r="B70" s="74">
        <v>0</v>
      </c>
      <c r="D70" s="443" t="s">
        <v>303</v>
      </c>
      <c r="E70" s="443"/>
      <c r="F70" s="443"/>
      <c r="G70" s="443"/>
      <c r="H70" s="443"/>
      <c r="I70" s="443"/>
      <c r="J70" s="443"/>
      <c r="K70" s="443"/>
      <c r="L70" s="443"/>
      <c r="M70" s="443"/>
      <c r="N70" s="443"/>
      <c r="O70" s="443"/>
      <c r="P70" s="443"/>
      <c r="Q70" s="443"/>
      <c r="R70" s="443"/>
      <c r="S70" s="443"/>
      <c r="T70" s="443"/>
      <c r="U70" s="443"/>
      <c r="V70" s="443"/>
      <c r="W70" s="443"/>
      <c r="X70" s="443"/>
      <c r="Y70" s="443"/>
      <c r="Z70" s="443"/>
      <c r="AB70" s="87" t="s">
        <v>314</v>
      </c>
      <c r="AD70" s="82" t="s">
        <v>288</v>
      </c>
      <c r="AE70" s="27"/>
      <c r="AF70" s="13"/>
      <c r="AG70" s="13"/>
    </row>
    <row r="71" spans="1:33" ht="8.5" customHeight="1" x14ac:dyDescent="0.15">
      <c r="A71" s="73" t="str">
        <f>IF(AG71=1,"X","")</f>
        <v/>
      </c>
      <c r="B71" s="74">
        <f>IF(OR(D72="Show",Q72="Show"),1,0)</f>
        <v>0</v>
      </c>
      <c r="D71" s="426"/>
      <c r="E71" s="426"/>
      <c r="F71" s="426"/>
      <c r="G71" s="426"/>
      <c r="H71" s="426"/>
      <c r="I71" s="426"/>
      <c r="J71" s="426"/>
      <c r="K71" s="426"/>
      <c r="L71" s="426"/>
      <c r="M71" s="426"/>
      <c r="N71" s="426"/>
      <c r="O71" s="426"/>
      <c r="P71" s="426"/>
      <c r="Q71" s="426"/>
      <c r="R71" s="426"/>
      <c r="S71" s="426"/>
      <c r="T71" s="426"/>
      <c r="U71" s="426"/>
      <c r="V71" s="426"/>
      <c r="W71" s="426"/>
      <c r="X71" s="426"/>
      <c r="Y71" s="426"/>
      <c r="Z71" s="426"/>
      <c r="AD71" s="82" t="s">
        <v>241</v>
      </c>
      <c r="AE71" s="52"/>
      <c r="AF71" s="13"/>
      <c r="AG71" s="13"/>
    </row>
    <row r="72" spans="1:33" ht="18" customHeight="1" x14ac:dyDescent="0.2">
      <c r="A72" s="73" t="str">
        <f t="shared" ref="A72" si="24">IF(AG72=1,"X","")</f>
        <v/>
      </c>
      <c r="B72" s="74">
        <v>0</v>
      </c>
      <c r="D72" s="427" t="s">
        <v>309</v>
      </c>
      <c r="E72" s="427"/>
      <c r="F72" s="427"/>
      <c r="G72" s="427"/>
      <c r="H72" s="427"/>
      <c r="I72" s="427"/>
      <c r="J72" s="427"/>
      <c r="K72" s="427"/>
      <c r="L72" s="427"/>
      <c r="M72" s="427"/>
      <c r="N72" s="427"/>
      <c r="O72" s="84"/>
      <c r="P72" s="84"/>
      <c r="Q72" s="427" t="s">
        <v>309</v>
      </c>
      <c r="R72" s="427"/>
      <c r="S72" s="427"/>
      <c r="T72" s="427"/>
      <c r="U72" s="427"/>
      <c r="V72" s="427"/>
      <c r="W72" s="427"/>
      <c r="X72" s="427"/>
      <c r="Y72" s="427"/>
      <c r="Z72" s="427"/>
      <c r="AA72" s="65"/>
      <c r="AB72" s="75" t="s">
        <v>302</v>
      </c>
      <c r="AD72" s="80" t="s">
        <v>242</v>
      </c>
      <c r="AE72" s="27"/>
      <c r="AF72" s="74">
        <f>IF(OR(D72="Show",D72="",Q72="Show",Q72=""),1,0)</f>
        <v>0</v>
      </c>
      <c r="AG72" s="74">
        <f>IF(AND(SUM(AF:AF)&gt;0,OR(D72="",Q72="")),1,0)</f>
        <v>0</v>
      </c>
    </row>
    <row r="73" spans="1:33" ht="197.25" customHeight="1" x14ac:dyDescent="0.2">
      <c r="A73" s="73" t="str">
        <f t="shared" ref="A73" si="25">IF(AG73=1,"X","")</f>
        <v/>
      </c>
      <c r="B73" s="74">
        <f>B71</f>
        <v>0</v>
      </c>
      <c r="D73" s="427"/>
      <c r="E73" s="427"/>
      <c r="F73" s="427"/>
      <c r="G73" s="427"/>
      <c r="H73" s="427"/>
      <c r="I73" s="427"/>
      <c r="J73" s="427"/>
      <c r="K73" s="427"/>
      <c r="L73" s="427"/>
      <c r="M73" s="427"/>
      <c r="N73" s="427"/>
      <c r="O73" s="84"/>
      <c r="P73" s="84"/>
      <c r="Q73" s="427"/>
      <c r="R73" s="427"/>
      <c r="S73" s="427"/>
      <c r="T73" s="427"/>
      <c r="U73" s="427"/>
      <c r="V73" s="427"/>
      <c r="W73" s="427"/>
      <c r="X73" s="427"/>
      <c r="Y73" s="427"/>
      <c r="Z73" s="427"/>
      <c r="AA73" s="65"/>
      <c r="AB73" s="75" t="s">
        <v>301</v>
      </c>
      <c r="AD73" s="80" t="s">
        <v>242</v>
      </c>
      <c r="AE73" s="78"/>
      <c r="AF73" s="13"/>
      <c r="AG73" s="13"/>
    </row>
    <row r="74" spans="1:33" ht="18" customHeight="1" x14ac:dyDescent="0.2">
      <c r="A74" s="73" t="str">
        <f t="shared" si="20"/>
        <v/>
      </c>
      <c r="B74" s="74">
        <f>B73</f>
        <v>0</v>
      </c>
      <c r="D74" s="430"/>
      <c r="E74" s="430"/>
      <c r="F74" s="430"/>
      <c r="G74" s="430"/>
      <c r="H74" s="430"/>
      <c r="I74" s="430"/>
      <c r="J74" s="430"/>
      <c r="K74" s="430"/>
      <c r="L74" s="430"/>
      <c r="M74" s="430"/>
      <c r="N74" s="430"/>
      <c r="O74" s="84"/>
      <c r="P74" s="84"/>
      <c r="Q74" s="430"/>
      <c r="R74" s="430"/>
      <c r="S74" s="430"/>
      <c r="T74" s="430"/>
      <c r="U74" s="430"/>
      <c r="V74" s="430"/>
      <c r="W74" s="430"/>
      <c r="X74" s="430"/>
      <c r="Y74" s="430"/>
      <c r="Z74" s="430"/>
      <c r="AA74" s="65"/>
      <c r="AB74" s="75" t="s">
        <v>300</v>
      </c>
      <c r="AD74" s="80" t="s">
        <v>242</v>
      </c>
      <c r="AE74" s="78"/>
      <c r="AF74" s="74">
        <f>IF(OR(D72="Show",D72="",Q72="Show",Q72=""),1,0)</f>
        <v>0</v>
      </c>
      <c r="AG74" s="74">
        <f>IF(AND(SUM(AF:AF)&gt;0,OR(AND(D72="Show",D74=""),AND(Q72="Show",Q74=""))),1,0)</f>
        <v>0</v>
      </c>
    </row>
    <row r="75" spans="1:33" ht="8.5" customHeight="1" x14ac:dyDescent="0.15">
      <c r="A75" s="73" t="str">
        <f t="shared" ref="A75" si="26">IF(AG75=1,"X","")</f>
        <v/>
      </c>
      <c r="B75" s="74">
        <f>B74</f>
        <v>0</v>
      </c>
      <c r="D75" s="426"/>
      <c r="E75" s="426"/>
      <c r="F75" s="426"/>
      <c r="G75" s="426"/>
      <c r="H75" s="426"/>
      <c r="I75" s="426"/>
      <c r="J75" s="426"/>
      <c r="K75" s="426"/>
      <c r="L75" s="426"/>
      <c r="M75" s="426"/>
      <c r="N75" s="426"/>
      <c r="O75" s="426"/>
      <c r="P75" s="426"/>
      <c r="Q75" s="426"/>
      <c r="R75" s="426"/>
      <c r="S75" s="426"/>
      <c r="T75" s="426"/>
      <c r="U75" s="426"/>
      <c r="V75" s="426"/>
      <c r="W75" s="426"/>
      <c r="X75" s="426"/>
      <c r="Y75" s="426"/>
      <c r="Z75" s="426"/>
      <c r="AA75" s="65"/>
      <c r="AD75" s="82" t="s">
        <v>241</v>
      </c>
      <c r="AE75" s="52"/>
      <c r="AF75" s="13"/>
      <c r="AG75" s="13"/>
    </row>
    <row r="76" spans="1:33" ht="15.75" customHeight="1" x14ac:dyDescent="0.2">
      <c r="A76" s="73"/>
      <c r="B76" s="74">
        <v>0</v>
      </c>
      <c r="D76" s="443" t="s">
        <v>304</v>
      </c>
      <c r="E76" s="443"/>
      <c r="F76" s="443"/>
      <c r="G76" s="443"/>
      <c r="H76" s="443"/>
      <c r="I76" s="443"/>
      <c r="J76" s="443"/>
      <c r="K76" s="443"/>
      <c r="L76" s="443"/>
      <c r="M76" s="443"/>
      <c r="N76" s="443"/>
      <c r="O76" s="443"/>
      <c r="P76" s="443"/>
      <c r="Q76" s="443"/>
      <c r="R76" s="443"/>
      <c r="S76" s="443"/>
      <c r="T76" s="443"/>
      <c r="U76" s="443"/>
      <c r="V76" s="443"/>
      <c r="W76" s="443"/>
      <c r="X76" s="443"/>
      <c r="Y76" s="443"/>
      <c r="Z76" s="443"/>
      <c r="AB76" s="87" t="s">
        <v>314</v>
      </c>
      <c r="AD76" s="82" t="s">
        <v>288</v>
      </c>
      <c r="AE76" s="27"/>
      <c r="AF76" s="13"/>
      <c r="AG76" s="13"/>
    </row>
    <row r="77" spans="1:33" ht="15.75" customHeight="1" x14ac:dyDescent="0.2">
      <c r="A77" s="73"/>
      <c r="B77" s="74">
        <v>0</v>
      </c>
      <c r="D77" s="443" t="s">
        <v>305</v>
      </c>
      <c r="E77" s="443"/>
      <c r="F77" s="443"/>
      <c r="G77" s="443"/>
      <c r="H77" s="443"/>
      <c r="I77" s="443"/>
      <c r="J77" s="443"/>
      <c r="K77" s="443"/>
      <c r="L77" s="443"/>
      <c r="M77" s="443"/>
      <c r="N77" s="443"/>
      <c r="O77" s="443"/>
      <c r="P77" s="443"/>
      <c r="Q77" s="443"/>
      <c r="R77" s="443"/>
      <c r="S77" s="443"/>
      <c r="T77" s="443"/>
      <c r="U77" s="443"/>
      <c r="V77" s="443"/>
      <c r="W77" s="443"/>
      <c r="X77" s="443"/>
      <c r="Y77" s="443"/>
      <c r="Z77" s="443"/>
      <c r="AB77" s="87" t="s">
        <v>314</v>
      </c>
      <c r="AD77" s="82" t="s">
        <v>288</v>
      </c>
      <c r="AE77" s="27"/>
      <c r="AF77" s="13"/>
      <c r="AG77" s="13"/>
    </row>
    <row r="78" spans="1:33" ht="8.5" customHeight="1" x14ac:dyDescent="0.15">
      <c r="A78" s="73" t="str">
        <f>IF(AG78=1,"X","")</f>
        <v/>
      </c>
      <c r="B78" s="74">
        <f>IF(OR(D79="Show",Q79="Show"),1,0)</f>
        <v>0</v>
      </c>
      <c r="D78" s="426"/>
      <c r="E78" s="426"/>
      <c r="F78" s="426"/>
      <c r="G78" s="426"/>
      <c r="H78" s="426"/>
      <c r="I78" s="426"/>
      <c r="J78" s="426"/>
      <c r="K78" s="426"/>
      <c r="L78" s="426"/>
      <c r="M78" s="426"/>
      <c r="N78" s="426"/>
      <c r="O78" s="426"/>
      <c r="P78" s="426"/>
      <c r="Q78" s="426"/>
      <c r="R78" s="426"/>
      <c r="S78" s="426"/>
      <c r="T78" s="426"/>
      <c r="U78" s="426"/>
      <c r="V78" s="426"/>
      <c r="W78" s="426"/>
      <c r="X78" s="426"/>
      <c r="Y78" s="426"/>
      <c r="Z78" s="426"/>
      <c r="AD78" s="82" t="s">
        <v>241</v>
      </c>
      <c r="AE78" s="52"/>
      <c r="AF78" s="13"/>
      <c r="AG78" s="13"/>
    </row>
    <row r="79" spans="1:33" ht="18" customHeight="1" x14ac:dyDescent="0.2">
      <c r="A79" s="73" t="str">
        <f t="shared" ref="A79:A81" si="27">IF(AG79=1,"X","")</f>
        <v/>
      </c>
      <c r="B79" s="74">
        <v>0</v>
      </c>
      <c r="D79" s="427" t="s">
        <v>309</v>
      </c>
      <c r="E79" s="427"/>
      <c r="F79" s="427"/>
      <c r="G79" s="427"/>
      <c r="H79" s="427"/>
      <c r="I79" s="427"/>
      <c r="J79" s="427"/>
      <c r="K79" s="427"/>
      <c r="L79" s="427"/>
      <c r="M79" s="427"/>
      <c r="N79" s="427"/>
      <c r="O79" s="84"/>
      <c r="P79" s="84"/>
      <c r="Q79" s="427" t="s">
        <v>309</v>
      </c>
      <c r="R79" s="427"/>
      <c r="S79" s="427"/>
      <c r="T79" s="427"/>
      <c r="U79" s="427"/>
      <c r="V79" s="427"/>
      <c r="W79" s="427"/>
      <c r="X79" s="427"/>
      <c r="Y79" s="427"/>
      <c r="Z79" s="427"/>
      <c r="AA79" s="65"/>
      <c r="AB79" s="75" t="s">
        <v>302</v>
      </c>
      <c r="AD79" s="80" t="s">
        <v>242</v>
      </c>
      <c r="AE79" s="27"/>
      <c r="AF79" s="74">
        <f>IF(OR(D79="Show",D79="",Q79="Show",Q79=""),1,0)</f>
        <v>0</v>
      </c>
      <c r="AG79" s="74">
        <f>IF(AND(SUM(AF:AF)&gt;0,OR(D79="",Q79="")),1,0)</f>
        <v>0</v>
      </c>
    </row>
    <row r="80" spans="1:33" ht="197.25" customHeight="1" x14ac:dyDescent="0.2">
      <c r="A80" s="73" t="str">
        <f t="shared" si="27"/>
        <v/>
      </c>
      <c r="B80" s="74">
        <f>B78</f>
        <v>0</v>
      </c>
      <c r="D80" s="427"/>
      <c r="E80" s="427"/>
      <c r="F80" s="427"/>
      <c r="G80" s="427"/>
      <c r="H80" s="427"/>
      <c r="I80" s="427"/>
      <c r="J80" s="427"/>
      <c r="K80" s="427"/>
      <c r="L80" s="427"/>
      <c r="M80" s="427"/>
      <c r="N80" s="427"/>
      <c r="O80" s="84"/>
      <c r="P80" s="84"/>
      <c r="Q80" s="427"/>
      <c r="R80" s="427"/>
      <c r="S80" s="427"/>
      <c r="T80" s="427"/>
      <c r="U80" s="427"/>
      <c r="V80" s="427"/>
      <c r="W80" s="427"/>
      <c r="X80" s="427"/>
      <c r="Y80" s="427"/>
      <c r="Z80" s="427"/>
      <c r="AA80" s="65"/>
      <c r="AB80" s="75" t="s">
        <v>301</v>
      </c>
      <c r="AD80" s="80" t="s">
        <v>242</v>
      </c>
      <c r="AE80" s="78"/>
      <c r="AF80" s="13"/>
      <c r="AG80" s="13"/>
    </row>
    <row r="81" spans="1:33" ht="18" customHeight="1" x14ac:dyDescent="0.2">
      <c r="A81" s="73" t="str">
        <f t="shared" si="27"/>
        <v/>
      </c>
      <c r="B81" s="74">
        <f>B80</f>
        <v>0</v>
      </c>
      <c r="D81" s="430"/>
      <c r="E81" s="430"/>
      <c r="F81" s="430"/>
      <c r="G81" s="430"/>
      <c r="H81" s="430"/>
      <c r="I81" s="430"/>
      <c r="J81" s="430"/>
      <c r="K81" s="430"/>
      <c r="L81" s="430"/>
      <c r="M81" s="430"/>
      <c r="N81" s="430"/>
      <c r="O81" s="84"/>
      <c r="P81" s="84"/>
      <c r="Q81" s="430"/>
      <c r="R81" s="430"/>
      <c r="S81" s="430"/>
      <c r="T81" s="430"/>
      <c r="U81" s="430"/>
      <c r="V81" s="430"/>
      <c r="W81" s="430"/>
      <c r="X81" s="430"/>
      <c r="Y81" s="430"/>
      <c r="Z81" s="430"/>
      <c r="AA81" s="65"/>
      <c r="AB81" s="75" t="s">
        <v>300</v>
      </c>
      <c r="AD81" s="80" t="s">
        <v>242</v>
      </c>
      <c r="AE81" s="78"/>
      <c r="AF81" s="74">
        <f>IF(OR(D79="Show",D79="",Q79="Show",Q79=""),1,0)</f>
        <v>0</v>
      </c>
      <c r="AG81" s="74">
        <f>IF(AND(SUM(AF:AF)&gt;0,OR(AND(D79="Show",D81=""),AND(Q79="Show",Q81=""))),1,0)</f>
        <v>0</v>
      </c>
    </row>
    <row r="82" spans="1:33" ht="8.5" customHeight="1" x14ac:dyDescent="0.15">
      <c r="A82" s="73" t="str">
        <f t="shared" ref="A82" si="28">IF(AG82=1,"X","")</f>
        <v/>
      </c>
      <c r="B82" s="74">
        <f>B81</f>
        <v>0</v>
      </c>
      <c r="D82" s="426"/>
      <c r="E82" s="426"/>
      <c r="F82" s="426"/>
      <c r="G82" s="426"/>
      <c r="H82" s="426"/>
      <c r="I82" s="426"/>
      <c r="J82" s="426"/>
      <c r="K82" s="426"/>
      <c r="L82" s="426"/>
      <c r="M82" s="426"/>
      <c r="N82" s="426"/>
      <c r="O82" s="426"/>
      <c r="P82" s="426"/>
      <c r="Q82" s="426"/>
      <c r="R82" s="426"/>
      <c r="S82" s="426"/>
      <c r="T82" s="426"/>
      <c r="U82" s="426"/>
      <c r="V82" s="426"/>
      <c r="W82" s="426"/>
      <c r="X82" s="426"/>
      <c r="Y82" s="426"/>
      <c r="Z82" s="426"/>
      <c r="AA82" s="65"/>
      <c r="AD82" s="82" t="s">
        <v>241</v>
      </c>
      <c r="AE82" s="52"/>
      <c r="AF82" s="13"/>
      <c r="AG82" s="13"/>
    </row>
    <row r="83" spans="1:33" ht="15.75" customHeight="1" x14ac:dyDescent="0.2">
      <c r="A83" s="73"/>
      <c r="B83" s="74">
        <v>0</v>
      </c>
      <c r="D83" s="443" t="s">
        <v>307</v>
      </c>
      <c r="E83" s="443"/>
      <c r="F83" s="443"/>
      <c r="G83" s="443"/>
      <c r="H83" s="443"/>
      <c r="I83" s="443"/>
      <c r="J83" s="443"/>
      <c r="K83" s="443"/>
      <c r="L83" s="443"/>
      <c r="M83" s="443"/>
      <c r="N83" s="443"/>
      <c r="O83" s="443"/>
      <c r="P83" s="443"/>
      <c r="Q83" s="443"/>
      <c r="R83" s="443"/>
      <c r="S83" s="443"/>
      <c r="T83" s="443"/>
      <c r="U83" s="443"/>
      <c r="V83" s="443"/>
      <c r="W83" s="443"/>
      <c r="X83" s="443"/>
      <c r="Y83" s="443"/>
      <c r="Z83" s="443"/>
      <c r="AB83" s="87" t="s">
        <v>314</v>
      </c>
      <c r="AD83" s="82" t="s">
        <v>288</v>
      </c>
      <c r="AE83" s="27"/>
      <c r="AF83" s="13"/>
      <c r="AG83" s="13"/>
    </row>
    <row r="84" spans="1:33" ht="15.75" customHeight="1" x14ac:dyDescent="0.2">
      <c r="A84" s="73"/>
      <c r="B84" s="74">
        <v>0</v>
      </c>
      <c r="D84" s="443" t="s">
        <v>308</v>
      </c>
      <c r="E84" s="443"/>
      <c r="F84" s="443"/>
      <c r="G84" s="443"/>
      <c r="H84" s="443"/>
      <c r="I84" s="443"/>
      <c r="J84" s="443"/>
      <c r="K84" s="443"/>
      <c r="L84" s="443"/>
      <c r="M84" s="443"/>
      <c r="N84" s="443"/>
      <c r="O84" s="443"/>
      <c r="P84" s="443"/>
      <c r="Q84" s="443"/>
      <c r="R84" s="443"/>
      <c r="S84" s="443"/>
      <c r="T84" s="443"/>
      <c r="U84" s="443"/>
      <c r="V84" s="443"/>
      <c r="W84" s="443"/>
      <c r="X84" s="443"/>
      <c r="Y84" s="443"/>
      <c r="Z84" s="443"/>
      <c r="AB84" s="87" t="s">
        <v>314</v>
      </c>
      <c r="AD84" s="82" t="s">
        <v>288</v>
      </c>
      <c r="AE84" s="27"/>
      <c r="AF84" s="13"/>
      <c r="AG84" s="13"/>
    </row>
    <row r="85" spans="1:33" ht="8.5" customHeight="1" x14ac:dyDescent="0.15">
      <c r="A85" s="73" t="str">
        <f>IF(AG85=1,"X","")</f>
        <v/>
      </c>
      <c r="B85" s="74">
        <f>IF(OR(D86="Show",Q86="Show"),1,0)</f>
        <v>0</v>
      </c>
      <c r="D85" s="426"/>
      <c r="E85" s="426"/>
      <c r="F85" s="426"/>
      <c r="G85" s="426"/>
      <c r="H85" s="426"/>
      <c r="I85" s="426"/>
      <c r="J85" s="426"/>
      <c r="K85" s="426"/>
      <c r="L85" s="426"/>
      <c r="M85" s="426"/>
      <c r="N85" s="426"/>
      <c r="O85" s="426"/>
      <c r="P85" s="426"/>
      <c r="Q85" s="426"/>
      <c r="R85" s="426"/>
      <c r="S85" s="426"/>
      <c r="T85" s="426"/>
      <c r="U85" s="426"/>
      <c r="V85" s="426"/>
      <c r="W85" s="426"/>
      <c r="X85" s="426"/>
      <c r="Y85" s="426"/>
      <c r="Z85" s="426"/>
      <c r="AD85" s="82" t="s">
        <v>241</v>
      </c>
      <c r="AE85" s="52"/>
      <c r="AF85" s="13"/>
      <c r="AG85" s="13"/>
    </row>
    <row r="86" spans="1:33" ht="18" customHeight="1" x14ac:dyDescent="0.2">
      <c r="A86" s="73" t="str">
        <f t="shared" ref="A86:A89" si="29">IF(AG86=1,"X","")</f>
        <v/>
      </c>
      <c r="B86" s="74">
        <v>0</v>
      </c>
      <c r="D86" s="427" t="s">
        <v>309</v>
      </c>
      <c r="E86" s="427"/>
      <c r="F86" s="427"/>
      <c r="G86" s="427"/>
      <c r="H86" s="427"/>
      <c r="I86" s="427"/>
      <c r="J86" s="427"/>
      <c r="K86" s="427"/>
      <c r="L86" s="427"/>
      <c r="M86" s="427"/>
      <c r="N86" s="427"/>
      <c r="O86" s="84"/>
      <c r="P86" s="84"/>
      <c r="Q86" s="427" t="s">
        <v>309</v>
      </c>
      <c r="R86" s="427"/>
      <c r="S86" s="427"/>
      <c r="T86" s="427"/>
      <c r="U86" s="427"/>
      <c r="V86" s="427"/>
      <c r="W86" s="427"/>
      <c r="X86" s="427"/>
      <c r="Y86" s="427"/>
      <c r="Z86" s="427"/>
      <c r="AA86" s="65"/>
      <c r="AB86" s="75" t="s">
        <v>302</v>
      </c>
      <c r="AD86" s="80" t="s">
        <v>242</v>
      </c>
      <c r="AE86" s="27"/>
      <c r="AF86" s="74">
        <f>IF(OR(D86="Show",D86="",Q86="Show",Q86=""),1,0)</f>
        <v>0</v>
      </c>
      <c r="AG86" s="74">
        <f>IF(AND(SUM(AF:AF)&gt;0,OR(D86="",Q86="")),1,0)</f>
        <v>0</v>
      </c>
    </row>
    <row r="87" spans="1:33" ht="197.25" customHeight="1" x14ac:dyDescent="0.2">
      <c r="A87" s="73" t="str">
        <f t="shared" si="29"/>
        <v/>
      </c>
      <c r="B87" s="74">
        <f>B85</f>
        <v>0</v>
      </c>
      <c r="D87" s="427"/>
      <c r="E87" s="427"/>
      <c r="F87" s="427"/>
      <c r="G87" s="427"/>
      <c r="H87" s="427"/>
      <c r="I87" s="427"/>
      <c r="J87" s="427"/>
      <c r="K87" s="427"/>
      <c r="L87" s="427"/>
      <c r="M87" s="427"/>
      <c r="N87" s="427"/>
      <c r="O87" s="84"/>
      <c r="P87" s="84"/>
      <c r="Q87" s="427"/>
      <c r="R87" s="427"/>
      <c r="S87" s="427"/>
      <c r="T87" s="427"/>
      <c r="U87" s="427"/>
      <c r="V87" s="427"/>
      <c r="W87" s="427"/>
      <c r="X87" s="427"/>
      <c r="Y87" s="427"/>
      <c r="Z87" s="427"/>
      <c r="AA87" s="65"/>
      <c r="AB87" s="75" t="s">
        <v>301</v>
      </c>
      <c r="AD87" s="80" t="s">
        <v>242</v>
      </c>
      <c r="AE87" s="78"/>
      <c r="AF87" s="13"/>
      <c r="AG87" s="13"/>
    </row>
    <row r="88" spans="1:33" ht="18" customHeight="1" x14ac:dyDescent="0.2">
      <c r="A88" s="73" t="str">
        <f t="shared" si="29"/>
        <v/>
      </c>
      <c r="B88" s="74">
        <f>B87</f>
        <v>0</v>
      </c>
      <c r="D88" s="430"/>
      <c r="E88" s="430"/>
      <c r="F88" s="430"/>
      <c r="G88" s="430"/>
      <c r="H88" s="430"/>
      <c r="I88" s="430"/>
      <c r="J88" s="430"/>
      <c r="K88" s="430"/>
      <c r="L88" s="430"/>
      <c r="M88" s="430"/>
      <c r="N88" s="430"/>
      <c r="O88" s="84"/>
      <c r="P88" s="84"/>
      <c r="Q88" s="430"/>
      <c r="R88" s="430"/>
      <c r="S88" s="430"/>
      <c r="T88" s="430"/>
      <c r="U88" s="430"/>
      <c r="V88" s="430"/>
      <c r="W88" s="430"/>
      <c r="X88" s="430"/>
      <c r="Y88" s="430"/>
      <c r="Z88" s="430"/>
      <c r="AA88" s="65"/>
      <c r="AB88" s="75" t="s">
        <v>300</v>
      </c>
      <c r="AD88" s="80" t="s">
        <v>242</v>
      </c>
      <c r="AE88" s="78"/>
      <c r="AF88" s="74">
        <f>IF(OR(D86="Show",D86="",Q86="Show",Q86=""),1,0)</f>
        <v>0</v>
      </c>
      <c r="AG88" s="74">
        <f>IF(AND(SUM(AF:AF)&gt;0,OR(AND(D86="Show",D88=""),AND(Q86="Show",Q88=""))),1,0)</f>
        <v>0</v>
      </c>
    </row>
    <row r="89" spans="1:33" ht="8.5" customHeight="1" x14ac:dyDescent="0.15">
      <c r="A89" s="73" t="str">
        <f t="shared" si="29"/>
        <v/>
      </c>
      <c r="B89" s="74">
        <f>B88</f>
        <v>0</v>
      </c>
      <c r="D89" s="426"/>
      <c r="E89" s="426"/>
      <c r="F89" s="426"/>
      <c r="G89" s="426"/>
      <c r="H89" s="426"/>
      <c r="I89" s="426"/>
      <c r="J89" s="426"/>
      <c r="K89" s="426"/>
      <c r="L89" s="426"/>
      <c r="M89" s="426"/>
      <c r="N89" s="426"/>
      <c r="O89" s="426"/>
      <c r="P89" s="426"/>
      <c r="Q89" s="426"/>
      <c r="R89" s="426"/>
      <c r="S89" s="426"/>
      <c r="T89" s="426"/>
      <c r="U89" s="426"/>
      <c r="V89" s="426"/>
      <c r="W89" s="426"/>
      <c r="X89" s="426"/>
      <c r="Y89" s="426"/>
      <c r="Z89" s="426"/>
      <c r="AA89" s="65"/>
      <c r="AD89" s="82" t="s">
        <v>241</v>
      </c>
      <c r="AE89" s="52"/>
      <c r="AF89" s="13"/>
      <c r="AG89" s="13"/>
    </row>
    <row r="90" spans="1:33" ht="15.75" customHeight="1" x14ac:dyDescent="0.2">
      <c r="A90" s="73"/>
      <c r="B90" s="74">
        <v>0</v>
      </c>
      <c r="D90" s="443" t="s">
        <v>306</v>
      </c>
      <c r="E90" s="443"/>
      <c r="F90" s="443"/>
      <c r="G90" s="443"/>
      <c r="H90" s="443"/>
      <c r="I90" s="443"/>
      <c r="J90" s="443"/>
      <c r="K90" s="443"/>
      <c r="L90" s="443"/>
      <c r="M90" s="443"/>
      <c r="N90" s="443"/>
      <c r="O90" s="443"/>
      <c r="P90" s="443"/>
      <c r="Q90" s="443"/>
      <c r="R90" s="443"/>
      <c r="S90" s="443"/>
      <c r="T90" s="443"/>
      <c r="U90" s="443"/>
      <c r="V90" s="443"/>
      <c r="W90" s="443"/>
      <c r="X90" s="443"/>
      <c r="Y90" s="443"/>
      <c r="Z90" s="443"/>
      <c r="AB90" s="87" t="s">
        <v>314</v>
      </c>
      <c r="AD90" s="82" t="s">
        <v>288</v>
      </c>
      <c r="AE90" s="27"/>
      <c r="AF90" s="13"/>
      <c r="AG90" s="13"/>
    </row>
    <row r="91" spans="1:33" ht="15.75" customHeight="1" x14ac:dyDescent="0.2">
      <c r="A91" s="73"/>
      <c r="B91" s="74">
        <v>0</v>
      </c>
      <c r="D91" s="443" t="s">
        <v>479</v>
      </c>
      <c r="E91" s="443"/>
      <c r="F91" s="443"/>
      <c r="G91" s="443"/>
      <c r="H91" s="443"/>
      <c r="I91" s="443"/>
      <c r="J91" s="443"/>
      <c r="K91" s="443"/>
      <c r="L91" s="443"/>
      <c r="M91" s="443"/>
      <c r="N91" s="443"/>
      <c r="O91" s="443"/>
      <c r="P91" s="443"/>
      <c r="Q91" s="443"/>
      <c r="R91" s="443"/>
      <c r="S91" s="443"/>
      <c r="T91" s="443"/>
      <c r="U91" s="443"/>
      <c r="V91" s="443"/>
      <c r="W91" s="443"/>
      <c r="X91" s="443"/>
      <c r="Y91" s="443"/>
      <c r="Z91" s="443"/>
      <c r="AB91" s="87" t="s">
        <v>314</v>
      </c>
      <c r="AD91" s="82" t="s">
        <v>288</v>
      </c>
      <c r="AE91" s="27"/>
      <c r="AF91" s="13"/>
      <c r="AG91" s="13"/>
    </row>
    <row r="92" spans="1:33" ht="8.5" customHeight="1" x14ac:dyDescent="0.15">
      <c r="A92" s="73" t="str">
        <f>IF(AG92=1,"X","")</f>
        <v/>
      </c>
      <c r="B92" s="74">
        <f>IF(OR(D93="Show",Q93="Show"),1,0)</f>
        <v>0</v>
      </c>
      <c r="D92" s="426"/>
      <c r="E92" s="426"/>
      <c r="F92" s="426"/>
      <c r="G92" s="426"/>
      <c r="H92" s="426"/>
      <c r="I92" s="426"/>
      <c r="J92" s="426"/>
      <c r="K92" s="426"/>
      <c r="L92" s="426"/>
      <c r="M92" s="426"/>
      <c r="N92" s="426"/>
      <c r="O92" s="426"/>
      <c r="P92" s="426"/>
      <c r="Q92" s="426"/>
      <c r="R92" s="426"/>
      <c r="S92" s="426"/>
      <c r="T92" s="426"/>
      <c r="U92" s="426"/>
      <c r="V92" s="426"/>
      <c r="W92" s="426"/>
      <c r="X92" s="426"/>
      <c r="Y92" s="426"/>
      <c r="Z92" s="426"/>
      <c r="AD92" s="82" t="s">
        <v>241</v>
      </c>
      <c r="AE92" s="52"/>
      <c r="AF92" s="13"/>
      <c r="AG92" s="13"/>
    </row>
    <row r="93" spans="1:33" ht="18" customHeight="1" x14ac:dyDescent="0.2">
      <c r="A93" s="73" t="str">
        <f t="shared" ref="A93:A96" si="30">IF(AG93=1,"X","")</f>
        <v/>
      </c>
      <c r="B93" s="74">
        <v>0</v>
      </c>
      <c r="D93" s="427" t="s">
        <v>309</v>
      </c>
      <c r="E93" s="427"/>
      <c r="F93" s="427"/>
      <c r="G93" s="427"/>
      <c r="H93" s="427"/>
      <c r="I93" s="427"/>
      <c r="J93" s="427"/>
      <c r="K93" s="427"/>
      <c r="L93" s="427"/>
      <c r="M93" s="427"/>
      <c r="N93" s="427"/>
      <c r="O93" s="84"/>
      <c r="P93" s="84"/>
      <c r="Q93" s="427" t="s">
        <v>309</v>
      </c>
      <c r="R93" s="427"/>
      <c r="S93" s="427"/>
      <c r="T93" s="427"/>
      <c r="U93" s="427"/>
      <c r="V93" s="427"/>
      <c r="W93" s="427"/>
      <c r="X93" s="427"/>
      <c r="Y93" s="427"/>
      <c r="Z93" s="427"/>
      <c r="AA93" s="65"/>
      <c r="AB93" s="75" t="s">
        <v>302</v>
      </c>
      <c r="AD93" s="80" t="s">
        <v>242</v>
      </c>
      <c r="AE93" s="27"/>
      <c r="AF93" s="74">
        <f>IF(OR(D93="Show",D93="",Q93="Show",Q93=""),1,0)</f>
        <v>0</v>
      </c>
      <c r="AG93" s="74">
        <f>IF(AND(SUM(AF:AF)&gt;0,OR(D93="",Q93="")),1,0)</f>
        <v>0</v>
      </c>
    </row>
    <row r="94" spans="1:33" ht="197.25" customHeight="1" x14ac:dyDescent="0.2">
      <c r="A94" s="73" t="str">
        <f t="shared" si="30"/>
        <v/>
      </c>
      <c r="B94" s="74">
        <f>B92</f>
        <v>0</v>
      </c>
      <c r="D94" s="427"/>
      <c r="E94" s="427"/>
      <c r="F94" s="427"/>
      <c r="G94" s="427"/>
      <c r="H94" s="427"/>
      <c r="I94" s="427"/>
      <c r="J94" s="427"/>
      <c r="K94" s="427"/>
      <c r="L94" s="427"/>
      <c r="M94" s="427"/>
      <c r="N94" s="427"/>
      <c r="O94" s="84"/>
      <c r="P94" s="84"/>
      <c r="Q94" s="427"/>
      <c r="R94" s="427"/>
      <c r="S94" s="427"/>
      <c r="T94" s="427"/>
      <c r="U94" s="427"/>
      <c r="V94" s="427"/>
      <c r="W94" s="427"/>
      <c r="X94" s="427"/>
      <c r="Y94" s="427"/>
      <c r="Z94" s="427"/>
      <c r="AA94" s="65"/>
      <c r="AB94" s="75" t="s">
        <v>301</v>
      </c>
      <c r="AD94" s="80" t="s">
        <v>242</v>
      </c>
      <c r="AE94" s="78"/>
      <c r="AF94" s="13"/>
      <c r="AG94" s="13"/>
    </row>
    <row r="95" spans="1:33" ht="18" customHeight="1" x14ac:dyDescent="0.2">
      <c r="A95" s="73" t="str">
        <f t="shared" si="30"/>
        <v/>
      </c>
      <c r="B95" s="74">
        <f>B94</f>
        <v>0</v>
      </c>
      <c r="D95" s="430"/>
      <c r="E95" s="430"/>
      <c r="F95" s="430"/>
      <c r="G95" s="430"/>
      <c r="H95" s="430"/>
      <c r="I95" s="430"/>
      <c r="J95" s="430"/>
      <c r="K95" s="430"/>
      <c r="L95" s="430"/>
      <c r="M95" s="430"/>
      <c r="N95" s="430"/>
      <c r="O95" s="84"/>
      <c r="P95" s="84"/>
      <c r="Q95" s="430"/>
      <c r="R95" s="430"/>
      <c r="S95" s="430"/>
      <c r="T95" s="430"/>
      <c r="U95" s="430"/>
      <c r="V95" s="430"/>
      <c r="W95" s="430"/>
      <c r="X95" s="430"/>
      <c r="Y95" s="430"/>
      <c r="Z95" s="430"/>
      <c r="AA95" s="65"/>
      <c r="AB95" s="75" t="s">
        <v>300</v>
      </c>
      <c r="AD95" s="80" t="s">
        <v>242</v>
      </c>
      <c r="AE95" s="78"/>
      <c r="AF95" s="74">
        <f>IF(OR(D93="Show",D93="",Q93="Show",Q93=""),1,0)</f>
        <v>0</v>
      </c>
      <c r="AG95" s="74">
        <f>IF(AND(SUM(AF:AF)&gt;0,OR(AND(D93="Show",D95=""),AND(Q93="Show",Q95=""))),1,0)</f>
        <v>0</v>
      </c>
    </row>
    <row r="96" spans="1:33" ht="8.5" customHeight="1" x14ac:dyDescent="0.15">
      <c r="A96" s="73" t="str">
        <f t="shared" si="30"/>
        <v/>
      </c>
      <c r="B96" s="74">
        <f>B95</f>
        <v>0</v>
      </c>
      <c r="D96" s="426"/>
      <c r="E96" s="426"/>
      <c r="F96" s="426"/>
      <c r="G96" s="426"/>
      <c r="H96" s="426"/>
      <c r="I96" s="426"/>
      <c r="J96" s="426"/>
      <c r="K96" s="426"/>
      <c r="L96" s="426"/>
      <c r="M96" s="426"/>
      <c r="N96" s="426"/>
      <c r="O96" s="426"/>
      <c r="P96" s="426"/>
      <c r="Q96" s="426"/>
      <c r="R96" s="426"/>
      <c r="S96" s="426"/>
      <c r="T96" s="426"/>
      <c r="U96" s="426"/>
      <c r="V96" s="426"/>
      <c r="W96" s="426"/>
      <c r="X96" s="426"/>
      <c r="Y96" s="426"/>
      <c r="Z96" s="426"/>
      <c r="AA96" s="65"/>
      <c r="AD96" s="82" t="s">
        <v>241</v>
      </c>
      <c r="AE96" s="52"/>
      <c r="AF96" s="13"/>
      <c r="AG96" s="13"/>
    </row>
    <row r="97" spans="1:33" ht="15.75" customHeight="1" x14ac:dyDescent="0.2">
      <c r="A97" s="73"/>
      <c r="B97" s="74">
        <v>0</v>
      </c>
      <c r="D97" s="443" t="s">
        <v>480</v>
      </c>
      <c r="E97" s="443"/>
      <c r="F97" s="443"/>
      <c r="G97" s="443"/>
      <c r="H97" s="443"/>
      <c r="I97" s="443"/>
      <c r="J97" s="443"/>
      <c r="K97" s="443"/>
      <c r="L97" s="443"/>
      <c r="M97" s="443"/>
      <c r="N97" s="443"/>
      <c r="O97" s="443"/>
      <c r="P97" s="443"/>
      <c r="Q97" s="443"/>
      <c r="R97" s="443"/>
      <c r="S97" s="443"/>
      <c r="T97" s="443"/>
      <c r="U97" s="443"/>
      <c r="V97" s="443"/>
      <c r="W97" s="443"/>
      <c r="X97" s="443"/>
      <c r="Y97" s="443"/>
      <c r="Z97" s="443"/>
      <c r="AB97" s="87" t="s">
        <v>314</v>
      </c>
      <c r="AD97" s="82" t="s">
        <v>288</v>
      </c>
      <c r="AE97" s="27"/>
      <c r="AF97" s="13"/>
      <c r="AG97" s="13"/>
    </row>
    <row r="98" spans="1:33" ht="15.75" customHeight="1" x14ac:dyDescent="0.2">
      <c r="A98" s="73"/>
      <c r="B98" s="74">
        <v>0</v>
      </c>
      <c r="D98" s="443" t="s">
        <v>481</v>
      </c>
      <c r="E98" s="443"/>
      <c r="F98" s="443"/>
      <c r="G98" s="443"/>
      <c r="H98" s="443"/>
      <c r="I98" s="443"/>
      <c r="J98" s="443"/>
      <c r="K98" s="443"/>
      <c r="L98" s="443"/>
      <c r="M98" s="443"/>
      <c r="N98" s="443"/>
      <c r="O98" s="443"/>
      <c r="P98" s="443"/>
      <c r="Q98" s="443"/>
      <c r="R98" s="443"/>
      <c r="S98" s="443"/>
      <c r="T98" s="443"/>
      <c r="U98" s="443"/>
      <c r="V98" s="443"/>
      <c r="W98" s="443"/>
      <c r="X98" s="443"/>
      <c r="Y98" s="443"/>
      <c r="Z98" s="443"/>
      <c r="AB98" s="87" t="s">
        <v>314</v>
      </c>
      <c r="AD98" s="82" t="s">
        <v>288</v>
      </c>
      <c r="AE98" s="27"/>
      <c r="AF98" s="13"/>
      <c r="AG98" s="13"/>
    </row>
    <row r="99" spans="1:33" ht="8.5" customHeight="1" x14ac:dyDescent="0.15">
      <c r="A99" s="73" t="str">
        <f>IF(AG99=1,"X","")</f>
        <v/>
      </c>
      <c r="B99" s="74">
        <f>IF(OR(D100="Show",Q100="Show"),1,0)</f>
        <v>0</v>
      </c>
      <c r="D99" s="426"/>
      <c r="E99" s="426"/>
      <c r="F99" s="426"/>
      <c r="G99" s="426"/>
      <c r="H99" s="426"/>
      <c r="I99" s="426"/>
      <c r="J99" s="426"/>
      <c r="K99" s="426"/>
      <c r="L99" s="426"/>
      <c r="M99" s="426"/>
      <c r="N99" s="426"/>
      <c r="O99" s="426"/>
      <c r="P99" s="426"/>
      <c r="Q99" s="426"/>
      <c r="R99" s="426"/>
      <c r="S99" s="426"/>
      <c r="T99" s="426"/>
      <c r="U99" s="426"/>
      <c r="V99" s="426"/>
      <c r="W99" s="426"/>
      <c r="X99" s="426"/>
      <c r="Y99" s="426"/>
      <c r="Z99" s="426"/>
      <c r="AD99" s="82" t="s">
        <v>241</v>
      </c>
      <c r="AE99" s="52"/>
      <c r="AF99" s="13"/>
      <c r="AG99" s="13"/>
    </row>
    <row r="100" spans="1:33" ht="18" customHeight="1" x14ac:dyDescent="0.2">
      <c r="A100" s="73" t="str">
        <f t="shared" ref="A100:A103" si="31">IF(AG100=1,"X","")</f>
        <v/>
      </c>
      <c r="B100" s="74">
        <v>0</v>
      </c>
      <c r="D100" s="427" t="s">
        <v>309</v>
      </c>
      <c r="E100" s="427"/>
      <c r="F100" s="427"/>
      <c r="G100" s="427"/>
      <c r="H100" s="427"/>
      <c r="I100" s="427"/>
      <c r="J100" s="427"/>
      <c r="K100" s="427"/>
      <c r="L100" s="427"/>
      <c r="M100" s="427"/>
      <c r="N100" s="427"/>
      <c r="O100" s="84"/>
      <c r="P100" s="84"/>
      <c r="Q100" s="427" t="s">
        <v>309</v>
      </c>
      <c r="R100" s="427"/>
      <c r="S100" s="427"/>
      <c r="T100" s="427"/>
      <c r="U100" s="427"/>
      <c r="V100" s="427"/>
      <c r="W100" s="427"/>
      <c r="X100" s="427"/>
      <c r="Y100" s="427"/>
      <c r="Z100" s="427"/>
      <c r="AA100" s="65"/>
      <c r="AB100" s="75" t="s">
        <v>302</v>
      </c>
      <c r="AD100" s="80" t="s">
        <v>242</v>
      </c>
      <c r="AE100" s="27"/>
      <c r="AF100" s="74">
        <f>IF(OR(D100="Show",D100="",Q100="Show",Q100=""),1,0)</f>
        <v>0</v>
      </c>
      <c r="AG100" s="74">
        <f>IF(AND(SUM(AF:AF)&gt;0,OR(D100="",Q100="")),1,0)</f>
        <v>0</v>
      </c>
    </row>
    <row r="101" spans="1:33" ht="197.25" customHeight="1" x14ac:dyDescent="0.2">
      <c r="A101" s="73" t="str">
        <f t="shared" si="31"/>
        <v/>
      </c>
      <c r="B101" s="74">
        <f>B99</f>
        <v>0</v>
      </c>
      <c r="D101" s="427"/>
      <c r="E101" s="427"/>
      <c r="F101" s="427"/>
      <c r="G101" s="427"/>
      <c r="H101" s="427"/>
      <c r="I101" s="427"/>
      <c r="J101" s="427"/>
      <c r="K101" s="427"/>
      <c r="L101" s="427"/>
      <c r="M101" s="427"/>
      <c r="N101" s="427"/>
      <c r="O101" s="84"/>
      <c r="P101" s="84"/>
      <c r="Q101" s="427"/>
      <c r="R101" s="427"/>
      <c r="S101" s="427"/>
      <c r="T101" s="427"/>
      <c r="U101" s="427"/>
      <c r="V101" s="427"/>
      <c r="W101" s="427"/>
      <c r="X101" s="427"/>
      <c r="Y101" s="427"/>
      <c r="Z101" s="427"/>
      <c r="AA101" s="65"/>
      <c r="AB101" s="75" t="s">
        <v>301</v>
      </c>
      <c r="AD101" s="80" t="s">
        <v>242</v>
      </c>
      <c r="AE101" s="78"/>
      <c r="AF101" s="13"/>
      <c r="AG101" s="13"/>
    </row>
    <row r="102" spans="1:33" ht="18" customHeight="1" x14ac:dyDescent="0.2">
      <c r="A102" s="73" t="str">
        <f t="shared" si="31"/>
        <v/>
      </c>
      <c r="B102" s="74">
        <f>B101</f>
        <v>0</v>
      </c>
      <c r="D102" s="430"/>
      <c r="E102" s="430"/>
      <c r="F102" s="430"/>
      <c r="G102" s="430"/>
      <c r="H102" s="430"/>
      <c r="I102" s="430"/>
      <c r="J102" s="430"/>
      <c r="K102" s="430"/>
      <c r="L102" s="430"/>
      <c r="M102" s="430"/>
      <c r="N102" s="430"/>
      <c r="O102" s="84"/>
      <c r="P102" s="84"/>
      <c r="Q102" s="430"/>
      <c r="R102" s="430"/>
      <c r="S102" s="430"/>
      <c r="T102" s="430"/>
      <c r="U102" s="430"/>
      <c r="V102" s="430"/>
      <c r="W102" s="430"/>
      <c r="X102" s="430"/>
      <c r="Y102" s="430"/>
      <c r="Z102" s="430"/>
      <c r="AA102" s="65"/>
      <c r="AB102" s="75" t="s">
        <v>300</v>
      </c>
      <c r="AD102" s="80" t="s">
        <v>242</v>
      </c>
      <c r="AE102" s="78"/>
      <c r="AF102" s="74">
        <f>IF(OR(D100="Show",D100="",Q100="Show",Q100=""),1,0)</f>
        <v>0</v>
      </c>
      <c r="AG102" s="74">
        <f>IF(AND(SUM(AF:AF)&gt;0,OR(AND(D100="Show",D102=""),AND(Q100="Show",Q102=""))),1,0)</f>
        <v>0</v>
      </c>
    </row>
    <row r="103" spans="1:33" ht="8.5" customHeight="1" x14ac:dyDescent="0.15">
      <c r="A103" s="73" t="str">
        <f t="shared" si="31"/>
        <v/>
      </c>
      <c r="B103" s="74">
        <f>B102</f>
        <v>0</v>
      </c>
      <c r="D103" s="426"/>
      <c r="E103" s="426"/>
      <c r="F103" s="426"/>
      <c r="G103" s="426"/>
      <c r="H103" s="426"/>
      <c r="I103" s="426"/>
      <c r="J103" s="426"/>
      <c r="K103" s="426"/>
      <c r="L103" s="426"/>
      <c r="M103" s="426"/>
      <c r="N103" s="426"/>
      <c r="O103" s="426"/>
      <c r="P103" s="426"/>
      <c r="Q103" s="426"/>
      <c r="R103" s="426"/>
      <c r="S103" s="426"/>
      <c r="T103" s="426"/>
      <c r="U103" s="426"/>
      <c r="V103" s="426"/>
      <c r="W103" s="426"/>
      <c r="X103" s="426"/>
      <c r="Y103" s="426"/>
      <c r="Z103" s="426"/>
      <c r="AA103" s="65"/>
      <c r="AD103" s="82" t="s">
        <v>241</v>
      </c>
      <c r="AE103" s="52"/>
      <c r="AF103" s="13"/>
      <c r="AG103" s="13"/>
    </row>
    <row r="104" spans="1:33" ht="15.75" customHeight="1" x14ac:dyDescent="0.2">
      <c r="A104" s="73"/>
      <c r="B104" s="74">
        <v>0</v>
      </c>
      <c r="D104" s="443" t="s">
        <v>482</v>
      </c>
      <c r="E104" s="443"/>
      <c r="F104" s="443"/>
      <c r="G104" s="443"/>
      <c r="H104" s="443"/>
      <c r="I104" s="443"/>
      <c r="J104" s="443"/>
      <c r="K104" s="443"/>
      <c r="L104" s="443"/>
      <c r="M104" s="443"/>
      <c r="N104" s="443"/>
      <c r="O104" s="443"/>
      <c r="P104" s="443"/>
      <c r="Q104" s="443"/>
      <c r="R104" s="443"/>
      <c r="S104" s="443"/>
      <c r="T104" s="443"/>
      <c r="U104" s="443"/>
      <c r="V104" s="443"/>
      <c r="W104" s="443"/>
      <c r="X104" s="443"/>
      <c r="Y104" s="443"/>
      <c r="Z104" s="443"/>
      <c r="AB104" s="87" t="s">
        <v>314</v>
      </c>
      <c r="AD104" s="82" t="s">
        <v>288</v>
      </c>
      <c r="AE104" s="27"/>
      <c r="AF104" s="13"/>
      <c r="AG104" s="13"/>
    </row>
    <row r="105" spans="1:33" ht="15.75" customHeight="1" x14ac:dyDescent="0.2">
      <c r="A105" s="73"/>
      <c r="B105" s="74">
        <v>0</v>
      </c>
      <c r="D105" s="443" t="s">
        <v>483</v>
      </c>
      <c r="E105" s="443"/>
      <c r="F105" s="443"/>
      <c r="G105" s="443"/>
      <c r="H105" s="443"/>
      <c r="I105" s="443"/>
      <c r="J105" s="443"/>
      <c r="K105" s="443"/>
      <c r="L105" s="443"/>
      <c r="M105" s="443"/>
      <c r="N105" s="443"/>
      <c r="O105" s="443"/>
      <c r="P105" s="443"/>
      <c r="Q105" s="443"/>
      <c r="R105" s="443"/>
      <c r="S105" s="443"/>
      <c r="T105" s="443"/>
      <c r="U105" s="443"/>
      <c r="V105" s="443"/>
      <c r="W105" s="443"/>
      <c r="X105" s="443"/>
      <c r="Y105" s="443"/>
      <c r="Z105" s="443"/>
      <c r="AB105" s="87" t="s">
        <v>314</v>
      </c>
      <c r="AD105" s="82" t="s">
        <v>288</v>
      </c>
      <c r="AE105" s="27"/>
      <c r="AF105" s="13"/>
      <c r="AG105" s="13"/>
    </row>
    <row r="106" spans="1:33" ht="8.5" customHeight="1" x14ac:dyDescent="0.15">
      <c r="A106" s="73" t="str">
        <f>IF(AG106=1,"X","")</f>
        <v/>
      </c>
      <c r="B106" s="74">
        <f>IF(OR(D107="Show",Q107="Show"),1,0)</f>
        <v>0</v>
      </c>
      <c r="D106" s="426"/>
      <c r="E106" s="426"/>
      <c r="F106" s="426"/>
      <c r="G106" s="426"/>
      <c r="H106" s="426"/>
      <c r="I106" s="426"/>
      <c r="J106" s="426"/>
      <c r="K106" s="426"/>
      <c r="L106" s="426"/>
      <c r="M106" s="426"/>
      <c r="N106" s="426"/>
      <c r="O106" s="426"/>
      <c r="P106" s="426"/>
      <c r="Q106" s="426"/>
      <c r="R106" s="426"/>
      <c r="S106" s="426"/>
      <c r="T106" s="426"/>
      <c r="U106" s="426"/>
      <c r="V106" s="426"/>
      <c r="W106" s="426"/>
      <c r="X106" s="426"/>
      <c r="Y106" s="426"/>
      <c r="Z106" s="426"/>
      <c r="AD106" s="82" t="s">
        <v>241</v>
      </c>
      <c r="AE106" s="52"/>
      <c r="AF106" s="13"/>
      <c r="AG106" s="13"/>
    </row>
    <row r="107" spans="1:33" ht="18" customHeight="1" x14ac:dyDescent="0.2">
      <c r="A107" s="73" t="str">
        <f t="shared" ref="A107:A110" si="32">IF(AG107=1,"X","")</f>
        <v/>
      </c>
      <c r="B107" s="74">
        <v>0</v>
      </c>
      <c r="D107" s="427" t="s">
        <v>309</v>
      </c>
      <c r="E107" s="427"/>
      <c r="F107" s="427"/>
      <c r="G107" s="427"/>
      <c r="H107" s="427"/>
      <c r="I107" s="427"/>
      <c r="J107" s="427"/>
      <c r="K107" s="427"/>
      <c r="L107" s="427"/>
      <c r="M107" s="427"/>
      <c r="N107" s="427"/>
      <c r="O107" s="84"/>
      <c r="P107" s="84"/>
      <c r="Q107" s="427" t="s">
        <v>309</v>
      </c>
      <c r="R107" s="427"/>
      <c r="S107" s="427"/>
      <c r="T107" s="427"/>
      <c r="U107" s="427"/>
      <c r="V107" s="427"/>
      <c r="W107" s="427"/>
      <c r="X107" s="427"/>
      <c r="Y107" s="427"/>
      <c r="Z107" s="427"/>
      <c r="AA107" s="65"/>
      <c r="AB107" s="75" t="s">
        <v>302</v>
      </c>
      <c r="AD107" s="80" t="s">
        <v>242</v>
      </c>
      <c r="AE107" s="27"/>
      <c r="AF107" s="74">
        <f>IF(OR(D107="Show",D107="",Q107="Show",Q107=""),1,0)</f>
        <v>0</v>
      </c>
      <c r="AG107" s="74">
        <f>IF(AND(SUM(AF:AF)&gt;0,OR(D107="",Q107="")),1,0)</f>
        <v>0</v>
      </c>
    </row>
    <row r="108" spans="1:33" ht="197.25" customHeight="1" x14ac:dyDescent="0.2">
      <c r="A108" s="73" t="str">
        <f t="shared" si="32"/>
        <v/>
      </c>
      <c r="B108" s="74">
        <f>B106</f>
        <v>0</v>
      </c>
      <c r="D108" s="427"/>
      <c r="E108" s="427"/>
      <c r="F108" s="427"/>
      <c r="G108" s="427"/>
      <c r="H108" s="427"/>
      <c r="I108" s="427"/>
      <c r="J108" s="427"/>
      <c r="K108" s="427"/>
      <c r="L108" s="427"/>
      <c r="M108" s="427"/>
      <c r="N108" s="427"/>
      <c r="O108" s="84"/>
      <c r="P108" s="84"/>
      <c r="Q108" s="427"/>
      <c r="R108" s="427"/>
      <c r="S108" s="427"/>
      <c r="T108" s="427"/>
      <c r="U108" s="427"/>
      <c r="V108" s="427"/>
      <c r="W108" s="427"/>
      <c r="X108" s="427"/>
      <c r="Y108" s="427"/>
      <c r="Z108" s="427"/>
      <c r="AA108" s="65"/>
      <c r="AB108" s="75" t="s">
        <v>301</v>
      </c>
      <c r="AD108" s="80" t="s">
        <v>242</v>
      </c>
      <c r="AE108" s="78"/>
      <c r="AF108" s="13"/>
      <c r="AG108" s="13"/>
    </row>
    <row r="109" spans="1:33" ht="18" customHeight="1" x14ac:dyDescent="0.2">
      <c r="A109" s="73" t="str">
        <f t="shared" si="32"/>
        <v/>
      </c>
      <c r="B109" s="74">
        <f>B108</f>
        <v>0</v>
      </c>
      <c r="D109" s="430"/>
      <c r="E109" s="430"/>
      <c r="F109" s="430"/>
      <c r="G109" s="430"/>
      <c r="H109" s="430"/>
      <c r="I109" s="430"/>
      <c r="J109" s="430"/>
      <c r="K109" s="430"/>
      <c r="L109" s="430"/>
      <c r="M109" s="430"/>
      <c r="N109" s="430"/>
      <c r="O109" s="84"/>
      <c r="P109" s="84"/>
      <c r="Q109" s="430"/>
      <c r="R109" s="430"/>
      <c r="S109" s="430"/>
      <c r="T109" s="430"/>
      <c r="U109" s="430"/>
      <c r="V109" s="430"/>
      <c r="W109" s="430"/>
      <c r="X109" s="430"/>
      <c r="Y109" s="430"/>
      <c r="Z109" s="430"/>
      <c r="AA109" s="65"/>
      <c r="AB109" s="75" t="s">
        <v>300</v>
      </c>
      <c r="AD109" s="80" t="s">
        <v>242</v>
      </c>
      <c r="AE109" s="78"/>
      <c r="AF109" s="74">
        <f>IF(OR(D107="Show",D107="",Q107="Show",Q107=""),1,0)</f>
        <v>0</v>
      </c>
      <c r="AG109" s="74">
        <f>IF(AND(SUM(AF:AF)&gt;0,OR(AND(D107="Show",D109=""),AND(Q107="Show",Q109=""))),1,0)</f>
        <v>0</v>
      </c>
    </row>
    <row r="110" spans="1:33" ht="8.5" customHeight="1" x14ac:dyDescent="0.15">
      <c r="A110" s="73" t="str">
        <f t="shared" si="32"/>
        <v/>
      </c>
      <c r="B110" s="74">
        <f>B109</f>
        <v>0</v>
      </c>
      <c r="D110" s="426"/>
      <c r="E110" s="426"/>
      <c r="F110" s="426"/>
      <c r="G110" s="426"/>
      <c r="H110" s="426"/>
      <c r="I110" s="426"/>
      <c r="J110" s="426"/>
      <c r="K110" s="426"/>
      <c r="L110" s="426"/>
      <c r="M110" s="426"/>
      <c r="N110" s="426"/>
      <c r="O110" s="426"/>
      <c r="P110" s="426"/>
      <c r="Q110" s="426"/>
      <c r="R110" s="426"/>
      <c r="S110" s="426"/>
      <c r="T110" s="426"/>
      <c r="U110" s="426"/>
      <c r="V110" s="426"/>
      <c r="W110" s="426"/>
      <c r="X110" s="426"/>
      <c r="Y110" s="426"/>
      <c r="Z110" s="426"/>
      <c r="AA110" s="65"/>
      <c r="AD110" s="82" t="s">
        <v>241</v>
      </c>
      <c r="AE110" s="52"/>
      <c r="AF110" s="13"/>
      <c r="AG110" s="13"/>
    </row>
    <row r="111" spans="1:33" ht="15.75" customHeight="1" x14ac:dyDescent="0.2">
      <c r="A111" s="73"/>
      <c r="B111" s="74">
        <v>0</v>
      </c>
      <c r="D111" s="443" t="s">
        <v>484</v>
      </c>
      <c r="E111" s="443"/>
      <c r="F111" s="443"/>
      <c r="G111" s="443"/>
      <c r="H111" s="443"/>
      <c r="I111" s="443"/>
      <c r="J111" s="443"/>
      <c r="K111" s="443"/>
      <c r="L111" s="443"/>
      <c r="M111" s="443"/>
      <c r="N111" s="443"/>
      <c r="O111" s="443"/>
      <c r="P111" s="443"/>
      <c r="Q111" s="443"/>
      <c r="R111" s="443"/>
      <c r="S111" s="443"/>
      <c r="T111" s="443"/>
      <c r="U111" s="443"/>
      <c r="V111" s="443"/>
      <c r="W111" s="443"/>
      <c r="X111" s="443"/>
      <c r="Y111" s="443"/>
      <c r="Z111" s="443"/>
      <c r="AB111" s="87" t="s">
        <v>314</v>
      </c>
      <c r="AD111" s="82" t="s">
        <v>288</v>
      </c>
      <c r="AE111" s="27"/>
      <c r="AF111" s="13"/>
      <c r="AG111" s="13"/>
    </row>
    <row r="112" spans="1:33" ht="46.25" customHeight="1" x14ac:dyDescent="0.2">
      <c r="A112" s="73" t="str">
        <f t="shared" si="0"/>
        <v>X</v>
      </c>
      <c r="B112" s="81" t="str">
        <f t="shared" ref="B112:B114" si="33">IF($B$46="","",IF($B$46=1,0,""))</f>
        <v/>
      </c>
      <c r="D112" s="424" t="s">
        <v>406</v>
      </c>
      <c r="E112" s="424"/>
      <c r="F112" s="424"/>
      <c r="G112" s="424"/>
      <c r="H112" s="424"/>
      <c r="I112" s="424"/>
      <c r="J112" s="424"/>
      <c r="K112" s="424"/>
      <c r="L112" s="424"/>
      <c r="M112" s="424"/>
      <c r="N112" s="424"/>
      <c r="O112" s="424"/>
      <c r="P112" s="424"/>
      <c r="Q112" s="424"/>
      <c r="R112" s="424"/>
      <c r="S112" s="424"/>
      <c r="T112" s="424"/>
      <c r="U112" s="424"/>
      <c r="V112" s="424"/>
      <c r="W112" s="424"/>
      <c r="X112" s="424"/>
      <c r="Y112" s="424"/>
      <c r="Z112" s="424"/>
      <c r="AB112" s="75" t="s">
        <v>246</v>
      </c>
      <c r="AD112" s="80" t="s">
        <v>242</v>
      </c>
      <c r="AE112" s="78"/>
      <c r="AF112" s="74">
        <f t="shared" ref="AF112:AF115" si="34">IF(B112&lt;&gt;"",1,0)</f>
        <v>0</v>
      </c>
      <c r="AG112" s="74">
        <f>IF(AND(SUM(AF:AF)&gt;0,B112=""),1,0)</f>
        <v>1</v>
      </c>
    </row>
    <row r="113" spans="1:33" ht="46.25" customHeight="1" x14ac:dyDescent="0.2">
      <c r="A113" s="73" t="str">
        <f t="shared" ref="A113" si="35">IF(AG113=1,"X","")</f>
        <v>X</v>
      </c>
      <c r="B113" s="81" t="str">
        <f t="shared" si="33"/>
        <v/>
      </c>
      <c r="D113" s="424" t="s">
        <v>405</v>
      </c>
      <c r="E113" s="424"/>
      <c r="F113" s="424"/>
      <c r="G113" s="424"/>
      <c r="H113" s="424"/>
      <c r="I113" s="424"/>
      <c r="J113" s="424"/>
      <c r="K113" s="424"/>
      <c r="L113" s="424"/>
      <c r="M113" s="424"/>
      <c r="N113" s="424"/>
      <c r="O113" s="424"/>
      <c r="P113" s="424"/>
      <c r="Q113" s="424"/>
      <c r="R113" s="424"/>
      <c r="S113" s="424"/>
      <c r="T113" s="424"/>
      <c r="U113" s="424"/>
      <c r="V113" s="424"/>
      <c r="W113" s="424"/>
      <c r="X113" s="424"/>
      <c r="Y113" s="424"/>
      <c r="Z113" s="424"/>
      <c r="AB113" s="75" t="s">
        <v>246</v>
      </c>
      <c r="AD113" s="80" t="s">
        <v>242</v>
      </c>
      <c r="AE113" s="78"/>
      <c r="AF113" s="74">
        <f t="shared" ref="AF113" si="36">IF(B113&lt;&gt;"",1,0)</f>
        <v>0</v>
      </c>
      <c r="AG113" s="74">
        <f>IF(AND(SUM(AF:AF)&gt;0,B113=""),1,0)</f>
        <v>1</v>
      </c>
    </row>
    <row r="114" spans="1:33" ht="57.75" customHeight="1" x14ac:dyDescent="0.2">
      <c r="A114" s="73" t="str">
        <f t="shared" si="0"/>
        <v>X</v>
      </c>
      <c r="B114" s="81" t="str">
        <f t="shared" si="33"/>
        <v/>
      </c>
      <c r="D114" s="424" t="s">
        <v>183</v>
      </c>
      <c r="E114" s="424"/>
      <c r="F114" s="424"/>
      <c r="G114" s="424"/>
      <c r="H114" s="424"/>
      <c r="I114" s="424"/>
      <c r="J114" s="424"/>
      <c r="K114" s="424"/>
      <c r="L114" s="424"/>
      <c r="M114" s="424"/>
      <c r="N114" s="424"/>
      <c r="O114" s="424"/>
      <c r="P114" s="424"/>
      <c r="Q114" s="424"/>
      <c r="R114" s="424"/>
      <c r="S114" s="424"/>
      <c r="T114" s="424"/>
      <c r="U114" s="424"/>
      <c r="V114" s="424"/>
      <c r="W114" s="424"/>
      <c r="X114" s="424"/>
      <c r="Y114" s="424"/>
      <c r="Z114" s="424"/>
      <c r="AB114" s="75" t="s">
        <v>246</v>
      </c>
      <c r="AD114" s="80" t="s">
        <v>242</v>
      </c>
      <c r="AE114" s="78"/>
      <c r="AF114" s="74">
        <f t="shared" si="34"/>
        <v>0</v>
      </c>
      <c r="AG114" s="74">
        <f>IF(AND(SUM(AF:AF)&gt;0,B114=""),1,0)</f>
        <v>1</v>
      </c>
    </row>
    <row r="115" spans="1:33" ht="31" customHeight="1" x14ac:dyDescent="0.15">
      <c r="A115" s="73" t="str">
        <f t="shared" si="0"/>
        <v>X</v>
      </c>
      <c r="B115" s="81"/>
      <c r="D115" s="435" t="s">
        <v>184</v>
      </c>
      <c r="E115" s="435"/>
      <c r="F115" s="435"/>
      <c r="G115" s="435"/>
      <c r="H115" s="435"/>
      <c r="I115" s="435"/>
      <c r="J115" s="435"/>
      <c r="K115" s="435"/>
      <c r="L115" s="435"/>
      <c r="M115" s="435"/>
      <c r="N115" s="435"/>
      <c r="O115" s="435"/>
      <c r="P115" s="435"/>
      <c r="Q115" s="435"/>
      <c r="R115" s="435"/>
      <c r="S115" s="435"/>
      <c r="T115" s="435"/>
      <c r="U115" s="435"/>
      <c r="V115" s="435"/>
      <c r="W115" s="435"/>
      <c r="X115" s="435"/>
      <c r="Y115" s="435"/>
      <c r="Z115" s="435"/>
      <c r="AB115" s="75" t="s">
        <v>246</v>
      </c>
      <c r="AD115" s="80" t="s">
        <v>242</v>
      </c>
      <c r="AE115" s="78"/>
      <c r="AF115" s="74">
        <f t="shared" si="34"/>
        <v>0</v>
      </c>
      <c r="AG115" s="74">
        <f>IF(AND(SUM(AF:AF)&gt;0,B115=""),1,0)</f>
        <v>1</v>
      </c>
    </row>
    <row r="116" spans="1:33" ht="34.5" customHeight="1" x14ac:dyDescent="0.2">
      <c r="A116" s="73" t="str">
        <f t="shared" si="0"/>
        <v>X</v>
      </c>
      <c r="B116" s="81" t="str">
        <f>IF($B$115="","",IF($B$115=0,0,""))</f>
        <v/>
      </c>
      <c r="D116" s="424" t="s">
        <v>238</v>
      </c>
      <c r="E116" s="424"/>
      <c r="F116" s="424"/>
      <c r="G116" s="424"/>
      <c r="H116" s="424"/>
      <c r="I116" s="424"/>
      <c r="J116" s="424"/>
      <c r="K116" s="424"/>
      <c r="L116" s="424"/>
      <c r="M116" s="424"/>
      <c r="N116" s="424"/>
      <c r="O116" s="424"/>
      <c r="P116" s="424"/>
      <c r="Q116" s="424"/>
      <c r="R116" s="424"/>
      <c r="S116" s="424"/>
      <c r="T116" s="424"/>
      <c r="U116" s="424"/>
      <c r="V116" s="424"/>
      <c r="W116" s="424"/>
      <c r="X116" s="424"/>
      <c r="Y116" s="424"/>
      <c r="Z116" s="424"/>
      <c r="AB116" s="75" t="s">
        <v>246</v>
      </c>
      <c r="AD116" s="80" t="s">
        <v>242</v>
      </c>
      <c r="AE116" s="78"/>
      <c r="AF116" s="74">
        <f t="shared" ref="AF116" si="37">IF(B116&lt;&gt;"",1,0)</f>
        <v>0</v>
      </c>
      <c r="AG116" s="74">
        <f>IF(AND(SUM(AF:AF)&gt;0,B116=""),1,0)</f>
        <v>1</v>
      </c>
    </row>
    <row r="117" spans="1:33" ht="21" customHeight="1" x14ac:dyDescent="0.2">
      <c r="A117" s="73" t="str">
        <f t="shared" si="0"/>
        <v/>
      </c>
      <c r="B117" s="74">
        <v>0</v>
      </c>
      <c r="D117" s="446" t="s">
        <v>299</v>
      </c>
      <c r="E117" s="446"/>
      <c r="F117" s="446"/>
      <c r="G117" s="446"/>
      <c r="H117" s="446"/>
      <c r="I117" s="446"/>
      <c r="J117" s="446"/>
      <c r="K117" s="446"/>
      <c r="L117" s="446"/>
      <c r="M117" s="446"/>
      <c r="N117" s="446"/>
      <c r="O117" s="446"/>
      <c r="P117" s="446"/>
      <c r="Q117" s="446"/>
      <c r="R117" s="446"/>
      <c r="S117" s="446"/>
      <c r="T117" s="446"/>
      <c r="U117" s="446"/>
      <c r="V117" s="446"/>
      <c r="W117" s="446"/>
      <c r="X117" s="446"/>
      <c r="Y117" s="446"/>
      <c r="Z117" s="446"/>
      <c r="AB117" s="87" t="s">
        <v>314</v>
      </c>
      <c r="AD117" s="82" t="s">
        <v>288</v>
      </c>
      <c r="AE117" s="27"/>
      <c r="AF117" s="13"/>
      <c r="AG117" s="13"/>
    </row>
    <row r="118" spans="1:33" ht="15.75" customHeight="1" x14ac:dyDescent="0.2">
      <c r="A118" s="73"/>
      <c r="B118" s="74">
        <v>0</v>
      </c>
      <c r="D118" s="443" t="s">
        <v>303</v>
      </c>
      <c r="E118" s="443"/>
      <c r="F118" s="443"/>
      <c r="G118" s="443"/>
      <c r="H118" s="443"/>
      <c r="I118" s="443"/>
      <c r="J118" s="443"/>
      <c r="K118" s="443"/>
      <c r="L118" s="443"/>
      <c r="M118" s="443"/>
      <c r="N118" s="443"/>
      <c r="O118" s="443"/>
      <c r="P118" s="443"/>
      <c r="Q118" s="443"/>
      <c r="R118" s="443"/>
      <c r="S118" s="443"/>
      <c r="T118" s="443"/>
      <c r="U118" s="443"/>
      <c r="V118" s="443"/>
      <c r="W118" s="443"/>
      <c r="X118" s="443"/>
      <c r="Y118" s="443"/>
      <c r="Z118" s="443"/>
      <c r="AB118" s="87" t="s">
        <v>314</v>
      </c>
      <c r="AD118" s="82" t="s">
        <v>288</v>
      </c>
      <c r="AE118" s="27"/>
      <c r="AF118" s="13"/>
      <c r="AG118" s="13"/>
    </row>
    <row r="119" spans="1:33" ht="8.5" customHeight="1" x14ac:dyDescent="0.15">
      <c r="A119" s="73" t="str">
        <f>IF(AG119=1,"X","")</f>
        <v/>
      </c>
      <c r="B119" s="74">
        <f>IF(OR(D120="Show",Q120="Show"),1,0)</f>
        <v>0</v>
      </c>
      <c r="D119" s="426"/>
      <c r="E119" s="426"/>
      <c r="F119" s="426"/>
      <c r="G119" s="426"/>
      <c r="H119" s="426"/>
      <c r="I119" s="426"/>
      <c r="J119" s="426"/>
      <c r="K119" s="426"/>
      <c r="L119" s="426"/>
      <c r="M119" s="426"/>
      <c r="N119" s="426"/>
      <c r="O119" s="426"/>
      <c r="P119" s="426"/>
      <c r="Q119" s="426"/>
      <c r="R119" s="426"/>
      <c r="S119" s="426"/>
      <c r="T119" s="426"/>
      <c r="U119" s="426"/>
      <c r="V119" s="426"/>
      <c r="W119" s="426"/>
      <c r="X119" s="426"/>
      <c r="Y119" s="426"/>
      <c r="Z119" s="426"/>
      <c r="AD119" s="82" t="s">
        <v>241</v>
      </c>
      <c r="AE119" s="52"/>
      <c r="AF119" s="13"/>
      <c r="AG119" s="13"/>
    </row>
    <row r="120" spans="1:33" ht="18" customHeight="1" x14ac:dyDescent="0.2">
      <c r="A120" s="73" t="str">
        <f t="shared" ref="A120:A123" si="38">IF(AG120=1,"X","")</f>
        <v/>
      </c>
      <c r="B120" s="74">
        <v>0</v>
      </c>
      <c r="D120" s="427" t="s">
        <v>309</v>
      </c>
      <c r="E120" s="427"/>
      <c r="F120" s="427"/>
      <c r="G120" s="427"/>
      <c r="H120" s="427"/>
      <c r="I120" s="427"/>
      <c r="J120" s="427"/>
      <c r="K120" s="427"/>
      <c r="L120" s="427"/>
      <c r="M120" s="427"/>
      <c r="N120" s="427"/>
      <c r="O120" s="84"/>
      <c r="P120" s="84"/>
      <c r="Q120" s="427" t="s">
        <v>309</v>
      </c>
      <c r="R120" s="427"/>
      <c r="S120" s="427"/>
      <c r="T120" s="427"/>
      <c r="U120" s="427"/>
      <c r="V120" s="427"/>
      <c r="W120" s="427"/>
      <c r="X120" s="427"/>
      <c r="Y120" s="427"/>
      <c r="Z120" s="427"/>
      <c r="AA120" s="65"/>
      <c r="AB120" s="75" t="s">
        <v>302</v>
      </c>
      <c r="AD120" s="80" t="s">
        <v>242</v>
      </c>
      <c r="AE120" s="27"/>
      <c r="AF120" s="74">
        <f>IF(OR(D120="Show",D120="",Q120="Show",Q120=""),1,0)</f>
        <v>0</v>
      </c>
      <c r="AG120" s="74">
        <f>IF(AND(SUM(AF:AF)&gt;0,OR(D120="",Q120="")),1,0)</f>
        <v>0</v>
      </c>
    </row>
    <row r="121" spans="1:33" ht="197.25" customHeight="1" x14ac:dyDescent="0.2">
      <c r="A121" s="73" t="str">
        <f t="shared" si="38"/>
        <v/>
      </c>
      <c r="B121" s="74">
        <f>B119</f>
        <v>0</v>
      </c>
      <c r="D121" s="427"/>
      <c r="E121" s="427"/>
      <c r="F121" s="427"/>
      <c r="G121" s="427"/>
      <c r="H121" s="427"/>
      <c r="I121" s="427"/>
      <c r="J121" s="427"/>
      <c r="K121" s="427"/>
      <c r="L121" s="427"/>
      <c r="M121" s="427"/>
      <c r="N121" s="427"/>
      <c r="O121" s="84"/>
      <c r="P121" s="84"/>
      <c r="Q121" s="427"/>
      <c r="R121" s="427"/>
      <c r="S121" s="427"/>
      <c r="T121" s="427"/>
      <c r="U121" s="427"/>
      <c r="V121" s="427"/>
      <c r="W121" s="427"/>
      <c r="X121" s="427"/>
      <c r="Y121" s="427"/>
      <c r="Z121" s="427"/>
      <c r="AA121" s="65"/>
      <c r="AB121" s="75" t="s">
        <v>301</v>
      </c>
      <c r="AD121" s="80" t="s">
        <v>242</v>
      </c>
      <c r="AE121" s="78"/>
      <c r="AF121" s="13"/>
      <c r="AG121" s="13"/>
    </row>
    <row r="122" spans="1:33" ht="18" customHeight="1" x14ac:dyDescent="0.2">
      <c r="A122" s="73" t="str">
        <f t="shared" si="38"/>
        <v/>
      </c>
      <c r="B122" s="74">
        <f>B121</f>
        <v>0</v>
      </c>
      <c r="D122" s="430"/>
      <c r="E122" s="430"/>
      <c r="F122" s="430"/>
      <c r="G122" s="430"/>
      <c r="H122" s="430"/>
      <c r="I122" s="430"/>
      <c r="J122" s="430"/>
      <c r="K122" s="430"/>
      <c r="L122" s="430"/>
      <c r="M122" s="430"/>
      <c r="N122" s="430"/>
      <c r="O122" s="84"/>
      <c r="P122" s="84"/>
      <c r="Q122" s="430"/>
      <c r="R122" s="430"/>
      <c r="S122" s="430"/>
      <c r="T122" s="430"/>
      <c r="U122" s="430"/>
      <c r="V122" s="430"/>
      <c r="W122" s="430"/>
      <c r="X122" s="430"/>
      <c r="Y122" s="430"/>
      <c r="Z122" s="430"/>
      <c r="AA122" s="65"/>
      <c r="AB122" s="75" t="s">
        <v>300</v>
      </c>
      <c r="AD122" s="80" t="s">
        <v>242</v>
      </c>
      <c r="AE122" s="78"/>
      <c r="AF122" s="74">
        <f>IF(OR(D120="Show",D120="",Q120="Show",Q120=""),1,0)</f>
        <v>0</v>
      </c>
      <c r="AG122" s="74">
        <f>IF(AND(SUM(AF:AF)&gt;0,OR(AND(D120="Show",D122=""),AND(Q120="Show",Q122=""))),1,0)</f>
        <v>0</v>
      </c>
    </row>
    <row r="123" spans="1:33" ht="8.5" customHeight="1" x14ac:dyDescent="0.15">
      <c r="A123" s="73" t="str">
        <f t="shared" si="38"/>
        <v/>
      </c>
      <c r="B123" s="74">
        <f>B122</f>
        <v>0</v>
      </c>
      <c r="D123" s="426"/>
      <c r="E123" s="426"/>
      <c r="F123" s="426"/>
      <c r="G123" s="426"/>
      <c r="H123" s="426"/>
      <c r="I123" s="426"/>
      <c r="J123" s="426"/>
      <c r="K123" s="426"/>
      <c r="L123" s="426"/>
      <c r="M123" s="426"/>
      <c r="N123" s="426"/>
      <c r="O123" s="426"/>
      <c r="P123" s="426"/>
      <c r="Q123" s="426"/>
      <c r="R123" s="426"/>
      <c r="S123" s="426"/>
      <c r="T123" s="426"/>
      <c r="U123" s="426"/>
      <c r="V123" s="426"/>
      <c r="W123" s="426"/>
      <c r="X123" s="426"/>
      <c r="Y123" s="426"/>
      <c r="Z123" s="426"/>
      <c r="AA123" s="65"/>
      <c r="AD123" s="82" t="s">
        <v>241</v>
      </c>
      <c r="AE123" s="52"/>
      <c r="AF123" s="13"/>
      <c r="AG123" s="13"/>
    </row>
    <row r="124" spans="1:33" ht="15.75" customHeight="1" x14ac:dyDescent="0.2">
      <c r="A124" s="73"/>
      <c r="B124" s="74">
        <v>0</v>
      </c>
      <c r="D124" s="443" t="s">
        <v>304</v>
      </c>
      <c r="E124" s="443"/>
      <c r="F124" s="443"/>
      <c r="G124" s="443"/>
      <c r="H124" s="443"/>
      <c r="I124" s="443"/>
      <c r="J124" s="443"/>
      <c r="K124" s="443"/>
      <c r="L124" s="443"/>
      <c r="M124" s="443"/>
      <c r="N124" s="443"/>
      <c r="O124" s="443"/>
      <c r="P124" s="443"/>
      <c r="Q124" s="443"/>
      <c r="R124" s="443"/>
      <c r="S124" s="443"/>
      <c r="T124" s="443"/>
      <c r="U124" s="443"/>
      <c r="V124" s="443"/>
      <c r="W124" s="443"/>
      <c r="X124" s="443"/>
      <c r="Y124" s="443"/>
      <c r="Z124" s="443"/>
      <c r="AB124" s="87" t="s">
        <v>314</v>
      </c>
      <c r="AD124" s="82" t="s">
        <v>288</v>
      </c>
      <c r="AE124" s="27"/>
      <c r="AF124" s="13"/>
      <c r="AG124" s="13"/>
    </row>
    <row r="125" spans="1:33" ht="21" customHeight="1" x14ac:dyDescent="0.15">
      <c r="A125" s="73" t="str">
        <f t="shared" si="0"/>
        <v/>
      </c>
      <c r="B125" s="74" t="str">
        <f>B116</f>
        <v/>
      </c>
      <c r="D125" s="440" t="s">
        <v>185</v>
      </c>
      <c r="E125" s="440"/>
      <c r="F125" s="440"/>
      <c r="G125" s="440"/>
      <c r="H125" s="440"/>
      <c r="I125" s="440"/>
      <c r="J125" s="440"/>
      <c r="K125" s="440"/>
      <c r="L125" s="440"/>
      <c r="M125" s="440"/>
      <c r="N125" s="440"/>
      <c r="O125" s="440"/>
      <c r="P125" s="440"/>
      <c r="Q125" s="440"/>
      <c r="R125" s="440"/>
      <c r="S125" s="440"/>
      <c r="T125" s="440"/>
      <c r="U125" s="440"/>
      <c r="V125" s="440"/>
      <c r="W125" s="440"/>
      <c r="X125" s="440"/>
      <c r="Y125" s="440"/>
      <c r="Z125" s="440"/>
      <c r="AB125" s="87" t="s">
        <v>313</v>
      </c>
      <c r="AD125" s="80" t="s">
        <v>242</v>
      </c>
      <c r="AE125" s="78"/>
      <c r="AF125" s="13"/>
      <c r="AG125" s="13"/>
    </row>
    <row r="126" spans="1:33" ht="18" customHeight="1" x14ac:dyDescent="0.2">
      <c r="A126" s="73" t="str">
        <f t="shared" si="0"/>
        <v>X</v>
      </c>
      <c r="B126" s="81" t="str">
        <f t="shared" ref="B126:B129" si="39">IF($B$115="","",IF($B$115=0,0,""))</f>
        <v/>
      </c>
      <c r="D126" s="424" t="s">
        <v>186</v>
      </c>
      <c r="E126" s="424"/>
      <c r="F126" s="424"/>
      <c r="G126" s="424"/>
      <c r="H126" s="424"/>
      <c r="I126" s="424"/>
      <c r="J126" s="424"/>
      <c r="K126" s="424"/>
      <c r="L126" s="424"/>
      <c r="M126" s="424"/>
      <c r="N126" s="424"/>
      <c r="O126" s="424"/>
      <c r="P126" s="424"/>
      <c r="Q126" s="424"/>
      <c r="R126" s="424"/>
      <c r="S126" s="424"/>
      <c r="T126" s="424"/>
      <c r="U126" s="424"/>
      <c r="V126" s="424"/>
      <c r="W126" s="424"/>
      <c r="X126" s="424"/>
      <c r="Y126" s="424"/>
      <c r="Z126" s="424"/>
      <c r="AB126" s="75" t="s">
        <v>246</v>
      </c>
      <c r="AD126" s="80" t="s">
        <v>242</v>
      </c>
      <c r="AE126" s="78"/>
      <c r="AF126" s="74">
        <f t="shared" ref="AF126" si="40">IF(B126&lt;&gt;"",1,0)</f>
        <v>0</v>
      </c>
      <c r="AG126" s="74">
        <f>IF(AND(SUM(AF:AF)&gt;0,B126=""),1,0)</f>
        <v>1</v>
      </c>
    </row>
    <row r="127" spans="1:33" ht="27.75" customHeight="1" x14ac:dyDescent="0.2">
      <c r="A127" s="73" t="str">
        <f t="shared" ref="A127" si="41">IF(AG127=1,"X","")</f>
        <v>X</v>
      </c>
      <c r="B127" s="81" t="str">
        <f t="shared" si="39"/>
        <v/>
      </c>
      <c r="D127" s="424" t="s">
        <v>399</v>
      </c>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B127" s="75" t="s">
        <v>246</v>
      </c>
      <c r="AD127" s="80" t="s">
        <v>242</v>
      </c>
      <c r="AE127" s="78"/>
      <c r="AF127" s="74">
        <f t="shared" ref="AF127" si="42">IF(B127&lt;&gt;"",1,0)</f>
        <v>0</v>
      </c>
      <c r="AG127" s="74">
        <f>IF(AND(SUM(AF:AF)&gt;0,B127=""),1,0)</f>
        <v>1</v>
      </c>
    </row>
    <row r="128" spans="1:33" ht="31" customHeight="1" x14ac:dyDescent="0.15">
      <c r="A128" s="73" t="str">
        <f t="shared" si="0"/>
        <v>X</v>
      </c>
      <c r="B128" s="81" t="str">
        <f t="shared" si="39"/>
        <v/>
      </c>
      <c r="D128" s="435" t="s">
        <v>337</v>
      </c>
      <c r="E128" s="435"/>
      <c r="F128" s="435"/>
      <c r="G128" s="435"/>
      <c r="H128" s="435"/>
      <c r="I128" s="435"/>
      <c r="J128" s="435"/>
      <c r="K128" s="435"/>
      <c r="L128" s="435"/>
      <c r="M128" s="435"/>
      <c r="N128" s="435"/>
      <c r="O128" s="435"/>
      <c r="P128" s="435"/>
      <c r="Q128" s="435"/>
      <c r="R128" s="435"/>
      <c r="S128" s="435"/>
      <c r="T128" s="435"/>
      <c r="U128" s="435"/>
      <c r="V128" s="435"/>
      <c r="W128" s="435"/>
      <c r="X128" s="435"/>
      <c r="Y128" s="435"/>
      <c r="Z128" s="435"/>
      <c r="AB128" s="75" t="s">
        <v>246</v>
      </c>
      <c r="AD128" s="80" t="s">
        <v>242</v>
      </c>
      <c r="AE128" s="78"/>
      <c r="AF128" s="74">
        <f t="shared" ref="AF128" si="43">IF(B128&lt;&gt;"",1,0)</f>
        <v>0</v>
      </c>
      <c r="AG128" s="74">
        <f>IF(AND(SUM(AF:AF)&gt;0,B128=""),1,0)</f>
        <v>1</v>
      </c>
    </row>
    <row r="129" spans="1:33" ht="33" customHeight="1" x14ac:dyDescent="0.2">
      <c r="A129" s="73" t="str">
        <f t="shared" si="0"/>
        <v>X</v>
      </c>
      <c r="B129" s="81" t="str">
        <f t="shared" si="39"/>
        <v/>
      </c>
      <c r="D129" s="424" t="s">
        <v>253</v>
      </c>
      <c r="E129" s="424"/>
      <c r="F129" s="424"/>
      <c r="G129" s="424"/>
      <c r="H129" s="424"/>
      <c r="I129" s="424"/>
      <c r="J129" s="424"/>
      <c r="K129" s="424"/>
      <c r="L129" s="424"/>
      <c r="M129" s="424"/>
      <c r="N129" s="424"/>
      <c r="O129" s="424"/>
      <c r="P129" s="424"/>
      <c r="Q129" s="424"/>
      <c r="R129" s="424"/>
      <c r="S129" s="424"/>
      <c r="T129" s="424"/>
      <c r="U129" s="424"/>
      <c r="V129" s="424"/>
      <c r="W129" s="424"/>
      <c r="X129" s="424"/>
      <c r="Y129" s="424"/>
      <c r="Z129" s="424"/>
      <c r="AB129" s="75" t="s">
        <v>246</v>
      </c>
      <c r="AD129" s="80" t="s">
        <v>242</v>
      </c>
      <c r="AE129" s="78"/>
      <c r="AF129" s="74">
        <f t="shared" ref="AF129" si="44">IF(B129&lt;&gt;"",1,0)</f>
        <v>0</v>
      </c>
      <c r="AG129" s="74">
        <f>IF(AND(SUM(AF:AF)&gt;0,B129=""),1,0)</f>
        <v>1</v>
      </c>
    </row>
    <row r="130" spans="1:33" ht="21" customHeight="1" x14ac:dyDescent="0.2">
      <c r="A130" s="73" t="str">
        <f t="shared" ref="A130" si="45">IF(AG130=1,"X","")</f>
        <v/>
      </c>
      <c r="B130" s="74">
        <v>0</v>
      </c>
      <c r="D130" s="446" t="s">
        <v>299</v>
      </c>
      <c r="E130" s="446"/>
      <c r="F130" s="446"/>
      <c r="G130" s="446"/>
      <c r="H130" s="446"/>
      <c r="I130" s="446"/>
      <c r="J130" s="446"/>
      <c r="K130" s="446"/>
      <c r="L130" s="446"/>
      <c r="M130" s="446"/>
      <c r="N130" s="446"/>
      <c r="O130" s="446"/>
      <c r="P130" s="446"/>
      <c r="Q130" s="446"/>
      <c r="R130" s="446"/>
      <c r="S130" s="446"/>
      <c r="T130" s="446"/>
      <c r="U130" s="446"/>
      <c r="V130" s="446"/>
      <c r="W130" s="446"/>
      <c r="X130" s="446"/>
      <c r="Y130" s="446"/>
      <c r="Z130" s="446"/>
      <c r="AB130" s="87" t="s">
        <v>314</v>
      </c>
      <c r="AD130" s="82" t="s">
        <v>288</v>
      </c>
      <c r="AE130" s="27"/>
      <c r="AF130" s="13"/>
      <c r="AG130" s="13"/>
    </row>
    <row r="131" spans="1:33" ht="15.75" customHeight="1" x14ac:dyDescent="0.2">
      <c r="A131" s="73"/>
      <c r="B131" s="74">
        <v>0</v>
      </c>
      <c r="D131" s="443" t="s">
        <v>303</v>
      </c>
      <c r="E131" s="443"/>
      <c r="F131" s="443"/>
      <c r="G131" s="443"/>
      <c r="H131" s="443"/>
      <c r="I131" s="443"/>
      <c r="J131" s="443"/>
      <c r="K131" s="443"/>
      <c r="L131" s="443"/>
      <c r="M131" s="443"/>
      <c r="N131" s="443"/>
      <c r="O131" s="443"/>
      <c r="P131" s="443"/>
      <c r="Q131" s="443"/>
      <c r="R131" s="443"/>
      <c r="S131" s="443"/>
      <c r="T131" s="443"/>
      <c r="U131" s="443"/>
      <c r="V131" s="443"/>
      <c r="W131" s="443"/>
      <c r="X131" s="443"/>
      <c r="Y131" s="443"/>
      <c r="Z131" s="443"/>
      <c r="AB131" s="87" t="s">
        <v>314</v>
      </c>
      <c r="AD131" s="82" t="s">
        <v>288</v>
      </c>
      <c r="AE131" s="27"/>
      <c r="AF131" s="13"/>
      <c r="AG131" s="13"/>
    </row>
    <row r="132" spans="1:33" ht="8.5" customHeight="1" x14ac:dyDescent="0.15">
      <c r="A132" s="73" t="str">
        <f>IF(AG132=1,"X","")</f>
        <v/>
      </c>
      <c r="B132" s="74">
        <f>IF(OR(D133="Show",Q133="Show"),1,0)</f>
        <v>0</v>
      </c>
      <c r="D132" s="426"/>
      <c r="E132" s="426"/>
      <c r="F132" s="426"/>
      <c r="G132" s="426"/>
      <c r="H132" s="426"/>
      <c r="I132" s="426"/>
      <c r="J132" s="426"/>
      <c r="K132" s="426"/>
      <c r="L132" s="426"/>
      <c r="M132" s="426"/>
      <c r="N132" s="426"/>
      <c r="O132" s="426"/>
      <c r="P132" s="426"/>
      <c r="Q132" s="426"/>
      <c r="R132" s="426"/>
      <c r="S132" s="426"/>
      <c r="T132" s="426"/>
      <c r="U132" s="426"/>
      <c r="V132" s="426"/>
      <c r="W132" s="426"/>
      <c r="X132" s="426"/>
      <c r="Y132" s="426"/>
      <c r="Z132" s="426"/>
      <c r="AD132" s="82" t="s">
        <v>241</v>
      </c>
      <c r="AE132" s="52"/>
      <c r="AF132" s="13"/>
      <c r="AG132" s="13"/>
    </row>
    <row r="133" spans="1:33" ht="18" customHeight="1" x14ac:dyDescent="0.2">
      <c r="A133" s="73" t="str">
        <f t="shared" ref="A133:A136" si="46">IF(AG133=1,"X","")</f>
        <v/>
      </c>
      <c r="B133" s="74">
        <v>0</v>
      </c>
      <c r="D133" s="427" t="s">
        <v>309</v>
      </c>
      <c r="E133" s="427"/>
      <c r="F133" s="427"/>
      <c r="G133" s="427"/>
      <c r="H133" s="427"/>
      <c r="I133" s="427"/>
      <c r="J133" s="427"/>
      <c r="K133" s="427"/>
      <c r="L133" s="427"/>
      <c r="M133" s="427"/>
      <c r="N133" s="427"/>
      <c r="O133" s="84"/>
      <c r="P133" s="84"/>
      <c r="Q133" s="427" t="s">
        <v>309</v>
      </c>
      <c r="R133" s="427"/>
      <c r="S133" s="427"/>
      <c r="T133" s="427"/>
      <c r="U133" s="427"/>
      <c r="V133" s="427"/>
      <c r="W133" s="427"/>
      <c r="X133" s="427"/>
      <c r="Y133" s="427"/>
      <c r="Z133" s="427"/>
      <c r="AA133" s="65"/>
      <c r="AB133" s="75" t="s">
        <v>302</v>
      </c>
      <c r="AD133" s="80" t="s">
        <v>242</v>
      </c>
      <c r="AE133" s="27"/>
      <c r="AF133" s="74">
        <f>IF(OR(D133="Show",D133="",Q133="Show",Q133=""),1,0)</f>
        <v>0</v>
      </c>
      <c r="AG133" s="74">
        <f>IF(AND(SUM(AF:AF)&gt;0,OR(D133="",Q133="")),1,0)</f>
        <v>0</v>
      </c>
    </row>
    <row r="134" spans="1:33" ht="197.25" customHeight="1" x14ac:dyDescent="0.2">
      <c r="A134" s="73" t="str">
        <f t="shared" si="46"/>
        <v/>
      </c>
      <c r="B134" s="74">
        <f>B132</f>
        <v>0</v>
      </c>
      <c r="D134" s="427"/>
      <c r="E134" s="427"/>
      <c r="F134" s="427"/>
      <c r="G134" s="427"/>
      <c r="H134" s="427"/>
      <c r="I134" s="427"/>
      <c r="J134" s="427"/>
      <c r="K134" s="427"/>
      <c r="L134" s="427"/>
      <c r="M134" s="427"/>
      <c r="N134" s="427"/>
      <c r="O134" s="84"/>
      <c r="P134" s="84"/>
      <c r="Q134" s="427"/>
      <c r="R134" s="427"/>
      <c r="S134" s="427"/>
      <c r="T134" s="427"/>
      <c r="U134" s="427"/>
      <c r="V134" s="427"/>
      <c r="W134" s="427"/>
      <c r="X134" s="427"/>
      <c r="Y134" s="427"/>
      <c r="Z134" s="427"/>
      <c r="AA134" s="65"/>
      <c r="AB134" s="75" t="s">
        <v>301</v>
      </c>
      <c r="AD134" s="80" t="s">
        <v>242</v>
      </c>
      <c r="AE134" s="78"/>
      <c r="AF134" s="13"/>
      <c r="AG134" s="13"/>
    </row>
    <row r="135" spans="1:33" ht="18" customHeight="1" x14ac:dyDescent="0.2">
      <c r="A135" s="73" t="str">
        <f t="shared" si="46"/>
        <v/>
      </c>
      <c r="B135" s="74">
        <f>B134</f>
        <v>0</v>
      </c>
      <c r="D135" s="430"/>
      <c r="E135" s="430"/>
      <c r="F135" s="430"/>
      <c r="G135" s="430"/>
      <c r="H135" s="430"/>
      <c r="I135" s="430"/>
      <c r="J135" s="430"/>
      <c r="K135" s="430"/>
      <c r="L135" s="430"/>
      <c r="M135" s="430"/>
      <c r="N135" s="430"/>
      <c r="O135" s="84"/>
      <c r="P135" s="84"/>
      <c r="Q135" s="430"/>
      <c r="R135" s="430"/>
      <c r="S135" s="430"/>
      <c r="T135" s="430"/>
      <c r="U135" s="430"/>
      <c r="V135" s="430"/>
      <c r="W135" s="430"/>
      <c r="X135" s="430"/>
      <c r="Y135" s="430"/>
      <c r="Z135" s="430"/>
      <c r="AA135" s="65"/>
      <c r="AB135" s="75" t="s">
        <v>300</v>
      </c>
      <c r="AD135" s="80" t="s">
        <v>242</v>
      </c>
      <c r="AE135" s="78"/>
      <c r="AF135" s="74">
        <f>IF(OR(D133="Show",D133="",Q133="Show",Q133=""),1,0)</f>
        <v>0</v>
      </c>
      <c r="AG135" s="74">
        <f>IF(AND(SUM(AF:AF)&gt;0,OR(AND(D133="Show",D135=""),AND(Q133="Show",Q135=""))),1,0)</f>
        <v>0</v>
      </c>
    </row>
    <row r="136" spans="1:33" ht="8.5" customHeight="1" x14ac:dyDescent="0.15">
      <c r="A136" s="73" t="str">
        <f t="shared" si="46"/>
        <v/>
      </c>
      <c r="B136" s="74">
        <f>B135</f>
        <v>0</v>
      </c>
      <c r="D136" s="426"/>
      <c r="E136" s="426"/>
      <c r="F136" s="426"/>
      <c r="G136" s="426"/>
      <c r="H136" s="426"/>
      <c r="I136" s="426"/>
      <c r="J136" s="426"/>
      <c r="K136" s="426"/>
      <c r="L136" s="426"/>
      <c r="M136" s="426"/>
      <c r="N136" s="426"/>
      <c r="O136" s="426"/>
      <c r="P136" s="426"/>
      <c r="Q136" s="426"/>
      <c r="R136" s="426"/>
      <c r="S136" s="426"/>
      <c r="T136" s="426"/>
      <c r="U136" s="426"/>
      <c r="V136" s="426"/>
      <c r="W136" s="426"/>
      <c r="X136" s="426"/>
      <c r="Y136" s="426"/>
      <c r="Z136" s="426"/>
      <c r="AA136" s="65"/>
      <c r="AD136" s="82" t="s">
        <v>241</v>
      </c>
      <c r="AE136" s="52"/>
      <c r="AF136" s="13"/>
      <c r="AG136" s="13"/>
    </row>
    <row r="137" spans="1:33" ht="15.75" customHeight="1" x14ac:dyDescent="0.2">
      <c r="A137" s="73"/>
      <c r="B137" s="74">
        <v>0</v>
      </c>
      <c r="D137" s="443" t="s">
        <v>304</v>
      </c>
      <c r="E137" s="443"/>
      <c r="F137" s="443"/>
      <c r="G137" s="443"/>
      <c r="H137" s="443"/>
      <c r="I137" s="443"/>
      <c r="J137" s="443"/>
      <c r="K137" s="443"/>
      <c r="L137" s="443"/>
      <c r="M137" s="443"/>
      <c r="N137" s="443"/>
      <c r="O137" s="443"/>
      <c r="P137" s="443"/>
      <c r="Q137" s="443"/>
      <c r="R137" s="443"/>
      <c r="S137" s="443"/>
      <c r="T137" s="443"/>
      <c r="U137" s="443"/>
      <c r="V137" s="443"/>
      <c r="W137" s="443"/>
      <c r="X137" s="443"/>
      <c r="Y137" s="443"/>
      <c r="Z137" s="443"/>
      <c r="AB137" s="87" t="s">
        <v>314</v>
      </c>
      <c r="AD137" s="82" t="s">
        <v>288</v>
      </c>
      <c r="AE137" s="27"/>
      <c r="AF137" s="13"/>
      <c r="AG137" s="13"/>
    </row>
    <row r="138" spans="1:33" ht="15.75" customHeight="1" x14ac:dyDescent="0.2">
      <c r="A138" s="73"/>
      <c r="B138" s="74">
        <v>0</v>
      </c>
      <c r="D138" s="443" t="s">
        <v>305</v>
      </c>
      <c r="E138" s="443"/>
      <c r="F138" s="443"/>
      <c r="G138" s="443"/>
      <c r="H138" s="443"/>
      <c r="I138" s="443"/>
      <c r="J138" s="443"/>
      <c r="K138" s="443"/>
      <c r="L138" s="443"/>
      <c r="M138" s="443"/>
      <c r="N138" s="443"/>
      <c r="O138" s="443"/>
      <c r="P138" s="443"/>
      <c r="Q138" s="443"/>
      <c r="R138" s="443"/>
      <c r="S138" s="443"/>
      <c r="T138" s="443"/>
      <c r="U138" s="443"/>
      <c r="V138" s="443"/>
      <c r="W138" s="443"/>
      <c r="X138" s="443"/>
      <c r="Y138" s="443"/>
      <c r="Z138" s="443"/>
      <c r="AB138" s="87" t="s">
        <v>314</v>
      </c>
      <c r="AD138" s="82" t="s">
        <v>288</v>
      </c>
      <c r="AE138" s="27"/>
      <c r="AF138" s="13"/>
      <c r="AG138" s="13"/>
    </row>
    <row r="139" spans="1:33" ht="8.5" customHeight="1" x14ac:dyDescent="0.15">
      <c r="A139" s="73" t="str">
        <f>IF(AG139=1,"X","")</f>
        <v/>
      </c>
      <c r="B139" s="74">
        <f>IF(OR(D140="Show",Q140="Show"),1,0)</f>
        <v>0</v>
      </c>
      <c r="D139" s="426"/>
      <c r="E139" s="426"/>
      <c r="F139" s="426"/>
      <c r="G139" s="426"/>
      <c r="H139" s="426"/>
      <c r="I139" s="426"/>
      <c r="J139" s="426"/>
      <c r="K139" s="426"/>
      <c r="L139" s="426"/>
      <c r="M139" s="426"/>
      <c r="N139" s="426"/>
      <c r="O139" s="426"/>
      <c r="P139" s="426"/>
      <c r="Q139" s="426"/>
      <c r="R139" s="426"/>
      <c r="S139" s="426"/>
      <c r="T139" s="426"/>
      <c r="U139" s="426"/>
      <c r="V139" s="426"/>
      <c r="W139" s="426"/>
      <c r="X139" s="426"/>
      <c r="Y139" s="426"/>
      <c r="Z139" s="426"/>
      <c r="AD139" s="82" t="s">
        <v>241</v>
      </c>
      <c r="AE139" s="52"/>
      <c r="AF139" s="13"/>
      <c r="AG139" s="13"/>
    </row>
    <row r="140" spans="1:33" ht="18" customHeight="1" x14ac:dyDescent="0.2">
      <c r="A140" s="73" t="str">
        <f t="shared" ref="A140:A143" si="47">IF(AG140=1,"X","")</f>
        <v/>
      </c>
      <c r="B140" s="74">
        <v>0</v>
      </c>
      <c r="D140" s="427" t="s">
        <v>309</v>
      </c>
      <c r="E140" s="427"/>
      <c r="F140" s="427"/>
      <c r="G140" s="427"/>
      <c r="H140" s="427"/>
      <c r="I140" s="427"/>
      <c r="J140" s="427"/>
      <c r="K140" s="427"/>
      <c r="L140" s="427"/>
      <c r="M140" s="427"/>
      <c r="N140" s="427"/>
      <c r="O140" s="84"/>
      <c r="P140" s="84"/>
      <c r="Q140" s="427" t="s">
        <v>309</v>
      </c>
      <c r="R140" s="427"/>
      <c r="S140" s="427"/>
      <c r="T140" s="427"/>
      <c r="U140" s="427"/>
      <c r="V140" s="427"/>
      <c r="W140" s="427"/>
      <c r="X140" s="427"/>
      <c r="Y140" s="427"/>
      <c r="Z140" s="427"/>
      <c r="AA140" s="65"/>
      <c r="AB140" s="75" t="s">
        <v>302</v>
      </c>
      <c r="AD140" s="80" t="s">
        <v>242</v>
      </c>
      <c r="AE140" s="27"/>
      <c r="AF140" s="74">
        <f>IF(OR(D140="Show",D140="",Q140="Show",Q140=""),1,0)</f>
        <v>0</v>
      </c>
      <c r="AG140" s="74">
        <f>IF(AND(SUM(AF:AF)&gt;0,OR(D140="",Q140="")),1,0)</f>
        <v>0</v>
      </c>
    </row>
    <row r="141" spans="1:33" ht="197.25" customHeight="1" x14ac:dyDescent="0.2">
      <c r="A141" s="73" t="str">
        <f t="shared" si="47"/>
        <v/>
      </c>
      <c r="B141" s="74">
        <f>B139</f>
        <v>0</v>
      </c>
      <c r="D141" s="427"/>
      <c r="E141" s="427"/>
      <c r="F141" s="427"/>
      <c r="G141" s="427"/>
      <c r="H141" s="427"/>
      <c r="I141" s="427"/>
      <c r="J141" s="427"/>
      <c r="K141" s="427"/>
      <c r="L141" s="427"/>
      <c r="M141" s="427"/>
      <c r="N141" s="427"/>
      <c r="O141" s="84"/>
      <c r="P141" s="84"/>
      <c r="Q141" s="427"/>
      <c r="R141" s="427"/>
      <c r="S141" s="427"/>
      <c r="T141" s="427"/>
      <c r="U141" s="427"/>
      <c r="V141" s="427"/>
      <c r="W141" s="427"/>
      <c r="X141" s="427"/>
      <c r="Y141" s="427"/>
      <c r="Z141" s="427"/>
      <c r="AA141" s="65"/>
      <c r="AB141" s="75" t="s">
        <v>301</v>
      </c>
      <c r="AD141" s="80" t="s">
        <v>242</v>
      </c>
      <c r="AE141" s="78"/>
      <c r="AF141" s="13"/>
      <c r="AG141" s="13"/>
    </row>
    <row r="142" spans="1:33" ht="18" customHeight="1" x14ac:dyDescent="0.2">
      <c r="A142" s="73" t="str">
        <f t="shared" si="47"/>
        <v/>
      </c>
      <c r="B142" s="74">
        <f>B141</f>
        <v>0</v>
      </c>
      <c r="D142" s="430"/>
      <c r="E142" s="430"/>
      <c r="F142" s="430"/>
      <c r="G142" s="430"/>
      <c r="H142" s="430"/>
      <c r="I142" s="430"/>
      <c r="J142" s="430"/>
      <c r="K142" s="430"/>
      <c r="L142" s="430"/>
      <c r="M142" s="430"/>
      <c r="N142" s="430"/>
      <c r="O142" s="84"/>
      <c r="P142" s="84"/>
      <c r="Q142" s="430"/>
      <c r="R142" s="430"/>
      <c r="S142" s="430"/>
      <c r="T142" s="430"/>
      <c r="U142" s="430"/>
      <c r="V142" s="430"/>
      <c r="W142" s="430"/>
      <c r="X142" s="430"/>
      <c r="Y142" s="430"/>
      <c r="Z142" s="430"/>
      <c r="AA142" s="65"/>
      <c r="AB142" s="75" t="s">
        <v>300</v>
      </c>
      <c r="AD142" s="80" t="s">
        <v>242</v>
      </c>
      <c r="AE142" s="78"/>
      <c r="AF142" s="74">
        <f>IF(OR(D140="Show",D140="",Q140="Show",Q140=""),1,0)</f>
        <v>0</v>
      </c>
      <c r="AG142" s="74">
        <f>IF(AND(SUM(AF:AF)&gt;0,OR(AND(D140="Show",D142=""),AND(Q140="Show",Q142=""))),1,0)</f>
        <v>0</v>
      </c>
    </row>
    <row r="143" spans="1:33" ht="8.5" customHeight="1" x14ac:dyDescent="0.15">
      <c r="A143" s="73" t="str">
        <f t="shared" si="47"/>
        <v/>
      </c>
      <c r="B143" s="74">
        <f>B142</f>
        <v>0</v>
      </c>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65"/>
      <c r="AD143" s="82" t="s">
        <v>241</v>
      </c>
      <c r="AE143" s="52"/>
      <c r="AF143" s="13"/>
      <c r="AG143" s="13"/>
    </row>
    <row r="144" spans="1:33" ht="15.75" customHeight="1" x14ac:dyDescent="0.2">
      <c r="A144" s="73"/>
      <c r="B144" s="74">
        <v>0</v>
      </c>
      <c r="D144" s="443" t="s">
        <v>307</v>
      </c>
      <c r="E144" s="443"/>
      <c r="F144" s="443"/>
      <c r="G144" s="443"/>
      <c r="H144" s="443"/>
      <c r="I144" s="443"/>
      <c r="J144" s="443"/>
      <c r="K144" s="443"/>
      <c r="L144" s="443"/>
      <c r="M144" s="443"/>
      <c r="N144" s="443"/>
      <c r="O144" s="443"/>
      <c r="P144" s="443"/>
      <c r="Q144" s="443"/>
      <c r="R144" s="443"/>
      <c r="S144" s="443"/>
      <c r="T144" s="443"/>
      <c r="U144" s="443"/>
      <c r="V144" s="443"/>
      <c r="W144" s="443"/>
      <c r="X144" s="443"/>
      <c r="Y144" s="443"/>
      <c r="Z144" s="443"/>
      <c r="AB144" s="87" t="s">
        <v>314</v>
      </c>
      <c r="AD144" s="82" t="s">
        <v>288</v>
      </c>
      <c r="AE144" s="27"/>
      <c r="AF144" s="13"/>
      <c r="AG144" s="13"/>
    </row>
    <row r="145" spans="1:33" ht="15.75" customHeight="1" x14ac:dyDescent="0.2">
      <c r="A145" s="73"/>
      <c r="B145" s="74">
        <v>0</v>
      </c>
      <c r="D145" s="443" t="s">
        <v>308</v>
      </c>
      <c r="E145" s="443"/>
      <c r="F145" s="443"/>
      <c r="G145" s="443"/>
      <c r="H145" s="443"/>
      <c r="I145" s="443"/>
      <c r="J145" s="443"/>
      <c r="K145" s="443"/>
      <c r="L145" s="443"/>
      <c r="M145" s="443"/>
      <c r="N145" s="443"/>
      <c r="O145" s="443"/>
      <c r="P145" s="443"/>
      <c r="Q145" s="443"/>
      <c r="R145" s="443"/>
      <c r="S145" s="443"/>
      <c r="T145" s="443"/>
      <c r="U145" s="443"/>
      <c r="V145" s="443"/>
      <c r="W145" s="443"/>
      <c r="X145" s="443"/>
      <c r="Y145" s="443"/>
      <c r="Z145" s="443"/>
      <c r="AB145" s="87" t="s">
        <v>314</v>
      </c>
      <c r="AD145" s="82" t="s">
        <v>288</v>
      </c>
      <c r="AE145" s="27"/>
      <c r="AF145" s="13"/>
      <c r="AG145" s="13"/>
    </row>
    <row r="146" spans="1:33" ht="8.5" customHeight="1" x14ac:dyDescent="0.15">
      <c r="A146" s="73" t="str">
        <f>IF(AG146=1,"X","")</f>
        <v/>
      </c>
      <c r="B146" s="74">
        <f>IF(OR(D147="Show",Q147="Show"),1,0)</f>
        <v>0</v>
      </c>
      <c r="D146" s="426"/>
      <c r="E146" s="426"/>
      <c r="F146" s="426"/>
      <c r="G146" s="426"/>
      <c r="H146" s="426"/>
      <c r="I146" s="426"/>
      <c r="J146" s="426"/>
      <c r="K146" s="426"/>
      <c r="L146" s="426"/>
      <c r="M146" s="426"/>
      <c r="N146" s="426"/>
      <c r="O146" s="426"/>
      <c r="P146" s="426"/>
      <c r="Q146" s="426"/>
      <c r="R146" s="426"/>
      <c r="S146" s="426"/>
      <c r="T146" s="426"/>
      <c r="U146" s="426"/>
      <c r="V146" s="426"/>
      <c r="W146" s="426"/>
      <c r="X146" s="426"/>
      <c r="Y146" s="426"/>
      <c r="Z146" s="426"/>
      <c r="AD146" s="82" t="s">
        <v>241</v>
      </c>
      <c r="AE146" s="52"/>
      <c r="AF146" s="13"/>
      <c r="AG146" s="13"/>
    </row>
    <row r="147" spans="1:33" ht="18" customHeight="1" x14ac:dyDescent="0.2">
      <c r="A147" s="73" t="str">
        <f t="shared" ref="A147:A150" si="48">IF(AG147=1,"X","")</f>
        <v/>
      </c>
      <c r="B147" s="74">
        <v>0</v>
      </c>
      <c r="D147" s="427" t="s">
        <v>309</v>
      </c>
      <c r="E147" s="427"/>
      <c r="F147" s="427"/>
      <c r="G147" s="427"/>
      <c r="H147" s="427"/>
      <c r="I147" s="427"/>
      <c r="J147" s="427"/>
      <c r="K147" s="427"/>
      <c r="L147" s="427"/>
      <c r="M147" s="427"/>
      <c r="N147" s="427"/>
      <c r="O147" s="84"/>
      <c r="P147" s="84"/>
      <c r="Q147" s="427" t="s">
        <v>309</v>
      </c>
      <c r="R147" s="427"/>
      <c r="S147" s="427"/>
      <c r="T147" s="427"/>
      <c r="U147" s="427"/>
      <c r="V147" s="427"/>
      <c r="W147" s="427"/>
      <c r="X147" s="427"/>
      <c r="Y147" s="427"/>
      <c r="Z147" s="427"/>
      <c r="AA147" s="65"/>
      <c r="AB147" s="75" t="s">
        <v>302</v>
      </c>
      <c r="AD147" s="80" t="s">
        <v>242</v>
      </c>
      <c r="AE147" s="27"/>
      <c r="AF147" s="74">
        <f>IF(OR(D147="Show",D147="",Q147="Show",Q147=""),1,0)</f>
        <v>0</v>
      </c>
      <c r="AG147" s="74">
        <f>IF(AND(SUM(AF:AF)&gt;0,OR(D147="",Q147="")),1,0)</f>
        <v>0</v>
      </c>
    </row>
    <row r="148" spans="1:33" ht="197.25" customHeight="1" x14ac:dyDescent="0.2">
      <c r="A148" s="73" t="str">
        <f t="shared" si="48"/>
        <v/>
      </c>
      <c r="B148" s="74">
        <f>B146</f>
        <v>0</v>
      </c>
      <c r="D148" s="427"/>
      <c r="E148" s="427"/>
      <c r="F148" s="427"/>
      <c r="G148" s="427"/>
      <c r="H148" s="427"/>
      <c r="I148" s="427"/>
      <c r="J148" s="427"/>
      <c r="K148" s="427"/>
      <c r="L148" s="427"/>
      <c r="M148" s="427"/>
      <c r="N148" s="427"/>
      <c r="O148" s="84"/>
      <c r="P148" s="84"/>
      <c r="Q148" s="427"/>
      <c r="R148" s="427"/>
      <c r="S148" s="427"/>
      <c r="T148" s="427"/>
      <c r="U148" s="427"/>
      <c r="V148" s="427"/>
      <c r="W148" s="427"/>
      <c r="X148" s="427"/>
      <c r="Y148" s="427"/>
      <c r="Z148" s="427"/>
      <c r="AA148" s="65"/>
      <c r="AB148" s="75" t="s">
        <v>301</v>
      </c>
      <c r="AD148" s="80" t="s">
        <v>242</v>
      </c>
      <c r="AE148" s="78"/>
      <c r="AF148" s="13"/>
      <c r="AG148" s="13"/>
    </row>
    <row r="149" spans="1:33" ht="18" customHeight="1" x14ac:dyDescent="0.2">
      <c r="A149" s="73" t="str">
        <f t="shared" si="48"/>
        <v/>
      </c>
      <c r="B149" s="74">
        <f>B148</f>
        <v>0</v>
      </c>
      <c r="D149" s="430"/>
      <c r="E149" s="430"/>
      <c r="F149" s="430"/>
      <c r="G149" s="430"/>
      <c r="H149" s="430"/>
      <c r="I149" s="430"/>
      <c r="J149" s="430"/>
      <c r="K149" s="430"/>
      <c r="L149" s="430"/>
      <c r="M149" s="430"/>
      <c r="N149" s="430"/>
      <c r="O149" s="84"/>
      <c r="P149" s="84"/>
      <c r="Q149" s="430"/>
      <c r="R149" s="430"/>
      <c r="S149" s="430"/>
      <c r="T149" s="430"/>
      <c r="U149" s="430"/>
      <c r="V149" s="430"/>
      <c r="W149" s="430"/>
      <c r="X149" s="430"/>
      <c r="Y149" s="430"/>
      <c r="Z149" s="430"/>
      <c r="AA149" s="65"/>
      <c r="AB149" s="75" t="s">
        <v>300</v>
      </c>
      <c r="AD149" s="80" t="s">
        <v>242</v>
      </c>
      <c r="AE149" s="78"/>
      <c r="AF149" s="74">
        <f>IF(OR(D147="Show",D147="",Q147="Show",Q147=""),1,0)</f>
        <v>0</v>
      </c>
      <c r="AG149" s="74">
        <f>IF(AND(SUM(AF:AF)&gt;0,OR(AND(D147="Show",D149=""),AND(Q147="Show",Q149=""))),1,0)</f>
        <v>0</v>
      </c>
    </row>
    <row r="150" spans="1:33" ht="8.5" customHeight="1" x14ac:dyDescent="0.15">
      <c r="A150" s="73" t="str">
        <f t="shared" si="48"/>
        <v/>
      </c>
      <c r="B150" s="74">
        <f>B149</f>
        <v>0</v>
      </c>
      <c r="D150" s="426"/>
      <c r="E150" s="426"/>
      <c r="F150" s="426"/>
      <c r="G150" s="426"/>
      <c r="H150" s="426"/>
      <c r="I150" s="426"/>
      <c r="J150" s="426"/>
      <c r="K150" s="426"/>
      <c r="L150" s="426"/>
      <c r="M150" s="426"/>
      <c r="N150" s="426"/>
      <c r="O150" s="426"/>
      <c r="P150" s="426"/>
      <c r="Q150" s="426"/>
      <c r="R150" s="426"/>
      <c r="S150" s="426"/>
      <c r="T150" s="426"/>
      <c r="U150" s="426"/>
      <c r="V150" s="426"/>
      <c r="W150" s="426"/>
      <c r="X150" s="426"/>
      <c r="Y150" s="426"/>
      <c r="Z150" s="426"/>
      <c r="AA150" s="65"/>
      <c r="AD150" s="82" t="s">
        <v>241</v>
      </c>
      <c r="AE150" s="52"/>
      <c r="AF150" s="13"/>
      <c r="AG150" s="13"/>
    </row>
    <row r="151" spans="1:33" ht="15.75" customHeight="1" x14ac:dyDescent="0.2">
      <c r="A151" s="73"/>
      <c r="B151" s="74">
        <v>0</v>
      </c>
      <c r="D151" s="443" t="s">
        <v>306</v>
      </c>
      <c r="E151" s="443"/>
      <c r="F151" s="443"/>
      <c r="G151" s="443"/>
      <c r="H151" s="443"/>
      <c r="I151" s="443"/>
      <c r="J151" s="443"/>
      <c r="K151" s="443"/>
      <c r="L151" s="443"/>
      <c r="M151" s="443"/>
      <c r="N151" s="443"/>
      <c r="O151" s="443"/>
      <c r="P151" s="443"/>
      <c r="Q151" s="443"/>
      <c r="R151" s="443"/>
      <c r="S151" s="443"/>
      <c r="T151" s="443"/>
      <c r="U151" s="443"/>
      <c r="V151" s="443"/>
      <c r="W151" s="443"/>
      <c r="X151" s="443"/>
      <c r="Y151" s="443"/>
      <c r="Z151" s="443"/>
      <c r="AB151" s="87" t="s">
        <v>314</v>
      </c>
      <c r="AD151" s="82" t="s">
        <v>288</v>
      </c>
      <c r="AE151" s="27"/>
      <c r="AF151" s="13"/>
      <c r="AG151" s="13"/>
    </row>
    <row r="152" spans="1:33" ht="21" customHeight="1" x14ac:dyDescent="0.15">
      <c r="A152" s="73" t="str">
        <f t="shared" si="0"/>
        <v/>
      </c>
      <c r="B152" s="74" t="str">
        <f>B129</f>
        <v/>
      </c>
      <c r="D152" s="440" t="s">
        <v>185</v>
      </c>
      <c r="E152" s="440"/>
      <c r="F152" s="440"/>
      <c r="G152" s="440"/>
      <c r="H152" s="440"/>
      <c r="I152" s="440"/>
      <c r="J152" s="440"/>
      <c r="K152" s="440"/>
      <c r="L152" s="440"/>
      <c r="M152" s="440"/>
      <c r="N152" s="440"/>
      <c r="O152" s="440"/>
      <c r="P152" s="440"/>
      <c r="Q152" s="440"/>
      <c r="R152" s="440"/>
      <c r="S152" s="440"/>
      <c r="T152" s="440"/>
      <c r="U152" s="440"/>
      <c r="V152" s="440"/>
      <c r="W152" s="440"/>
      <c r="X152" s="440"/>
      <c r="Y152" s="440"/>
      <c r="Z152" s="440"/>
      <c r="AB152" s="87" t="s">
        <v>313</v>
      </c>
      <c r="AD152" s="80" t="s">
        <v>242</v>
      </c>
      <c r="AE152" s="78"/>
      <c r="AF152" s="13"/>
      <c r="AG152" s="13"/>
    </row>
    <row r="153" spans="1:33" ht="18" customHeight="1" x14ac:dyDescent="0.2">
      <c r="A153" s="73" t="str">
        <f t="shared" si="0"/>
        <v>X</v>
      </c>
      <c r="B153" s="81"/>
      <c r="D153" s="424" t="s">
        <v>187</v>
      </c>
      <c r="E153" s="424"/>
      <c r="F153" s="424"/>
      <c r="G153" s="424"/>
      <c r="H153" s="424"/>
      <c r="I153" s="424"/>
      <c r="J153" s="424"/>
      <c r="K153" s="424"/>
      <c r="L153" s="424"/>
      <c r="M153" s="424"/>
      <c r="N153" s="424"/>
      <c r="O153" s="424"/>
      <c r="P153" s="424"/>
      <c r="Q153" s="424"/>
      <c r="R153" s="424"/>
      <c r="S153" s="424"/>
      <c r="T153" s="424"/>
      <c r="U153" s="424"/>
      <c r="V153" s="424"/>
      <c r="W153" s="424"/>
      <c r="X153" s="424"/>
      <c r="Y153" s="424"/>
      <c r="Z153" s="424"/>
      <c r="AB153" s="75" t="s">
        <v>285</v>
      </c>
      <c r="AC153" s="64"/>
      <c r="AD153" s="80" t="s">
        <v>242</v>
      </c>
      <c r="AE153" s="78"/>
      <c r="AF153" s="74">
        <f t="shared" ref="AF153:AF154" si="49">IF(B153&lt;&gt;"",1,0)</f>
        <v>0</v>
      </c>
      <c r="AG153" s="74">
        <f>IF(AND(SUM(AF:AF)&gt;0,B153=""),1,0)</f>
        <v>1</v>
      </c>
    </row>
    <row r="154" spans="1:33" ht="32.25" customHeight="1" x14ac:dyDescent="0.2">
      <c r="A154" s="73" t="str">
        <f t="shared" ref="A154" si="50">IF(AG154=1,"X","")</f>
        <v>X</v>
      </c>
      <c r="B154" s="81"/>
      <c r="D154" s="424" t="s">
        <v>656</v>
      </c>
      <c r="E154" s="424"/>
      <c r="F154" s="424"/>
      <c r="G154" s="424"/>
      <c r="H154" s="424"/>
      <c r="I154" s="424"/>
      <c r="J154" s="424"/>
      <c r="K154" s="424"/>
      <c r="L154" s="424"/>
      <c r="M154" s="424"/>
      <c r="N154" s="424"/>
      <c r="O154" s="424"/>
      <c r="P154" s="424"/>
      <c r="Q154" s="424"/>
      <c r="R154" s="424"/>
      <c r="S154" s="424"/>
      <c r="T154" s="424"/>
      <c r="U154" s="424"/>
      <c r="V154" s="424"/>
      <c r="W154" s="424"/>
      <c r="X154" s="424"/>
      <c r="Y154" s="424"/>
      <c r="Z154" s="424"/>
      <c r="AB154" s="75" t="s">
        <v>285</v>
      </c>
      <c r="AC154" s="64"/>
      <c r="AD154" s="80" t="s">
        <v>242</v>
      </c>
      <c r="AE154" s="78"/>
      <c r="AF154" s="74">
        <f t="shared" si="49"/>
        <v>0</v>
      </c>
      <c r="AG154" s="74">
        <f>IF(AND(SUM(AF:AF)&gt;0,B154=""),1,0)</f>
        <v>1</v>
      </c>
    </row>
    <row r="155" spans="1:33" ht="31" customHeight="1" x14ac:dyDescent="0.15">
      <c r="A155" s="73" t="str">
        <f t="shared" si="0"/>
        <v>X</v>
      </c>
      <c r="B155" s="81"/>
      <c r="D155" s="435" t="s">
        <v>188</v>
      </c>
      <c r="E155" s="435"/>
      <c r="F155" s="435"/>
      <c r="G155" s="435"/>
      <c r="H155" s="435"/>
      <c r="I155" s="435"/>
      <c r="J155" s="435"/>
      <c r="K155" s="435"/>
      <c r="L155" s="435"/>
      <c r="M155" s="435"/>
      <c r="N155" s="435"/>
      <c r="O155" s="435"/>
      <c r="P155" s="435"/>
      <c r="Q155" s="435"/>
      <c r="R155" s="435"/>
      <c r="S155" s="435"/>
      <c r="T155" s="435"/>
      <c r="U155" s="435"/>
      <c r="V155" s="435"/>
      <c r="W155" s="435"/>
      <c r="X155" s="435"/>
      <c r="Y155" s="435"/>
      <c r="Z155" s="435"/>
      <c r="AB155" s="75" t="s">
        <v>246</v>
      </c>
      <c r="AD155" s="80" t="s">
        <v>242</v>
      </c>
      <c r="AE155" s="78"/>
      <c r="AF155" s="74">
        <f t="shared" ref="AF155" si="51">IF(B155&lt;&gt;"",1,0)</f>
        <v>0</v>
      </c>
      <c r="AG155" s="74">
        <f>IF(AND(SUM(AF:AF)&gt;0,B155=""),1,0)</f>
        <v>1</v>
      </c>
    </row>
    <row r="156" spans="1:33" ht="18" customHeight="1" x14ac:dyDescent="0.2">
      <c r="A156" s="73" t="str">
        <f t="shared" si="0"/>
        <v>X</v>
      </c>
      <c r="B156" s="81"/>
      <c r="D156" s="432" t="s">
        <v>189</v>
      </c>
      <c r="E156" s="432"/>
      <c r="F156" s="432"/>
      <c r="G156" s="432"/>
      <c r="H156" s="432"/>
      <c r="I156" s="432"/>
      <c r="J156" s="432"/>
      <c r="K156" s="432"/>
      <c r="L156" s="432"/>
      <c r="M156" s="432"/>
      <c r="N156" s="432"/>
      <c r="O156" s="432"/>
      <c r="P156" s="432"/>
      <c r="Q156" s="432"/>
      <c r="R156" s="432"/>
      <c r="S156" s="432"/>
      <c r="T156" s="432"/>
      <c r="U156" s="432"/>
      <c r="V156" s="432"/>
      <c r="W156" s="432"/>
      <c r="X156" s="432"/>
      <c r="Y156" s="432"/>
      <c r="Z156" s="432"/>
      <c r="AB156" s="75" t="s">
        <v>246</v>
      </c>
      <c r="AD156" s="80" t="s">
        <v>242</v>
      </c>
      <c r="AE156" s="78"/>
      <c r="AF156" s="74">
        <f t="shared" ref="AF156" si="52">IF(B156&lt;&gt;"",1,0)</f>
        <v>0</v>
      </c>
      <c r="AG156" s="74">
        <f>IF(AND(SUM(AF:AF)&gt;0,B156=""),1,0)</f>
        <v>1</v>
      </c>
    </row>
    <row r="157" spans="1:33" s="64" customFormat="1" ht="18" customHeight="1" x14ac:dyDescent="0.2">
      <c r="A157" s="73" t="str">
        <f t="shared" si="0"/>
        <v>X</v>
      </c>
      <c r="B157" s="81" t="str">
        <f>IF($B$156="","",IF($B$156=1,0,""))</f>
        <v/>
      </c>
      <c r="C157" s="66"/>
      <c r="D157" s="450" t="s">
        <v>254</v>
      </c>
      <c r="E157" s="450"/>
      <c r="F157" s="450"/>
      <c r="G157" s="450"/>
      <c r="H157" s="450"/>
      <c r="I157" s="450"/>
      <c r="J157" s="450"/>
      <c r="K157" s="450"/>
      <c r="L157" s="450"/>
      <c r="M157" s="450"/>
      <c r="N157" s="450"/>
      <c r="O157" s="450"/>
      <c r="P157" s="449"/>
      <c r="Q157" s="449"/>
      <c r="R157" s="449"/>
      <c r="S157" s="449"/>
      <c r="T157" s="449"/>
      <c r="U157" s="449"/>
      <c r="V157" s="449"/>
      <c r="W157" s="449"/>
      <c r="X157" s="449"/>
      <c r="Y157" s="449"/>
      <c r="Z157" s="449"/>
      <c r="AA157" s="63"/>
      <c r="AB157" s="75" t="s">
        <v>285</v>
      </c>
      <c r="AD157" s="80" t="s">
        <v>242</v>
      </c>
      <c r="AE157" s="78"/>
      <c r="AF157" s="74">
        <f>IF(OR(B157&lt;&gt;"",P157&lt;&gt;""),1,0)</f>
        <v>0</v>
      </c>
      <c r="AG157" s="74">
        <f>IF(AND(SUM(AF:AF)&gt;0,OR(AND(B157=1,P157=""),AND(B157="",P157=""),AND(B157="",P157&lt;&gt;""),AND(B157=0,P157&lt;&gt;""))),1,0)</f>
        <v>1</v>
      </c>
    </row>
    <row r="158" spans="1:33" s="64" customFormat="1" ht="18" customHeight="1" x14ac:dyDescent="0.2">
      <c r="A158" s="73" t="str">
        <f t="shared" si="0"/>
        <v>X</v>
      </c>
      <c r="B158" s="81" t="str">
        <f>IF($B$156="","",IF($B$156=1,0,""))</f>
        <v/>
      </c>
      <c r="C158" s="66"/>
      <c r="D158" s="450" t="s">
        <v>255</v>
      </c>
      <c r="E158" s="450"/>
      <c r="F158" s="450"/>
      <c r="G158" s="450"/>
      <c r="H158" s="450"/>
      <c r="I158" s="450"/>
      <c r="J158" s="450"/>
      <c r="K158" s="450"/>
      <c r="L158" s="450"/>
      <c r="M158" s="450"/>
      <c r="N158" s="450"/>
      <c r="O158" s="450"/>
      <c r="P158" s="449"/>
      <c r="Q158" s="449"/>
      <c r="R158" s="449"/>
      <c r="S158" s="449"/>
      <c r="T158" s="449"/>
      <c r="U158" s="449"/>
      <c r="V158" s="449"/>
      <c r="W158" s="449"/>
      <c r="X158" s="449"/>
      <c r="Y158" s="449"/>
      <c r="Z158" s="449"/>
      <c r="AA158" s="63"/>
      <c r="AB158" s="75" t="s">
        <v>285</v>
      </c>
      <c r="AD158" s="80" t="s">
        <v>242</v>
      </c>
      <c r="AE158" s="78"/>
      <c r="AF158" s="74">
        <f>IF(OR(B158&lt;&gt;"",P158&lt;&gt;""),1,0)</f>
        <v>0</v>
      </c>
      <c r="AG158" s="74">
        <f>IF(AND(SUM(AF:AF)&gt;0,OR(AND(B158=1,P158=""),AND(B158="",P158=""),AND(B158="",P158&lt;&gt;""),AND(B158=0,P158&lt;&gt;""))),1,0)</f>
        <v>1</v>
      </c>
    </row>
    <row r="159" spans="1:33" ht="21" customHeight="1" x14ac:dyDescent="0.2">
      <c r="A159" s="73" t="str">
        <f t="shared" si="0"/>
        <v/>
      </c>
      <c r="B159" s="74">
        <v>0</v>
      </c>
      <c r="D159" s="471" t="s">
        <v>299</v>
      </c>
      <c r="E159" s="471"/>
      <c r="F159" s="471"/>
      <c r="G159" s="471"/>
      <c r="H159" s="471"/>
      <c r="I159" s="471"/>
      <c r="J159" s="471"/>
      <c r="K159" s="471"/>
      <c r="L159" s="471"/>
      <c r="M159" s="471"/>
      <c r="N159" s="471"/>
      <c r="O159" s="471"/>
      <c r="P159" s="471"/>
      <c r="Q159" s="471"/>
      <c r="R159" s="471"/>
      <c r="S159" s="471"/>
      <c r="T159" s="471"/>
      <c r="U159" s="471"/>
      <c r="V159" s="471"/>
      <c r="W159" s="471"/>
      <c r="X159" s="471"/>
      <c r="Y159" s="471"/>
      <c r="Z159" s="471"/>
      <c r="AB159" s="87" t="s">
        <v>314</v>
      </c>
      <c r="AD159" s="82" t="s">
        <v>288</v>
      </c>
      <c r="AE159" s="27"/>
      <c r="AF159" s="13"/>
      <c r="AG159" s="13"/>
    </row>
    <row r="160" spans="1:33" ht="15.75" customHeight="1" x14ac:dyDescent="0.2">
      <c r="A160" s="73"/>
      <c r="B160" s="74">
        <v>0</v>
      </c>
      <c r="D160" s="443" t="s">
        <v>303</v>
      </c>
      <c r="E160" s="443"/>
      <c r="F160" s="443"/>
      <c r="G160" s="443"/>
      <c r="H160" s="443"/>
      <c r="I160" s="443"/>
      <c r="J160" s="443"/>
      <c r="K160" s="443"/>
      <c r="L160" s="443"/>
      <c r="M160" s="443"/>
      <c r="N160" s="443"/>
      <c r="O160" s="443"/>
      <c r="P160" s="443"/>
      <c r="Q160" s="443"/>
      <c r="R160" s="443"/>
      <c r="S160" s="443"/>
      <c r="T160" s="443"/>
      <c r="U160" s="443"/>
      <c r="V160" s="443"/>
      <c r="W160" s="443"/>
      <c r="X160" s="443"/>
      <c r="Y160" s="443"/>
      <c r="Z160" s="443"/>
      <c r="AB160" s="87" t="s">
        <v>314</v>
      </c>
      <c r="AD160" s="82" t="s">
        <v>288</v>
      </c>
      <c r="AE160" s="27"/>
      <c r="AF160" s="13"/>
      <c r="AG160" s="13"/>
    </row>
    <row r="161" spans="1:33" ht="8.5" customHeight="1" x14ac:dyDescent="0.15">
      <c r="A161" s="73" t="str">
        <f>IF(AG161=1,"X","")</f>
        <v/>
      </c>
      <c r="B161" s="74">
        <f>IF(OR(D162="Show",Q162="Show"),1,0)</f>
        <v>0</v>
      </c>
      <c r="D161" s="426"/>
      <c r="E161" s="426"/>
      <c r="F161" s="426"/>
      <c r="G161" s="426"/>
      <c r="H161" s="426"/>
      <c r="I161" s="426"/>
      <c r="J161" s="426"/>
      <c r="K161" s="426"/>
      <c r="L161" s="426"/>
      <c r="M161" s="426"/>
      <c r="N161" s="426"/>
      <c r="O161" s="426"/>
      <c r="P161" s="426"/>
      <c r="Q161" s="426"/>
      <c r="R161" s="426"/>
      <c r="S161" s="426"/>
      <c r="T161" s="426"/>
      <c r="U161" s="426"/>
      <c r="V161" s="426"/>
      <c r="W161" s="426"/>
      <c r="X161" s="426"/>
      <c r="Y161" s="426"/>
      <c r="Z161" s="426"/>
      <c r="AD161" s="82" t="s">
        <v>241</v>
      </c>
      <c r="AE161" s="52"/>
      <c r="AF161" s="13"/>
      <c r="AG161" s="13"/>
    </row>
    <row r="162" spans="1:33" ht="18" customHeight="1" x14ac:dyDescent="0.2">
      <c r="A162" s="73" t="str">
        <f t="shared" ref="A162:A165" si="53">IF(AG162=1,"X","")</f>
        <v/>
      </c>
      <c r="B162" s="74">
        <v>0</v>
      </c>
      <c r="D162" s="427" t="s">
        <v>309</v>
      </c>
      <c r="E162" s="427"/>
      <c r="F162" s="427"/>
      <c r="G162" s="427"/>
      <c r="H162" s="427"/>
      <c r="I162" s="427"/>
      <c r="J162" s="427"/>
      <c r="K162" s="427"/>
      <c r="L162" s="427"/>
      <c r="M162" s="427"/>
      <c r="N162" s="427"/>
      <c r="O162" s="84"/>
      <c r="P162" s="84"/>
      <c r="Q162" s="427" t="s">
        <v>309</v>
      </c>
      <c r="R162" s="427"/>
      <c r="S162" s="427"/>
      <c r="T162" s="427"/>
      <c r="U162" s="427"/>
      <c r="V162" s="427"/>
      <c r="W162" s="427"/>
      <c r="X162" s="427"/>
      <c r="Y162" s="427"/>
      <c r="Z162" s="427"/>
      <c r="AA162" s="65"/>
      <c r="AB162" s="75" t="s">
        <v>302</v>
      </c>
      <c r="AD162" s="80" t="s">
        <v>242</v>
      </c>
      <c r="AE162" s="27"/>
      <c r="AF162" s="74">
        <f>IF(OR(D162="Show",D162="",Q162="Show",Q162=""),1,0)</f>
        <v>0</v>
      </c>
      <c r="AG162" s="74">
        <f>IF(AND(SUM(AF:AF)&gt;0,OR(D162="",Q162="")),1,0)</f>
        <v>0</v>
      </c>
    </row>
    <row r="163" spans="1:33" ht="197.25" customHeight="1" x14ac:dyDescent="0.2">
      <c r="A163" s="73" t="str">
        <f t="shared" si="53"/>
        <v/>
      </c>
      <c r="B163" s="74">
        <f>B161</f>
        <v>0</v>
      </c>
      <c r="D163" s="427"/>
      <c r="E163" s="427"/>
      <c r="F163" s="427"/>
      <c r="G163" s="427"/>
      <c r="H163" s="427"/>
      <c r="I163" s="427"/>
      <c r="J163" s="427"/>
      <c r="K163" s="427"/>
      <c r="L163" s="427"/>
      <c r="M163" s="427"/>
      <c r="N163" s="427"/>
      <c r="O163" s="84"/>
      <c r="P163" s="84"/>
      <c r="Q163" s="427"/>
      <c r="R163" s="427"/>
      <c r="S163" s="427"/>
      <c r="T163" s="427"/>
      <c r="U163" s="427"/>
      <c r="V163" s="427"/>
      <c r="W163" s="427"/>
      <c r="X163" s="427"/>
      <c r="Y163" s="427"/>
      <c r="Z163" s="427"/>
      <c r="AA163" s="65"/>
      <c r="AB163" s="75" t="s">
        <v>301</v>
      </c>
      <c r="AD163" s="80" t="s">
        <v>242</v>
      </c>
      <c r="AE163" s="78"/>
      <c r="AF163" s="13"/>
      <c r="AG163" s="13"/>
    </row>
    <row r="164" spans="1:33" ht="18" customHeight="1" x14ac:dyDescent="0.2">
      <c r="A164" s="73" t="str">
        <f t="shared" si="53"/>
        <v/>
      </c>
      <c r="B164" s="74">
        <f>B163</f>
        <v>0</v>
      </c>
      <c r="D164" s="430"/>
      <c r="E164" s="430"/>
      <c r="F164" s="430"/>
      <c r="G164" s="430"/>
      <c r="H164" s="430"/>
      <c r="I164" s="430"/>
      <c r="J164" s="430"/>
      <c r="K164" s="430"/>
      <c r="L164" s="430"/>
      <c r="M164" s="430"/>
      <c r="N164" s="430"/>
      <c r="O164" s="84"/>
      <c r="P164" s="84"/>
      <c r="Q164" s="430"/>
      <c r="R164" s="430"/>
      <c r="S164" s="430"/>
      <c r="T164" s="430"/>
      <c r="U164" s="430"/>
      <c r="V164" s="430"/>
      <c r="W164" s="430"/>
      <c r="X164" s="430"/>
      <c r="Y164" s="430"/>
      <c r="Z164" s="430"/>
      <c r="AA164" s="65"/>
      <c r="AB164" s="75" t="s">
        <v>300</v>
      </c>
      <c r="AD164" s="80" t="s">
        <v>242</v>
      </c>
      <c r="AE164" s="78"/>
      <c r="AF164" s="74">
        <f>IF(OR(D162="Show",D162="",Q162="Show",Q162=""),1,0)</f>
        <v>0</v>
      </c>
      <c r="AG164" s="74">
        <f>IF(AND(SUM(AF:AF)&gt;0,OR(AND(D162="Show",D164=""),AND(Q162="Show",Q164=""))),1,0)</f>
        <v>0</v>
      </c>
    </row>
    <row r="165" spans="1:33" ht="8.5" customHeight="1" x14ac:dyDescent="0.15">
      <c r="A165" s="73" t="str">
        <f t="shared" si="53"/>
        <v/>
      </c>
      <c r="B165" s="74">
        <f>B164</f>
        <v>0</v>
      </c>
      <c r="D165" s="426"/>
      <c r="E165" s="426"/>
      <c r="F165" s="426"/>
      <c r="G165" s="426"/>
      <c r="H165" s="426"/>
      <c r="I165" s="426"/>
      <c r="J165" s="426"/>
      <c r="K165" s="426"/>
      <c r="L165" s="426"/>
      <c r="M165" s="426"/>
      <c r="N165" s="426"/>
      <c r="O165" s="426"/>
      <c r="P165" s="426"/>
      <c r="Q165" s="426"/>
      <c r="R165" s="426"/>
      <c r="S165" s="426"/>
      <c r="T165" s="426"/>
      <c r="U165" s="426"/>
      <c r="V165" s="426"/>
      <c r="W165" s="426"/>
      <c r="X165" s="426"/>
      <c r="Y165" s="426"/>
      <c r="Z165" s="426"/>
      <c r="AA165" s="65"/>
      <c r="AD165" s="82" t="s">
        <v>241</v>
      </c>
      <c r="AE165" s="52"/>
      <c r="AF165" s="13"/>
      <c r="AG165" s="13"/>
    </row>
    <row r="166" spans="1:33" ht="15.75" customHeight="1" x14ac:dyDescent="0.2">
      <c r="A166" s="73"/>
      <c r="B166" s="74">
        <v>0</v>
      </c>
      <c r="D166" s="443" t="s">
        <v>304</v>
      </c>
      <c r="E166" s="443"/>
      <c r="F166" s="443"/>
      <c r="G166" s="443"/>
      <c r="H166" s="443"/>
      <c r="I166" s="443"/>
      <c r="J166" s="443"/>
      <c r="K166" s="443"/>
      <c r="L166" s="443"/>
      <c r="M166" s="443"/>
      <c r="N166" s="443"/>
      <c r="O166" s="443"/>
      <c r="P166" s="443"/>
      <c r="Q166" s="443"/>
      <c r="R166" s="443"/>
      <c r="S166" s="443"/>
      <c r="T166" s="443"/>
      <c r="U166" s="443"/>
      <c r="V166" s="443"/>
      <c r="W166" s="443"/>
      <c r="X166" s="443"/>
      <c r="Y166" s="443"/>
      <c r="Z166" s="443"/>
      <c r="AB166" s="87" t="s">
        <v>314</v>
      </c>
      <c r="AD166" s="82" t="s">
        <v>288</v>
      </c>
      <c r="AE166" s="27"/>
      <c r="AF166" s="13"/>
      <c r="AG166" s="13"/>
    </row>
    <row r="167" spans="1:33" ht="15.75" customHeight="1" x14ac:dyDescent="0.2">
      <c r="A167" s="73"/>
      <c r="B167" s="74">
        <v>0</v>
      </c>
      <c r="D167" s="443" t="s">
        <v>305</v>
      </c>
      <c r="E167" s="443"/>
      <c r="F167" s="443"/>
      <c r="G167" s="443"/>
      <c r="H167" s="443"/>
      <c r="I167" s="443"/>
      <c r="J167" s="443"/>
      <c r="K167" s="443"/>
      <c r="L167" s="443"/>
      <c r="M167" s="443"/>
      <c r="N167" s="443"/>
      <c r="O167" s="443"/>
      <c r="P167" s="443"/>
      <c r="Q167" s="443"/>
      <c r="R167" s="443"/>
      <c r="S167" s="443"/>
      <c r="T167" s="443"/>
      <c r="U167" s="443"/>
      <c r="V167" s="443"/>
      <c r="W167" s="443"/>
      <c r="X167" s="443"/>
      <c r="Y167" s="443"/>
      <c r="Z167" s="443"/>
      <c r="AB167" s="87" t="s">
        <v>314</v>
      </c>
      <c r="AD167" s="82" t="s">
        <v>288</v>
      </c>
      <c r="AE167" s="27"/>
      <c r="AF167" s="13"/>
      <c r="AG167" s="13"/>
    </row>
    <row r="168" spans="1:33" ht="8.5" customHeight="1" x14ac:dyDescent="0.15">
      <c r="A168" s="73" t="str">
        <f>IF(AG168=1,"X","")</f>
        <v/>
      </c>
      <c r="B168" s="74">
        <f>IF(OR(D169="Show",Q169="Show"),1,0)</f>
        <v>0</v>
      </c>
      <c r="D168" s="426"/>
      <c r="E168" s="426"/>
      <c r="F168" s="426"/>
      <c r="G168" s="426"/>
      <c r="H168" s="426"/>
      <c r="I168" s="426"/>
      <c r="J168" s="426"/>
      <c r="K168" s="426"/>
      <c r="L168" s="426"/>
      <c r="M168" s="426"/>
      <c r="N168" s="426"/>
      <c r="O168" s="426"/>
      <c r="P168" s="426"/>
      <c r="Q168" s="426"/>
      <c r="R168" s="426"/>
      <c r="S168" s="426"/>
      <c r="T168" s="426"/>
      <c r="U168" s="426"/>
      <c r="V168" s="426"/>
      <c r="W168" s="426"/>
      <c r="X168" s="426"/>
      <c r="Y168" s="426"/>
      <c r="Z168" s="426"/>
      <c r="AD168" s="82" t="s">
        <v>241</v>
      </c>
      <c r="AE168" s="52"/>
      <c r="AF168" s="13"/>
      <c r="AG168" s="13"/>
    </row>
    <row r="169" spans="1:33" ht="18" customHeight="1" x14ac:dyDescent="0.2">
      <c r="A169" s="73" t="str">
        <f t="shared" ref="A169:A172" si="54">IF(AG169=1,"X","")</f>
        <v/>
      </c>
      <c r="B169" s="74">
        <v>0</v>
      </c>
      <c r="D169" s="427" t="s">
        <v>309</v>
      </c>
      <c r="E169" s="427"/>
      <c r="F169" s="427"/>
      <c r="G169" s="427"/>
      <c r="H169" s="427"/>
      <c r="I169" s="427"/>
      <c r="J169" s="427"/>
      <c r="K169" s="427"/>
      <c r="L169" s="427"/>
      <c r="M169" s="427"/>
      <c r="N169" s="427"/>
      <c r="O169" s="84"/>
      <c r="P169" s="84"/>
      <c r="Q169" s="427" t="s">
        <v>309</v>
      </c>
      <c r="R169" s="427"/>
      <c r="S169" s="427"/>
      <c r="T169" s="427"/>
      <c r="U169" s="427"/>
      <c r="V169" s="427"/>
      <c r="W169" s="427"/>
      <c r="X169" s="427"/>
      <c r="Y169" s="427"/>
      <c r="Z169" s="427"/>
      <c r="AA169" s="65"/>
      <c r="AB169" s="75" t="s">
        <v>302</v>
      </c>
      <c r="AD169" s="80" t="s">
        <v>242</v>
      </c>
      <c r="AE169" s="27"/>
      <c r="AF169" s="74">
        <f>IF(OR(D169="Show",D169="",Q169="Show",Q169=""),1,0)</f>
        <v>0</v>
      </c>
      <c r="AG169" s="74">
        <f>IF(AND(SUM(AF:AF)&gt;0,OR(D169="",Q169="")),1,0)</f>
        <v>0</v>
      </c>
    </row>
    <row r="170" spans="1:33" ht="197.25" customHeight="1" x14ac:dyDescent="0.2">
      <c r="A170" s="73" t="str">
        <f t="shared" si="54"/>
        <v/>
      </c>
      <c r="B170" s="74">
        <f>B168</f>
        <v>0</v>
      </c>
      <c r="D170" s="427"/>
      <c r="E170" s="427"/>
      <c r="F170" s="427"/>
      <c r="G170" s="427"/>
      <c r="H170" s="427"/>
      <c r="I170" s="427"/>
      <c r="J170" s="427"/>
      <c r="K170" s="427"/>
      <c r="L170" s="427"/>
      <c r="M170" s="427"/>
      <c r="N170" s="427"/>
      <c r="O170" s="84"/>
      <c r="P170" s="84"/>
      <c r="Q170" s="427"/>
      <c r="R170" s="427"/>
      <c r="S170" s="427"/>
      <c r="T170" s="427"/>
      <c r="U170" s="427"/>
      <c r="V170" s="427"/>
      <c r="W170" s="427"/>
      <c r="X170" s="427"/>
      <c r="Y170" s="427"/>
      <c r="Z170" s="427"/>
      <c r="AA170" s="65"/>
      <c r="AB170" s="75" t="s">
        <v>301</v>
      </c>
      <c r="AD170" s="80" t="s">
        <v>242</v>
      </c>
      <c r="AE170" s="78"/>
      <c r="AF170" s="13"/>
      <c r="AG170" s="13"/>
    </row>
    <row r="171" spans="1:33" ht="18" customHeight="1" x14ac:dyDescent="0.2">
      <c r="A171" s="73" t="str">
        <f t="shared" si="54"/>
        <v/>
      </c>
      <c r="B171" s="74">
        <f>B170</f>
        <v>0</v>
      </c>
      <c r="D171" s="430"/>
      <c r="E171" s="430"/>
      <c r="F171" s="430"/>
      <c r="G171" s="430"/>
      <c r="H171" s="430"/>
      <c r="I171" s="430"/>
      <c r="J171" s="430"/>
      <c r="K171" s="430"/>
      <c r="L171" s="430"/>
      <c r="M171" s="430"/>
      <c r="N171" s="430"/>
      <c r="O171" s="84"/>
      <c r="P171" s="84"/>
      <c r="Q171" s="430"/>
      <c r="R171" s="430"/>
      <c r="S171" s="430"/>
      <c r="T171" s="430"/>
      <c r="U171" s="430"/>
      <c r="V171" s="430"/>
      <c r="W171" s="430"/>
      <c r="X171" s="430"/>
      <c r="Y171" s="430"/>
      <c r="Z171" s="430"/>
      <c r="AA171" s="65"/>
      <c r="AB171" s="75" t="s">
        <v>300</v>
      </c>
      <c r="AD171" s="80" t="s">
        <v>242</v>
      </c>
      <c r="AE171" s="78"/>
      <c r="AF171" s="74">
        <f>IF(OR(D169="Show",D169="",Q169="Show",Q169=""),1,0)</f>
        <v>0</v>
      </c>
      <c r="AG171" s="74">
        <f>IF(AND(SUM(AF:AF)&gt;0,OR(AND(D169="Show",D171=""),AND(Q169="Show",Q171=""))),1,0)</f>
        <v>0</v>
      </c>
    </row>
    <row r="172" spans="1:33" ht="8.5" customHeight="1" x14ac:dyDescent="0.15">
      <c r="A172" s="73" t="str">
        <f t="shared" si="54"/>
        <v/>
      </c>
      <c r="B172" s="74">
        <f>B171</f>
        <v>0</v>
      </c>
      <c r="D172" s="426"/>
      <c r="E172" s="426"/>
      <c r="F172" s="426"/>
      <c r="G172" s="426"/>
      <c r="H172" s="426"/>
      <c r="I172" s="426"/>
      <c r="J172" s="426"/>
      <c r="K172" s="426"/>
      <c r="L172" s="426"/>
      <c r="M172" s="426"/>
      <c r="N172" s="426"/>
      <c r="O172" s="426"/>
      <c r="P172" s="426"/>
      <c r="Q172" s="426"/>
      <c r="R172" s="426"/>
      <c r="S172" s="426"/>
      <c r="T172" s="426"/>
      <c r="U172" s="426"/>
      <c r="V172" s="426"/>
      <c r="W172" s="426"/>
      <c r="X172" s="426"/>
      <c r="Y172" s="426"/>
      <c r="Z172" s="426"/>
      <c r="AA172" s="65"/>
      <c r="AD172" s="82" t="s">
        <v>241</v>
      </c>
      <c r="AE172" s="52"/>
      <c r="AF172" s="13"/>
      <c r="AG172" s="13"/>
    </row>
    <row r="173" spans="1:33" ht="15.75" customHeight="1" x14ac:dyDescent="0.2">
      <c r="A173" s="73"/>
      <c r="B173" s="74">
        <v>0</v>
      </c>
      <c r="D173" s="443" t="s">
        <v>307</v>
      </c>
      <c r="E173" s="443"/>
      <c r="F173" s="443"/>
      <c r="G173" s="443"/>
      <c r="H173" s="443"/>
      <c r="I173" s="443"/>
      <c r="J173" s="443"/>
      <c r="K173" s="443"/>
      <c r="L173" s="443"/>
      <c r="M173" s="443"/>
      <c r="N173" s="443"/>
      <c r="O173" s="443"/>
      <c r="P173" s="443"/>
      <c r="Q173" s="443"/>
      <c r="R173" s="443"/>
      <c r="S173" s="443"/>
      <c r="T173" s="443"/>
      <c r="U173" s="443"/>
      <c r="V173" s="443"/>
      <c r="W173" s="443"/>
      <c r="X173" s="443"/>
      <c r="Y173" s="443"/>
      <c r="Z173" s="443"/>
      <c r="AB173" s="87" t="s">
        <v>314</v>
      </c>
      <c r="AD173" s="82" t="s">
        <v>288</v>
      </c>
      <c r="AE173" s="27"/>
      <c r="AF173" s="13"/>
      <c r="AG173" s="13"/>
    </row>
    <row r="174" spans="1:33" ht="15.75" customHeight="1" x14ac:dyDescent="0.2">
      <c r="A174" s="73"/>
      <c r="B174" s="74">
        <v>0</v>
      </c>
      <c r="D174" s="443" t="s">
        <v>308</v>
      </c>
      <c r="E174" s="443"/>
      <c r="F174" s="443"/>
      <c r="G174" s="443"/>
      <c r="H174" s="443"/>
      <c r="I174" s="443"/>
      <c r="J174" s="443"/>
      <c r="K174" s="443"/>
      <c r="L174" s="443"/>
      <c r="M174" s="443"/>
      <c r="N174" s="443"/>
      <c r="O174" s="443"/>
      <c r="P174" s="443"/>
      <c r="Q174" s="443"/>
      <c r="R174" s="443"/>
      <c r="S174" s="443"/>
      <c r="T174" s="443"/>
      <c r="U174" s="443"/>
      <c r="V174" s="443"/>
      <c r="W174" s="443"/>
      <c r="X174" s="443"/>
      <c r="Y174" s="443"/>
      <c r="Z174" s="443"/>
      <c r="AB174" s="87" t="s">
        <v>314</v>
      </c>
      <c r="AD174" s="82" t="s">
        <v>288</v>
      </c>
      <c r="AE174" s="27"/>
      <c r="AF174" s="13"/>
      <c r="AG174" s="13"/>
    </row>
    <row r="175" spans="1:33" ht="8.5" customHeight="1" x14ac:dyDescent="0.15">
      <c r="A175" s="73" t="str">
        <f>IF(AG175=1,"X","")</f>
        <v/>
      </c>
      <c r="B175" s="74">
        <f>IF(OR(D176="Show",Q176="Show"),1,0)</f>
        <v>0</v>
      </c>
      <c r="D175" s="426"/>
      <c r="E175" s="426"/>
      <c r="F175" s="426"/>
      <c r="G175" s="426"/>
      <c r="H175" s="426"/>
      <c r="I175" s="426"/>
      <c r="J175" s="426"/>
      <c r="K175" s="426"/>
      <c r="L175" s="426"/>
      <c r="M175" s="426"/>
      <c r="N175" s="426"/>
      <c r="O175" s="426"/>
      <c r="P175" s="426"/>
      <c r="Q175" s="426"/>
      <c r="R175" s="426"/>
      <c r="S175" s="426"/>
      <c r="T175" s="426"/>
      <c r="U175" s="426"/>
      <c r="V175" s="426"/>
      <c r="W175" s="426"/>
      <c r="X175" s="426"/>
      <c r="Y175" s="426"/>
      <c r="Z175" s="426"/>
      <c r="AD175" s="82" t="s">
        <v>241</v>
      </c>
      <c r="AE175" s="52"/>
      <c r="AF175" s="13"/>
      <c r="AG175" s="13"/>
    </row>
    <row r="176" spans="1:33" ht="18" customHeight="1" x14ac:dyDescent="0.2">
      <c r="A176" s="73" t="str">
        <f t="shared" ref="A176:A179" si="55">IF(AG176=1,"X","")</f>
        <v/>
      </c>
      <c r="B176" s="74">
        <v>0</v>
      </c>
      <c r="D176" s="427" t="s">
        <v>309</v>
      </c>
      <c r="E176" s="427"/>
      <c r="F176" s="427"/>
      <c r="G176" s="427"/>
      <c r="H176" s="427"/>
      <c r="I176" s="427"/>
      <c r="J176" s="427"/>
      <c r="K176" s="427"/>
      <c r="L176" s="427"/>
      <c r="M176" s="427"/>
      <c r="N176" s="427"/>
      <c r="O176" s="84"/>
      <c r="P176" s="84"/>
      <c r="Q176" s="427" t="s">
        <v>309</v>
      </c>
      <c r="R176" s="427"/>
      <c r="S176" s="427"/>
      <c r="T176" s="427"/>
      <c r="U176" s="427"/>
      <c r="V176" s="427"/>
      <c r="W176" s="427"/>
      <c r="X176" s="427"/>
      <c r="Y176" s="427"/>
      <c r="Z176" s="427"/>
      <c r="AA176" s="65"/>
      <c r="AB176" s="75" t="s">
        <v>302</v>
      </c>
      <c r="AD176" s="80" t="s">
        <v>242</v>
      </c>
      <c r="AE176" s="27"/>
      <c r="AF176" s="74">
        <f>IF(OR(D176="Show",D176="",Q176="Show",Q176=""),1,0)</f>
        <v>0</v>
      </c>
      <c r="AG176" s="74">
        <f>IF(AND(SUM(AF:AF)&gt;0,OR(D176="",Q176="")),1,0)</f>
        <v>0</v>
      </c>
    </row>
    <row r="177" spans="1:33" ht="197.25" customHeight="1" x14ac:dyDescent="0.2">
      <c r="A177" s="73" t="str">
        <f t="shared" si="55"/>
        <v/>
      </c>
      <c r="B177" s="74">
        <f>B175</f>
        <v>0</v>
      </c>
      <c r="D177" s="427"/>
      <c r="E177" s="427"/>
      <c r="F177" s="427"/>
      <c r="G177" s="427"/>
      <c r="H177" s="427"/>
      <c r="I177" s="427"/>
      <c r="J177" s="427"/>
      <c r="K177" s="427"/>
      <c r="L177" s="427"/>
      <c r="M177" s="427"/>
      <c r="N177" s="427"/>
      <c r="O177" s="84"/>
      <c r="P177" s="84"/>
      <c r="Q177" s="427"/>
      <c r="R177" s="427"/>
      <c r="S177" s="427"/>
      <c r="T177" s="427"/>
      <c r="U177" s="427"/>
      <c r="V177" s="427"/>
      <c r="W177" s="427"/>
      <c r="X177" s="427"/>
      <c r="Y177" s="427"/>
      <c r="Z177" s="427"/>
      <c r="AA177" s="65"/>
      <c r="AB177" s="75" t="s">
        <v>301</v>
      </c>
      <c r="AD177" s="80" t="s">
        <v>242</v>
      </c>
      <c r="AE177" s="78"/>
      <c r="AF177" s="13"/>
      <c r="AG177" s="13"/>
    </row>
    <row r="178" spans="1:33" ht="18" customHeight="1" x14ac:dyDescent="0.2">
      <c r="A178" s="73" t="str">
        <f t="shared" si="55"/>
        <v/>
      </c>
      <c r="B178" s="74">
        <f>B177</f>
        <v>0</v>
      </c>
      <c r="D178" s="430"/>
      <c r="E178" s="430"/>
      <c r="F178" s="430"/>
      <c r="G178" s="430"/>
      <c r="H178" s="430"/>
      <c r="I178" s="430"/>
      <c r="J178" s="430"/>
      <c r="K178" s="430"/>
      <c r="L178" s="430"/>
      <c r="M178" s="430"/>
      <c r="N178" s="430"/>
      <c r="O178" s="84"/>
      <c r="P178" s="84"/>
      <c r="Q178" s="430"/>
      <c r="R178" s="430"/>
      <c r="S178" s="430"/>
      <c r="T178" s="430"/>
      <c r="U178" s="430"/>
      <c r="V178" s="430"/>
      <c r="W178" s="430"/>
      <c r="X178" s="430"/>
      <c r="Y178" s="430"/>
      <c r="Z178" s="430"/>
      <c r="AA178" s="65"/>
      <c r="AB178" s="75" t="s">
        <v>300</v>
      </c>
      <c r="AD178" s="80" t="s">
        <v>242</v>
      </c>
      <c r="AE178" s="78"/>
      <c r="AF178" s="74">
        <f>IF(OR(D176="Show",D176="",Q176="Show",Q176=""),1,0)</f>
        <v>0</v>
      </c>
      <c r="AG178" s="74">
        <f>IF(AND(SUM(AF:AF)&gt;0,OR(AND(D176="Show",D178=""),AND(Q176="Show",Q178=""))),1,0)</f>
        <v>0</v>
      </c>
    </row>
    <row r="179" spans="1:33" ht="8.5" customHeight="1" x14ac:dyDescent="0.15">
      <c r="A179" s="73" t="str">
        <f t="shared" si="55"/>
        <v/>
      </c>
      <c r="B179" s="74">
        <f>B178</f>
        <v>0</v>
      </c>
      <c r="D179" s="426"/>
      <c r="E179" s="426"/>
      <c r="F179" s="426"/>
      <c r="G179" s="426"/>
      <c r="H179" s="426"/>
      <c r="I179" s="426"/>
      <c r="J179" s="426"/>
      <c r="K179" s="426"/>
      <c r="L179" s="426"/>
      <c r="M179" s="426"/>
      <c r="N179" s="426"/>
      <c r="O179" s="426"/>
      <c r="P179" s="426"/>
      <c r="Q179" s="426"/>
      <c r="R179" s="426"/>
      <c r="S179" s="426"/>
      <c r="T179" s="426"/>
      <c r="U179" s="426"/>
      <c r="V179" s="426"/>
      <c r="W179" s="426"/>
      <c r="X179" s="426"/>
      <c r="Y179" s="426"/>
      <c r="Z179" s="426"/>
      <c r="AA179" s="65"/>
      <c r="AD179" s="82" t="s">
        <v>241</v>
      </c>
      <c r="AE179" s="52"/>
      <c r="AF179" s="13"/>
      <c r="AG179" s="13"/>
    </row>
    <row r="180" spans="1:33" ht="15.75" customHeight="1" x14ac:dyDescent="0.2">
      <c r="A180" s="73"/>
      <c r="B180" s="74">
        <v>0</v>
      </c>
      <c r="D180" s="443" t="s">
        <v>306</v>
      </c>
      <c r="E180" s="443"/>
      <c r="F180" s="443"/>
      <c r="G180" s="443"/>
      <c r="H180" s="443"/>
      <c r="I180" s="443"/>
      <c r="J180" s="443"/>
      <c r="K180" s="443"/>
      <c r="L180" s="443"/>
      <c r="M180" s="443"/>
      <c r="N180" s="443"/>
      <c r="O180" s="443"/>
      <c r="P180" s="443"/>
      <c r="Q180" s="443"/>
      <c r="R180" s="443"/>
      <c r="S180" s="443"/>
      <c r="T180" s="443"/>
      <c r="U180" s="443"/>
      <c r="V180" s="443"/>
      <c r="W180" s="443"/>
      <c r="X180" s="443"/>
      <c r="Y180" s="443"/>
      <c r="Z180" s="443"/>
      <c r="AB180" s="87" t="s">
        <v>314</v>
      </c>
      <c r="AD180" s="82" t="s">
        <v>288</v>
      </c>
      <c r="AE180" s="27"/>
      <c r="AF180" s="13"/>
      <c r="AG180" s="13"/>
    </row>
    <row r="181" spans="1:33" s="64" customFormat="1" ht="21" customHeight="1" x14ac:dyDescent="0.15">
      <c r="A181" s="73" t="str">
        <f t="shared" ref="A181:A415" si="56">IF(AG181=1,"X","")</f>
        <v/>
      </c>
      <c r="B181" s="74">
        <v>1</v>
      </c>
      <c r="C181" s="66"/>
      <c r="D181" s="440" t="s">
        <v>185</v>
      </c>
      <c r="E181" s="440"/>
      <c r="F181" s="440"/>
      <c r="G181" s="440"/>
      <c r="H181" s="440"/>
      <c r="I181" s="440"/>
      <c r="J181" s="440"/>
      <c r="K181" s="440"/>
      <c r="L181" s="440"/>
      <c r="M181" s="440"/>
      <c r="N181" s="440"/>
      <c r="O181" s="440"/>
      <c r="P181" s="440"/>
      <c r="Q181" s="440"/>
      <c r="R181" s="440"/>
      <c r="S181" s="440"/>
      <c r="T181" s="440"/>
      <c r="U181" s="440"/>
      <c r="V181" s="440"/>
      <c r="W181" s="440"/>
      <c r="X181" s="440"/>
      <c r="Y181" s="440"/>
      <c r="Z181" s="440"/>
      <c r="AB181" s="87" t="s">
        <v>310</v>
      </c>
      <c r="AC181" s="56"/>
      <c r="AD181" s="82" t="s">
        <v>241</v>
      </c>
      <c r="AE181" s="78"/>
      <c r="AF181" s="13"/>
      <c r="AG181" s="13"/>
    </row>
    <row r="182" spans="1:33" s="64" customFormat="1" ht="46.5" customHeight="1" x14ac:dyDescent="0.2">
      <c r="A182" s="73" t="str">
        <f t="shared" si="56"/>
        <v/>
      </c>
      <c r="B182" s="74">
        <v>1</v>
      </c>
      <c r="C182" s="66"/>
      <c r="D182" s="429" t="s">
        <v>190</v>
      </c>
      <c r="E182" s="429"/>
      <c r="F182" s="429"/>
      <c r="G182" s="429"/>
      <c r="H182" s="429"/>
      <c r="I182" s="429"/>
      <c r="J182" s="429"/>
      <c r="K182" s="429"/>
      <c r="L182" s="429"/>
      <c r="M182" s="429"/>
      <c r="N182" s="429"/>
      <c r="O182" s="429"/>
      <c r="P182" s="429"/>
      <c r="Q182" s="429"/>
      <c r="R182" s="429"/>
      <c r="S182" s="429"/>
      <c r="T182" s="429"/>
      <c r="U182" s="429"/>
      <c r="V182" s="429"/>
      <c r="W182" s="429"/>
      <c r="X182" s="429"/>
      <c r="Y182" s="429"/>
      <c r="Z182" s="429"/>
      <c r="AB182" s="75" t="s">
        <v>246</v>
      </c>
      <c r="AD182" s="80" t="s">
        <v>242</v>
      </c>
      <c r="AE182" s="78"/>
      <c r="AF182" s="74">
        <f t="shared" ref="AF182" si="57">IF(B182&lt;&gt;"",1,0)</f>
        <v>1</v>
      </c>
      <c r="AG182" s="74">
        <f>IF(AND(SUM(AF:AF)&gt;0,B182=""),1,0)</f>
        <v>0</v>
      </c>
    </row>
    <row r="183" spans="1:33" ht="18" customHeight="1" x14ac:dyDescent="0.2">
      <c r="A183" s="73" t="str">
        <f t="shared" si="56"/>
        <v>X</v>
      </c>
      <c r="B183" s="81"/>
      <c r="D183" s="463" t="s">
        <v>362</v>
      </c>
      <c r="E183" s="463"/>
      <c r="F183" s="463"/>
      <c r="G183" s="463"/>
      <c r="H183" s="463"/>
      <c r="I183" s="463"/>
      <c r="J183" s="463"/>
      <c r="K183" s="463"/>
      <c r="L183" s="463"/>
      <c r="M183" s="463"/>
      <c r="N183" s="463"/>
      <c r="O183" s="463"/>
      <c r="P183" s="463"/>
      <c r="Q183" s="463"/>
      <c r="R183" s="463"/>
      <c r="S183" s="463"/>
      <c r="T183" s="463"/>
      <c r="U183" s="463"/>
      <c r="V183" s="463"/>
      <c r="W183" s="463"/>
      <c r="X183" s="463"/>
      <c r="Y183" s="463"/>
      <c r="Z183" s="463"/>
      <c r="AA183" s="60"/>
      <c r="AB183" s="75" t="s">
        <v>246</v>
      </c>
      <c r="AD183" s="80" t="s">
        <v>242</v>
      </c>
      <c r="AE183" s="78"/>
      <c r="AF183" s="74">
        <f>IF(B183&lt;&gt;"",1,0)</f>
        <v>0</v>
      </c>
      <c r="AG183" s="74">
        <f>IF(AND(SUM(AF:AF)&gt;0,B183=""),1,0)</f>
        <v>1</v>
      </c>
    </row>
    <row r="184" spans="1:33" s="58" customFormat="1" ht="18" customHeight="1" x14ac:dyDescent="0.2">
      <c r="A184" s="73" t="str">
        <f>IF(AG184=1,"X","")</f>
        <v>X</v>
      </c>
      <c r="B184" s="81"/>
      <c r="C184" s="57"/>
      <c r="D184" s="99" t="s">
        <v>245</v>
      </c>
      <c r="E184" s="428"/>
      <c r="F184" s="428"/>
      <c r="G184" s="428"/>
      <c r="H184" s="428"/>
      <c r="I184" s="428"/>
      <c r="J184" s="428"/>
      <c r="K184" s="428"/>
      <c r="L184" s="428"/>
      <c r="M184" s="428"/>
      <c r="N184" s="428"/>
      <c r="O184" s="428"/>
      <c r="P184" s="428"/>
      <c r="Q184" s="428"/>
      <c r="R184" s="428"/>
      <c r="S184" s="428"/>
      <c r="T184" s="428"/>
      <c r="U184" s="428"/>
      <c r="V184" s="428"/>
      <c r="W184" s="428"/>
      <c r="X184" s="428"/>
      <c r="Y184" s="428"/>
      <c r="Z184" s="428"/>
      <c r="AA184" s="61"/>
      <c r="AB184" s="75" t="s">
        <v>316</v>
      </c>
      <c r="AD184" s="80" t="s">
        <v>242</v>
      </c>
      <c r="AE184" s="78"/>
      <c r="AF184" s="74">
        <f t="shared" ref="AF184" si="58">IF(B184&lt;&gt;"",1,0)</f>
        <v>0</v>
      </c>
      <c r="AG184" s="74">
        <f>IF(AND(SUM(AF:AF)&gt;0,OR(AND(B183=1,SUM(B184:B186)=0),AND(B184=1,E184=""),AND(B184="",E184=""),AND(B184="",E184&lt;&gt;""),AND(B184=0,E184&lt;&gt;""))),1,0)</f>
        <v>1</v>
      </c>
    </row>
    <row r="185" spans="1:33" s="58" customFormat="1" ht="18" customHeight="1" x14ac:dyDescent="0.2">
      <c r="A185" s="73" t="str">
        <f t="shared" ref="A185:A187" si="59">IF(AG185=1,"X","")</f>
        <v>X</v>
      </c>
      <c r="B185" s="81"/>
      <c r="C185" s="57"/>
      <c r="D185" s="99" t="s">
        <v>245</v>
      </c>
      <c r="E185" s="428"/>
      <c r="F185" s="428"/>
      <c r="G185" s="428"/>
      <c r="H185" s="428"/>
      <c r="I185" s="428"/>
      <c r="J185" s="428"/>
      <c r="K185" s="428"/>
      <c r="L185" s="428"/>
      <c r="M185" s="428"/>
      <c r="N185" s="428"/>
      <c r="O185" s="428"/>
      <c r="P185" s="428"/>
      <c r="Q185" s="428"/>
      <c r="R185" s="428"/>
      <c r="S185" s="428"/>
      <c r="T185" s="428"/>
      <c r="U185" s="428"/>
      <c r="V185" s="428"/>
      <c r="W185" s="428"/>
      <c r="X185" s="428"/>
      <c r="Y185" s="428"/>
      <c r="Z185" s="428"/>
      <c r="AA185" s="61"/>
      <c r="AB185" s="75" t="s">
        <v>316</v>
      </c>
      <c r="AD185" s="80" t="s">
        <v>242</v>
      </c>
      <c r="AE185" s="78"/>
      <c r="AF185" s="74">
        <f t="shared" ref="AF185:AF186" si="60">IF(B185&lt;&gt;"",1,0)</f>
        <v>0</v>
      </c>
      <c r="AG185" s="74">
        <f>IF(AND(SUM(AF:AF)&gt;0,OR(AND(B183=1,SUM(B184:B186)=0),AND(B185=1,E185=""),AND(B185="",E185=""),AND(B185="",E185&lt;&gt;""),AND(B185=0,E185&lt;&gt;""))),1,0)</f>
        <v>1</v>
      </c>
    </row>
    <row r="186" spans="1:33" s="58" customFormat="1" ht="18" customHeight="1" x14ac:dyDescent="0.2">
      <c r="A186" s="73" t="str">
        <f t="shared" si="59"/>
        <v>X</v>
      </c>
      <c r="B186" s="81"/>
      <c r="C186" s="57"/>
      <c r="D186" s="99" t="s">
        <v>245</v>
      </c>
      <c r="E186" s="428"/>
      <c r="F186" s="428"/>
      <c r="G186" s="428"/>
      <c r="H186" s="428"/>
      <c r="I186" s="428"/>
      <c r="J186" s="428"/>
      <c r="K186" s="428"/>
      <c r="L186" s="428"/>
      <c r="M186" s="428"/>
      <c r="N186" s="428"/>
      <c r="O186" s="428"/>
      <c r="P186" s="428"/>
      <c r="Q186" s="428"/>
      <c r="R186" s="428"/>
      <c r="S186" s="428"/>
      <c r="T186" s="428"/>
      <c r="U186" s="428"/>
      <c r="V186" s="428"/>
      <c r="W186" s="428"/>
      <c r="X186" s="428"/>
      <c r="Y186" s="428"/>
      <c r="Z186" s="428"/>
      <c r="AA186" s="61"/>
      <c r="AB186" s="75" t="s">
        <v>316</v>
      </c>
      <c r="AD186" s="80" t="s">
        <v>242</v>
      </c>
      <c r="AE186" s="78"/>
      <c r="AF186" s="74">
        <f t="shared" si="60"/>
        <v>0</v>
      </c>
      <c r="AG186" s="74">
        <f>IF(AND(SUM(AF:AF)&gt;0,OR(AND(B183=1,SUM(B184:B186)=0),AND(B186=1,E186=""),AND(B186="",E186=""),AND(B186="",E186&lt;&gt;""),AND(B186=0,E186&lt;&gt;""))),1,0)</f>
        <v>1</v>
      </c>
    </row>
    <row r="187" spans="1:33" ht="18" customHeight="1" x14ac:dyDescent="0.2">
      <c r="A187" s="73" t="str">
        <f t="shared" si="59"/>
        <v>X</v>
      </c>
      <c r="B187" s="81"/>
      <c r="D187" s="465" t="s">
        <v>370</v>
      </c>
      <c r="E187" s="465"/>
      <c r="F187" s="465"/>
      <c r="G187" s="465"/>
      <c r="H187" s="465"/>
      <c r="I187" s="466"/>
      <c r="J187" s="466"/>
      <c r="K187" s="466"/>
      <c r="L187" s="466"/>
      <c r="M187" s="466"/>
      <c r="N187" s="464" t="s">
        <v>371</v>
      </c>
      <c r="O187" s="464"/>
      <c r="P187" s="464"/>
      <c r="Q187" s="464"/>
      <c r="R187" s="464"/>
      <c r="S187" s="464"/>
      <c r="T187" s="464"/>
      <c r="U187" s="464"/>
      <c r="V187" s="464"/>
      <c r="W187" s="464"/>
      <c r="X187" s="464"/>
      <c r="Y187" s="464"/>
      <c r="Z187" s="464"/>
      <c r="AA187" s="60"/>
      <c r="AB187" s="75" t="s">
        <v>285</v>
      </c>
      <c r="AD187" s="80" t="s">
        <v>242</v>
      </c>
      <c r="AE187" s="78"/>
      <c r="AF187" s="74">
        <f>IF(OR(B187&lt;&gt;"",P187&lt;&gt;""),1,0)</f>
        <v>0</v>
      </c>
      <c r="AG187" s="74">
        <f>IF(AND(SUM(AF:AF)&gt;0,OR(AND(B187=1,I187=""),AND(B187="",I187=""),AND(B187="",I187&lt;&gt;""),AND(B187=0,I187&lt;&gt;""))),1,0)</f>
        <v>1</v>
      </c>
    </row>
    <row r="188" spans="1:33" ht="18" customHeight="1" x14ac:dyDescent="0.2">
      <c r="A188" s="73" t="str">
        <f t="shared" ref="A188" si="61">IF(AG188=1,"X","")</f>
        <v>X</v>
      </c>
      <c r="B188" s="81"/>
      <c r="D188" s="463" t="s">
        <v>369</v>
      </c>
      <c r="E188" s="463"/>
      <c r="F188" s="463"/>
      <c r="G188" s="463"/>
      <c r="H188" s="463"/>
      <c r="I188" s="463"/>
      <c r="J188" s="463"/>
      <c r="K188" s="463"/>
      <c r="L188" s="463"/>
      <c r="M188" s="463"/>
      <c r="N188" s="463"/>
      <c r="O188" s="463"/>
      <c r="P188" s="463"/>
      <c r="Q188" s="463"/>
      <c r="R188" s="463"/>
      <c r="S188" s="463"/>
      <c r="T188" s="463"/>
      <c r="U188" s="463"/>
      <c r="V188" s="463"/>
      <c r="W188" s="463"/>
      <c r="X188" s="463"/>
      <c r="Y188" s="463"/>
      <c r="Z188" s="463"/>
      <c r="AA188" s="60"/>
      <c r="AB188" s="75" t="s">
        <v>246</v>
      </c>
      <c r="AD188" s="80" t="s">
        <v>242</v>
      </c>
      <c r="AE188" s="78"/>
      <c r="AF188" s="74">
        <f>IF(B188&lt;&gt;"",1,0)</f>
        <v>0</v>
      </c>
      <c r="AG188" s="74">
        <f t="shared" ref="AG188:AG193" si="62">IF(AND(SUM(AF:AF)&gt;0,B188=""),1,0)</f>
        <v>1</v>
      </c>
    </row>
    <row r="189" spans="1:33" ht="31" customHeight="1" x14ac:dyDescent="0.15">
      <c r="A189" s="73" t="str">
        <f>IF(AG189=1,"X","")</f>
        <v>X</v>
      </c>
      <c r="B189" s="81"/>
      <c r="D189" s="435" t="s">
        <v>191</v>
      </c>
      <c r="E189" s="435"/>
      <c r="F189" s="435"/>
      <c r="G189" s="435"/>
      <c r="H189" s="435"/>
      <c r="I189" s="435"/>
      <c r="J189" s="435"/>
      <c r="K189" s="435"/>
      <c r="L189" s="435"/>
      <c r="M189" s="435"/>
      <c r="N189" s="435"/>
      <c r="O189" s="435"/>
      <c r="P189" s="435"/>
      <c r="Q189" s="435"/>
      <c r="R189" s="435"/>
      <c r="S189" s="435"/>
      <c r="T189" s="435"/>
      <c r="U189" s="435"/>
      <c r="V189" s="435"/>
      <c r="W189" s="435"/>
      <c r="X189" s="435"/>
      <c r="Y189" s="435"/>
      <c r="Z189" s="435"/>
      <c r="AB189" s="75" t="s">
        <v>246</v>
      </c>
      <c r="AD189" s="80" t="s">
        <v>242</v>
      </c>
      <c r="AE189" s="78"/>
      <c r="AF189" s="74">
        <f t="shared" ref="AF189" si="63">IF(B189&lt;&gt;"",1,0)</f>
        <v>0</v>
      </c>
      <c r="AG189" s="74">
        <f t="shared" si="62"/>
        <v>1</v>
      </c>
    </row>
    <row r="190" spans="1:33" ht="18" customHeight="1" x14ac:dyDescent="0.2">
      <c r="A190" s="73" t="str">
        <f t="shared" si="56"/>
        <v>X</v>
      </c>
      <c r="B190" s="81"/>
      <c r="D190" s="432" t="s">
        <v>256</v>
      </c>
      <c r="E190" s="432"/>
      <c r="F190" s="432"/>
      <c r="G190" s="432"/>
      <c r="H190" s="432"/>
      <c r="I190" s="432"/>
      <c r="J190" s="432"/>
      <c r="K190" s="432"/>
      <c r="L190" s="432"/>
      <c r="M190" s="432"/>
      <c r="N190" s="432"/>
      <c r="O190" s="432"/>
      <c r="P190" s="432"/>
      <c r="Q190" s="432"/>
      <c r="R190" s="432"/>
      <c r="S190" s="432"/>
      <c r="T190" s="432"/>
      <c r="U190" s="432"/>
      <c r="V190" s="432"/>
      <c r="W190" s="432"/>
      <c r="X190" s="432"/>
      <c r="Y190" s="432"/>
      <c r="Z190" s="432"/>
      <c r="AB190" s="75" t="s">
        <v>246</v>
      </c>
      <c r="AD190" s="80" t="s">
        <v>242</v>
      </c>
      <c r="AE190" s="78"/>
      <c r="AF190" s="74">
        <f>IF(B190&lt;&gt;"",1,0)</f>
        <v>0</v>
      </c>
      <c r="AG190" s="74">
        <f t="shared" si="62"/>
        <v>1</v>
      </c>
    </row>
    <row r="191" spans="1:33" ht="18" customHeight="1" x14ac:dyDescent="0.2">
      <c r="A191" s="73" t="str">
        <f t="shared" si="56"/>
        <v>X</v>
      </c>
      <c r="B191" s="81"/>
      <c r="D191" s="432" t="s">
        <v>257</v>
      </c>
      <c r="E191" s="432"/>
      <c r="F191" s="432"/>
      <c r="G191" s="432"/>
      <c r="H191" s="432"/>
      <c r="I191" s="432"/>
      <c r="J191" s="432"/>
      <c r="K191" s="432"/>
      <c r="L191" s="432"/>
      <c r="M191" s="432"/>
      <c r="N191" s="432"/>
      <c r="O191" s="432"/>
      <c r="P191" s="432"/>
      <c r="Q191" s="432"/>
      <c r="R191" s="432"/>
      <c r="S191" s="432"/>
      <c r="T191" s="432"/>
      <c r="U191" s="432"/>
      <c r="V191" s="432"/>
      <c r="W191" s="432"/>
      <c r="X191" s="432"/>
      <c r="Y191" s="432"/>
      <c r="Z191" s="432"/>
      <c r="AB191" s="75" t="s">
        <v>246</v>
      </c>
      <c r="AD191" s="80" t="s">
        <v>242</v>
      </c>
      <c r="AE191" s="78"/>
      <c r="AF191" s="74">
        <f t="shared" ref="AF191:AF193" si="64">IF(B191&lt;&gt;"",1,0)</f>
        <v>0</v>
      </c>
      <c r="AG191" s="74">
        <f t="shared" si="62"/>
        <v>1</v>
      </c>
    </row>
    <row r="192" spans="1:33" ht="30" customHeight="1" x14ac:dyDescent="0.2">
      <c r="A192" s="73" t="str">
        <f t="shared" si="56"/>
        <v>X</v>
      </c>
      <c r="B192" s="81"/>
      <c r="D192" s="424" t="s">
        <v>192</v>
      </c>
      <c r="E192" s="424"/>
      <c r="F192" s="424"/>
      <c r="G192" s="424"/>
      <c r="H192" s="424"/>
      <c r="I192" s="424"/>
      <c r="J192" s="424"/>
      <c r="K192" s="424"/>
      <c r="L192" s="424"/>
      <c r="M192" s="424"/>
      <c r="N192" s="424"/>
      <c r="O192" s="424"/>
      <c r="P192" s="424"/>
      <c r="Q192" s="424"/>
      <c r="R192" s="424"/>
      <c r="S192" s="424"/>
      <c r="T192" s="424"/>
      <c r="U192" s="424"/>
      <c r="V192" s="424"/>
      <c r="W192" s="424"/>
      <c r="X192" s="424"/>
      <c r="Y192" s="424"/>
      <c r="Z192" s="424"/>
      <c r="AB192" s="75" t="s">
        <v>246</v>
      </c>
      <c r="AD192" s="80" t="s">
        <v>242</v>
      </c>
      <c r="AE192" s="78"/>
      <c r="AF192" s="74">
        <f t="shared" si="64"/>
        <v>0</v>
      </c>
      <c r="AG192" s="74">
        <f t="shared" si="62"/>
        <v>1</v>
      </c>
    </row>
    <row r="193" spans="1:33" ht="18" customHeight="1" x14ac:dyDescent="0.2">
      <c r="A193" s="73" t="str">
        <f t="shared" si="56"/>
        <v>X</v>
      </c>
      <c r="B193" s="81"/>
      <c r="D193" s="432" t="s">
        <v>193</v>
      </c>
      <c r="E193" s="432"/>
      <c r="F193" s="432"/>
      <c r="G193" s="432"/>
      <c r="H193" s="432"/>
      <c r="I193" s="432"/>
      <c r="J193" s="432"/>
      <c r="K193" s="432"/>
      <c r="L193" s="432"/>
      <c r="M193" s="432"/>
      <c r="N193" s="432"/>
      <c r="O193" s="432"/>
      <c r="P193" s="432"/>
      <c r="Q193" s="432"/>
      <c r="R193" s="432"/>
      <c r="S193" s="432"/>
      <c r="T193" s="432"/>
      <c r="U193" s="432"/>
      <c r="V193" s="432"/>
      <c r="W193" s="432"/>
      <c r="X193" s="432"/>
      <c r="Y193" s="432"/>
      <c r="Z193" s="432"/>
      <c r="AB193" s="75" t="s">
        <v>246</v>
      </c>
      <c r="AD193" s="80" t="s">
        <v>242</v>
      </c>
      <c r="AE193" s="78"/>
      <c r="AF193" s="74">
        <f t="shared" si="64"/>
        <v>0</v>
      </c>
      <c r="AG193" s="74">
        <f t="shared" si="62"/>
        <v>1</v>
      </c>
    </row>
    <row r="194" spans="1:33" ht="21" customHeight="1" x14ac:dyDescent="0.2">
      <c r="A194" s="73" t="str">
        <f t="shared" si="56"/>
        <v/>
      </c>
      <c r="B194" s="74">
        <v>0</v>
      </c>
      <c r="D194" s="446" t="s">
        <v>299</v>
      </c>
      <c r="E194" s="446"/>
      <c r="F194" s="446"/>
      <c r="G194" s="446"/>
      <c r="H194" s="446"/>
      <c r="I194" s="446"/>
      <c r="J194" s="446"/>
      <c r="K194" s="446"/>
      <c r="L194" s="446"/>
      <c r="M194" s="446"/>
      <c r="N194" s="446"/>
      <c r="O194" s="446"/>
      <c r="P194" s="446"/>
      <c r="Q194" s="446"/>
      <c r="R194" s="446"/>
      <c r="S194" s="446"/>
      <c r="T194" s="446"/>
      <c r="U194" s="446"/>
      <c r="V194" s="446"/>
      <c r="W194" s="446"/>
      <c r="X194" s="446"/>
      <c r="Y194" s="446"/>
      <c r="Z194" s="446"/>
      <c r="AB194" s="87" t="s">
        <v>314</v>
      </c>
      <c r="AD194" s="82" t="s">
        <v>288</v>
      </c>
      <c r="AE194" s="27"/>
      <c r="AF194" s="13"/>
      <c r="AG194" s="13"/>
    </row>
    <row r="195" spans="1:33" ht="15.75" customHeight="1" x14ac:dyDescent="0.2">
      <c r="A195" s="73"/>
      <c r="B195" s="74">
        <v>0</v>
      </c>
      <c r="D195" s="443" t="s">
        <v>303</v>
      </c>
      <c r="E195" s="443"/>
      <c r="F195" s="443"/>
      <c r="G195" s="443"/>
      <c r="H195" s="443"/>
      <c r="I195" s="443"/>
      <c r="J195" s="443"/>
      <c r="K195" s="443"/>
      <c r="L195" s="443"/>
      <c r="M195" s="443"/>
      <c r="N195" s="443"/>
      <c r="O195" s="443"/>
      <c r="P195" s="443"/>
      <c r="Q195" s="443"/>
      <c r="R195" s="443"/>
      <c r="S195" s="443"/>
      <c r="T195" s="443"/>
      <c r="U195" s="443"/>
      <c r="V195" s="443"/>
      <c r="W195" s="443"/>
      <c r="X195" s="443"/>
      <c r="Y195" s="443"/>
      <c r="Z195" s="443"/>
      <c r="AB195" s="87" t="s">
        <v>314</v>
      </c>
      <c r="AD195" s="82" t="s">
        <v>288</v>
      </c>
      <c r="AE195" s="27"/>
      <c r="AF195" s="13"/>
      <c r="AG195" s="13"/>
    </row>
    <row r="196" spans="1:33" ht="8.5" customHeight="1" x14ac:dyDescent="0.15">
      <c r="A196" s="73" t="str">
        <f>IF(AG196=1,"X","")</f>
        <v/>
      </c>
      <c r="B196" s="74">
        <f>IF(OR(D197="Show",Q197="Show"),1,0)</f>
        <v>0</v>
      </c>
      <c r="D196" s="426"/>
      <c r="E196" s="426"/>
      <c r="F196" s="426"/>
      <c r="G196" s="426"/>
      <c r="H196" s="426"/>
      <c r="I196" s="426"/>
      <c r="J196" s="426"/>
      <c r="K196" s="426"/>
      <c r="L196" s="426"/>
      <c r="M196" s="426"/>
      <c r="N196" s="426"/>
      <c r="O196" s="426"/>
      <c r="P196" s="426"/>
      <c r="Q196" s="426"/>
      <c r="R196" s="426"/>
      <c r="S196" s="426"/>
      <c r="T196" s="426"/>
      <c r="U196" s="426"/>
      <c r="V196" s="426"/>
      <c r="W196" s="426"/>
      <c r="X196" s="426"/>
      <c r="Y196" s="426"/>
      <c r="Z196" s="426"/>
      <c r="AD196" s="82" t="s">
        <v>241</v>
      </c>
      <c r="AE196" s="52"/>
      <c r="AF196" s="13"/>
      <c r="AG196" s="13"/>
    </row>
    <row r="197" spans="1:33" ht="18" customHeight="1" x14ac:dyDescent="0.2">
      <c r="A197" s="73" t="str">
        <f t="shared" ref="A197:A200" si="65">IF(AG197=1,"X","")</f>
        <v/>
      </c>
      <c r="B197" s="74">
        <v>0</v>
      </c>
      <c r="D197" s="427" t="s">
        <v>309</v>
      </c>
      <c r="E197" s="427"/>
      <c r="F197" s="427"/>
      <c r="G197" s="427"/>
      <c r="H197" s="427"/>
      <c r="I197" s="427"/>
      <c r="J197" s="427"/>
      <c r="K197" s="427"/>
      <c r="L197" s="427"/>
      <c r="M197" s="427"/>
      <c r="N197" s="427"/>
      <c r="O197" s="84"/>
      <c r="P197" s="84"/>
      <c r="Q197" s="427" t="s">
        <v>309</v>
      </c>
      <c r="R197" s="427"/>
      <c r="S197" s="427"/>
      <c r="T197" s="427"/>
      <c r="U197" s="427"/>
      <c r="V197" s="427"/>
      <c r="W197" s="427"/>
      <c r="X197" s="427"/>
      <c r="Y197" s="427"/>
      <c r="Z197" s="427"/>
      <c r="AA197" s="65"/>
      <c r="AB197" s="75" t="s">
        <v>302</v>
      </c>
      <c r="AD197" s="80" t="s">
        <v>242</v>
      </c>
      <c r="AE197" s="27"/>
      <c r="AF197" s="74">
        <f>IF(OR(D197="Show",D197="",Q197="Show",Q197=""),1,0)</f>
        <v>0</v>
      </c>
      <c r="AG197" s="74">
        <f>IF(AND(SUM(AF:AF)&gt;0,OR(D197="",Q197="")),1,0)</f>
        <v>0</v>
      </c>
    </row>
    <row r="198" spans="1:33" ht="197.25" customHeight="1" x14ac:dyDescent="0.2">
      <c r="A198" s="73" t="str">
        <f t="shared" si="65"/>
        <v/>
      </c>
      <c r="B198" s="74">
        <f>B196</f>
        <v>0</v>
      </c>
      <c r="D198" s="427"/>
      <c r="E198" s="427"/>
      <c r="F198" s="427"/>
      <c r="G198" s="427"/>
      <c r="H198" s="427"/>
      <c r="I198" s="427"/>
      <c r="J198" s="427"/>
      <c r="K198" s="427"/>
      <c r="L198" s="427"/>
      <c r="M198" s="427"/>
      <c r="N198" s="427"/>
      <c r="O198" s="84"/>
      <c r="P198" s="84"/>
      <c r="Q198" s="427"/>
      <c r="R198" s="427"/>
      <c r="S198" s="427"/>
      <c r="T198" s="427"/>
      <c r="U198" s="427"/>
      <c r="V198" s="427"/>
      <c r="W198" s="427"/>
      <c r="X198" s="427"/>
      <c r="Y198" s="427"/>
      <c r="Z198" s="427"/>
      <c r="AA198" s="65"/>
      <c r="AB198" s="75" t="s">
        <v>301</v>
      </c>
      <c r="AD198" s="80" t="s">
        <v>242</v>
      </c>
      <c r="AE198" s="78"/>
      <c r="AF198" s="13"/>
      <c r="AG198" s="13"/>
    </row>
    <row r="199" spans="1:33" ht="18" customHeight="1" x14ac:dyDescent="0.2">
      <c r="A199" s="73" t="str">
        <f t="shared" si="65"/>
        <v/>
      </c>
      <c r="B199" s="74">
        <f>B198</f>
        <v>0</v>
      </c>
      <c r="D199" s="430"/>
      <c r="E199" s="430"/>
      <c r="F199" s="430"/>
      <c r="G199" s="430"/>
      <c r="H199" s="430"/>
      <c r="I199" s="430"/>
      <c r="J199" s="430"/>
      <c r="K199" s="430"/>
      <c r="L199" s="430"/>
      <c r="M199" s="430"/>
      <c r="N199" s="430"/>
      <c r="O199" s="84"/>
      <c r="P199" s="84"/>
      <c r="Q199" s="430"/>
      <c r="R199" s="430"/>
      <c r="S199" s="430"/>
      <c r="T199" s="430"/>
      <c r="U199" s="430"/>
      <c r="V199" s="430"/>
      <c r="W199" s="430"/>
      <c r="X199" s="430"/>
      <c r="Y199" s="430"/>
      <c r="Z199" s="430"/>
      <c r="AA199" s="65"/>
      <c r="AB199" s="75" t="s">
        <v>300</v>
      </c>
      <c r="AD199" s="80" t="s">
        <v>242</v>
      </c>
      <c r="AE199" s="78"/>
      <c r="AF199" s="74">
        <f>IF(OR(D197="Show",D197="",Q197="Show",Q197=""),1,0)</f>
        <v>0</v>
      </c>
      <c r="AG199" s="74">
        <f>IF(AND(SUM(AF:AF)&gt;0,OR(AND(D197="Show",D199=""),AND(Q197="Show",Q199=""))),1,0)</f>
        <v>0</v>
      </c>
    </row>
    <row r="200" spans="1:33" ht="8.5" customHeight="1" x14ac:dyDescent="0.15">
      <c r="A200" s="73" t="str">
        <f t="shared" si="65"/>
        <v/>
      </c>
      <c r="B200" s="74">
        <f>B199</f>
        <v>0</v>
      </c>
      <c r="D200" s="426"/>
      <c r="E200" s="426"/>
      <c r="F200" s="426"/>
      <c r="G200" s="426"/>
      <c r="H200" s="426"/>
      <c r="I200" s="426"/>
      <c r="J200" s="426"/>
      <c r="K200" s="426"/>
      <c r="L200" s="426"/>
      <c r="M200" s="426"/>
      <c r="N200" s="426"/>
      <c r="O200" s="426"/>
      <c r="P200" s="426"/>
      <c r="Q200" s="426"/>
      <c r="R200" s="426"/>
      <c r="S200" s="426"/>
      <c r="T200" s="426"/>
      <c r="U200" s="426"/>
      <c r="V200" s="426"/>
      <c r="W200" s="426"/>
      <c r="X200" s="426"/>
      <c r="Y200" s="426"/>
      <c r="Z200" s="426"/>
      <c r="AA200" s="65"/>
      <c r="AD200" s="82" t="s">
        <v>241</v>
      </c>
      <c r="AE200" s="52"/>
      <c r="AF200" s="13"/>
      <c r="AG200" s="13"/>
    </row>
    <row r="201" spans="1:33" ht="15.75" customHeight="1" x14ac:dyDescent="0.2">
      <c r="A201" s="73"/>
      <c r="B201" s="74">
        <v>0</v>
      </c>
      <c r="D201" s="443" t="s">
        <v>304</v>
      </c>
      <c r="E201" s="443"/>
      <c r="F201" s="443"/>
      <c r="G201" s="443"/>
      <c r="H201" s="443"/>
      <c r="I201" s="443"/>
      <c r="J201" s="443"/>
      <c r="K201" s="443"/>
      <c r="L201" s="443"/>
      <c r="M201" s="443"/>
      <c r="N201" s="443"/>
      <c r="O201" s="443"/>
      <c r="P201" s="443"/>
      <c r="Q201" s="443"/>
      <c r="R201" s="443"/>
      <c r="S201" s="443"/>
      <c r="T201" s="443"/>
      <c r="U201" s="443"/>
      <c r="V201" s="443"/>
      <c r="W201" s="443"/>
      <c r="X201" s="443"/>
      <c r="Y201" s="443"/>
      <c r="Z201" s="443"/>
      <c r="AB201" s="87" t="s">
        <v>314</v>
      </c>
      <c r="AD201" s="82" t="s">
        <v>288</v>
      </c>
      <c r="AE201" s="27"/>
      <c r="AF201" s="13"/>
      <c r="AG201" s="13"/>
    </row>
    <row r="202" spans="1:33" ht="15.75" customHeight="1" x14ac:dyDescent="0.2">
      <c r="A202" s="73"/>
      <c r="B202" s="74">
        <v>0</v>
      </c>
      <c r="D202" s="443" t="s">
        <v>305</v>
      </c>
      <c r="E202" s="443"/>
      <c r="F202" s="443"/>
      <c r="G202" s="443"/>
      <c r="H202" s="443"/>
      <c r="I202" s="443"/>
      <c r="J202" s="443"/>
      <c r="K202" s="443"/>
      <c r="L202" s="443"/>
      <c r="M202" s="443"/>
      <c r="N202" s="443"/>
      <c r="O202" s="443"/>
      <c r="P202" s="443"/>
      <c r="Q202" s="443"/>
      <c r="R202" s="443"/>
      <c r="S202" s="443"/>
      <c r="T202" s="443"/>
      <c r="U202" s="443"/>
      <c r="V202" s="443"/>
      <c r="W202" s="443"/>
      <c r="X202" s="443"/>
      <c r="Y202" s="443"/>
      <c r="Z202" s="443"/>
      <c r="AB202" s="87" t="s">
        <v>314</v>
      </c>
      <c r="AD202" s="82" t="s">
        <v>288</v>
      </c>
      <c r="AE202" s="27"/>
      <c r="AF202" s="13"/>
      <c r="AG202" s="13"/>
    </row>
    <row r="203" spans="1:33" ht="8.5" customHeight="1" x14ac:dyDescent="0.15">
      <c r="A203" s="73" t="str">
        <f>IF(AG203=1,"X","")</f>
        <v/>
      </c>
      <c r="B203" s="74">
        <f>IF(OR(D204="Show",Q204="Show"),1,0)</f>
        <v>0</v>
      </c>
      <c r="D203" s="426"/>
      <c r="E203" s="426"/>
      <c r="F203" s="426"/>
      <c r="G203" s="426"/>
      <c r="H203" s="426"/>
      <c r="I203" s="426"/>
      <c r="J203" s="426"/>
      <c r="K203" s="426"/>
      <c r="L203" s="426"/>
      <c r="M203" s="426"/>
      <c r="N203" s="426"/>
      <c r="O203" s="426"/>
      <c r="P203" s="426"/>
      <c r="Q203" s="426"/>
      <c r="R203" s="426"/>
      <c r="S203" s="426"/>
      <c r="T203" s="426"/>
      <c r="U203" s="426"/>
      <c r="V203" s="426"/>
      <c r="W203" s="426"/>
      <c r="X203" s="426"/>
      <c r="Y203" s="426"/>
      <c r="Z203" s="426"/>
      <c r="AD203" s="82" t="s">
        <v>241</v>
      </c>
      <c r="AE203" s="52"/>
      <c r="AF203" s="13"/>
      <c r="AG203" s="13"/>
    </row>
    <row r="204" spans="1:33" ht="18" customHeight="1" x14ac:dyDescent="0.2">
      <c r="A204" s="73" t="str">
        <f t="shared" ref="A204:A207" si="66">IF(AG204=1,"X","")</f>
        <v/>
      </c>
      <c r="B204" s="74">
        <v>0</v>
      </c>
      <c r="D204" s="427" t="s">
        <v>309</v>
      </c>
      <c r="E204" s="427"/>
      <c r="F204" s="427"/>
      <c r="G204" s="427"/>
      <c r="H204" s="427"/>
      <c r="I204" s="427"/>
      <c r="J204" s="427"/>
      <c r="K204" s="427"/>
      <c r="L204" s="427"/>
      <c r="M204" s="427"/>
      <c r="N204" s="427"/>
      <c r="O204" s="84"/>
      <c r="P204" s="84"/>
      <c r="Q204" s="427" t="s">
        <v>309</v>
      </c>
      <c r="R204" s="427"/>
      <c r="S204" s="427"/>
      <c r="T204" s="427"/>
      <c r="U204" s="427"/>
      <c r="V204" s="427"/>
      <c r="W204" s="427"/>
      <c r="X204" s="427"/>
      <c r="Y204" s="427"/>
      <c r="Z204" s="427"/>
      <c r="AA204" s="65"/>
      <c r="AB204" s="75" t="s">
        <v>302</v>
      </c>
      <c r="AD204" s="80" t="s">
        <v>242</v>
      </c>
      <c r="AE204" s="27"/>
      <c r="AF204" s="74">
        <f>IF(OR(D204="Show",D204="",Q204="Show",Q204=""),1,0)</f>
        <v>0</v>
      </c>
      <c r="AG204" s="74">
        <f>IF(AND(SUM(AF:AF)&gt;0,OR(D204="",Q204="")),1,0)</f>
        <v>0</v>
      </c>
    </row>
    <row r="205" spans="1:33" ht="197.25" customHeight="1" x14ac:dyDescent="0.2">
      <c r="A205" s="73" t="str">
        <f t="shared" si="66"/>
        <v/>
      </c>
      <c r="B205" s="74">
        <f>B203</f>
        <v>0</v>
      </c>
      <c r="D205" s="427"/>
      <c r="E205" s="427"/>
      <c r="F205" s="427"/>
      <c r="G205" s="427"/>
      <c r="H205" s="427"/>
      <c r="I205" s="427"/>
      <c r="J205" s="427"/>
      <c r="K205" s="427"/>
      <c r="L205" s="427"/>
      <c r="M205" s="427"/>
      <c r="N205" s="427"/>
      <c r="O205" s="84"/>
      <c r="P205" s="84"/>
      <c r="Q205" s="427"/>
      <c r="R205" s="427"/>
      <c r="S205" s="427"/>
      <c r="T205" s="427"/>
      <c r="U205" s="427"/>
      <c r="V205" s="427"/>
      <c r="W205" s="427"/>
      <c r="X205" s="427"/>
      <c r="Y205" s="427"/>
      <c r="Z205" s="427"/>
      <c r="AA205" s="65"/>
      <c r="AB205" s="75" t="s">
        <v>301</v>
      </c>
      <c r="AD205" s="80" t="s">
        <v>242</v>
      </c>
      <c r="AE205" s="78"/>
      <c r="AF205" s="13"/>
      <c r="AG205" s="13"/>
    </row>
    <row r="206" spans="1:33" ht="18" customHeight="1" x14ac:dyDescent="0.2">
      <c r="A206" s="73" t="str">
        <f t="shared" si="66"/>
        <v/>
      </c>
      <c r="B206" s="74">
        <f>B205</f>
        <v>0</v>
      </c>
      <c r="D206" s="430"/>
      <c r="E206" s="430"/>
      <c r="F206" s="430"/>
      <c r="G206" s="430"/>
      <c r="H206" s="430"/>
      <c r="I206" s="430"/>
      <c r="J206" s="430"/>
      <c r="K206" s="430"/>
      <c r="L206" s="430"/>
      <c r="M206" s="430"/>
      <c r="N206" s="430"/>
      <c r="O206" s="84"/>
      <c r="P206" s="84"/>
      <c r="Q206" s="430"/>
      <c r="R206" s="430"/>
      <c r="S206" s="430"/>
      <c r="T206" s="430"/>
      <c r="U206" s="430"/>
      <c r="V206" s="430"/>
      <c r="W206" s="430"/>
      <c r="X206" s="430"/>
      <c r="Y206" s="430"/>
      <c r="Z206" s="430"/>
      <c r="AA206" s="65"/>
      <c r="AB206" s="75" t="s">
        <v>300</v>
      </c>
      <c r="AD206" s="80" t="s">
        <v>242</v>
      </c>
      <c r="AE206" s="78"/>
      <c r="AF206" s="74">
        <f>IF(OR(D204="Show",D204="",Q204="Show",Q204=""),1,0)</f>
        <v>0</v>
      </c>
      <c r="AG206" s="74">
        <f>IF(AND(SUM(AF:AF)&gt;0,OR(AND(D204="Show",D206=""),AND(Q204="Show",Q206=""))),1,0)</f>
        <v>0</v>
      </c>
    </row>
    <row r="207" spans="1:33" ht="8.5" customHeight="1" x14ac:dyDescent="0.15">
      <c r="A207" s="73" t="str">
        <f t="shared" si="66"/>
        <v/>
      </c>
      <c r="B207" s="74">
        <f>B206</f>
        <v>0</v>
      </c>
      <c r="D207" s="426"/>
      <c r="E207" s="426"/>
      <c r="F207" s="426"/>
      <c r="G207" s="426"/>
      <c r="H207" s="426"/>
      <c r="I207" s="426"/>
      <c r="J207" s="426"/>
      <c r="K207" s="426"/>
      <c r="L207" s="426"/>
      <c r="M207" s="426"/>
      <c r="N207" s="426"/>
      <c r="O207" s="426"/>
      <c r="P207" s="426"/>
      <c r="Q207" s="426"/>
      <c r="R207" s="426"/>
      <c r="S207" s="426"/>
      <c r="T207" s="426"/>
      <c r="U207" s="426"/>
      <c r="V207" s="426"/>
      <c r="W207" s="426"/>
      <c r="X207" s="426"/>
      <c r="Y207" s="426"/>
      <c r="Z207" s="426"/>
      <c r="AA207" s="65"/>
      <c r="AD207" s="82" t="s">
        <v>241</v>
      </c>
      <c r="AE207" s="52"/>
      <c r="AF207" s="13"/>
      <c r="AG207" s="13"/>
    </row>
    <row r="208" spans="1:33" ht="15.75" customHeight="1" x14ac:dyDescent="0.2">
      <c r="A208" s="73"/>
      <c r="B208" s="74">
        <v>0</v>
      </c>
      <c r="D208" s="443" t="s">
        <v>307</v>
      </c>
      <c r="E208" s="443"/>
      <c r="F208" s="443"/>
      <c r="G208" s="443"/>
      <c r="H208" s="443"/>
      <c r="I208" s="443"/>
      <c r="J208" s="443"/>
      <c r="K208" s="443"/>
      <c r="L208" s="443"/>
      <c r="M208" s="443"/>
      <c r="N208" s="443"/>
      <c r="O208" s="443"/>
      <c r="P208" s="443"/>
      <c r="Q208" s="443"/>
      <c r="R208" s="443"/>
      <c r="S208" s="443"/>
      <c r="T208" s="443"/>
      <c r="U208" s="443"/>
      <c r="V208" s="443"/>
      <c r="W208" s="443"/>
      <c r="X208" s="443"/>
      <c r="Y208" s="443"/>
      <c r="Z208" s="443"/>
      <c r="AB208" s="87" t="s">
        <v>314</v>
      </c>
      <c r="AD208" s="82" t="s">
        <v>288</v>
      </c>
      <c r="AE208" s="27"/>
      <c r="AF208" s="13"/>
      <c r="AG208" s="13"/>
    </row>
    <row r="209" spans="1:33" ht="15.75" customHeight="1" x14ac:dyDescent="0.2">
      <c r="A209" s="73"/>
      <c r="B209" s="74">
        <v>0</v>
      </c>
      <c r="D209" s="443" t="s">
        <v>308</v>
      </c>
      <c r="E209" s="443"/>
      <c r="F209" s="443"/>
      <c r="G209" s="443"/>
      <c r="H209" s="443"/>
      <c r="I209" s="443"/>
      <c r="J209" s="443"/>
      <c r="K209" s="443"/>
      <c r="L209" s="443"/>
      <c r="M209" s="443"/>
      <c r="N209" s="443"/>
      <c r="O209" s="443"/>
      <c r="P209" s="443"/>
      <c r="Q209" s="443"/>
      <c r="R209" s="443"/>
      <c r="S209" s="443"/>
      <c r="T209" s="443"/>
      <c r="U209" s="443"/>
      <c r="V209" s="443"/>
      <c r="W209" s="443"/>
      <c r="X209" s="443"/>
      <c r="Y209" s="443"/>
      <c r="Z209" s="443"/>
      <c r="AB209" s="87" t="s">
        <v>314</v>
      </c>
      <c r="AD209" s="82" t="s">
        <v>288</v>
      </c>
      <c r="AE209" s="27"/>
      <c r="AF209" s="13"/>
      <c r="AG209" s="13"/>
    </row>
    <row r="210" spans="1:33" ht="8.5" customHeight="1" x14ac:dyDescent="0.15">
      <c r="A210" s="73" t="str">
        <f>IF(AG210=1,"X","")</f>
        <v/>
      </c>
      <c r="B210" s="74">
        <f>IF(OR(D211="Show",Q211="Show"),1,0)</f>
        <v>0</v>
      </c>
      <c r="D210" s="426"/>
      <c r="E210" s="426"/>
      <c r="F210" s="426"/>
      <c r="G210" s="426"/>
      <c r="H210" s="426"/>
      <c r="I210" s="426"/>
      <c r="J210" s="426"/>
      <c r="K210" s="426"/>
      <c r="L210" s="426"/>
      <c r="M210" s="426"/>
      <c r="N210" s="426"/>
      <c r="O210" s="426"/>
      <c r="P210" s="426"/>
      <c r="Q210" s="426"/>
      <c r="R210" s="426"/>
      <c r="S210" s="426"/>
      <c r="T210" s="426"/>
      <c r="U210" s="426"/>
      <c r="V210" s="426"/>
      <c r="W210" s="426"/>
      <c r="X210" s="426"/>
      <c r="Y210" s="426"/>
      <c r="Z210" s="426"/>
      <c r="AD210" s="82" t="s">
        <v>241</v>
      </c>
      <c r="AE210" s="52"/>
      <c r="AF210" s="13"/>
      <c r="AG210" s="13"/>
    </row>
    <row r="211" spans="1:33" ht="18" customHeight="1" x14ac:dyDescent="0.2">
      <c r="A211" s="73" t="str">
        <f t="shared" ref="A211:A214" si="67">IF(AG211=1,"X","")</f>
        <v/>
      </c>
      <c r="B211" s="74">
        <v>0</v>
      </c>
      <c r="D211" s="427" t="s">
        <v>309</v>
      </c>
      <c r="E211" s="427"/>
      <c r="F211" s="427"/>
      <c r="G211" s="427"/>
      <c r="H211" s="427"/>
      <c r="I211" s="427"/>
      <c r="J211" s="427"/>
      <c r="K211" s="427"/>
      <c r="L211" s="427"/>
      <c r="M211" s="427"/>
      <c r="N211" s="427"/>
      <c r="O211" s="84"/>
      <c r="P211" s="84"/>
      <c r="Q211" s="427" t="s">
        <v>309</v>
      </c>
      <c r="R211" s="427"/>
      <c r="S211" s="427"/>
      <c r="T211" s="427"/>
      <c r="U211" s="427"/>
      <c r="V211" s="427"/>
      <c r="W211" s="427"/>
      <c r="X211" s="427"/>
      <c r="Y211" s="427"/>
      <c r="Z211" s="427"/>
      <c r="AA211" s="65"/>
      <c r="AB211" s="75" t="s">
        <v>302</v>
      </c>
      <c r="AD211" s="80" t="s">
        <v>242</v>
      </c>
      <c r="AE211" s="27"/>
      <c r="AF211" s="74">
        <f>IF(OR(D211="Show",D211="",Q211="Show",Q211=""),1,0)</f>
        <v>0</v>
      </c>
      <c r="AG211" s="74">
        <f>IF(AND(SUM(AF:AF)&gt;0,OR(D211="",Q211="")),1,0)</f>
        <v>0</v>
      </c>
    </row>
    <row r="212" spans="1:33" ht="197.25" customHeight="1" x14ac:dyDescent="0.2">
      <c r="A212" s="73" t="str">
        <f t="shared" si="67"/>
        <v/>
      </c>
      <c r="B212" s="74">
        <f>B210</f>
        <v>0</v>
      </c>
      <c r="D212" s="427"/>
      <c r="E212" s="427"/>
      <c r="F212" s="427"/>
      <c r="G212" s="427"/>
      <c r="H212" s="427"/>
      <c r="I212" s="427"/>
      <c r="J212" s="427"/>
      <c r="K212" s="427"/>
      <c r="L212" s="427"/>
      <c r="M212" s="427"/>
      <c r="N212" s="427"/>
      <c r="O212" s="84"/>
      <c r="P212" s="84"/>
      <c r="Q212" s="427"/>
      <c r="R212" s="427"/>
      <c r="S212" s="427"/>
      <c r="T212" s="427"/>
      <c r="U212" s="427"/>
      <c r="V212" s="427"/>
      <c r="W212" s="427"/>
      <c r="X212" s="427"/>
      <c r="Y212" s="427"/>
      <c r="Z212" s="427"/>
      <c r="AA212" s="65"/>
      <c r="AB212" s="75" t="s">
        <v>301</v>
      </c>
      <c r="AD212" s="80" t="s">
        <v>242</v>
      </c>
      <c r="AE212" s="78"/>
      <c r="AF212" s="13"/>
      <c r="AG212" s="13"/>
    </row>
    <row r="213" spans="1:33" ht="18" customHeight="1" x14ac:dyDescent="0.2">
      <c r="A213" s="73" t="str">
        <f t="shared" si="67"/>
        <v/>
      </c>
      <c r="B213" s="74">
        <f>B212</f>
        <v>0</v>
      </c>
      <c r="D213" s="430"/>
      <c r="E213" s="430"/>
      <c r="F213" s="430"/>
      <c r="G213" s="430"/>
      <c r="H213" s="430"/>
      <c r="I213" s="430"/>
      <c r="J213" s="430"/>
      <c r="K213" s="430"/>
      <c r="L213" s="430"/>
      <c r="M213" s="430"/>
      <c r="N213" s="430"/>
      <c r="O213" s="84"/>
      <c r="P213" s="84"/>
      <c r="Q213" s="430"/>
      <c r="R213" s="430"/>
      <c r="S213" s="430"/>
      <c r="T213" s="430"/>
      <c r="U213" s="430"/>
      <c r="V213" s="430"/>
      <c r="W213" s="430"/>
      <c r="X213" s="430"/>
      <c r="Y213" s="430"/>
      <c r="Z213" s="430"/>
      <c r="AA213" s="65"/>
      <c r="AB213" s="75" t="s">
        <v>300</v>
      </c>
      <c r="AD213" s="80" t="s">
        <v>242</v>
      </c>
      <c r="AE213" s="78"/>
      <c r="AF213" s="74">
        <f>IF(OR(D211="Show",D211="",Q211="Show",Q211=""),1,0)</f>
        <v>0</v>
      </c>
      <c r="AG213" s="74">
        <f>IF(AND(SUM(AF:AF)&gt;0,OR(AND(D211="Show",D213=""),AND(Q211="Show",Q213=""))),1,0)</f>
        <v>0</v>
      </c>
    </row>
    <row r="214" spans="1:33" ht="8.5" customHeight="1" x14ac:dyDescent="0.15">
      <c r="A214" s="73" t="str">
        <f t="shared" si="67"/>
        <v/>
      </c>
      <c r="B214" s="74">
        <f>B213</f>
        <v>0</v>
      </c>
      <c r="D214" s="426"/>
      <c r="E214" s="426"/>
      <c r="F214" s="426"/>
      <c r="G214" s="426"/>
      <c r="H214" s="426"/>
      <c r="I214" s="426"/>
      <c r="J214" s="426"/>
      <c r="K214" s="426"/>
      <c r="L214" s="426"/>
      <c r="M214" s="426"/>
      <c r="N214" s="426"/>
      <c r="O214" s="426"/>
      <c r="P214" s="426"/>
      <c r="Q214" s="426"/>
      <c r="R214" s="426"/>
      <c r="S214" s="426"/>
      <c r="T214" s="426"/>
      <c r="U214" s="426"/>
      <c r="V214" s="426"/>
      <c r="W214" s="426"/>
      <c r="X214" s="426"/>
      <c r="Y214" s="426"/>
      <c r="Z214" s="426"/>
      <c r="AA214" s="65"/>
      <c r="AD214" s="82" t="s">
        <v>241</v>
      </c>
      <c r="AE214" s="52"/>
      <c r="AF214" s="13"/>
      <c r="AG214" s="13"/>
    </row>
    <row r="215" spans="1:33" ht="15.75" customHeight="1" x14ac:dyDescent="0.2">
      <c r="A215" s="73"/>
      <c r="B215" s="74">
        <v>0</v>
      </c>
      <c r="D215" s="443" t="s">
        <v>306</v>
      </c>
      <c r="E215" s="443"/>
      <c r="F215" s="443"/>
      <c r="G215" s="443"/>
      <c r="H215" s="443"/>
      <c r="I215" s="443"/>
      <c r="J215" s="443"/>
      <c r="K215" s="443"/>
      <c r="L215" s="443"/>
      <c r="M215" s="443"/>
      <c r="N215" s="443"/>
      <c r="O215" s="443"/>
      <c r="P215" s="443"/>
      <c r="Q215" s="443"/>
      <c r="R215" s="443"/>
      <c r="S215" s="443"/>
      <c r="T215" s="443"/>
      <c r="U215" s="443"/>
      <c r="V215" s="443"/>
      <c r="W215" s="443"/>
      <c r="X215" s="443"/>
      <c r="Y215" s="443"/>
      <c r="Z215" s="443"/>
      <c r="AB215" s="87" t="s">
        <v>314</v>
      </c>
      <c r="AD215" s="82" t="s">
        <v>288</v>
      </c>
      <c r="AE215" s="27"/>
      <c r="AF215" s="13"/>
      <c r="AG215" s="13"/>
    </row>
    <row r="216" spans="1:33" ht="21" customHeight="1" x14ac:dyDescent="0.15">
      <c r="A216" s="73" t="str">
        <f t="shared" si="56"/>
        <v>X</v>
      </c>
      <c r="B216" s="81"/>
      <c r="D216" s="440" t="s">
        <v>185</v>
      </c>
      <c r="E216" s="440"/>
      <c r="F216" s="440"/>
      <c r="G216" s="440"/>
      <c r="H216" s="440"/>
      <c r="I216" s="440"/>
      <c r="J216" s="440"/>
      <c r="K216" s="440"/>
      <c r="L216" s="440"/>
      <c r="M216" s="440"/>
      <c r="N216" s="440"/>
      <c r="O216" s="440"/>
      <c r="P216" s="440"/>
      <c r="Q216" s="440"/>
      <c r="R216" s="440"/>
      <c r="S216" s="440"/>
      <c r="T216" s="440"/>
      <c r="U216" s="440"/>
      <c r="V216" s="440"/>
      <c r="W216" s="440"/>
      <c r="X216" s="440"/>
      <c r="Y216" s="440"/>
      <c r="Z216" s="440"/>
      <c r="AB216" s="75" t="s">
        <v>246</v>
      </c>
      <c r="AD216" s="80" t="s">
        <v>242</v>
      </c>
      <c r="AE216" s="78"/>
      <c r="AF216" s="74">
        <f t="shared" ref="AF216" si="68">IF(B216&lt;&gt;"",1,0)</f>
        <v>0</v>
      </c>
      <c r="AG216" s="74">
        <f t="shared" ref="AG216:AG222" si="69">IF(AND(SUM(AF:AF)&gt;0,B216=""),1,0)</f>
        <v>1</v>
      </c>
    </row>
    <row r="217" spans="1:33" ht="33.75" customHeight="1" x14ac:dyDescent="0.2">
      <c r="A217" s="73" t="str">
        <f t="shared" si="56"/>
        <v>X</v>
      </c>
      <c r="B217" s="81"/>
      <c r="D217" s="424" t="s">
        <v>276</v>
      </c>
      <c r="E217" s="424"/>
      <c r="F217" s="424"/>
      <c r="G217" s="424"/>
      <c r="H217" s="424"/>
      <c r="I217" s="424"/>
      <c r="J217" s="424"/>
      <c r="K217" s="424"/>
      <c r="L217" s="424"/>
      <c r="M217" s="424"/>
      <c r="N217" s="424"/>
      <c r="O217" s="424"/>
      <c r="P217" s="424"/>
      <c r="Q217" s="424"/>
      <c r="R217" s="424"/>
      <c r="S217" s="424"/>
      <c r="T217" s="424"/>
      <c r="U217" s="424"/>
      <c r="V217" s="424"/>
      <c r="W217" s="424"/>
      <c r="X217" s="424"/>
      <c r="Y217" s="424"/>
      <c r="Z217" s="424"/>
      <c r="AB217" s="75" t="s">
        <v>246</v>
      </c>
      <c r="AD217" s="80" t="s">
        <v>242</v>
      </c>
      <c r="AE217" s="78"/>
      <c r="AF217" s="74">
        <f t="shared" ref="AF217:AF219" si="70">IF(B217&lt;&gt;"",1,0)</f>
        <v>0</v>
      </c>
      <c r="AG217" s="74">
        <f t="shared" si="69"/>
        <v>1</v>
      </c>
    </row>
    <row r="218" spans="1:33" ht="21" customHeight="1" x14ac:dyDescent="0.15">
      <c r="A218" s="73" t="str">
        <f t="shared" si="56"/>
        <v>X</v>
      </c>
      <c r="B218" s="81"/>
      <c r="D218" s="440" t="s">
        <v>194</v>
      </c>
      <c r="E218" s="440"/>
      <c r="F218" s="440"/>
      <c r="G218" s="440"/>
      <c r="H218" s="440"/>
      <c r="I218" s="440"/>
      <c r="J218" s="440"/>
      <c r="K218" s="440"/>
      <c r="L218" s="440"/>
      <c r="M218" s="440"/>
      <c r="N218" s="440"/>
      <c r="O218" s="440"/>
      <c r="P218" s="440"/>
      <c r="Q218" s="440"/>
      <c r="R218" s="440"/>
      <c r="S218" s="440"/>
      <c r="T218" s="440"/>
      <c r="U218" s="440"/>
      <c r="V218" s="440"/>
      <c r="W218" s="440"/>
      <c r="X218" s="440"/>
      <c r="Y218" s="440"/>
      <c r="Z218" s="440"/>
      <c r="AB218" s="75" t="s">
        <v>246</v>
      </c>
      <c r="AD218" s="80" t="s">
        <v>242</v>
      </c>
      <c r="AE218" s="78"/>
      <c r="AF218" s="74">
        <f t="shared" si="70"/>
        <v>0</v>
      </c>
      <c r="AG218" s="74">
        <f t="shared" si="69"/>
        <v>1</v>
      </c>
    </row>
    <row r="219" spans="1:33" ht="35.25" customHeight="1" x14ac:dyDescent="0.2">
      <c r="A219" s="73" t="str">
        <f t="shared" si="56"/>
        <v>X</v>
      </c>
      <c r="B219" s="81"/>
      <c r="D219" s="424" t="s">
        <v>195</v>
      </c>
      <c r="E219" s="424"/>
      <c r="F219" s="424"/>
      <c r="G219" s="424"/>
      <c r="H219" s="424"/>
      <c r="I219" s="424"/>
      <c r="J219" s="424"/>
      <c r="K219" s="424"/>
      <c r="L219" s="424"/>
      <c r="M219" s="424"/>
      <c r="N219" s="424"/>
      <c r="O219" s="424"/>
      <c r="P219" s="424"/>
      <c r="Q219" s="424"/>
      <c r="R219" s="424"/>
      <c r="S219" s="424"/>
      <c r="T219" s="424"/>
      <c r="U219" s="424"/>
      <c r="V219" s="424"/>
      <c r="W219" s="424"/>
      <c r="X219" s="424"/>
      <c r="Y219" s="424"/>
      <c r="Z219" s="424"/>
      <c r="AB219" s="75" t="s">
        <v>246</v>
      </c>
      <c r="AD219" s="80" t="s">
        <v>242</v>
      </c>
      <c r="AE219" s="78"/>
      <c r="AF219" s="74">
        <f t="shared" si="70"/>
        <v>0</v>
      </c>
      <c r="AG219" s="74">
        <f t="shared" si="69"/>
        <v>1</v>
      </c>
    </row>
    <row r="220" spans="1:33" ht="31" customHeight="1" x14ac:dyDescent="0.15">
      <c r="A220" s="73" t="str">
        <f t="shared" si="56"/>
        <v>X</v>
      </c>
      <c r="B220" s="81"/>
      <c r="D220" s="435" t="s">
        <v>196</v>
      </c>
      <c r="E220" s="435"/>
      <c r="F220" s="435"/>
      <c r="G220" s="435"/>
      <c r="H220" s="435"/>
      <c r="I220" s="435"/>
      <c r="J220" s="435"/>
      <c r="K220" s="435"/>
      <c r="L220" s="435"/>
      <c r="M220" s="435"/>
      <c r="N220" s="435"/>
      <c r="O220" s="435"/>
      <c r="P220" s="435"/>
      <c r="Q220" s="435"/>
      <c r="R220" s="435"/>
      <c r="S220" s="435"/>
      <c r="T220" s="435"/>
      <c r="U220" s="435"/>
      <c r="V220" s="435"/>
      <c r="W220" s="435"/>
      <c r="X220" s="435"/>
      <c r="Y220" s="435"/>
      <c r="Z220" s="435"/>
      <c r="AB220" s="75" t="s">
        <v>246</v>
      </c>
      <c r="AD220" s="80" t="s">
        <v>242</v>
      </c>
      <c r="AE220" s="52"/>
      <c r="AF220" s="74">
        <f t="shared" ref="AF220" si="71">IF(B220&lt;&gt;"",1,0)</f>
        <v>0</v>
      </c>
      <c r="AG220" s="74">
        <f t="shared" si="69"/>
        <v>1</v>
      </c>
    </row>
    <row r="221" spans="1:33" ht="18" customHeight="1" x14ac:dyDescent="0.2">
      <c r="A221" s="73" t="str">
        <f t="shared" si="56"/>
        <v>X</v>
      </c>
      <c r="B221" s="81"/>
      <c r="D221" s="432" t="s">
        <v>266</v>
      </c>
      <c r="E221" s="432"/>
      <c r="F221" s="432"/>
      <c r="G221" s="432"/>
      <c r="H221" s="432"/>
      <c r="I221" s="432"/>
      <c r="J221" s="432"/>
      <c r="K221" s="432"/>
      <c r="L221" s="432"/>
      <c r="M221" s="432"/>
      <c r="N221" s="432"/>
      <c r="O221" s="432"/>
      <c r="P221" s="432"/>
      <c r="Q221" s="432"/>
      <c r="R221" s="432"/>
      <c r="S221" s="432"/>
      <c r="T221" s="432"/>
      <c r="U221" s="432"/>
      <c r="V221" s="432"/>
      <c r="W221" s="432"/>
      <c r="X221" s="432"/>
      <c r="Y221" s="432"/>
      <c r="Z221" s="432"/>
      <c r="AB221" s="75" t="s">
        <v>246</v>
      </c>
      <c r="AD221" s="80" t="s">
        <v>242</v>
      </c>
      <c r="AE221" s="78"/>
      <c r="AF221" s="74">
        <f>IF(B221&lt;&gt;"",1,0)</f>
        <v>0</v>
      </c>
      <c r="AG221" s="74">
        <f t="shared" si="69"/>
        <v>1</v>
      </c>
    </row>
    <row r="222" spans="1:33" s="58" customFormat="1" ht="33" customHeight="1" x14ac:dyDescent="0.2">
      <c r="A222" s="73" t="str">
        <f t="shared" si="56"/>
        <v>X</v>
      </c>
      <c r="B222" s="81" t="str">
        <f>IF($B$221="","",IF($B$221=1,0,""))</f>
        <v/>
      </c>
      <c r="C222" s="57"/>
      <c r="D222" s="424" t="s">
        <v>377</v>
      </c>
      <c r="E222" s="424"/>
      <c r="F222" s="424"/>
      <c r="G222" s="424"/>
      <c r="H222" s="424"/>
      <c r="I222" s="424"/>
      <c r="J222" s="424"/>
      <c r="K222" s="424"/>
      <c r="L222" s="424"/>
      <c r="M222" s="424"/>
      <c r="N222" s="424"/>
      <c r="O222" s="424"/>
      <c r="P222" s="424"/>
      <c r="Q222" s="424"/>
      <c r="R222" s="424"/>
      <c r="S222" s="424"/>
      <c r="T222" s="424"/>
      <c r="U222" s="424"/>
      <c r="V222" s="424"/>
      <c r="W222" s="424"/>
      <c r="X222" s="424"/>
      <c r="Y222" s="424"/>
      <c r="Z222" s="424"/>
      <c r="AB222" s="75" t="s">
        <v>246</v>
      </c>
      <c r="AD222" s="80" t="s">
        <v>242</v>
      </c>
      <c r="AE222" s="78"/>
      <c r="AF222" s="74">
        <f t="shared" ref="AF222" si="72">IF(B222&lt;&gt;"",1,0)</f>
        <v>0</v>
      </c>
      <c r="AG222" s="74">
        <f t="shared" si="69"/>
        <v>1</v>
      </c>
    </row>
    <row r="223" spans="1:33" s="58" customFormat="1" ht="18.5" customHeight="1" x14ac:dyDescent="0.2">
      <c r="A223" s="73" t="str">
        <f t="shared" si="56"/>
        <v/>
      </c>
      <c r="B223" s="74">
        <v>0</v>
      </c>
      <c r="C223" s="57"/>
      <c r="D223" s="99" t="s">
        <v>245</v>
      </c>
      <c r="E223" s="424" t="s">
        <v>378</v>
      </c>
      <c r="F223" s="424"/>
      <c r="G223" s="424"/>
      <c r="H223" s="424"/>
      <c r="I223" s="424"/>
      <c r="J223" s="424"/>
      <c r="K223" s="424"/>
      <c r="L223" s="424"/>
      <c r="M223" s="424"/>
      <c r="N223" s="424"/>
      <c r="O223" s="424"/>
      <c r="P223" s="424"/>
      <c r="Q223" s="424"/>
      <c r="R223" s="424"/>
      <c r="S223" s="424"/>
      <c r="T223" s="424"/>
      <c r="U223" s="424"/>
      <c r="V223" s="424"/>
      <c r="W223" s="424"/>
      <c r="X223" s="424"/>
      <c r="Y223" s="424"/>
      <c r="Z223" s="424"/>
      <c r="AA223" s="60"/>
      <c r="AB223" s="87" t="s">
        <v>314</v>
      </c>
      <c r="AD223" s="82" t="s">
        <v>288</v>
      </c>
      <c r="AE223" s="27"/>
      <c r="AF223" s="13"/>
      <c r="AG223" s="13"/>
    </row>
    <row r="224" spans="1:33" s="58" customFormat="1" ht="18" customHeight="1" x14ac:dyDescent="0.2">
      <c r="A224" s="73" t="str">
        <f t="shared" si="56"/>
        <v>X</v>
      </c>
      <c r="B224" s="81" t="str">
        <f>IF($B$221="","",IF($B$221=1,0,""))</f>
        <v/>
      </c>
      <c r="C224" s="57"/>
      <c r="D224" s="99" t="s">
        <v>245</v>
      </c>
      <c r="E224" s="428"/>
      <c r="F224" s="428"/>
      <c r="G224" s="428"/>
      <c r="H224" s="428"/>
      <c r="I224" s="428"/>
      <c r="J224" s="428"/>
      <c r="K224" s="428"/>
      <c r="L224" s="428"/>
      <c r="M224" s="428"/>
      <c r="N224" s="428"/>
      <c r="O224" s="428"/>
      <c r="P224" s="428"/>
      <c r="Q224" s="428"/>
      <c r="R224" s="428"/>
      <c r="S224" s="428"/>
      <c r="T224" s="428"/>
      <c r="U224" s="428"/>
      <c r="V224" s="428"/>
      <c r="W224" s="428"/>
      <c r="X224" s="428"/>
      <c r="Y224" s="428"/>
      <c r="Z224" s="428"/>
      <c r="AA224" s="61"/>
      <c r="AB224" s="75" t="s">
        <v>316</v>
      </c>
      <c r="AD224" s="80" t="s">
        <v>242</v>
      </c>
      <c r="AE224" s="78"/>
      <c r="AF224" s="74">
        <f t="shared" ref="AF224:AF226" si="73">IF(B224&lt;&gt;"",1,0)</f>
        <v>0</v>
      </c>
      <c r="AG224" s="74">
        <f>IF(AND(SUM(AF:AF)&gt;0,OR(AND(B224=1,E224=""),AND(B224="",E224=""),AND(B224="",E224&lt;&gt;""),AND(B224=0,E224&lt;&gt;""))),1,0)</f>
        <v>1</v>
      </c>
    </row>
    <row r="225" spans="1:33" s="58" customFormat="1" ht="18" customHeight="1" x14ac:dyDescent="0.2">
      <c r="A225" s="73" t="str">
        <f t="shared" si="56"/>
        <v>X</v>
      </c>
      <c r="B225" s="81" t="str">
        <f>IF($B$221="","",IF($B$221=1,0,""))</f>
        <v/>
      </c>
      <c r="C225" s="57"/>
      <c r="D225" s="99" t="s">
        <v>245</v>
      </c>
      <c r="E225" s="428"/>
      <c r="F225" s="428"/>
      <c r="G225" s="428"/>
      <c r="H225" s="428"/>
      <c r="I225" s="428"/>
      <c r="J225" s="428"/>
      <c r="K225" s="428"/>
      <c r="L225" s="428"/>
      <c r="M225" s="428"/>
      <c r="N225" s="428"/>
      <c r="O225" s="428"/>
      <c r="P225" s="428"/>
      <c r="Q225" s="428"/>
      <c r="R225" s="428"/>
      <c r="S225" s="428"/>
      <c r="T225" s="428"/>
      <c r="U225" s="428"/>
      <c r="V225" s="428"/>
      <c r="W225" s="428"/>
      <c r="X225" s="428"/>
      <c r="Y225" s="428"/>
      <c r="Z225" s="428"/>
      <c r="AA225" s="61"/>
      <c r="AB225" s="75" t="s">
        <v>316</v>
      </c>
      <c r="AD225" s="80" t="s">
        <v>242</v>
      </c>
      <c r="AE225" s="78"/>
      <c r="AF225" s="74">
        <f t="shared" si="73"/>
        <v>0</v>
      </c>
      <c r="AG225" s="74">
        <f>IF(AND(SUM(AF:AF)&gt;0,OR(AND(B225=1,E225=""),AND(B225="",E225=""),AND(B225="",E225&lt;&gt;""),AND(B225=0,E225&lt;&gt;""))),1,0)</f>
        <v>1</v>
      </c>
    </row>
    <row r="226" spans="1:33" s="58" customFormat="1" ht="18" customHeight="1" x14ac:dyDescent="0.2">
      <c r="A226" s="73" t="str">
        <f t="shared" si="56"/>
        <v>X</v>
      </c>
      <c r="B226" s="81" t="str">
        <f>IF($B$221="","",IF($B$221=1,0,""))</f>
        <v/>
      </c>
      <c r="C226" s="57"/>
      <c r="D226" s="99" t="s">
        <v>245</v>
      </c>
      <c r="E226" s="428"/>
      <c r="F226" s="428"/>
      <c r="G226" s="428"/>
      <c r="H226" s="428"/>
      <c r="I226" s="428"/>
      <c r="J226" s="428"/>
      <c r="K226" s="428"/>
      <c r="L226" s="428"/>
      <c r="M226" s="428"/>
      <c r="N226" s="428"/>
      <c r="O226" s="428"/>
      <c r="P226" s="428"/>
      <c r="Q226" s="428"/>
      <c r="R226" s="428"/>
      <c r="S226" s="428"/>
      <c r="T226" s="428"/>
      <c r="U226" s="428"/>
      <c r="V226" s="428"/>
      <c r="W226" s="428"/>
      <c r="X226" s="428"/>
      <c r="Y226" s="428"/>
      <c r="Z226" s="428"/>
      <c r="AA226" s="61"/>
      <c r="AB226" s="75" t="s">
        <v>316</v>
      </c>
      <c r="AD226" s="80" t="s">
        <v>242</v>
      </c>
      <c r="AE226" s="78"/>
      <c r="AF226" s="74">
        <f t="shared" si="73"/>
        <v>0</v>
      </c>
      <c r="AG226" s="74">
        <f>IF(AND(SUM(AF:AF)&gt;0,OR(AND(B226=1,E226=""),AND(B226="",E226=""),AND(B226="",E226&lt;&gt;""),AND(B226=0,E226&lt;&gt;""))),1,0)</f>
        <v>1</v>
      </c>
    </row>
    <row r="227" spans="1:33" ht="21" customHeight="1" x14ac:dyDescent="0.2">
      <c r="A227" s="73" t="str">
        <f t="shared" si="56"/>
        <v/>
      </c>
      <c r="B227" s="74">
        <v>0</v>
      </c>
      <c r="D227" s="471" t="s">
        <v>299</v>
      </c>
      <c r="E227" s="471"/>
      <c r="F227" s="471"/>
      <c r="G227" s="471"/>
      <c r="H227" s="471"/>
      <c r="I227" s="471"/>
      <c r="J227" s="471"/>
      <c r="K227" s="471"/>
      <c r="L227" s="471"/>
      <c r="M227" s="471"/>
      <c r="N227" s="471"/>
      <c r="O227" s="471"/>
      <c r="P227" s="471"/>
      <c r="Q227" s="471"/>
      <c r="R227" s="471"/>
      <c r="S227" s="471"/>
      <c r="T227" s="471"/>
      <c r="U227" s="471"/>
      <c r="V227" s="471"/>
      <c r="W227" s="471"/>
      <c r="X227" s="471"/>
      <c r="Y227" s="471"/>
      <c r="Z227" s="471"/>
      <c r="AB227" s="87" t="s">
        <v>314</v>
      </c>
      <c r="AD227" s="82" t="s">
        <v>288</v>
      </c>
      <c r="AE227" s="27"/>
      <c r="AF227" s="13"/>
      <c r="AG227" s="13"/>
    </row>
    <row r="228" spans="1:33" ht="15.75" customHeight="1" x14ac:dyDescent="0.2">
      <c r="A228" s="73"/>
      <c r="B228" s="74">
        <v>0</v>
      </c>
      <c r="D228" s="443" t="s">
        <v>303</v>
      </c>
      <c r="E228" s="443"/>
      <c r="F228" s="443"/>
      <c r="G228" s="443"/>
      <c r="H228" s="443"/>
      <c r="I228" s="443"/>
      <c r="J228" s="443"/>
      <c r="K228" s="443"/>
      <c r="L228" s="443"/>
      <c r="M228" s="443"/>
      <c r="N228" s="443"/>
      <c r="O228" s="443"/>
      <c r="P228" s="443"/>
      <c r="Q228" s="443"/>
      <c r="R228" s="443"/>
      <c r="S228" s="443"/>
      <c r="T228" s="443"/>
      <c r="U228" s="443"/>
      <c r="V228" s="443"/>
      <c r="W228" s="443"/>
      <c r="X228" s="443"/>
      <c r="Y228" s="443"/>
      <c r="Z228" s="443"/>
      <c r="AB228" s="87" t="s">
        <v>314</v>
      </c>
      <c r="AD228" s="82" t="s">
        <v>288</v>
      </c>
      <c r="AE228" s="27"/>
      <c r="AF228" s="13"/>
      <c r="AG228" s="13"/>
    </row>
    <row r="229" spans="1:33" ht="8.5" customHeight="1" x14ac:dyDescent="0.15">
      <c r="A229" s="73" t="str">
        <f>IF(AG229=1,"X","")</f>
        <v/>
      </c>
      <c r="B229" s="74">
        <f>IF(OR(D230="Show",Q230="Show"),1,0)</f>
        <v>0</v>
      </c>
      <c r="D229" s="426"/>
      <c r="E229" s="426"/>
      <c r="F229" s="426"/>
      <c r="G229" s="426"/>
      <c r="H229" s="426"/>
      <c r="I229" s="426"/>
      <c r="J229" s="426"/>
      <c r="K229" s="426"/>
      <c r="L229" s="426"/>
      <c r="M229" s="426"/>
      <c r="N229" s="426"/>
      <c r="O229" s="426"/>
      <c r="P229" s="426"/>
      <c r="Q229" s="426"/>
      <c r="R229" s="426"/>
      <c r="S229" s="426"/>
      <c r="T229" s="426"/>
      <c r="U229" s="426"/>
      <c r="V229" s="426"/>
      <c r="W229" s="426"/>
      <c r="X229" s="426"/>
      <c r="Y229" s="426"/>
      <c r="Z229" s="426"/>
      <c r="AD229" s="82" t="s">
        <v>241</v>
      </c>
      <c r="AE229" s="52"/>
      <c r="AF229" s="13"/>
      <c r="AG229" s="13"/>
    </row>
    <row r="230" spans="1:33" ht="18" customHeight="1" x14ac:dyDescent="0.2">
      <c r="A230" s="73" t="str">
        <f t="shared" ref="A230:A233" si="74">IF(AG230=1,"X","")</f>
        <v/>
      </c>
      <c r="B230" s="74">
        <v>0</v>
      </c>
      <c r="D230" s="427" t="s">
        <v>309</v>
      </c>
      <c r="E230" s="427"/>
      <c r="F230" s="427"/>
      <c r="G230" s="427"/>
      <c r="H230" s="427"/>
      <c r="I230" s="427"/>
      <c r="J230" s="427"/>
      <c r="K230" s="427"/>
      <c r="L230" s="427"/>
      <c r="M230" s="427"/>
      <c r="N230" s="427"/>
      <c r="O230" s="84"/>
      <c r="P230" s="84"/>
      <c r="Q230" s="427" t="s">
        <v>309</v>
      </c>
      <c r="R230" s="427"/>
      <c r="S230" s="427"/>
      <c r="T230" s="427"/>
      <c r="U230" s="427"/>
      <c r="V230" s="427"/>
      <c r="W230" s="427"/>
      <c r="X230" s="427"/>
      <c r="Y230" s="427"/>
      <c r="Z230" s="427"/>
      <c r="AA230" s="65"/>
      <c r="AB230" s="75" t="s">
        <v>302</v>
      </c>
      <c r="AD230" s="80" t="s">
        <v>242</v>
      </c>
      <c r="AE230" s="27"/>
      <c r="AF230" s="74">
        <f>IF(OR(D230="Show",D230="",Q230="Show",Q230=""),1,0)</f>
        <v>0</v>
      </c>
      <c r="AG230" s="74">
        <f>IF(AND(SUM(AF:AF)&gt;0,OR(D230="",Q230="")),1,0)</f>
        <v>0</v>
      </c>
    </row>
    <row r="231" spans="1:33" ht="197.25" customHeight="1" x14ac:dyDescent="0.2">
      <c r="A231" s="73" t="str">
        <f t="shared" si="74"/>
        <v/>
      </c>
      <c r="B231" s="74">
        <f>B229</f>
        <v>0</v>
      </c>
      <c r="D231" s="427"/>
      <c r="E231" s="427"/>
      <c r="F231" s="427"/>
      <c r="G231" s="427"/>
      <c r="H231" s="427"/>
      <c r="I231" s="427"/>
      <c r="J231" s="427"/>
      <c r="K231" s="427"/>
      <c r="L231" s="427"/>
      <c r="M231" s="427"/>
      <c r="N231" s="427"/>
      <c r="O231" s="84"/>
      <c r="P231" s="84"/>
      <c r="Q231" s="427"/>
      <c r="R231" s="427"/>
      <c r="S231" s="427"/>
      <c r="T231" s="427"/>
      <c r="U231" s="427"/>
      <c r="V231" s="427"/>
      <c r="W231" s="427"/>
      <c r="X231" s="427"/>
      <c r="Y231" s="427"/>
      <c r="Z231" s="427"/>
      <c r="AA231" s="65"/>
      <c r="AB231" s="75" t="s">
        <v>301</v>
      </c>
      <c r="AD231" s="80" t="s">
        <v>242</v>
      </c>
      <c r="AE231" s="78"/>
      <c r="AF231" s="13"/>
      <c r="AG231" s="13"/>
    </row>
    <row r="232" spans="1:33" ht="18" customHeight="1" x14ac:dyDescent="0.2">
      <c r="A232" s="73" t="str">
        <f t="shared" si="74"/>
        <v/>
      </c>
      <c r="B232" s="74">
        <f>B231</f>
        <v>0</v>
      </c>
      <c r="D232" s="430"/>
      <c r="E232" s="430"/>
      <c r="F232" s="430"/>
      <c r="G232" s="430"/>
      <c r="H232" s="430"/>
      <c r="I232" s="430"/>
      <c r="J232" s="430"/>
      <c r="K232" s="430"/>
      <c r="L232" s="430"/>
      <c r="M232" s="430"/>
      <c r="N232" s="430"/>
      <c r="O232" s="84"/>
      <c r="P232" s="84"/>
      <c r="Q232" s="430"/>
      <c r="R232" s="430"/>
      <c r="S232" s="430"/>
      <c r="T232" s="430"/>
      <c r="U232" s="430"/>
      <c r="V232" s="430"/>
      <c r="W232" s="430"/>
      <c r="X232" s="430"/>
      <c r="Y232" s="430"/>
      <c r="Z232" s="430"/>
      <c r="AA232" s="65"/>
      <c r="AB232" s="75" t="s">
        <v>300</v>
      </c>
      <c r="AD232" s="80" t="s">
        <v>242</v>
      </c>
      <c r="AE232" s="78"/>
      <c r="AF232" s="74">
        <f>IF(OR(D230="Show",D230="",Q230="Show",Q230=""),1,0)</f>
        <v>0</v>
      </c>
      <c r="AG232" s="74">
        <f>IF(AND(SUM(AF:AF)&gt;0,OR(AND(D230="Show",D232=""),AND(Q230="Show",Q232=""))),1,0)</f>
        <v>0</v>
      </c>
    </row>
    <row r="233" spans="1:33" ht="8.5" customHeight="1" x14ac:dyDescent="0.15">
      <c r="A233" s="73" t="str">
        <f t="shared" si="74"/>
        <v/>
      </c>
      <c r="B233" s="74">
        <f>B232</f>
        <v>0</v>
      </c>
      <c r="D233" s="426"/>
      <c r="E233" s="426"/>
      <c r="F233" s="426"/>
      <c r="G233" s="426"/>
      <c r="H233" s="426"/>
      <c r="I233" s="426"/>
      <c r="J233" s="426"/>
      <c r="K233" s="426"/>
      <c r="L233" s="426"/>
      <c r="M233" s="426"/>
      <c r="N233" s="426"/>
      <c r="O233" s="426"/>
      <c r="P233" s="426"/>
      <c r="Q233" s="426"/>
      <c r="R233" s="426"/>
      <c r="S233" s="426"/>
      <c r="T233" s="426"/>
      <c r="U233" s="426"/>
      <c r="V233" s="426"/>
      <c r="W233" s="426"/>
      <c r="X233" s="426"/>
      <c r="Y233" s="426"/>
      <c r="Z233" s="426"/>
      <c r="AA233" s="65"/>
      <c r="AD233" s="82" t="s">
        <v>241</v>
      </c>
      <c r="AE233" s="52"/>
      <c r="AF233" s="13"/>
      <c r="AG233" s="13"/>
    </row>
    <row r="234" spans="1:33" ht="15.75" customHeight="1" x14ac:dyDescent="0.2">
      <c r="A234" s="73"/>
      <c r="B234" s="74">
        <v>0</v>
      </c>
      <c r="D234" s="443" t="s">
        <v>304</v>
      </c>
      <c r="E234" s="443"/>
      <c r="F234" s="443"/>
      <c r="G234" s="443"/>
      <c r="H234" s="443"/>
      <c r="I234" s="443"/>
      <c r="J234" s="443"/>
      <c r="K234" s="443"/>
      <c r="L234" s="443"/>
      <c r="M234" s="443"/>
      <c r="N234" s="443"/>
      <c r="O234" s="443"/>
      <c r="P234" s="443"/>
      <c r="Q234" s="443"/>
      <c r="R234" s="443"/>
      <c r="S234" s="443"/>
      <c r="T234" s="443"/>
      <c r="U234" s="443"/>
      <c r="V234" s="443"/>
      <c r="W234" s="443"/>
      <c r="X234" s="443"/>
      <c r="Y234" s="443"/>
      <c r="Z234" s="443"/>
      <c r="AB234" s="87" t="s">
        <v>314</v>
      </c>
      <c r="AD234" s="82" t="s">
        <v>288</v>
      </c>
      <c r="AE234" s="27"/>
      <c r="AF234" s="13"/>
      <c r="AG234" s="13"/>
    </row>
    <row r="235" spans="1:33" ht="15.75" customHeight="1" x14ac:dyDescent="0.2">
      <c r="A235" s="73"/>
      <c r="B235" s="74">
        <v>0</v>
      </c>
      <c r="D235" s="443" t="s">
        <v>305</v>
      </c>
      <c r="E235" s="443"/>
      <c r="F235" s="443"/>
      <c r="G235" s="443"/>
      <c r="H235" s="443"/>
      <c r="I235" s="443"/>
      <c r="J235" s="443"/>
      <c r="K235" s="443"/>
      <c r="L235" s="443"/>
      <c r="M235" s="443"/>
      <c r="N235" s="443"/>
      <c r="O235" s="443"/>
      <c r="P235" s="443"/>
      <c r="Q235" s="443"/>
      <c r="R235" s="443"/>
      <c r="S235" s="443"/>
      <c r="T235" s="443"/>
      <c r="U235" s="443"/>
      <c r="V235" s="443"/>
      <c r="W235" s="443"/>
      <c r="X235" s="443"/>
      <c r="Y235" s="443"/>
      <c r="Z235" s="443"/>
      <c r="AB235" s="87" t="s">
        <v>314</v>
      </c>
      <c r="AD235" s="82" t="s">
        <v>288</v>
      </c>
      <c r="AE235" s="27"/>
      <c r="AF235" s="13"/>
      <c r="AG235" s="13"/>
    </row>
    <row r="236" spans="1:33" ht="8.5" customHeight="1" x14ac:dyDescent="0.15">
      <c r="A236" s="73" t="str">
        <f>IF(AG236=1,"X","")</f>
        <v/>
      </c>
      <c r="B236" s="74">
        <f>IF(OR(D237="Show",Q237="Show"),1,0)</f>
        <v>0</v>
      </c>
      <c r="D236" s="426"/>
      <c r="E236" s="426"/>
      <c r="F236" s="426"/>
      <c r="G236" s="426"/>
      <c r="H236" s="426"/>
      <c r="I236" s="426"/>
      <c r="J236" s="426"/>
      <c r="K236" s="426"/>
      <c r="L236" s="426"/>
      <c r="M236" s="426"/>
      <c r="N236" s="426"/>
      <c r="O236" s="426"/>
      <c r="P236" s="426"/>
      <c r="Q236" s="426"/>
      <c r="R236" s="426"/>
      <c r="S236" s="426"/>
      <c r="T236" s="426"/>
      <c r="U236" s="426"/>
      <c r="V236" s="426"/>
      <c r="W236" s="426"/>
      <c r="X236" s="426"/>
      <c r="Y236" s="426"/>
      <c r="Z236" s="426"/>
      <c r="AD236" s="82" t="s">
        <v>241</v>
      </c>
      <c r="AE236" s="52"/>
      <c r="AF236" s="13"/>
      <c r="AG236" s="13"/>
    </row>
    <row r="237" spans="1:33" ht="18" customHeight="1" x14ac:dyDescent="0.2">
      <c r="A237" s="73" t="str">
        <f t="shared" ref="A237:A240" si="75">IF(AG237=1,"X","")</f>
        <v/>
      </c>
      <c r="B237" s="74">
        <v>0</v>
      </c>
      <c r="D237" s="427" t="s">
        <v>309</v>
      </c>
      <c r="E237" s="427"/>
      <c r="F237" s="427"/>
      <c r="G237" s="427"/>
      <c r="H237" s="427"/>
      <c r="I237" s="427"/>
      <c r="J237" s="427"/>
      <c r="K237" s="427"/>
      <c r="L237" s="427"/>
      <c r="M237" s="427"/>
      <c r="N237" s="427"/>
      <c r="O237" s="84"/>
      <c r="P237" s="84"/>
      <c r="Q237" s="427" t="s">
        <v>309</v>
      </c>
      <c r="R237" s="427"/>
      <c r="S237" s="427"/>
      <c r="T237" s="427"/>
      <c r="U237" s="427"/>
      <c r="V237" s="427"/>
      <c r="W237" s="427"/>
      <c r="X237" s="427"/>
      <c r="Y237" s="427"/>
      <c r="Z237" s="427"/>
      <c r="AA237" s="65"/>
      <c r="AB237" s="75" t="s">
        <v>302</v>
      </c>
      <c r="AD237" s="80" t="s">
        <v>242</v>
      </c>
      <c r="AE237" s="27"/>
      <c r="AF237" s="74">
        <f>IF(OR(D237="Show",D237="",Q237="Show",Q237=""),1,0)</f>
        <v>0</v>
      </c>
      <c r="AG237" s="74">
        <f>IF(AND(SUM(AF:AF)&gt;0,OR(D237="",Q237="")),1,0)</f>
        <v>0</v>
      </c>
    </row>
    <row r="238" spans="1:33" ht="197.25" customHeight="1" x14ac:dyDescent="0.2">
      <c r="A238" s="73" t="str">
        <f t="shared" si="75"/>
        <v/>
      </c>
      <c r="B238" s="74">
        <f>B236</f>
        <v>0</v>
      </c>
      <c r="D238" s="427"/>
      <c r="E238" s="427"/>
      <c r="F238" s="427"/>
      <c r="G238" s="427"/>
      <c r="H238" s="427"/>
      <c r="I238" s="427"/>
      <c r="J238" s="427"/>
      <c r="K238" s="427"/>
      <c r="L238" s="427"/>
      <c r="M238" s="427"/>
      <c r="N238" s="427"/>
      <c r="O238" s="84"/>
      <c r="P238" s="84"/>
      <c r="Q238" s="427"/>
      <c r="R238" s="427"/>
      <c r="S238" s="427"/>
      <c r="T238" s="427"/>
      <c r="U238" s="427"/>
      <c r="V238" s="427"/>
      <c r="W238" s="427"/>
      <c r="X238" s="427"/>
      <c r="Y238" s="427"/>
      <c r="Z238" s="427"/>
      <c r="AA238" s="65"/>
      <c r="AB238" s="75" t="s">
        <v>301</v>
      </c>
      <c r="AD238" s="80" t="s">
        <v>242</v>
      </c>
      <c r="AE238" s="78"/>
      <c r="AF238" s="13"/>
      <c r="AG238" s="13"/>
    </row>
    <row r="239" spans="1:33" ht="18" customHeight="1" x14ac:dyDescent="0.2">
      <c r="A239" s="73" t="str">
        <f t="shared" si="75"/>
        <v/>
      </c>
      <c r="B239" s="74">
        <f>B238</f>
        <v>0</v>
      </c>
      <c r="D239" s="430"/>
      <c r="E239" s="430"/>
      <c r="F239" s="430"/>
      <c r="G239" s="430"/>
      <c r="H239" s="430"/>
      <c r="I239" s="430"/>
      <c r="J239" s="430"/>
      <c r="K239" s="430"/>
      <c r="L239" s="430"/>
      <c r="M239" s="430"/>
      <c r="N239" s="430"/>
      <c r="O239" s="84"/>
      <c r="P239" s="84"/>
      <c r="Q239" s="430"/>
      <c r="R239" s="430"/>
      <c r="S239" s="430"/>
      <c r="T239" s="430"/>
      <c r="U239" s="430"/>
      <c r="V239" s="430"/>
      <c r="W239" s="430"/>
      <c r="X239" s="430"/>
      <c r="Y239" s="430"/>
      <c r="Z239" s="430"/>
      <c r="AA239" s="65"/>
      <c r="AB239" s="75" t="s">
        <v>300</v>
      </c>
      <c r="AD239" s="80" t="s">
        <v>242</v>
      </c>
      <c r="AE239" s="78"/>
      <c r="AF239" s="74">
        <f>IF(OR(D237="Show",D237="",Q237="Show",Q237=""),1,0)</f>
        <v>0</v>
      </c>
      <c r="AG239" s="74">
        <f>IF(AND(SUM(AF:AF)&gt;0,OR(AND(D237="Show",D239=""),AND(Q237="Show",Q239=""))),1,0)</f>
        <v>0</v>
      </c>
    </row>
    <row r="240" spans="1:33" ht="8.5" customHeight="1" x14ac:dyDescent="0.15">
      <c r="A240" s="73" t="str">
        <f t="shared" si="75"/>
        <v/>
      </c>
      <c r="B240" s="74">
        <f>B239</f>
        <v>0</v>
      </c>
      <c r="D240" s="426"/>
      <c r="E240" s="426"/>
      <c r="F240" s="426"/>
      <c r="G240" s="426"/>
      <c r="H240" s="426"/>
      <c r="I240" s="426"/>
      <c r="J240" s="426"/>
      <c r="K240" s="426"/>
      <c r="L240" s="426"/>
      <c r="M240" s="426"/>
      <c r="N240" s="426"/>
      <c r="O240" s="426"/>
      <c r="P240" s="426"/>
      <c r="Q240" s="426"/>
      <c r="R240" s="426"/>
      <c r="S240" s="426"/>
      <c r="T240" s="426"/>
      <c r="U240" s="426"/>
      <c r="V240" s="426"/>
      <c r="W240" s="426"/>
      <c r="X240" s="426"/>
      <c r="Y240" s="426"/>
      <c r="Z240" s="426"/>
      <c r="AA240" s="65"/>
      <c r="AD240" s="82" t="s">
        <v>241</v>
      </c>
      <c r="AE240" s="52"/>
      <c r="AF240" s="13"/>
      <c r="AG240" s="13"/>
    </row>
    <row r="241" spans="1:33" ht="15.75" customHeight="1" x14ac:dyDescent="0.2">
      <c r="A241" s="73"/>
      <c r="B241" s="74">
        <v>0</v>
      </c>
      <c r="D241" s="443" t="s">
        <v>307</v>
      </c>
      <c r="E241" s="443"/>
      <c r="F241" s="443"/>
      <c r="G241" s="443"/>
      <c r="H241" s="443"/>
      <c r="I241" s="443"/>
      <c r="J241" s="443"/>
      <c r="K241" s="443"/>
      <c r="L241" s="443"/>
      <c r="M241" s="443"/>
      <c r="N241" s="443"/>
      <c r="O241" s="443"/>
      <c r="P241" s="443"/>
      <c r="Q241" s="443"/>
      <c r="R241" s="443"/>
      <c r="S241" s="443"/>
      <c r="T241" s="443"/>
      <c r="U241" s="443"/>
      <c r="V241" s="443"/>
      <c r="W241" s="443"/>
      <c r="X241" s="443"/>
      <c r="Y241" s="443"/>
      <c r="Z241" s="443"/>
      <c r="AB241" s="87" t="s">
        <v>314</v>
      </c>
      <c r="AD241" s="82" t="s">
        <v>288</v>
      </c>
      <c r="AE241" s="27"/>
      <c r="AF241" s="13"/>
      <c r="AG241" s="13"/>
    </row>
    <row r="242" spans="1:33" ht="15.75" customHeight="1" x14ac:dyDescent="0.2">
      <c r="A242" s="73"/>
      <c r="B242" s="74">
        <v>0</v>
      </c>
      <c r="D242" s="443" t="s">
        <v>308</v>
      </c>
      <c r="E242" s="443"/>
      <c r="F242" s="443"/>
      <c r="G242" s="443"/>
      <c r="H242" s="443"/>
      <c r="I242" s="443"/>
      <c r="J242" s="443"/>
      <c r="K242" s="443"/>
      <c r="L242" s="443"/>
      <c r="M242" s="443"/>
      <c r="N242" s="443"/>
      <c r="O242" s="443"/>
      <c r="P242" s="443"/>
      <c r="Q242" s="443"/>
      <c r="R242" s="443"/>
      <c r="S242" s="443"/>
      <c r="T242" s="443"/>
      <c r="U242" s="443"/>
      <c r="V242" s="443"/>
      <c r="W242" s="443"/>
      <c r="X242" s="443"/>
      <c r="Y242" s="443"/>
      <c r="Z242" s="443"/>
      <c r="AB242" s="87" t="s">
        <v>314</v>
      </c>
      <c r="AD242" s="82" t="s">
        <v>288</v>
      </c>
      <c r="AE242" s="27"/>
      <c r="AF242" s="13"/>
      <c r="AG242" s="13"/>
    </row>
    <row r="243" spans="1:33" ht="8.5" customHeight="1" x14ac:dyDescent="0.15">
      <c r="A243" s="73" t="str">
        <f>IF(AG243=1,"X","")</f>
        <v/>
      </c>
      <c r="B243" s="74">
        <f>IF(OR(D244="Show",Q244="Show"),1,0)</f>
        <v>0</v>
      </c>
      <c r="D243" s="426"/>
      <c r="E243" s="426"/>
      <c r="F243" s="426"/>
      <c r="G243" s="426"/>
      <c r="H243" s="426"/>
      <c r="I243" s="426"/>
      <c r="J243" s="426"/>
      <c r="K243" s="426"/>
      <c r="L243" s="426"/>
      <c r="M243" s="426"/>
      <c r="N243" s="426"/>
      <c r="O243" s="426"/>
      <c r="P243" s="426"/>
      <c r="Q243" s="426"/>
      <c r="R243" s="426"/>
      <c r="S243" s="426"/>
      <c r="T243" s="426"/>
      <c r="U243" s="426"/>
      <c r="V243" s="426"/>
      <c r="W243" s="426"/>
      <c r="X243" s="426"/>
      <c r="Y243" s="426"/>
      <c r="Z243" s="426"/>
      <c r="AD243" s="82" t="s">
        <v>241</v>
      </c>
      <c r="AE243" s="52"/>
      <c r="AF243" s="13"/>
      <c r="AG243" s="13"/>
    </row>
    <row r="244" spans="1:33" ht="18" customHeight="1" x14ac:dyDescent="0.2">
      <c r="A244" s="73" t="str">
        <f t="shared" ref="A244:A247" si="76">IF(AG244=1,"X","")</f>
        <v/>
      </c>
      <c r="B244" s="74">
        <v>0</v>
      </c>
      <c r="D244" s="427" t="s">
        <v>309</v>
      </c>
      <c r="E244" s="427"/>
      <c r="F244" s="427"/>
      <c r="G244" s="427"/>
      <c r="H244" s="427"/>
      <c r="I244" s="427"/>
      <c r="J244" s="427"/>
      <c r="K244" s="427"/>
      <c r="L244" s="427"/>
      <c r="M244" s="427"/>
      <c r="N244" s="427"/>
      <c r="O244" s="84"/>
      <c r="P244" s="84"/>
      <c r="Q244" s="427" t="s">
        <v>309</v>
      </c>
      <c r="R244" s="427"/>
      <c r="S244" s="427"/>
      <c r="T244" s="427"/>
      <c r="U244" s="427"/>
      <c r="V244" s="427"/>
      <c r="W244" s="427"/>
      <c r="X244" s="427"/>
      <c r="Y244" s="427"/>
      <c r="Z244" s="427"/>
      <c r="AA244" s="65"/>
      <c r="AB244" s="75" t="s">
        <v>302</v>
      </c>
      <c r="AD244" s="80" t="s">
        <v>242</v>
      </c>
      <c r="AE244" s="27"/>
      <c r="AF244" s="74">
        <f>IF(OR(D244="Show",D244="",Q244="Show",Q244=""),1,0)</f>
        <v>0</v>
      </c>
      <c r="AG244" s="74">
        <f>IF(AND(SUM(AF:AF)&gt;0,OR(D244="",Q244="")),1,0)</f>
        <v>0</v>
      </c>
    </row>
    <row r="245" spans="1:33" ht="197.25" customHeight="1" x14ac:dyDescent="0.2">
      <c r="A245" s="73" t="str">
        <f t="shared" si="76"/>
        <v/>
      </c>
      <c r="B245" s="74">
        <f>B243</f>
        <v>0</v>
      </c>
      <c r="D245" s="427"/>
      <c r="E245" s="427"/>
      <c r="F245" s="427"/>
      <c r="G245" s="427"/>
      <c r="H245" s="427"/>
      <c r="I245" s="427"/>
      <c r="J245" s="427"/>
      <c r="K245" s="427"/>
      <c r="L245" s="427"/>
      <c r="M245" s="427"/>
      <c r="N245" s="427"/>
      <c r="O245" s="84"/>
      <c r="P245" s="84"/>
      <c r="Q245" s="427"/>
      <c r="R245" s="427"/>
      <c r="S245" s="427"/>
      <c r="T245" s="427"/>
      <c r="U245" s="427"/>
      <c r="V245" s="427"/>
      <c r="W245" s="427"/>
      <c r="X245" s="427"/>
      <c r="Y245" s="427"/>
      <c r="Z245" s="427"/>
      <c r="AA245" s="65"/>
      <c r="AB245" s="75" t="s">
        <v>301</v>
      </c>
      <c r="AD245" s="80" t="s">
        <v>242</v>
      </c>
      <c r="AE245" s="78"/>
      <c r="AF245" s="13"/>
      <c r="AG245" s="13"/>
    </row>
    <row r="246" spans="1:33" ht="18" customHeight="1" x14ac:dyDescent="0.2">
      <c r="A246" s="73" t="str">
        <f t="shared" si="76"/>
        <v/>
      </c>
      <c r="B246" s="74">
        <f>B245</f>
        <v>0</v>
      </c>
      <c r="D246" s="430"/>
      <c r="E246" s="430"/>
      <c r="F246" s="430"/>
      <c r="G246" s="430"/>
      <c r="H246" s="430"/>
      <c r="I246" s="430"/>
      <c r="J246" s="430"/>
      <c r="K246" s="430"/>
      <c r="L246" s="430"/>
      <c r="M246" s="430"/>
      <c r="N246" s="430"/>
      <c r="O246" s="84"/>
      <c r="P246" s="84"/>
      <c r="Q246" s="430"/>
      <c r="R246" s="430"/>
      <c r="S246" s="430"/>
      <c r="T246" s="430"/>
      <c r="U246" s="430"/>
      <c r="V246" s="430"/>
      <c r="W246" s="430"/>
      <c r="X246" s="430"/>
      <c r="Y246" s="430"/>
      <c r="Z246" s="430"/>
      <c r="AA246" s="65"/>
      <c r="AB246" s="75" t="s">
        <v>300</v>
      </c>
      <c r="AD246" s="80" t="s">
        <v>242</v>
      </c>
      <c r="AE246" s="78"/>
      <c r="AF246" s="74">
        <f>IF(OR(D244="Show",D244="",Q244="Show",Q244=""),1,0)</f>
        <v>0</v>
      </c>
      <c r="AG246" s="74">
        <f>IF(AND(SUM(AF:AF)&gt;0,OR(AND(D244="Show",D246=""),AND(Q244="Show",Q246=""))),1,0)</f>
        <v>0</v>
      </c>
    </row>
    <row r="247" spans="1:33" ht="8.5" customHeight="1" x14ac:dyDescent="0.15">
      <c r="A247" s="73" t="str">
        <f t="shared" si="76"/>
        <v/>
      </c>
      <c r="B247" s="74">
        <f>B246</f>
        <v>0</v>
      </c>
      <c r="D247" s="426"/>
      <c r="E247" s="426"/>
      <c r="F247" s="426"/>
      <c r="G247" s="426"/>
      <c r="H247" s="426"/>
      <c r="I247" s="426"/>
      <c r="J247" s="426"/>
      <c r="K247" s="426"/>
      <c r="L247" s="426"/>
      <c r="M247" s="426"/>
      <c r="N247" s="426"/>
      <c r="O247" s="426"/>
      <c r="P247" s="426"/>
      <c r="Q247" s="426"/>
      <c r="R247" s="426"/>
      <c r="S247" s="426"/>
      <c r="T247" s="426"/>
      <c r="U247" s="426"/>
      <c r="V247" s="426"/>
      <c r="W247" s="426"/>
      <c r="X247" s="426"/>
      <c r="Y247" s="426"/>
      <c r="Z247" s="426"/>
      <c r="AA247" s="65"/>
      <c r="AD247" s="82" t="s">
        <v>241</v>
      </c>
      <c r="AE247" s="52"/>
      <c r="AF247" s="13"/>
      <c r="AG247" s="13"/>
    </row>
    <row r="248" spans="1:33" ht="15.75" customHeight="1" x14ac:dyDescent="0.2">
      <c r="A248" s="73"/>
      <c r="B248" s="74">
        <v>0</v>
      </c>
      <c r="D248" s="443" t="s">
        <v>306</v>
      </c>
      <c r="E248" s="443"/>
      <c r="F248" s="443"/>
      <c r="G248" s="443"/>
      <c r="H248" s="443"/>
      <c r="I248" s="443"/>
      <c r="J248" s="443"/>
      <c r="K248" s="443"/>
      <c r="L248" s="443"/>
      <c r="M248" s="443"/>
      <c r="N248" s="443"/>
      <c r="O248" s="443"/>
      <c r="P248" s="443"/>
      <c r="Q248" s="443"/>
      <c r="R248" s="443"/>
      <c r="S248" s="443"/>
      <c r="T248" s="443"/>
      <c r="U248" s="443"/>
      <c r="V248" s="443"/>
      <c r="W248" s="443"/>
      <c r="X248" s="443"/>
      <c r="Y248" s="443"/>
      <c r="Z248" s="443"/>
      <c r="AB248" s="87" t="s">
        <v>314</v>
      </c>
      <c r="AD248" s="82" t="s">
        <v>288</v>
      </c>
      <c r="AE248" s="27"/>
      <c r="AF248" s="13"/>
      <c r="AG248" s="13"/>
    </row>
    <row r="249" spans="1:33" ht="18" customHeight="1" x14ac:dyDescent="0.2">
      <c r="A249" s="73" t="str">
        <f t="shared" si="56"/>
        <v>X</v>
      </c>
      <c r="B249" s="81" t="str">
        <f t="shared" ref="B249:B261" si="77">IF($B$221="","",IF($B$221=1,0,""))</f>
        <v/>
      </c>
      <c r="D249" s="432" t="s">
        <v>395</v>
      </c>
      <c r="E249" s="432"/>
      <c r="F249" s="432"/>
      <c r="G249" s="432"/>
      <c r="H249" s="432"/>
      <c r="I249" s="432"/>
      <c r="J249" s="432"/>
      <c r="K249" s="432"/>
      <c r="L249" s="432"/>
      <c r="M249" s="432"/>
      <c r="N249" s="432"/>
      <c r="O249" s="432"/>
      <c r="P249" s="432"/>
      <c r="Q249" s="432"/>
      <c r="R249" s="432"/>
      <c r="S249" s="432"/>
      <c r="T249" s="432"/>
      <c r="U249" s="432"/>
      <c r="V249" s="432"/>
      <c r="W249" s="432"/>
      <c r="X249" s="432"/>
      <c r="Y249" s="432"/>
      <c r="Z249" s="432"/>
      <c r="AB249" s="75" t="s">
        <v>246</v>
      </c>
      <c r="AD249" s="80" t="s">
        <v>242</v>
      </c>
      <c r="AE249" s="78"/>
      <c r="AF249" s="74">
        <f>IF(B249&lt;&gt;"",1,0)</f>
        <v>0</v>
      </c>
      <c r="AG249" s="74">
        <f>IF(AND(SUM(AF:AF)&gt;0,B249=""),1,0)</f>
        <v>1</v>
      </c>
    </row>
    <row r="250" spans="1:33" s="59" customFormat="1" ht="18" customHeight="1" x14ac:dyDescent="0.2">
      <c r="A250" s="73" t="str">
        <f t="shared" si="56"/>
        <v>X</v>
      </c>
      <c r="B250" s="81" t="str">
        <f t="shared" si="77"/>
        <v/>
      </c>
      <c r="C250" s="57"/>
      <c r="D250" s="96" t="s">
        <v>245</v>
      </c>
      <c r="E250" s="469"/>
      <c r="F250" s="469"/>
      <c r="G250" s="432" t="s">
        <v>197</v>
      </c>
      <c r="H250" s="432"/>
      <c r="I250" s="432"/>
      <c r="J250" s="432"/>
      <c r="K250" s="432"/>
      <c r="L250" s="432"/>
      <c r="M250" s="432"/>
      <c r="N250" s="432"/>
      <c r="O250" s="432"/>
      <c r="P250" s="432"/>
      <c r="Q250" s="432"/>
      <c r="R250" s="432"/>
      <c r="S250" s="432"/>
      <c r="T250" s="432"/>
      <c r="U250" s="432"/>
      <c r="V250" s="432"/>
      <c r="W250" s="432"/>
      <c r="X250" s="432"/>
      <c r="Y250" s="432"/>
      <c r="Z250" s="432"/>
      <c r="AB250" s="75" t="s">
        <v>269</v>
      </c>
      <c r="AD250" s="80" t="s">
        <v>242</v>
      </c>
      <c r="AE250" s="78"/>
      <c r="AF250" s="74">
        <f t="shared" ref="AF250:AF253" si="78">IF(B250&lt;&gt;"",1,0)</f>
        <v>0</v>
      </c>
      <c r="AG250" s="74">
        <f>IF(AND(SUM(AF:AF)&gt;0,OR(AND(B250=1,E250=""),AND(B250="",E250=""),AND(B250="",E250&lt;&gt;""),AND(B250=0,E250&lt;&gt;0))),1,0)</f>
        <v>1</v>
      </c>
    </row>
    <row r="251" spans="1:33" s="59" customFormat="1" ht="18" customHeight="1" x14ac:dyDescent="0.2">
      <c r="A251" s="73" t="str">
        <f t="shared" si="56"/>
        <v>X</v>
      </c>
      <c r="B251" s="81" t="str">
        <f t="shared" si="77"/>
        <v/>
      </c>
      <c r="C251" s="57"/>
      <c r="D251" s="96" t="s">
        <v>245</v>
      </c>
      <c r="E251" s="469"/>
      <c r="F251" s="469"/>
      <c r="G251" s="432" t="s">
        <v>198</v>
      </c>
      <c r="H251" s="432"/>
      <c r="I251" s="432"/>
      <c r="J251" s="432"/>
      <c r="K251" s="432"/>
      <c r="L251" s="432"/>
      <c r="M251" s="432"/>
      <c r="N251" s="432"/>
      <c r="O251" s="432"/>
      <c r="P251" s="432"/>
      <c r="Q251" s="432"/>
      <c r="R251" s="432"/>
      <c r="S251" s="432"/>
      <c r="T251" s="432"/>
      <c r="U251" s="432"/>
      <c r="V251" s="432"/>
      <c r="W251" s="432"/>
      <c r="X251" s="432"/>
      <c r="Y251" s="432"/>
      <c r="Z251" s="432"/>
      <c r="AB251" s="75" t="s">
        <v>269</v>
      </c>
      <c r="AD251" s="80" t="s">
        <v>242</v>
      </c>
      <c r="AE251" s="78"/>
      <c r="AF251" s="74">
        <f t="shared" si="78"/>
        <v>0</v>
      </c>
      <c r="AG251" s="74">
        <f>IF(AND(SUM(AF:AF)&gt;0,OR(AND(B251=1,E251=""),AND(B251="",E251=""),AND(B251="",E251&lt;&gt;""),AND(B251=0,E251&lt;&gt;0))),1,0)</f>
        <v>1</v>
      </c>
    </row>
    <row r="252" spans="1:33" s="59" customFormat="1" ht="18" customHeight="1" x14ac:dyDescent="0.2">
      <c r="A252" s="73" t="str">
        <f t="shared" si="56"/>
        <v>X</v>
      </c>
      <c r="B252" s="81" t="str">
        <f t="shared" si="77"/>
        <v/>
      </c>
      <c r="C252" s="57"/>
      <c r="D252" s="96" t="s">
        <v>245</v>
      </c>
      <c r="E252" s="431"/>
      <c r="F252" s="431"/>
      <c r="G252" s="432" t="s">
        <v>199</v>
      </c>
      <c r="H252" s="432"/>
      <c r="I252" s="432"/>
      <c r="J252" s="432"/>
      <c r="K252" s="432"/>
      <c r="L252" s="432"/>
      <c r="M252" s="432"/>
      <c r="N252" s="432"/>
      <c r="O252" s="432"/>
      <c r="P252" s="432"/>
      <c r="Q252" s="432"/>
      <c r="R252" s="432"/>
      <c r="S252" s="432"/>
      <c r="T252" s="432"/>
      <c r="U252" s="432"/>
      <c r="V252" s="432"/>
      <c r="W252" s="432"/>
      <c r="X252" s="432"/>
      <c r="Y252" s="432"/>
      <c r="Z252" s="432"/>
      <c r="AB252" s="75" t="s">
        <v>269</v>
      </c>
      <c r="AD252" s="80" t="s">
        <v>242</v>
      </c>
      <c r="AE252" s="78"/>
      <c r="AF252" s="74">
        <f t="shared" si="78"/>
        <v>0</v>
      </c>
      <c r="AG252" s="74">
        <f>IF(AND(SUM(AF:AF)&gt;0,OR(AND(B252=1,E252=""),AND(B252="",E252=""),AND(B252="",E252&lt;&gt;""),AND(B252=0,E252&lt;&gt;0))),1,0)</f>
        <v>1</v>
      </c>
    </row>
    <row r="253" spans="1:33" s="59" customFormat="1" ht="18" customHeight="1" x14ac:dyDescent="0.2">
      <c r="A253" s="73" t="str">
        <f t="shared" si="56"/>
        <v>X</v>
      </c>
      <c r="B253" s="81" t="str">
        <f t="shared" si="77"/>
        <v/>
      </c>
      <c r="C253" s="57"/>
      <c r="D253" s="96" t="s">
        <v>245</v>
      </c>
      <c r="E253" s="431"/>
      <c r="F253" s="431"/>
      <c r="G253" s="432" t="s">
        <v>200</v>
      </c>
      <c r="H253" s="432"/>
      <c r="I253" s="432"/>
      <c r="J253" s="432"/>
      <c r="K253" s="432"/>
      <c r="L253" s="432"/>
      <c r="M253" s="432"/>
      <c r="N253" s="432"/>
      <c r="O253" s="432"/>
      <c r="P253" s="432"/>
      <c r="Q253" s="432"/>
      <c r="R253" s="432"/>
      <c r="S253" s="432"/>
      <c r="T253" s="432"/>
      <c r="U253" s="432"/>
      <c r="V253" s="432"/>
      <c r="W253" s="432"/>
      <c r="X253" s="432"/>
      <c r="Y253" s="432"/>
      <c r="Z253" s="432"/>
      <c r="AB253" s="75" t="s">
        <v>269</v>
      </c>
      <c r="AD253" s="80" t="s">
        <v>242</v>
      </c>
      <c r="AE253" s="78"/>
      <c r="AF253" s="74">
        <f t="shared" si="78"/>
        <v>0</v>
      </c>
      <c r="AG253" s="74">
        <f>IF(AND(SUM(AF:AF)&gt;0,OR(AND(B253=1,E253=""),AND(B253="",E253=""),AND(B253="",E253&lt;&gt;""),AND(B253=0,E253&lt;&gt;0))),1,0)</f>
        <v>1</v>
      </c>
    </row>
    <row r="254" spans="1:33" s="59" customFormat="1" ht="18" customHeight="1" x14ac:dyDescent="0.2">
      <c r="A254" s="73" t="str">
        <f t="shared" ref="A254" si="79">IF(AG254=1,"X","")</f>
        <v>X</v>
      </c>
      <c r="B254" s="81" t="str">
        <f t="shared" si="77"/>
        <v/>
      </c>
      <c r="C254" s="57"/>
      <c r="D254" s="96" t="s">
        <v>245</v>
      </c>
      <c r="E254" s="431"/>
      <c r="F254" s="431"/>
      <c r="G254" s="432" t="s">
        <v>396</v>
      </c>
      <c r="H254" s="432"/>
      <c r="I254" s="432"/>
      <c r="J254" s="432"/>
      <c r="K254" s="432"/>
      <c r="L254" s="432"/>
      <c r="M254" s="432"/>
      <c r="N254" s="432"/>
      <c r="O254" s="432"/>
      <c r="P254" s="432"/>
      <c r="Q254" s="432"/>
      <c r="R254" s="432"/>
      <c r="S254" s="432"/>
      <c r="T254" s="432"/>
      <c r="U254" s="432"/>
      <c r="V254" s="432"/>
      <c r="W254" s="432"/>
      <c r="X254" s="432"/>
      <c r="Y254" s="432"/>
      <c r="Z254" s="432"/>
      <c r="AB254" s="75" t="s">
        <v>269</v>
      </c>
      <c r="AD254" s="80" t="s">
        <v>242</v>
      </c>
      <c r="AE254" s="78"/>
      <c r="AF254" s="74">
        <f t="shared" ref="AF254" si="80">IF(B254&lt;&gt;"",1,0)</f>
        <v>0</v>
      </c>
      <c r="AG254" s="74">
        <f>IF(AND(SUM(AF:AF)&gt;0,OR(AND(B254=1,E254=""),AND(B254="",E254=""),AND(B254="",E254&lt;&gt;""),AND(B254=0,E254&lt;&gt;0))),1,0)</f>
        <v>1</v>
      </c>
    </row>
    <row r="255" spans="1:33" s="59" customFormat="1" ht="31" customHeight="1" x14ac:dyDescent="0.15">
      <c r="A255" s="73" t="str">
        <f t="shared" si="56"/>
        <v>X</v>
      </c>
      <c r="B255" s="81" t="str">
        <f t="shared" si="77"/>
        <v/>
      </c>
      <c r="C255" s="57"/>
      <c r="D255" s="435" t="s">
        <v>201</v>
      </c>
      <c r="E255" s="435"/>
      <c r="F255" s="435"/>
      <c r="G255" s="435"/>
      <c r="H255" s="435"/>
      <c r="I255" s="435"/>
      <c r="J255" s="435"/>
      <c r="K255" s="435"/>
      <c r="L255" s="435"/>
      <c r="M255" s="435"/>
      <c r="N255" s="435"/>
      <c r="O255" s="435"/>
      <c r="P255" s="435"/>
      <c r="Q255" s="435"/>
      <c r="R255" s="435"/>
      <c r="S255" s="435"/>
      <c r="T255" s="435"/>
      <c r="U255" s="435"/>
      <c r="V255" s="435"/>
      <c r="W255" s="435"/>
      <c r="X255" s="435"/>
      <c r="Y255" s="435"/>
      <c r="Z255" s="435"/>
      <c r="AB255" s="75" t="s">
        <v>246</v>
      </c>
      <c r="AD255" s="80" t="s">
        <v>242</v>
      </c>
      <c r="AE255" s="52"/>
      <c r="AF255" s="74">
        <f>IF(B255&lt;&gt;"",1,0)</f>
        <v>0</v>
      </c>
      <c r="AG255" s="74">
        <f t="shared" ref="AG255:AG261" si="81">IF(AND(SUM(AF:AF)&gt;0,B255=""),1,0)</f>
        <v>1</v>
      </c>
    </row>
    <row r="256" spans="1:33" s="58" customFormat="1" ht="29.25" customHeight="1" x14ac:dyDescent="0.2">
      <c r="A256" s="73" t="str">
        <f t="shared" ref="A256:A266" si="82">IF(AG256=1,"X","")</f>
        <v>X</v>
      </c>
      <c r="B256" s="81" t="str">
        <f t="shared" si="77"/>
        <v/>
      </c>
      <c r="C256" s="57"/>
      <c r="D256" s="424" t="s">
        <v>407</v>
      </c>
      <c r="E256" s="424"/>
      <c r="F256" s="424"/>
      <c r="G256" s="424"/>
      <c r="H256" s="424"/>
      <c r="I256" s="424"/>
      <c r="J256" s="424"/>
      <c r="K256" s="424"/>
      <c r="L256" s="424"/>
      <c r="M256" s="424"/>
      <c r="N256" s="424"/>
      <c r="O256" s="424"/>
      <c r="P256" s="424"/>
      <c r="Q256" s="424"/>
      <c r="R256" s="424"/>
      <c r="S256" s="424"/>
      <c r="T256" s="424"/>
      <c r="U256" s="424"/>
      <c r="V256" s="424"/>
      <c r="W256" s="424"/>
      <c r="X256" s="424"/>
      <c r="Y256" s="424"/>
      <c r="Z256" s="424"/>
      <c r="AB256" s="75" t="s">
        <v>246</v>
      </c>
      <c r="AD256" s="80" t="s">
        <v>242</v>
      </c>
      <c r="AE256" s="78"/>
      <c r="AF256" s="74">
        <f t="shared" ref="AF256:AF261" si="83">IF(B256&lt;&gt;"",1,0)</f>
        <v>0</v>
      </c>
      <c r="AG256" s="74">
        <f t="shared" si="81"/>
        <v>1</v>
      </c>
    </row>
    <row r="257" spans="1:33" s="58" customFormat="1" ht="18.5" customHeight="1" x14ac:dyDescent="0.2">
      <c r="A257" s="73" t="str">
        <f t="shared" si="82"/>
        <v>X</v>
      </c>
      <c r="B257" s="81" t="str">
        <f t="shared" si="77"/>
        <v/>
      </c>
      <c r="C257" s="57"/>
      <c r="D257" s="99" t="s">
        <v>245</v>
      </c>
      <c r="E257" s="424" t="s">
        <v>223</v>
      </c>
      <c r="F257" s="424"/>
      <c r="G257" s="424"/>
      <c r="H257" s="424"/>
      <c r="I257" s="424"/>
      <c r="J257" s="424"/>
      <c r="K257" s="424"/>
      <c r="L257" s="424"/>
      <c r="M257" s="424"/>
      <c r="N257" s="424"/>
      <c r="O257" s="424"/>
      <c r="P257" s="424"/>
      <c r="Q257" s="424"/>
      <c r="R257" s="424"/>
      <c r="S257" s="424"/>
      <c r="T257" s="424"/>
      <c r="U257" s="424"/>
      <c r="V257" s="424"/>
      <c r="W257" s="424"/>
      <c r="X257" s="424"/>
      <c r="Y257" s="424"/>
      <c r="Z257" s="424"/>
      <c r="AA257" s="60"/>
      <c r="AB257" s="75" t="s">
        <v>246</v>
      </c>
      <c r="AD257" s="80" t="s">
        <v>242</v>
      </c>
      <c r="AE257" s="78"/>
      <c r="AF257" s="74">
        <f t="shared" si="83"/>
        <v>0</v>
      </c>
      <c r="AG257" s="74">
        <f t="shared" si="81"/>
        <v>1</v>
      </c>
    </row>
    <row r="258" spans="1:33" s="58" customFormat="1" ht="18.5" customHeight="1" x14ac:dyDescent="0.2">
      <c r="A258" s="73" t="str">
        <f t="shared" si="82"/>
        <v>X</v>
      </c>
      <c r="B258" s="81" t="str">
        <f t="shared" si="77"/>
        <v/>
      </c>
      <c r="C258" s="57"/>
      <c r="D258" s="99" t="s">
        <v>245</v>
      </c>
      <c r="E258" s="424" t="s">
        <v>283</v>
      </c>
      <c r="F258" s="424"/>
      <c r="G258" s="424"/>
      <c r="H258" s="424"/>
      <c r="I258" s="424"/>
      <c r="J258" s="424"/>
      <c r="K258" s="424"/>
      <c r="L258" s="424"/>
      <c r="M258" s="424"/>
      <c r="N258" s="424"/>
      <c r="O258" s="424"/>
      <c r="P258" s="424"/>
      <c r="Q258" s="424"/>
      <c r="R258" s="424"/>
      <c r="S258" s="424"/>
      <c r="T258" s="424"/>
      <c r="U258" s="424"/>
      <c r="V258" s="424"/>
      <c r="W258" s="424"/>
      <c r="X258" s="424"/>
      <c r="Y258" s="424"/>
      <c r="Z258" s="424"/>
      <c r="AA258" s="60"/>
      <c r="AB258" s="75" t="s">
        <v>246</v>
      </c>
      <c r="AD258" s="80" t="s">
        <v>242</v>
      </c>
      <c r="AE258" s="78"/>
      <c r="AF258" s="74">
        <f t="shared" si="83"/>
        <v>0</v>
      </c>
      <c r="AG258" s="74">
        <f t="shared" si="81"/>
        <v>1</v>
      </c>
    </row>
    <row r="259" spans="1:33" s="58" customFormat="1" ht="18.5" customHeight="1" x14ac:dyDescent="0.2">
      <c r="A259" s="73" t="str">
        <f t="shared" si="82"/>
        <v>X</v>
      </c>
      <c r="B259" s="81" t="str">
        <f t="shared" si="77"/>
        <v/>
      </c>
      <c r="C259" s="57"/>
      <c r="D259" s="99" t="s">
        <v>245</v>
      </c>
      <c r="E259" s="424" t="s">
        <v>224</v>
      </c>
      <c r="F259" s="424"/>
      <c r="G259" s="424"/>
      <c r="H259" s="424"/>
      <c r="I259" s="424"/>
      <c r="J259" s="424"/>
      <c r="K259" s="424"/>
      <c r="L259" s="424"/>
      <c r="M259" s="424"/>
      <c r="N259" s="424"/>
      <c r="O259" s="424"/>
      <c r="P259" s="424"/>
      <c r="Q259" s="424"/>
      <c r="R259" s="424"/>
      <c r="S259" s="424"/>
      <c r="T259" s="424"/>
      <c r="U259" s="424"/>
      <c r="V259" s="424"/>
      <c r="W259" s="424"/>
      <c r="X259" s="424"/>
      <c r="Y259" s="424"/>
      <c r="Z259" s="424"/>
      <c r="AA259" s="60"/>
      <c r="AB259" s="75" t="s">
        <v>246</v>
      </c>
      <c r="AD259" s="80" t="s">
        <v>242</v>
      </c>
      <c r="AE259" s="78"/>
      <c r="AF259" s="74">
        <f t="shared" si="83"/>
        <v>0</v>
      </c>
      <c r="AG259" s="74">
        <f t="shared" si="81"/>
        <v>1</v>
      </c>
    </row>
    <row r="260" spans="1:33" s="58" customFormat="1" ht="18.5" customHeight="1" x14ac:dyDescent="0.2">
      <c r="A260" s="73" t="str">
        <f t="shared" si="82"/>
        <v>X</v>
      </c>
      <c r="B260" s="81" t="str">
        <f t="shared" si="77"/>
        <v/>
      </c>
      <c r="C260" s="57"/>
      <c r="D260" s="99" t="s">
        <v>245</v>
      </c>
      <c r="E260" s="424" t="s">
        <v>225</v>
      </c>
      <c r="F260" s="424"/>
      <c r="G260" s="424"/>
      <c r="H260" s="424"/>
      <c r="I260" s="424"/>
      <c r="J260" s="424"/>
      <c r="K260" s="424"/>
      <c r="L260" s="424"/>
      <c r="M260" s="424"/>
      <c r="N260" s="424"/>
      <c r="O260" s="424"/>
      <c r="P260" s="424"/>
      <c r="Q260" s="424"/>
      <c r="R260" s="424"/>
      <c r="S260" s="424"/>
      <c r="T260" s="424"/>
      <c r="U260" s="424"/>
      <c r="V260" s="424"/>
      <c r="W260" s="424"/>
      <c r="X260" s="424"/>
      <c r="Y260" s="424"/>
      <c r="Z260" s="424"/>
      <c r="AA260" s="60"/>
      <c r="AB260" s="75" t="s">
        <v>246</v>
      </c>
      <c r="AD260" s="80" t="s">
        <v>242</v>
      </c>
      <c r="AE260" s="78"/>
      <c r="AF260" s="74">
        <f t="shared" si="83"/>
        <v>0</v>
      </c>
      <c r="AG260" s="74">
        <f t="shared" si="81"/>
        <v>1</v>
      </c>
    </row>
    <row r="261" spans="1:33" s="58" customFormat="1" ht="18.5" customHeight="1" x14ac:dyDescent="0.2">
      <c r="A261" s="73" t="str">
        <f t="shared" si="82"/>
        <v>X</v>
      </c>
      <c r="B261" s="81" t="str">
        <f t="shared" si="77"/>
        <v/>
      </c>
      <c r="C261" s="57"/>
      <c r="D261" s="99" t="s">
        <v>245</v>
      </c>
      <c r="E261" s="424" t="s">
        <v>363</v>
      </c>
      <c r="F261" s="424"/>
      <c r="G261" s="424"/>
      <c r="H261" s="424"/>
      <c r="I261" s="424"/>
      <c r="J261" s="424"/>
      <c r="K261" s="424"/>
      <c r="L261" s="424"/>
      <c r="M261" s="424"/>
      <c r="N261" s="424"/>
      <c r="O261" s="424"/>
      <c r="P261" s="424"/>
      <c r="Q261" s="424"/>
      <c r="R261" s="424"/>
      <c r="S261" s="424"/>
      <c r="T261" s="424"/>
      <c r="U261" s="424"/>
      <c r="V261" s="424"/>
      <c r="W261" s="424"/>
      <c r="X261" s="424"/>
      <c r="Y261" s="424"/>
      <c r="Z261" s="424"/>
      <c r="AA261" s="60"/>
      <c r="AB261" s="75" t="s">
        <v>246</v>
      </c>
      <c r="AD261" s="80" t="s">
        <v>242</v>
      </c>
      <c r="AE261" s="78"/>
      <c r="AF261" s="74">
        <f t="shared" si="83"/>
        <v>0</v>
      </c>
      <c r="AG261" s="74">
        <f t="shared" si="81"/>
        <v>1</v>
      </c>
    </row>
    <row r="262" spans="1:33" s="58" customFormat="1" ht="18.5" customHeight="1" x14ac:dyDescent="0.2">
      <c r="A262" s="73" t="str">
        <f t="shared" si="82"/>
        <v/>
      </c>
      <c r="B262" s="74">
        <v>0</v>
      </c>
      <c r="C262" s="57"/>
      <c r="D262" s="99" t="s">
        <v>245</v>
      </c>
      <c r="E262" s="424" t="s">
        <v>287</v>
      </c>
      <c r="F262" s="424"/>
      <c r="G262" s="424"/>
      <c r="H262" s="424"/>
      <c r="I262" s="424"/>
      <c r="J262" s="424"/>
      <c r="K262" s="424"/>
      <c r="L262" s="424"/>
      <c r="M262" s="424"/>
      <c r="N262" s="424"/>
      <c r="O262" s="424"/>
      <c r="P262" s="424"/>
      <c r="Q262" s="424"/>
      <c r="R262" s="424"/>
      <c r="S262" s="424"/>
      <c r="T262" s="424"/>
      <c r="U262" s="424"/>
      <c r="V262" s="424"/>
      <c r="W262" s="424"/>
      <c r="X262" s="424"/>
      <c r="Y262" s="424"/>
      <c r="Z262" s="424"/>
      <c r="AA262" s="60"/>
      <c r="AB262" s="87" t="s">
        <v>314</v>
      </c>
      <c r="AD262" s="82" t="s">
        <v>288</v>
      </c>
      <c r="AE262" s="27"/>
      <c r="AF262" s="13"/>
      <c r="AG262" s="13"/>
    </row>
    <row r="263" spans="1:33" s="58" customFormat="1" ht="18" customHeight="1" x14ac:dyDescent="0.2">
      <c r="A263" s="73" t="str">
        <f t="shared" si="82"/>
        <v>X</v>
      </c>
      <c r="B263" s="81" t="str">
        <f>IF($B$221="","",IF($B$221=1,0,""))</f>
        <v/>
      </c>
      <c r="C263" s="57"/>
      <c r="D263" s="99" t="s">
        <v>245</v>
      </c>
      <c r="E263" s="428"/>
      <c r="F263" s="428"/>
      <c r="G263" s="428"/>
      <c r="H263" s="428"/>
      <c r="I263" s="428"/>
      <c r="J263" s="428"/>
      <c r="K263" s="428"/>
      <c r="L263" s="428"/>
      <c r="M263" s="428"/>
      <c r="N263" s="428"/>
      <c r="O263" s="428"/>
      <c r="P263" s="428"/>
      <c r="Q263" s="428"/>
      <c r="R263" s="428"/>
      <c r="S263" s="428"/>
      <c r="T263" s="428"/>
      <c r="U263" s="428"/>
      <c r="V263" s="428"/>
      <c r="W263" s="428"/>
      <c r="X263" s="428"/>
      <c r="Y263" s="428"/>
      <c r="Z263" s="428"/>
      <c r="AA263" s="61"/>
      <c r="AB263" s="75" t="s">
        <v>316</v>
      </c>
      <c r="AD263" s="80" t="s">
        <v>242</v>
      </c>
      <c r="AE263" s="78"/>
      <c r="AF263" s="74">
        <f t="shared" ref="AF263:AF265" si="84">IF(B263&lt;&gt;"",1,0)</f>
        <v>0</v>
      </c>
      <c r="AG263" s="74">
        <f>IF(AND(SUM(AF:AF)&gt;0,OR(AND(B263=1,E263=""),AND(B263="",E263=""),AND(B263="",E263&lt;&gt;""),AND(B263=0,E263&lt;&gt;""))),1,0)</f>
        <v>1</v>
      </c>
    </row>
    <row r="264" spans="1:33" s="58" customFormat="1" ht="18" customHeight="1" x14ac:dyDescent="0.2">
      <c r="A264" s="73" t="str">
        <f t="shared" si="82"/>
        <v>X</v>
      </c>
      <c r="B264" s="81" t="str">
        <f>IF($B$221="","",IF($B$221=1,0,""))</f>
        <v/>
      </c>
      <c r="C264" s="57"/>
      <c r="D264" s="99" t="s">
        <v>245</v>
      </c>
      <c r="E264" s="428"/>
      <c r="F264" s="428"/>
      <c r="G264" s="428"/>
      <c r="H264" s="428"/>
      <c r="I264" s="428"/>
      <c r="J264" s="428"/>
      <c r="K264" s="428"/>
      <c r="L264" s="428"/>
      <c r="M264" s="428"/>
      <c r="N264" s="428"/>
      <c r="O264" s="428"/>
      <c r="P264" s="428"/>
      <c r="Q264" s="428"/>
      <c r="R264" s="428"/>
      <c r="S264" s="428"/>
      <c r="T264" s="428"/>
      <c r="U264" s="428"/>
      <c r="V264" s="428"/>
      <c r="W264" s="428"/>
      <c r="X264" s="428"/>
      <c r="Y264" s="428"/>
      <c r="Z264" s="428"/>
      <c r="AA264" s="61"/>
      <c r="AB264" s="75" t="s">
        <v>316</v>
      </c>
      <c r="AD264" s="80" t="s">
        <v>242</v>
      </c>
      <c r="AE264" s="78"/>
      <c r="AF264" s="74">
        <f t="shared" si="84"/>
        <v>0</v>
      </c>
      <c r="AG264" s="74">
        <f>IF(AND(SUM(AF:AF)&gt;0,OR(AND(B264=1,E264=""),AND(B264="",E264=""),AND(B264="",E264&lt;&gt;""),AND(B264=0,E264&lt;&gt;""))),1,0)</f>
        <v>1</v>
      </c>
    </row>
    <row r="265" spans="1:33" s="58" customFormat="1" ht="18" customHeight="1" x14ac:dyDescent="0.2">
      <c r="A265" s="73" t="str">
        <f t="shared" si="82"/>
        <v>X</v>
      </c>
      <c r="B265" s="81" t="str">
        <f>IF($B$221="","",IF($B$221=1,0,""))</f>
        <v/>
      </c>
      <c r="C265" s="57"/>
      <c r="D265" s="99" t="s">
        <v>245</v>
      </c>
      <c r="E265" s="428"/>
      <c r="F265" s="428"/>
      <c r="G265" s="428"/>
      <c r="H265" s="428"/>
      <c r="I265" s="428"/>
      <c r="J265" s="428"/>
      <c r="K265" s="428"/>
      <c r="L265" s="428"/>
      <c r="M265" s="428"/>
      <c r="N265" s="428"/>
      <c r="O265" s="428"/>
      <c r="P265" s="428"/>
      <c r="Q265" s="428"/>
      <c r="R265" s="428"/>
      <c r="S265" s="428"/>
      <c r="T265" s="428"/>
      <c r="U265" s="428"/>
      <c r="V265" s="428"/>
      <c r="W265" s="428"/>
      <c r="X265" s="428"/>
      <c r="Y265" s="428"/>
      <c r="Z265" s="428"/>
      <c r="AA265" s="61"/>
      <c r="AB265" s="75" t="s">
        <v>316</v>
      </c>
      <c r="AD265" s="80" t="s">
        <v>242</v>
      </c>
      <c r="AE265" s="78"/>
      <c r="AF265" s="74">
        <f t="shared" si="84"/>
        <v>0</v>
      </c>
      <c r="AG265" s="74">
        <f>IF(AND(SUM(AF:AF)&gt;0,OR(AND(B265=1,E265=""),AND(B265="",E265=""),AND(B265="",E265&lt;&gt;""),AND(B265=0,E265&lt;&gt;""))),1,0)</f>
        <v>1</v>
      </c>
    </row>
    <row r="266" spans="1:33" ht="21" customHeight="1" x14ac:dyDescent="0.2">
      <c r="A266" s="73" t="str">
        <f t="shared" si="82"/>
        <v/>
      </c>
      <c r="B266" s="74">
        <v>0</v>
      </c>
      <c r="D266" s="446" t="s">
        <v>299</v>
      </c>
      <c r="E266" s="446"/>
      <c r="F266" s="446"/>
      <c r="G266" s="446"/>
      <c r="H266" s="446"/>
      <c r="I266" s="446"/>
      <c r="J266" s="446"/>
      <c r="K266" s="446"/>
      <c r="L266" s="446"/>
      <c r="M266" s="446"/>
      <c r="N266" s="446"/>
      <c r="O266" s="446"/>
      <c r="P266" s="446"/>
      <c r="Q266" s="446"/>
      <c r="R266" s="446"/>
      <c r="S266" s="446"/>
      <c r="T266" s="446"/>
      <c r="U266" s="446"/>
      <c r="V266" s="446"/>
      <c r="W266" s="446"/>
      <c r="X266" s="446"/>
      <c r="Y266" s="446"/>
      <c r="Z266" s="446"/>
      <c r="AB266" s="87" t="s">
        <v>314</v>
      </c>
      <c r="AD266" s="82" t="s">
        <v>288</v>
      </c>
      <c r="AE266" s="27"/>
      <c r="AF266" s="13"/>
      <c r="AG266" s="13"/>
    </row>
    <row r="267" spans="1:33" ht="15.75" customHeight="1" x14ac:dyDescent="0.2">
      <c r="A267" s="73"/>
      <c r="B267" s="74">
        <v>0</v>
      </c>
      <c r="D267" s="443" t="s">
        <v>303</v>
      </c>
      <c r="E267" s="443"/>
      <c r="F267" s="443"/>
      <c r="G267" s="443"/>
      <c r="H267" s="443"/>
      <c r="I267" s="443"/>
      <c r="J267" s="443"/>
      <c r="K267" s="443"/>
      <c r="L267" s="443"/>
      <c r="M267" s="443"/>
      <c r="N267" s="443"/>
      <c r="O267" s="443"/>
      <c r="P267" s="443"/>
      <c r="Q267" s="443"/>
      <c r="R267" s="443"/>
      <c r="S267" s="443"/>
      <c r="T267" s="443"/>
      <c r="U267" s="443"/>
      <c r="V267" s="443"/>
      <c r="W267" s="443"/>
      <c r="X267" s="443"/>
      <c r="Y267" s="443"/>
      <c r="Z267" s="443"/>
      <c r="AB267" s="87" t="s">
        <v>314</v>
      </c>
      <c r="AD267" s="82" t="s">
        <v>288</v>
      </c>
      <c r="AE267" s="27"/>
      <c r="AF267" s="13"/>
      <c r="AG267" s="13"/>
    </row>
    <row r="268" spans="1:33" ht="8.5" customHeight="1" x14ac:dyDescent="0.15">
      <c r="A268" s="73" t="str">
        <f>IF(AG268=1,"X","")</f>
        <v/>
      </c>
      <c r="B268" s="74">
        <f>IF(OR(D269="Show",Q269="Show"),1,0)</f>
        <v>0</v>
      </c>
      <c r="D268" s="426"/>
      <c r="E268" s="426"/>
      <c r="F268" s="426"/>
      <c r="G268" s="426"/>
      <c r="H268" s="426"/>
      <c r="I268" s="426"/>
      <c r="J268" s="426"/>
      <c r="K268" s="426"/>
      <c r="L268" s="426"/>
      <c r="M268" s="426"/>
      <c r="N268" s="426"/>
      <c r="O268" s="426"/>
      <c r="P268" s="426"/>
      <c r="Q268" s="426"/>
      <c r="R268" s="426"/>
      <c r="S268" s="426"/>
      <c r="T268" s="426"/>
      <c r="U268" s="426"/>
      <c r="V268" s="426"/>
      <c r="W268" s="426"/>
      <c r="X268" s="426"/>
      <c r="Y268" s="426"/>
      <c r="Z268" s="426"/>
      <c r="AD268" s="82" t="s">
        <v>241</v>
      </c>
      <c r="AE268" s="52"/>
      <c r="AF268" s="13"/>
      <c r="AG268" s="13"/>
    </row>
    <row r="269" spans="1:33" ht="18" customHeight="1" x14ac:dyDescent="0.2">
      <c r="A269" s="73" t="str">
        <f t="shared" ref="A269:A272" si="85">IF(AG269=1,"X","")</f>
        <v/>
      </c>
      <c r="B269" s="74">
        <v>0</v>
      </c>
      <c r="D269" s="427" t="s">
        <v>309</v>
      </c>
      <c r="E269" s="427"/>
      <c r="F269" s="427"/>
      <c r="G269" s="427"/>
      <c r="H269" s="427"/>
      <c r="I269" s="427"/>
      <c r="J269" s="427"/>
      <c r="K269" s="427"/>
      <c r="L269" s="427"/>
      <c r="M269" s="427"/>
      <c r="N269" s="427"/>
      <c r="O269" s="84"/>
      <c r="P269" s="84"/>
      <c r="Q269" s="427" t="s">
        <v>309</v>
      </c>
      <c r="R269" s="427"/>
      <c r="S269" s="427"/>
      <c r="T269" s="427"/>
      <c r="U269" s="427"/>
      <c r="V269" s="427"/>
      <c r="W269" s="427"/>
      <c r="X269" s="427"/>
      <c r="Y269" s="427"/>
      <c r="Z269" s="427"/>
      <c r="AA269" s="65"/>
      <c r="AB269" s="75" t="s">
        <v>302</v>
      </c>
      <c r="AD269" s="80" t="s">
        <v>242</v>
      </c>
      <c r="AE269" s="27"/>
      <c r="AF269" s="74">
        <f>IF(OR(D269="Show",D269="",Q269="Show",Q269=""),1,0)</f>
        <v>0</v>
      </c>
      <c r="AG269" s="74">
        <f>IF(AND(SUM(AF:AF)&gt;0,OR(D269="",Q269="")),1,0)</f>
        <v>0</v>
      </c>
    </row>
    <row r="270" spans="1:33" ht="197.25" customHeight="1" x14ac:dyDescent="0.2">
      <c r="A270" s="73" t="str">
        <f t="shared" si="85"/>
        <v/>
      </c>
      <c r="B270" s="74">
        <f>B268</f>
        <v>0</v>
      </c>
      <c r="D270" s="427"/>
      <c r="E270" s="427"/>
      <c r="F270" s="427"/>
      <c r="G270" s="427"/>
      <c r="H270" s="427"/>
      <c r="I270" s="427"/>
      <c r="J270" s="427"/>
      <c r="K270" s="427"/>
      <c r="L270" s="427"/>
      <c r="M270" s="427"/>
      <c r="N270" s="427"/>
      <c r="O270" s="84"/>
      <c r="P270" s="84"/>
      <c r="Q270" s="427"/>
      <c r="R270" s="427"/>
      <c r="S270" s="427"/>
      <c r="T270" s="427"/>
      <c r="U270" s="427"/>
      <c r="V270" s="427"/>
      <c r="W270" s="427"/>
      <c r="X270" s="427"/>
      <c r="Y270" s="427"/>
      <c r="Z270" s="427"/>
      <c r="AA270" s="65"/>
      <c r="AB270" s="75" t="s">
        <v>301</v>
      </c>
      <c r="AD270" s="80" t="s">
        <v>242</v>
      </c>
      <c r="AE270" s="78"/>
      <c r="AF270" s="13"/>
      <c r="AG270" s="13"/>
    </row>
    <row r="271" spans="1:33" ht="18" customHeight="1" x14ac:dyDescent="0.2">
      <c r="A271" s="73" t="str">
        <f t="shared" si="85"/>
        <v/>
      </c>
      <c r="B271" s="74">
        <f>B270</f>
        <v>0</v>
      </c>
      <c r="D271" s="430"/>
      <c r="E271" s="430"/>
      <c r="F271" s="430"/>
      <c r="G271" s="430"/>
      <c r="H271" s="430"/>
      <c r="I271" s="430"/>
      <c r="J271" s="430"/>
      <c r="K271" s="430"/>
      <c r="L271" s="430"/>
      <c r="M271" s="430"/>
      <c r="N271" s="430"/>
      <c r="O271" s="84"/>
      <c r="P271" s="84"/>
      <c r="Q271" s="430"/>
      <c r="R271" s="430"/>
      <c r="S271" s="430"/>
      <c r="T271" s="430"/>
      <c r="U271" s="430"/>
      <c r="V271" s="430"/>
      <c r="W271" s="430"/>
      <c r="X271" s="430"/>
      <c r="Y271" s="430"/>
      <c r="Z271" s="430"/>
      <c r="AA271" s="65"/>
      <c r="AB271" s="75" t="s">
        <v>300</v>
      </c>
      <c r="AD271" s="80" t="s">
        <v>242</v>
      </c>
      <c r="AE271" s="78"/>
      <c r="AF271" s="74">
        <f>IF(OR(D269="Show",D269="",Q269="Show",Q269=""),1,0)</f>
        <v>0</v>
      </c>
      <c r="AG271" s="74">
        <f>IF(AND(SUM(AF:AF)&gt;0,OR(AND(D269="Show",D271=""),AND(Q269="Show",Q271=""))),1,0)</f>
        <v>0</v>
      </c>
    </row>
    <row r="272" spans="1:33" ht="8.5" customHeight="1" x14ac:dyDescent="0.15">
      <c r="A272" s="73" t="str">
        <f t="shared" si="85"/>
        <v/>
      </c>
      <c r="B272" s="74">
        <f>B271</f>
        <v>0</v>
      </c>
      <c r="D272" s="426"/>
      <c r="E272" s="426"/>
      <c r="F272" s="426"/>
      <c r="G272" s="426"/>
      <c r="H272" s="426"/>
      <c r="I272" s="426"/>
      <c r="J272" s="426"/>
      <c r="K272" s="426"/>
      <c r="L272" s="426"/>
      <c r="M272" s="426"/>
      <c r="N272" s="426"/>
      <c r="O272" s="426"/>
      <c r="P272" s="426"/>
      <c r="Q272" s="426"/>
      <c r="R272" s="426"/>
      <c r="S272" s="426"/>
      <c r="T272" s="426"/>
      <c r="U272" s="426"/>
      <c r="V272" s="426"/>
      <c r="W272" s="426"/>
      <c r="X272" s="426"/>
      <c r="Y272" s="426"/>
      <c r="Z272" s="426"/>
      <c r="AA272" s="65"/>
      <c r="AD272" s="82" t="s">
        <v>241</v>
      </c>
      <c r="AE272" s="52"/>
      <c r="AF272" s="13"/>
      <c r="AG272" s="13"/>
    </row>
    <row r="273" spans="1:33" ht="15.75" customHeight="1" x14ac:dyDescent="0.2">
      <c r="A273" s="73"/>
      <c r="B273" s="74">
        <v>0</v>
      </c>
      <c r="D273" s="443" t="s">
        <v>304</v>
      </c>
      <c r="E273" s="443"/>
      <c r="F273" s="443"/>
      <c r="G273" s="443"/>
      <c r="H273" s="443"/>
      <c r="I273" s="443"/>
      <c r="J273" s="443"/>
      <c r="K273" s="443"/>
      <c r="L273" s="443"/>
      <c r="M273" s="443"/>
      <c r="N273" s="443"/>
      <c r="O273" s="443"/>
      <c r="P273" s="443"/>
      <c r="Q273" s="443"/>
      <c r="R273" s="443"/>
      <c r="S273" s="443"/>
      <c r="T273" s="443"/>
      <c r="U273" s="443"/>
      <c r="V273" s="443"/>
      <c r="W273" s="443"/>
      <c r="X273" s="443"/>
      <c r="Y273" s="443"/>
      <c r="Z273" s="443"/>
      <c r="AB273" s="87" t="s">
        <v>314</v>
      </c>
      <c r="AD273" s="82" t="s">
        <v>288</v>
      </c>
      <c r="AE273" s="27"/>
      <c r="AF273" s="13"/>
      <c r="AG273" s="13"/>
    </row>
    <row r="274" spans="1:33" s="64" customFormat="1" ht="17.5" customHeight="1" x14ac:dyDescent="0.15">
      <c r="A274" s="73" t="str">
        <f t="shared" si="56"/>
        <v>X</v>
      </c>
      <c r="B274" s="81" t="str">
        <f>IF($B$221="","",IF($B$221=1,0,""))</f>
        <v/>
      </c>
      <c r="C274" s="66"/>
      <c r="D274" s="448" t="s">
        <v>202</v>
      </c>
      <c r="E274" s="448"/>
      <c r="F274" s="448"/>
      <c r="G274" s="448"/>
      <c r="H274" s="448"/>
      <c r="I274" s="448"/>
      <c r="J274" s="448"/>
      <c r="K274" s="448"/>
      <c r="L274" s="448"/>
      <c r="M274" s="448"/>
      <c r="N274" s="448"/>
      <c r="O274" s="448"/>
      <c r="P274" s="448"/>
      <c r="Q274" s="448"/>
      <c r="R274" s="448"/>
      <c r="S274" s="448"/>
      <c r="T274" s="474"/>
      <c r="U274" s="474"/>
      <c r="V274" s="127" t="s">
        <v>270</v>
      </c>
      <c r="W274" s="127"/>
      <c r="X274" s="127"/>
      <c r="Y274" s="127"/>
      <c r="Z274" s="127"/>
      <c r="AB274" s="75" t="s">
        <v>274</v>
      </c>
      <c r="AD274" s="80" t="s">
        <v>242</v>
      </c>
      <c r="AE274" s="52"/>
      <c r="AF274" s="74">
        <f>IF(OR(B274&lt;&gt;"",P274&lt;&gt;""),1,0)</f>
        <v>0</v>
      </c>
      <c r="AG274" s="74">
        <f>IF(AND(SUM(AF:AF)&gt;0,OR(AND(B274=1,T274=""),AND(B274="",T274=""),AND(B274="",T274&lt;&gt;""),AND(B274=0,T274&lt;&gt;""))),1,0)</f>
        <v>1</v>
      </c>
    </row>
    <row r="275" spans="1:33" ht="33.75" customHeight="1" x14ac:dyDescent="0.2">
      <c r="A275" s="73" t="str">
        <f t="shared" si="56"/>
        <v/>
      </c>
      <c r="B275" s="74">
        <f>IF(T274="",0,IF(T274&lt;20,1,0))</f>
        <v>0</v>
      </c>
      <c r="D275" s="429" t="s">
        <v>271</v>
      </c>
      <c r="E275" s="429"/>
      <c r="F275" s="429"/>
      <c r="G275" s="429"/>
      <c r="H275" s="429"/>
      <c r="I275" s="429"/>
      <c r="J275" s="429"/>
      <c r="K275" s="429"/>
      <c r="L275" s="429"/>
      <c r="M275" s="429"/>
      <c r="N275" s="429"/>
      <c r="O275" s="429"/>
      <c r="P275" s="429"/>
      <c r="Q275" s="429"/>
      <c r="R275" s="429"/>
      <c r="S275" s="429"/>
      <c r="T275" s="429"/>
      <c r="U275" s="429"/>
      <c r="V275" s="429"/>
      <c r="W275" s="429"/>
      <c r="X275" s="429"/>
      <c r="Y275" s="429"/>
      <c r="Z275" s="429"/>
      <c r="AB275" s="87" t="s">
        <v>315</v>
      </c>
      <c r="AD275" s="80" t="s">
        <v>242</v>
      </c>
      <c r="AE275" s="78"/>
      <c r="AF275" s="13"/>
      <c r="AG275" s="13"/>
    </row>
    <row r="276" spans="1:33" ht="27.5" customHeight="1" x14ac:dyDescent="0.2">
      <c r="A276" s="73" t="str">
        <f t="shared" si="56"/>
        <v/>
      </c>
      <c r="B276" s="74">
        <f>IF(T274&gt;=20,1,0)</f>
        <v>0</v>
      </c>
      <c r="D276" s="429" t="s">
        <v>273</v>
      </c>
      <c r="E276" s="429"/>
      <c r="F276" s="429"/>
      <c r="G276" s="429"/>
      <c r="H276" s="429"/>
      <c r="I276" s="429"/>
      <c r="J276" s="429"/>
      <c r="K276" s="429"/>
      <c r="L276" s="429"/>
      <c r="M276" s="429"/>
      <c r="N276" s="429"/>
      <c r="O276" s="429"/>
      <c r="P276" s="429"/>
      <c r="Q276" s="429"/>
      <c r="R276" s="429"/>
      <c r="S276" s="429"/>
      <c r="T276" s="429"/>
      <c r="U276" s="429"/>
      <c r="V276" s="429"/>
      <c r="W276" s="429"/>
      <c r="X276" s="429"/>
      <c r="Y276" s="429"/>
      <c r="Z276" s="429"/>
      <c r="AB276" s="87" t="s">
        <v>315</v>
      </c>
      <c r="AD276" s="80" t="s">
        <v>242</v>
      </c>
      <c r="AE276" s="78"/>
      <c r="AF276" s="13"/>
      <c r="AG276" s="13"/>
    </row>
    <row r="277" spans="1:33" ht="33" customHeight="1" x14ac:dyDescent="0.2">
      <c r="A277" s="73" t="str">
        <f>IF(AG277=1,"X","")</f>
        <v>X</v>
      </c>
      <c r="B277" s="81" t="str">
        <f>IF($B$221="","",IF($B$221=1,0,""))</f>
        <v/>
      </c>
      <c r="D277" s="463" t="s">
        <v>204</v>
      </c>
      <c r="E277" s="463"/>
      <c r="F277" s="463"/>
      <c r="G277" s="463"/>
      <c r="H277" s="463"/>
      <c r="I277" s="463"/>
      <c r="J277" s="463"/>
      <c r="K277" s="463"/>
      <c r="L277" s="463"/>
      <c r="M277" s="463"/>
      <c r="N277" s="463"/>
      <c r="O277" s="463"/>
      <c r="P277" s="463"/>
      <c r="Q277" s="463"/>
      <c r="R277" s="463"/>
      <c r="S277" s="463"/>
      <c r="T277" s="463"/>
      <c r="U277" s="463"/>
      <c r="V277" s="463"/>
      <c r="W277" s="463"/>
      <c r="X277" s="463"/>
      <c r="Y277" s="463"/>
      <c r="Z277" s="463"/>
      <c r="AB277" s="75" t="s">
        <v>246</v>
      </c>
      <c r="AD277" s="80" t="s">
        <v>242</v>
      </c>
      <c r="AE277" s="78"/>
      <c r="AF277" s="74">
        <f>IF(B277&lt;&gt;"",1,0)</f>
        <v>0</v>
      </c>
      <c r="AG277" s="74">
        <f>IF(AND(SUM(AF:AF)&gt;0,B277=""),1,0)</f>
        <v>1</v>
      </c>
    </row>
    <row r="278" spans="1:33" ht="33" customHeight="1" x14ac:dyDescent="0.2">
      <c r="A278" s="73" t="str">
        <f t="shared" si="56"/>
        <v>X</v>
      </c>
      <c r="B278" s="81" t="str">
        <f>IF($B$221="","",IF($B$221=1,0,""))</f>
        <v/>
      </c>
      <c r="D278" s="463" t="s">
        <v>203</v>
      </c>
      <c r="E278" s="463"/>
      <c r="F278" s="463"/>
      <c r="G278" s="463"/>
      <c r="H278" s="463"/>
      <c r="I278" s="463"/>
      <c r="J278" s="463"/>
      <c r="K278" s="463"/>
      <c r="L278" s="463"/>
      <c r="M278" s="463"/>
      <c r="N278" s="463"/>
      <c r="O278" s="463"/>
      <c r="P278" s="463"/>
      <c r="Q278" s="463"/>
      <c r="R278" s="463"/>
      <c r="S278" s="463"/>
      <c r="T278" s="463"/>
      <c r="U278" s="463"/>
      <c r="V278" s="463"/>
      <c r="W278" s="463"/>
      <c r="X278" s="463"/>
      <c r="Y278" s="463"/>
      <c r="Z278" s="463"/>
      <c r="AB278" s="75" t="s">
        <v>246</v>
      </c>
      <c r="AD278" s="80" t="s">
        <v>242</v>
      </c>
      <c r="AE278" s="78"/>
      <c r="AF278" s="74">
        <f t="shared" ref="AF278" si="86">IF(B278&lt;&gt;"",1,0)</f>
        <v>0</v>
      </c>
      <c r="AG278" s="74">
        <f>IF(AND(SUM(AF:AF)&gt;0,B278=""),1,0)</f>
        <v>1</v>
      </c>
    </row>
    <row r="279" spans="1:33" ht="21" customHeight="1" x14ac:dyDescent="0.2">
      <c r="A279" s="73" t="str">
        <f t="shared" si="56"/>
        <v/>
      </c>
      <c r="B279" s="74">
        <v>0</v>
      </c>
      <c r="D279" s="446" t="s">
        <v>299</v>
      </c>
      <c r="E279" s="446"/>
      <c r="F279" s="446"/>
      <c r="G279" s="446"/>
      <c r="H279" s="446"/>
      <c r="I279" s="446"/>
      <c r="J279" s="446"/>
      <c r="K279" s="446"/>
      <c r="L279" s="446"/>
      <c r="M279" s="446"/>
      <c r="N279" s="446"/>
      <c r="O279" s="446"/>
      <c r="P279" s="446"/>
      <c r="Q279" s="446"/>
      <c r="R279" s="446"/>
      <c r="S279" s="446"/>
      <c r="T279" s="446"/>
      <c r="U279" s="446"/>
      <c r="V279" s="446"/>
      <c r="W279" s="446"/>
      <c r="X279" s="446"/>
      <c r="Y279" s="446"/>
      <c r="Z279" s="446"/>
      <c r="AB279" s="87" t="s">
        <v>314</v>
      </c>
      <c r="AD279" s="82" t="s">
        <v>288</v>
      </c>
      <c r="AE279" s="27"/>
      <c r="AF279" s="13"/>
      <c r="AG279" s="13"/>
    </row>
    <row r="280" spans="1:33" ht="15.75" customHeight="1" x14ac:dyDescent="0.2">
      <c r="A280" s="73"/>
      <c r="B280" s="74">
        <v>0</v>
      </c>
      <c r="D280" s="443" t="s">
        <v>303</v>
      </c>
      <c r="E280" s="443"/>
      <c r="F280" s="443"/>
      <c r="G280" s="443"/>
      <c r="H280" s="443"/>
      <c r="I280" s="443"/>
      <c r="J280" s="443"/>
      <c r="K280" s="443"/>
      <c r="L280" s="443"/>
      <c r="M280" s="443"/>
      <c r="N280" s="443"/>
      <c r="O280" s="443"/>
      <c r="P280" s="443"/>
      <c r="Q280" s="443"/>
      <c r="R280" s="443"/>
      <c r="S280" s="443"/>
      <c r="T280" s="443"/>
      <c r="U280" s="443"/>
      <c r="V280" s="443"/>
      <c r="W280" s="443"/>
      <c r="X280" s="443"/>
      <c r="Y280" s="443"/>
      <c r="Z280" s="443"/>
      <c r="AB280" s="87" t="s">
        <v>314</v>
      </c>
      <c r="AD280" s="82" t="s">
        <v>288</v>
      </c>
      <c r="AE280" s="27"/>
      <c r="AF280" s="13"/>
      <c r="AG280" s="13"/>
    </row>
    <row r="281" spans="1:33" ht="8.5" customHeight="1" x14ac:dyDescent="0.15">
      <c r="A281" s="73" t="str">
        <f>IF(AG281=1,"X","")</f>
        <v/>
      </c>
      <c r="B281" s="74">
        <f>IF(OR(D282="Show",Q282="Show"),1,0)</f>
        <v>0</v>
      </c>
      <c r="D281" s="426"/>
      <c r="E281" s="426"/>
      <c r="F281" s="426"/>
      <c r="G281" s="426"/>
      <c r="H281" s="426"/>
      <c r="I281" s="426"/>
      <c r="J281" s="426"/>
      <c r="K281" s="426"/>
      <c r="L281" s="426"/>
      <c r="M281" s="426"/>
      <c r="N281" s="426"/>
      <c r="O281" s="426"/>
      <c r="P281" s="426"/>
      <c r="Q281" s="426"/>
      <c r="R281" s="426"/>
      <c r="S281" s="426"/>
      <c r="T281" s="426"/>
      <c r="U281" s="426"/>
      <c r="V281" s="426"/>
      <c r="W281" s="426"/>
      <c r="X281" s="426"/>
      <c r="Y281" s="426"/>
      <c r="Z281" s="426"/>
      <c r="AD281" s="82" t="s">
        <v>241</v>
      </c>
      <c r="AE281" s="52"/>
      <c r="AF281" s="13"/>
      <c r="AG281" s="13"/>
    </row>
    <row r="282" spans="1:33" ht="18" customHeight="1" x14ac:dyDescent="0.2">
      <c r="A282" s="73" t="str">
        <f t="shared" ref="A282:A285" si="87">IF(AG282=1,"X","")</f>
        <v/>
      </c>
      <c r="B282" s="74">
        <v>0</v>
      </c>
      <c r="D282" s="427" t="s">
        <v>309</v>
      </c>
      <c r="E282" s="427"/>
      <c r="F282" s="427"/>
      <c r="G282" s="427"/>
      <c r="H282" s="427"/>
      <c r="I282" s="427"/>
      <c r="J282" s="427"/>
      <c r="K282" s="427"/>
      <c r="L282" s="427"/>
      <c r="M282" s="427"/>
      <c r="N282" s="427"/>
      <c r="O282" s="84"/>
      <c r="P282" s="84"/>
      <c r="Q282" s="427" t="s">
        <v>309</v>
      </c>
      <c r="R282" s="427"/>
      <c r="S282" s="427"/>
      <c r="T282" s="427"/>
      <c r="U282" s="427"/>
      <c r="V282" s="427"/>
      <c r="W282" s="427"/>
      <c r="X282" s="427"/>
      <c r="Y282" s="427"/>
      <c r="Z282" s="427"/>
      <c r="AA282" s="65"/>
      <c r="AB282" s="75" t="s">
        <v>302</v>
      </c>
      <c r="AD282" s="80" t="s">
        <v>242</v>
      </c>
      <c r="AE282" s="27"/>
      <c r="AF282" s="74">
        <f>IF(OR(D282="Show",D282="",Q282="Show",Q282=""),1,0)</f>
        <v>0</v>
      </c>
      <c r="AG282" s="74">
        <f>IF(AND(SUM(AF:AF)&gt;0,OR(D282="",Q282="")),1,0)</f>
        <v>0</v>
      </c>
    </row>
    <row r="283" spans="1:33" ht="197.25" customHeight="1" x14ac:dyDescent="0.2">
      <c r="A283" s="73" t="str">
        <f t="shared" si="87"/>
        <v/>
      </c>
      <c r="B283" s="74">
        <f>B281</f>
        <v>0</v>
      </c>
      <c r="D283" s="427"/>
      <c r="E283" s="427"/>
      <c r="F283" s="427"/>
      <c r="G283" s="427"/>
      <c r="H283" s="427"/>
      <c r="I283" s="427"/>
      <c r="J283" s="427"/>
      <c r="K283" s="427"/>
      <c r="L283" s="427"/>
      <c r="M283" s="427"/>
      <c r="N283" s="427"/>
      <c r="O283" s="84"/>
      <c r="P283" s="84"/>
      <c r="Q283" s="427"/>
      <c r="R283" s="427"/>
      <c r="S283" s="427"/>
      <c r="T283" s="427"/>
      <c r="U283" s="427"/>
      <c r="V283" s="427"/>
      <c r="W283" s="427"/>
      <c r="X283" s="427"/>
      <c r="Y283" s="427"/>
      <c r="Z283" s="427"/>
      <c r="AA283" s="65"/>
      <c r="AB283" s="75" t="s">
        <v>301</v>
      </c>
      <c r="AD283" s="80" t="s">
        <v>242</v>
      </c>
      <c r="AE283" s="78"/>
      <c r="AF283" s="13"/>
      <c r="AG283" s="13"/>
    </row>
    <row r="284" spans="1:33" ht="18" customHeight="1" x14ac:dyDescent="0.2">
      <c r="A284" s="73" t="str">
        <f t="shared" si="87"/>
        <v/>
      </c>
      <c r="B284" s="74">
        <f>B283</f>
        <v>0</v>
      </c>
      <c r="D284" s="430"/>
      <c r="E284" s="430"/>
      <c r="F284" s="430"/>
      <c r="G284" s="430"/>
      <c r="H284" s="430"/>
      <c r="I284" s="430"/>
      <c r="J284" s="430"/>
      <c r="K284" s="430"/>
      <c r="L284" s="430"/>
      <c r="M284" s="430"/>
      <c r="N284" s="430"/>
      <c r="O284" s="84"/>
      <c r="P284" s="84"/>
      <c r="Q284" s="430"/>
      <c r="R284" s="430"/>
      <c r="S284" s="430"/>
      <c r="T284" s="430"/>
      <c r="U284" s="430"/>
      <c r="V284" s="430"/>
      <c r="W284" s="430"/>
      <c r="X284" s="430"/>
      <c r="Y284" s="430"/>
      <c r="Z284" s="430"/>
      <c r="AA284" s="65"/>
      <c r="AB284" s="75" t="s">
        <v>300</v>
      </c>
      <c r="AD284" s="80" t="s">
        <v>242</v>
      </c>
      <c r="AE284" s="78"/>
      <c r="AF284" s="74">
        <f>IF(OR(D282="Show",D282="",Q282="Show",Q282=""),1,0)</f>
        <v>0</v>
      </c>
      <c r="AG284" s="74">
        <f>IF(AND(SUM(AF:AF)&gt;0,OR(AND(D282="Show",D284=""),AND(Q282="Show",Q284=""))),1,0)</f>
        <v>0</v>
      </c>
    </row>
    <row r="285" spans="1:33" ht="8.5" customHeight="1" x14ac:dyDescent="0.15">
      <c r="A285" s="73" t="str">
        <f t="shared" si="87"/>
        <v/>
      </c>
      <c r="B285" s="74">
        <f>B284</f>
        <v>0</v>
      </c>
      <c r="D285" s="426"/>
      <c r="E285" s="426"/>
      <c r="F285" s="426"/>
      <c r="G285" s="426"/>
      <c r="H285" s="426"/>
      <c r="I285" s="426"/>
      <c r="J285" s="426"/>
      <c r="K285" s="426"/>
      <c r="L285" s="426"/>
      <c r="M285" s="426"/>
      <c r="N285" s="426"/>
      <c r="O285" s="426"/>
      <c r="P285" s="426"/>
      <c r="Q285" s="426"/>
      <c r="R285" s="426"/>
      <c r="S285" s="426"/>
      <c r="T285" s="426"/>
      <c r="U285" s="426"/>
      <c r="V285" s="426"/>
      <c r="W285" s="426"/>
      <c r="X285" s="426"/>
      <c r="Y285" s="426"/>
      <c r="Z285" s="426"/>
      <c r="AA285" s="65"/>
      <c r="AD285" s="82" t="s">
        <v>241</v>
      </c>
      <c r="AE285" s="52"/>
      <c r="AF285" s="13"/>
      <c r="AG285" s="13"/>
    </row>
    <row r="286" spans="1:33" ht="15.75" customHeight="1" x14ac:dyDescent="0.2">
      <c r="A286" s="73"/>
      <c r="B286" s="74">
        <v>0</v>
      </c>
      <c r="D286" s="443" t="s">
        <v>304</v>
      </c>
      <c r="E286" s="443"/>
      <c r="F286" s="443"/>
      <c r="G286" s="443"/>
      <c r="H286" s="443"/>
      <c r="I286" s="443"/>
      <c r="J286" s="443"/>
      <c r="K286" s="443"/>
      <c r="L286" s="443"/>
      <c r="M286" s="443"/>
      <c r="N286" s="443"/>
      <c r="O286" s="443"/>
      <c r="P286" s="443"/>
      <c r="Q286" s="443"/>
      <c r="R286" s="443"/>
      <c r="S286" s="443"/>
      <c r="T286" s="443"/>
      <c r="U286" s="443"/>
      <c r="V286" s="443"/>
      <c r="W286" s="443"/>
      <c r="X286" s="443"/>
      <c r="Y286" s="443"/>
      <c r="Z286" s="443"/>
      <c r="AB286" s="87" t="s">
        <v>314</v>
      </c>
      <c r="AD286" s="82" t="s">
        <v>288</v>
      </c>
      <c r="AE286" s="27"/>
      <c r="AF286" s="13"/>
      <c r="AG286" s="13"/>
    </row>
    <row r="287" spans="1:33" ht="21" customHeight="1" x14ac:dyDescent="0.15">
      <c r="A287" s="73" t="str">
        <f t="shared" si="56"/>
        <v>X</v>
      </c>
      <c r="B287" s="81" t="str">
        <f t="shared" ref="B287:B299" si="88">IF($B$221="","",IF($B$221=1,0,""))</f>
        <v/>
      </c>
      <c r="D287" s="440" t="s">
        <v>278</v>
      </c>
      <c r="E287" s="440"/>
      <c r="F287" s="440"/>
      <c r="G287" s="440"/>
      <c r="H287" s="440"/>
      <c r="I287" s="440"/>
      <c r="J287" s="440"/>
      <c r="K287" s="440"/>
      <c r="L287" s="440"/>
      <c r="M287" s="440"/>
      <c r="N287" s="440"/>
      <c r="O287" s="440"/>
      <c r="P287" s="440"/>
      <c r="Q287" s="440"/>
      <c r="R287" s="440"/>
      <c r="S287" s="440"/>
      <c r="T287" s="440"/>
      <c r="U287" s="440"/>
      <c r="V287" s="440"/>
      <c r="W287" s="440"/>
      <c r="X287" s="440"/>
      <c r="Y287" s="440"/>
      <c r="Z287" s="440"/>
      <c r="AB287" s="75" t="s">
        <v>246</v>
      </c>
      <c r="AD287" s="80" t="s">
        <v>242</v>
      </c>
      <c r="AE287" s="52"/>
      <c r="AF287" s="74">
        <f t="shared" ref="AF287" si="89">IF(B287&lt;&gt;"",1,0)</f>
        <v>0</v>
      </c>
      <c r="AG287" s="74">
        <f>IF(AND(SUM(AF:AF)&gt;0,B287=""),1,0)</f>
        <v>1</v>
      </c>
    </row>
    <row r="288" spans="1:33" s="67" customFormat="1" ht="17.75" customHeight="1" x14ac:dyDescent="0.15">
      <c r="A288" s="73" t="str">
        <f t="shared" si="56"/>
        <v>X</v>
      </c>
      <c r="B288" s="81" t="str">
        <f t="shared" si="88"/>
        <v/>
      </c>
      <c r="D288" s="472" t="s">
        <v>205</v>
      </c>
      <c r="E288" s="472"/>
      <c r="F288" s="472"/>
      <c r="G288" s="97"/>
      <c r="H288" s="432" t="s">
        <v>488</v>
      </c>
      <c r="I288" s="432"/>
      <c r="J288" s="432"/>
      <c r="K288" s="432"/>
      <c r="L288" s="432"/>
      <c r="M288" s="432"/>
      <c r="N288" s="432"/>
      <c r="O288" s="432"/>
      <c r="P288" s="432"/>
      <c r="Q288" s="432"/>
      <c r="R288" s="432"/>
      <c r="S288" s="432"/>
      <c r="T288" s="432"/>
      <c r="U288" s="432"/>
      <c r="V288" s="432"/>
      <c r="W288" s="432"/>
      <c r="X288" s="432"/>
      <c r="Y288" s="432"/>
      <c r="Z288" s="432"/>
      <c r="AB288" s="75" t="s">
        <v>268</v>
      </c>
      <c r="AD288" s="80" t="s">
        <v>242</v>
      </c>
      <c r="AE288" s="78"/>
      <c r="AF288" s="74">
        <f t="shared" ref="AF288" si="90">IF(B288&lt;&gt;"",1,0)</f>
        <v>0</v>
      </c>
      <c r="AG288" s="74">
        <f>IF(AND(SUM(AF:AF)&gt;0,OR(AND(B288=1,G288=""),AND(B288="",G288=""),AND(B288="",G288&lt;&gt;""),AND(B288=0,G288&lt;&gt;""))),1,0)</f>
        <v>1</v>
      </c>
    </row>
    <row r="289" spans="1:33" s="67" customFormat="1" ht="17.75" customHeight="1" x14ac:dyDescent="0.15">
      <c r="A289" s="73" t="str">
        <f t="shared" ref="A289" si="91">IF(AG289=1,"X","")</f>
        <v>X</v>
      </c>
      <c r="B289" s="81" t="str">
        <f t="shared" si="88"/>
        <v/>
      </c>
      <c r="D289" s="472" t="s">
        <v>487</v>
      </c>
      <c r="E289" s="472"/>
      <c r="F289" s="472"/>
      <c r="G289" s="97"/>
      <c r="H289" s="432" t="s">
        <v>489</v>
      </c>
      <c r="I289" s="432"/>
      <c r="J289" s="432"/>
      <c r="K289" s="432"/>
      <c r="L289" s="432"/>
      <c r="M289" s="432"/>
      <c r="N289" s="432"/>
      <c r="O289" s="432"/>
      <c r="P289" s="432"/>
      <c r="Q289" s="432"/>
      <c r="R289" s="432"/>
      <c r="S289" s="432"/>
      <c r="T289" s="432"/>
      <c r="U289" s="432"/>
      <c r="V289" s="432"/>
      <c r="W289" s="432"/>
      <c r="X289" s="432"/>
      <c r="Y289" s="432"/>
      <c r="Z289" s="432"/>
      <c r="AB289" s="75" t="s">
        <v>268</v>
      </c>
      <c r="AD289" s="80" t="s">
        <v>242</v>
      </c>
      <c r="AE289" s="78"/>
      <c r="AF289" s="74">
        <f t="shared" ref="AF289" si="92">IF(B289&lt;&gt;"",1,0)</f>
        <v>0</v>
      </c>
      <c r="AG289" s="74">
        <f>IF(AND(SUM(AF:AF)&gt;0,OR(AND(B289=1,G289=""),AND(B289="",G289=""),AND(B289="",G289&lt;&gt;""),AND(B289=0,G289&lt;&gt;""))),1,0)</f>
        <v>1</v>
      </c>
    </row>
    <row r="290" spans="1:33" s="67" customFormat="1" ht="17" customHeight="1" x14ac:dyDescent="0.15">
      <c r="A290" s="73" t="str">
        <f t="shared" si="56"/>
        <v>X</v>
      </c>
      <c r="B290" s="81" t="str">
        <f t="shared" si="88"/>
        <v/>
      </c>
      <c r="D290" s="432" t="s">
        <v>206</v>
      </c>
      <c r="E290" s="432"/>
      <c r="F290" s="97"/>
      <c r="G290" s="98" t="s">
        <v>172</v>
      </c>
      <c r="H290" s="424" t="s">
        <v>490</v>
      </c>
      <c r="I290" s="424"/>
      <c r="J290" s="424"/>
      <c r="K290" s="424"/>
      <c r="L290" s="424"/>
      <c r="M290" s="424"/>
      <c r="N290" s="424"/>
      <c r="O290" s="424"/>
      <c r="P290" s="424"/>
      <c r="Q290" s="424"/>
      <c r="R290" s="424"/>
      <c r="S290" s="424"/>
      <c r="T290" s="424"/>
      <c r="U290" s="424"/>
      <c r="V290" s="424"/>
      <c r="W290" s="424"/>
      <c r="X290" s="424"/>
      <c r="Y290" s="424"/>
      <c r="Z290" s="424"/>
      <c r="AB290" s="75" t="s">
        <v>268</v>
      </c>
      <c r="AD290" s="80" t="s">
        <v>242</v>
      </c>
      <c r="AE290" s="78"/>
      <c r="AF290" s="74">
        <f t="shared" ref="AF290:AF291" si="93">IF(B290&lt;&gt;"",1,0)</f>
        <v>0</v>
      </c>
      <c r="AG290" s="74">
        <f>IF(AND(SUM(AF:AF)&gt;0,OR(AND(B290=1,F290=""),AND(B290="",F290=""),AND(B290="",F290&lt;&gt;""),AND(B290=0,F290&lt;&gt;""))),1,0)</f>
        <v>1</v>
      </c>
    </row>
    <row r="291" spans="1:33" ht="48" customHeight="1" x14ac:dyDescent="0.2">
      <c r="A291" s="73" t="str">
        <f t="shared" si="56"/>
        <v>X</v>
      </c>
      <c r="B291" s="81" t="str">
        <f t="shared" si="88"/>
        <v/>
      </c>
      <c r="D291" s="424" t="s">
        <v>207</v>
      </c>
      <c r="E291" s="424"/>
      <c r="F291" s="424"/>
      <c r="G291" s="424"/>
      <c r="H291" s="424"/>
      <c r="I291" s="424"/>
      <c r="J291" s="424"/>
      <c r="K291" s="424"/>
      <c r="L291" s="424"/>
      <c r="M291" s="424"/>
      <c r="N291" s="424"/>
      <c r="O291" s="424"/>
      <c r="P291" s="424"/>
      <c r="Q291" s="424"/>
      <c r="R291" s="424"/>
      <c r="S291" s="424"/>
      <c r="T291" s="424"/>
      <c r="U291" s="424"/>
      <c r="V291" s="424"/>
      <c r="W291" s="424"/>
      <c r="X291" s="424"/>
      <c r="Y291" s="424"/>
      <c r="Z291" s="424"/>
      <c r="AB291" s="75" t="s">
        <v>246</v>
      </c>
      <c r="AD291" s="80" t="s">
        <v>242</v>
      </c>
      <c r="AE291" s="78"/>
      <c r="AF291" s="74">
        <f t="shared" si="93"/>
        <v>0</v>
      </c>
      <c r="AG291" s="74">
        <f>IF(AND(SUM(AF:AF)&gt;0,B291=""),1,0)</f>
        <v>1</v>
      </c>
    </row>
    <row r="292" spans="1:33" s="67" customFormat="1" ht="17.75" customHeight="1" x14ac:dyDescent="0.15">
      <c r="A292" s="73" t="str">
        <f t="shared" si="56"/>
        <v>X</v>
      </c>
      <c r="B292" s="81" t="str">
        <f t="shared" si="88"/>
        <v/>
      </c>
      <c r="C292" s="68"/>
      <c r="D292" s="93" t="s">
        <v>208</v>
      </c>
      <c r="E292" s="97"/>
      <c r="F292" s="432" t="s">
        <v>277</v>
      </c>
      <c r="G292" s="432"/>
      <c r="H292" s="432"/>
      <c r="I292" s="432"/>
      <c r="J292" s="432"/>
      <c r="K292" s="432"/>
      <c r="L292" s="432"/>
      <c r="M292" s="432"/>
      <c r="N292" s="432"/>
      <c r="O292" s="432"/>
      <c r="P292" s="432"/>
      <c r="Q292" s="432"/>
      <c r="R292" s="432"/>
      <c r="S292" s="432"/>
      <c r="T292" s="432"/>
      <c r="U292" s="432"/>
      <c r="V292" s="432"/>
      <c r="W292" s="432"/>
      <c r="X292" s="432"/>
      <c r="Y292" s="432"/>
      <c r="Z292" s="432"/>
      <c r="AB292" s="75" t="s">
        <v>268</v>
      </c>
      <c r="AD292" s="80" t="s">
        <v>242</v>
      </c>
      <c r="AE292" s="78"/>
      <c r="AF292" s="74">
        <f t="shared" ref="AF292:AF293" si="94">IF(B292&lt;&gt;"",1,0)</f>
        <v>0</v>
      </c>
      <c r="AG292" s="74">
        <f>IF(AND(SUM(AF:AF)&gt;0,OR(AND(B292=1,E292=""),AND(B292="",E292=""),AND(B292="",E292&lt;&gt;""),AND(B292=0,E292&lt;&gt;""))),1,0)</f>
        <v>1</v>
      </c>
    </row>
    <row r="293" spans="1:33" s="64" customFormat="1" ht="31.5" customHeight="1" x14ac:dyDescent="0.2">
      <c r="A293" s="73" t="str">
        <f t="shared" si="56"/>
        <v>X</v>
      </c>
      <c r="B293" s="81" t="str">
        <f t="shared" si="88"/>
        <v/>
      </c>
      <c r="C293" s="66"/>
      <c r="D293" s="442" t="s">
        <v>209</v>
      </c>
      <c r="E293" s="442"/>
      <c r="F293" s="442"/>
      <c r="G293" s="442"/>
      <c r="H293" s="442"/>
      <c r="I293" s="442"/>
      <c r="J293" s="442"/>
      <c r="K293" s="442"/>
      <c r="L293" s="442"/>
      <c r="M293" s="442"/>
      <c r="N293" s="442"/>
      <c r="O293" s="442"/>
      <c r="P293" s="442"/>
      <c r="Q293" s="442"/>
      <c r="R293" s="442"/>
      <c r="S293" s="442"/>
      <c r="T293" s="442"/>
      <c r="U293" s="442"/>
      <c r="V293" s="442"/>
      <c r="W293" s="442"/>
      <c r="X293" s="442"/>
      <c r="Y293" s="442"/>
      <c r="Z293" s="442"/>
      <c r="AB293" s="75" t="s">
        <v>246</v>
      </c>
      <c r="AD293" s="80" t="s">
        <v>242</v>
      </c>
      <c r="AE293" s="78"/>
      <c r="AF293" s="74">
        <f t="shared" si="94"/>
        <v>0</v>
      </c>
      <c r="AG293" s="74">
        <f t="shared" ref="AG293:AG299" si="95">IF(AND(SUM(AF:AF)&gt;0,B293=""),1,0)</f>
        <v>1</v>
      </c>
    </row>
    <row r="294" spans="1:33" s="64" customFormat="1" ht="16" x14ac:dyDescent="0.2">
      <c r="A294" s="73" t="str">
        <f t="shared" ref="A294" si="96">IF(AG294=1,"X","")</f>
        <v>X</v>
      </c>
      <c r="B294" s="81" t="str">
        <f t="shared" si="88"/>
        <v/>
      </c>
      <c r="C294" s="66"/>
      <c r="D294" s="442" t="s">
        <v>280</v>
      </c>
      <c r="E294" s="442"/>
      <c r="F294" s="442"/>
      <c r="G294" s="442"/>
      <c r="H294" s="442"/>
      <c r="I294" s="442"/>
      <c r="J294" s="442"/>
      <c r="K294" s="442"/>
      <c r="L294" s="442"/>
      <c r="M294" s="442"/>
      <c r="N294" s="442"/>
      <c r="O294" s="442"/>
      <c r="P294" s="442"/>
      <c r="Q294" s="442"/>
      <c r="R294" s="442"/>
      <c r="S294" s="442"/>
      <c r="T294" s="442"/>
      <c r="U294" s="442"/>
      <c r="V294" s="442"/>
      <c r="W294" s="442"/>
      <c r="X294" s="442"/>
      <c r="Y294" s="442"/>
      <c r="Z294" s="442"/>
      <c r="AB294" s="75" t="s">
        <v>246</v>
      </c>
      <c r="AD294" s="80" t="s">
        <v>242</v>
      </c>
      <c r="AE294" s="78"/>
      <c r="AF294" s="74">
        <f t="shared" ref="AF294:AF299" si="97">IF(B294&lt;&gt;"",1,0)</f>
        <v>0</v>
      </c>
      <c r="AG294" s="74">
        <f t="shared" si="95"/>
        <v>1</v>
      </c>
    </row>
    <row r="295" spans="1:33" s="64" customFormat="1" ht="21" customHeight="1" x14ac:dyDescent="0.15">
      <c r="A295" s="73" t="str">
        <f t="shared" si="56"/>
        <v>X</v>
      </c>
      <c r="B295" s="81" t="str">
        <f t="shared" si="88"/>
        <v/>
      </c>
      <c r="C295" s="66"/>
      <c r="D295" s="440" t="s">
        <v>210</v>
      </c>
      <c r="E295" s="440"/>
      <c r="F295" s="440"/>
      <c r="G295" s="440"/>
      <c r="H295" s="440"/>
      <c r="I295" s="440"/>
      <c r="J295" s="440"/>
      <c r="K295" s="440"/>
      <c r="L295" s="440"/>
      <c r="M295" s="440"/>
      <c r="N295" s="440"/>
      <c r="O295" s="440"/>
      <c r="P295" s="440"/>
      <c r="Q295" s="440"/>
      <c r="R295" s="440"/>
      <c r="S295" s="440"/>
      <c r="T295" s="440"/>
      <c r="U295" s="440"/>
      <c r="V295" s="440"/>
      <c r="W295" s="440"/>
      <c r="X295" s="440"/>
      <c r="Y295" s="440"/>
      <c r="Z295" s="440"/>
      <c r="AB295" s="75" t="s">
        <v>246</v>
      </c>
      <c r="AD295" s="80" t="s">
        <v>242</v>
      </c>
      <c r="AE295" s="78"/>
      <c r="AF295" s="74">
        <f t="shared" si="97"/>
        <v>0</v>
      </c>
      <c r="AG295" s="74">
        <f t="shared" si="95"/>
        <v>1</v>
      </c>
    </row>
    <row r="296" spans="1:33" ht="17.5" customHeight="1" x14ac:dyDescent="0.2">
      <c r="A296" s="73" t="str">
        <f t="shared" si="56"/>
        <v>X</v>
      </c>
      <c r="B296" s="81" t="str">
        <f t="shared" si="88"/>
        <v/>
      </c>
      <c r="D296" s="429" t="s">
        <v>275</v>
      </c>
      <c r="E296" s="429"/>
      <c r="F296" s="429"/>
      <c r="G296" s="429"/>
      <c r="H296" s="429"/>
      <c r="I296" s="429"/>
      <c r="J296" s="429"/>
      <c r="K296" s="429"/>
      <c r="L296" s="429"/>
      <c r="M296" s="429"/>
      <c r="N296" s="429"/>
      <c r="O296" s="429"/>
      <c r="P296" s="429"/>
      <c r="Q296" s="429"/>
      <c r="R296" s="429"/>
      <c r="S296" s="429"/>
      <c r="T296" s="429"/>
      <c r="U296" s="429"/>
      <c r="V296" s="429"/>
      <c r="W296" s="429"/>
      <c r="X296" s="429"/>
      <c r="Y296" s="429"/>
      <c r="Z296" s="429"/>
      <c r="AB296" s="75" t="s">
        <v>246</v>
      </c>
      <c r="AD296" s="80" t="s">
        <v>242</v>
      </c>
      <c r="AE296" s="78"/>
      <c r="AF296" s="74">
        <f t="shared" si="97"/>
        <v>0</v>
      </c>
      <c r="AG296" s="74">
        <f t="shared" si="95"/>
        <v>1</v>
      </c>
    </row>
    <row r="297" spans="1:33" ht="21" customHeight="1" x14ac:dyDescent="0.15">
      <c r="A297" s="73" t="str">
        <f t="shared" si="56"/>
        <v>X</v>
      </c>
      <c r="B297" s="81" t="str">
        <f t="shared" si="88"/>
        <v/>
      </c>
      <c r="D297" s="440" t="s">
        <v>279</v>
      </c>
      <c r="E297" s="440"/>
      <c r="F297" s="440"/>
      <c r="G297" s="440"/>
      <c r="H297" s="440"/>
      <c r="I297" s="440"/>
      <c r="J297" s="440"/>
      <c r="K297" s="440"/>
      <c r="L297" s="440"/>
      <c r="M297" s="440"/>
      <c r="N297" s="440"/>
      <c r="O297" s="440"/>
      <c r="P297" s="440"/>
      <c r="Q297" s="440"/>
      <c r="R297" s="440"/>
      <c r="S297" s="440"/>
      <c r="T297" s="440"/>
      <c r="U297" s="440"/>
      <c r="V297" s="440"/>
      <c r="W297" s="440"/>
      <c r="X297" s="440"/>
      <c r="Y297" s="440"/>
      <c r="Z297" s="440"/>
      <c r="AB297" s="75" t="s">
        <v>246</v>
      </c>
      <c r="AD297" s="80" t="s">
        <v>242</v>
      </c>
      <c r="AE297" s="78"/>
      <c r="AF297" s="74">
        <f t="shared" si="97"/>
        <v>0</v>
      </c>
      <c r="AG297" s="74">
        <f t="shared" si="95"/>
        <v>1</v>
      </c>
    </row>
    <row r="298" spans="1:33" ht="45.75" customHeight="1" x14ac:dyDescent="0.2">
      <c r="A298" s="73" t="str">
        <f t="shared" si="56"/>
        <v>X</v>
      </c>
      <c r="B298" s="81" t="str">
        <f t="shared" si="88"/>
        <v/>
      </c>
      <c r="D298" s="429" t="s">
        <v>211</v>
      </c>
      <c r="E298" s="429"/>
      <c r="F298" s="429"/>
      <c r="G298" s="429"/>
      <c r="H298" s="429"/>
      <c r="I298" s="429"/>
      <c r="J298" s="429"/>
      <c r="K298" s="429"/>
      <c r="L298" s="429"/>
      <c r="M298" s="429"/>
      <c r="N298" s="429"/>
      <c r="O298" s="429"/>
      <c r="P298" s="429"/>
      <c r="Q298" s="429"/>
      <c r="R298" s="429"/>
      <c r="S298" s="429"/>
      <c r="T298" s="429"/>
      <c r="U298" s="429"/>
      <c r="V298" s="429"/>
      <c r="W298" s="429"/>
      <c r="X298" s="429"/>
      <c r="Y298" s="429"/>
      <c r="Z298" s="429"/>
      <c r="AB298" s="75" t="s">
        <v>246</v>
      </c>
      <c r="AD298" s="80" t="s">
        <v>242</v>
      </c>
      <c r="AE298" s="78"/>
      <c r="AF298" s="74">
        <f t="shared" si="97"/>
        <v>0</v>
      </c>
      <c r="AG298" s="74">
        <f t="shared" si="95"/>
        <v>1</v>
      </c>
    </row>
    <row r="299" spans="1:33" s="64" customFormat="1" ht="16" x14ac:dyDescent="0.2">
      <c r="A299" s="73" t="str">
        <f t="shared" si="56"/>
        <v>X</v>
      </c>
      <c r="B299" s="81" t="str">
        <f t="shared" si="88"/>
        <v/>
      </c>
      <c r="C299" s="66"/>
      <c r="D299" s="429" t="s">
        <v>280</v>
      </c>
      <c r="E299" s="429"/>
      <c r="F299" s="429"/>
      <c r="G299" s="429"/>
      <c r="H299" s="429"/>
      <c r="I299" s="429"/>
      <c r="J299" s="429"/>
      <c r="K299" s="429"/>
      <c r="L299" s="429"/>
      <c r="M299" s="429"/>
      <c r="N299" s="429"/>
      <c r="O299" s="429"/>
      <c r="P299" s="429"/>
      <c r="Q299" s="429"/>
      <c r="R299" s="429"/>
      <c r="S299" s="429"/>
      <c r="T299" s="429"/>
      <c r="U299" s="429"/>
      <c r="V299" s="429"/>
      <c r="W299" s="429"/>
      <c r="X299" s="429"/>
      <c r="Y299" s="429"/>
      <c r="Z299" s="429"/>
      <c r="AB299" s="75" t="s">
        <v>246</v>
      </c>
      <c r="AD299" s="80" t="s">
        <v>242</v>
      </c>
      <c r="AE299" s="78"/>
      <c r="AF299" s="74">
        <f t="shared" si="97"/>
        <v>0</v>
      </c>
      <c r="AG299" s="74">
        <f t="shared" si="95"/>
        <v>1</v>
      </c>
    </row>
    <row r="300" spans="1:33" ht="29" customHeight="1" x14ac:dyDescent="0.15">
      <c r="A300" s="73" t="str">
        <f t="shared" ref="A300:A314" si="98">IF(AG300=1,"X","")</f>
        <v/>
      </c>
      <c r="B300" s="74">
        <v>1</v>
      </c>
      <c r="C300" s="69"/>
      <c r="D300" s="447" t="s">
        <v>212</v>
      </c>
      <c r="E300" s="447"/>
      <c r="F300" s="447"/>
      <c r="G300" s="447"/>
      <c r="H300" s="447"/>
      <c r="I300" s="447"/>
      <c r="J300" s="447"/>
      <c r="K300" s="447"/>
      <c r="L300" s="447"/>
      <c r="M300" s="447"/>
      <c r="N300" s="447"/>
      <c r="O300" s="447"/>
      <c r="P300" s="447"/>
      <c r="Q300" s="447"/>
      <c r="R300" s="447"/>
      <c r="S300" s="447"/>
      <c r="T300" s="447"/>
      <c r="U300" s="447"/>
      <c r="V300" s="447"/>
      <c r="W300" s="447"/>
      <c r="X300" s="447"/>
      <c r="Y300" s="447"/>
      <c r="Z300" s="447"/>
      <c r="AB300" s="87" t="s">
        <v>310</v>
      </c>
      <c r="AD300" s="82" t="s">
        <v>241</v>
      </c>
      <c r="AE300" s="52"/>
      <c r="AF300" s="13"/>
      <c r="AG300" s="13"/>
    </row>
    <row r="301" spans="1:33" s="58" customFormat="1" ht="31" customHeight="1" x14ac:dyDescent="0.15">
      <c r="A301" s="73" t="str">
        <f t="shared" si="98"/>
        <v>X</v>
      </c>
      <c r="B301" s="81"/>
      <c r="C301" s="57"/>
      <c r="D301" s="435" t="s">
        <v>297</v>
      </c>
      <c r="E301" s="435"/>
      <c r="F301" s="435"/>
      <c r="G301" s="435"/>
      <c r="H301" s="435"/>
      <c r="I301" s="435"/>
      <c r="J301" s="435"/>
      <c r="K301" s="435"/>
      <c r="L301" s="435"/>
      <c r="M301" s="435"/>
      <c r="N301" s="435"/>
      <c r="O301" s="435"/>
      <c r="P301" s="435"/>
      <c r="Q301" s="435"/>
      <c r="R301" s="435"/>
      <c r="S301" s="435"/>
      <c r="T301" s="435"/>
      <c r="U301" s="435"/>
      <c r="V301" s="435"/>
      <c r="W301" s="435"/>
      <c r="X301" s="435"/>
      <c r="Y301" s="435"/>
      <c r="Z301" s="435"/>
      <c r="AB301" s="75" t="s">
        <v>246</v>
      </c>
      <c r="AD301" s="80" t="s">
        <v>242</v>
      </c>
      <c r="AE301" s="52"/>
      <c r="AF301" s="74">
        <f t="shared" ref="AF301:AF312" si="99">IF(B301&lt;&gt;"",1,0)</f>
        <v>0</v>
      </c>
      <c r="AG301" s="74">
        <f t="shared" ref="AG301:AG312" si="100">IF(AND(SUM(AF:AF)&gt;0,B301=""),1,0)</f>
        <v>1</v>
      </c>
    </row>
    <row r="302" spans="1:33" s="58" customFormat="1" ht="21" customHeight="1" x14ac:dyDescent="0.15">
      <c r="A302" s="73" t="str">
        <f t="shared" si="98"/>
        <v>X</v>
      </c>
      <c r="B302" s="81"/>
      <c r="C302" s="57"/>
      <c r="D302" s="440" t="s">
        <v>221</v>
      </c>
      <c r="E302" s="440"/>
      <c r="F302" s="440"/>
      <c r="G302" s="440"/>
      <c r="H302" s="440"/>
      <c r="I302" s="440"/>
      <c r="J302" s="440"/>
      <c r="K302" s="440"/>
      <c r="L302" s="440"/>
      <c r="M302" s="440"/>
      <c r="N302" s="440"/>
      <c r="O302" s="440"/>
      <c r="P302" s="440"/>
      <c r="Q302" s="440"/>
      <c r="R302" s="440"/>
      <c r="S302" s="440"/>
      <c r="T302" s="440"/>
      <c r="U302" s="440"/>
      <c r="V302" s="440"/>
      <c r="W302" s="440"/>
      <c r="X302" s="440"/>
      <c r="Y302" s="440"/>
      <c r="Z302" s="440"/>
      <c r="AB302" s="75" t="s">
        <v>246</v>
      </c>
      <c r="AD302" s="80" t="s">
        <v>242</v>
      </c>
      <c r="AE302" s="52"/>
      <c r="AF302" s="74">
        <f t="shared" si="99"/>
        <v>0</v>
      </c>
      <c r="AG302" s="74">
        <f t="shared" si="100"/>
        <v>1</v>
      </c>
    </row>
    <row r="303" spans="1:33" s="58" customFormat="1" ht="35" customHeight="1" x14ac:dyDescent="0.2">
      <c r="A303" s="73" t="str">
        <f t="shared" si="98"/>
        <v>X</v>
      </c>
      <c r="B303" s="81"/>
      <c r="C303" s="57"/>
      <c r="D303" s="424" t="s">
        <v>222</v>
      </c>
      <c r="E303" s="424"/>
      <c r="F303" s="424"/>
      <c r="G303" s="424"/>
      <c r="H303" s="424"/>
      <c r="I303" s="424"/>
      <c r="J303" s="424"/>
      <c r="K303" s="424"/>
      <c r="L303" s="424"/>
      <c r="M303" s="424"/>
      <c r="N303" s="424"/>
      <c r="O303" s="424"/>
      <c r="P303" s="424"/>
      <c r="Q303" s="424"/>
      <c r="R303" s="424"/>
      <c r="S303" s="424"/>
      <c r="T303" s="424"/>
      <c r="U303" s="424"/>
      <c r="V303" s="424"/>
      <c r="W303" s="424"/>
      <c r="X303" s="424"/>
      <c r="Y303" s="424"/>
      <c r="Z303" s="424"/>
      <c r="AB303" s="75" t="s">
        <v>246</v>
      </c>
      <c r="AD303" s="80" t="s">
        <v>242</v>
      </c>
      <c r="AE303" s="78"/>
      <c r="AF303" s="74">
        <f t="shared" si="99"/>
        <v>0</v>
      </c>
      <c r="AG303" s="74">
        <f t="shared" si="100"/>
        <v>1</v>
      </c>
    </row>
    <row r="304" spans="1:33" s="58" customFormat="1" ht="33" customHeight="1" x14ac:dyDescent="0.2">
      <c r="A304" s="73" t="str">
        <f t="shared" si="98"/>
        <v>X</v>
      </c>
      <c r="B304" s="81"/>
      <c r="C304" s="57"/>
      <c r="D304" s="424" t="s">
        <v>282</v>
      </c>
      <c r="E304" s="424"/>
      <c r="F304" s="424"/>
      <c r="G304" s="424"/>
      <c r="H304" s="424"/>
      <c r="I304" s="424"/>
      <c r="J304" s="424"/>
      <c r="K304" s="424"/>
      <c r="L304" s="424"/>
      <c r="M304" s="424"/>
      <c r="N304" s="424"/>
      <c r="O304" s="424"/>
      <c r="P304" s="424"/>
      <c r="Q304" s="424"/>
      <c r="R304" s="424"/>
      <c r="S304" s="424"/>
      <c r="T304" s="424"/>
      <c r="U304" s="424"/>
      <c r="V304" s="424"/>
      <c r="W304" s="424"/>
      <c r="X304" s="424"/>
      <c r="Y304" s="424"/>
      <c r="Z304" s="424"/>
      <c r="AB304" s="75" t="s">
        <v>267</v>
      </c>
      <c r="AD304" s="80" t="s">
        <v>242</v>
      </c>
      <c r="AE304" s="78"/>
      <c r="AF304" s="74">
        <f t="shared" si="99"/>
        <v>0</v>
      </c>
      <c r="AG304" s="74">
        <f t="shared" si="100"/>
        <v>1</v>
      </c>
    </row>
    <row r="305" spans="1:35" s="58" customFormat="1" ht="28.5" customHeight="1" x14ac:dyDescent="0.2">
      <c r="A305" s="73" t="str">
        <f t="shared" ref="A305" si="101">IF(AG305=1,"X","")</f>
        <v>X</v>
      </c>
      <c r="B305" s="81"/>
      <c r="C305" s="57"/>
      <c r="D305" s="424" t="s">
        <v>472</v>
      </c>
      <c r="E305" s="424"/>
      <c r="F305" s="424"/>
      <c r="G305" s="424"/>
      <c r="H305" s="424"/>
      <c r="I305" s="424"/>
      <c r="J305" s="424"/>
      <c r="K305" s="424"/>
      <c r="L305" s="424"/>
      <c r="M305" s="424"/>
      <c r="N305" s="424"/>
      <c r="O305" s="424"/>
      <c r="P305" s="424"/>
      <c r="Q305" s="424"/>
      <c r="R305" s="424"/>
      <c r="S305" s="424"/>
      <c r="T305" s="424"/>
      <c r="U305" s="424"/>
      <c r="V305" s="424"/>
      <c r="W305" s="424"/>
      <c r="X305" s="424"/>
      <c r="Y305" s="424"/>
      <c r="Z305" s="424"/>
      <c r="AB305" s="75" t="s">
        <v>267</v>
      </c>
      <c r="AD305" s="80" t="s">
        <v>242</v>
      </c>
      <c r="AE305" s="78"/>
      <c r="AF305" s="74">
        <f t="shared" ref="AF305" si="102">IF(B305&lt;&gt;"",1,0)</f>
        <v>0</v>
      </c>
      <c r="AG305" s="74">
        <f t="shared" si="100"/>
        <v>1</v>
      </c>
    </row>
    <row r="306" spans="1:35" s="58" customFormat="1" ht="21" customHeight="1" x14ac:dyDescent="0.15">
      <c r="A306" s="73" t="str">
        <f t="shared" si="98"/>
        <v>X</v>
      </c>
      <c r="B306" s="81"/>
      <c r="C306" s="57"/>
      <c r="D306" s="440" t="s">
        <v>298</v>
      </c>
      <c r="E306" s="440"/>
      <c r="F306" s="440"/>
      <c r="G306" s="440"/>
      <c r="H306" s="440"/>
      <c r="I306" s="440"/>
      <c r="J306" s="440"/>
      <c r="K306" s="440"/>
      <c r="L306" s="440"/>
      <c r="M306" s="440"/>
      <c r="N306" s="440"/>
      <c r="O306" s="440"/>
      <c r="P306" s="440"/>
      <c r="Q306" s="440"/>
      <c r="R306" s="440"/>
      <c r="S306" s="440"/>
      <c r="T306" s="440"/>
      <c r="U306" s="440"/>
      <c r="V306" s="440"/>
      <c r="W306" s="440"/>
      <c r="X306" s="440"/>
      <c r="Y306" s="440"/>
      <c r="Z306" s="440"/>
      <c r="AB306" s="75" t="s">
        <v>281</v>
      </c>
      <c r="AD306" s="80" t="s">
        <v>242</v>
      </c>
      <c r="AE306" s="78"/>
      <c r="AF306" s="74">
        <f t="shared" si="99"/>
        <v>0</v>
      </c>
      <c r="AG306" s="74">
        <f t="shared" si="100"/>
        <v>1</v>
      </c>
    </row>
    <row r="307" spans="1:35" s="58" customFormat="1" ht="29.25" customHeight="1" x14ac:dyDescent="0.2">
      <c r="A307" s="73" t="str">
        <f t="shared" si="98"/>
        <v>X</v>
      </c>
      <c r="B307" s="81"/>
      <c r="C307" s="57"/>
      <c r="D307" s="424" t="s">
        <v>394</v>
      </c>
      <c r="E307" s="424"/>
      <c r="F307" s="424"/>
      <c r="G307" s="424"/>
      <c r="H307" s="424"/>
      <c r="I307" s="424"/>
      <c r="J307" s="424"/>
      <c r="K307" s="424"/>
      <c r="L307" s="424"/>
      <c r="M307" s="424"/>
      <c r="N307" s="424"/>
      <c r="O307" s="424"/>
      <c r="P307" s="424"/>
      <c r="Q307" s="424"/>
      <c r="R307" s="424"/>
      <c r="S307" s="424"/>
      <c r="T307" s="424"/>
      <c r="U307" s="424"/>
      <c r="V307" s="424"/>
      <c r="W307" s="424"/>
      <c r="X307" s="424"/>
      <c r="Y307" s="424"/>
      <c r="Z307" s="424"/>
      <c r="AB307" s="75" t="s">
        <v>246</v>
      </c>
      <c r="AD307" s="80" t="s">
        <v>242</v>
      </c>
      <c r="AE307" s="78"/>
      <c r="AF307" s="74">
        <f t="shared" si="99"/>
        <v>0</v>
      </c>
      <c r="AG307" s="74">
        <f t="shared" si="100"/>
        <v>1</v>
      </c>
    </row>
    <row r="308" spans="1:35" s="58" customFormat="1" ht="18.5" customHeight="1" x14ac:dyDescent="0.2">
      <c r="A308" s="73" t="str">
        <f t="shared" si="98"/>
        <v>X</v>
      </c>
      <c r="B308" s="81"/>
      <c r="C308" s="57"/>
      <c r="D308" s="99" t="s">
        <v>245</v>
      </c>
      <c r="E308" s="424" t="s">
        <v>223</v>
      </c>
      <c r="F308" s="424"/>
      <c r="G308" s="424"/>
      <c r="H308" s="424"/>
      <c r="I308" s="424"/>
      <c r="J308" s="424"/>
      <c r="K308" s="424"/>
      <c r="L308" s="424"/>
      <c r="M308" s="424"/>
      <c r="N308" s="424"/>
      <c r="O308" s="424"/>
      <c r="P308" s="424"/>
      <c r="Q308" s="424"/>
      <c r="R308" s="424"/>
      <c r="S308" s="424"/>
      <c r="T308" s="424"/>
      <c r="U308" s="424"/>
      <c r="V308" s="424"/>
      <c r="W308" s="424"/>
      <c r="X308" s="424"/>
      <c r="Y308" s="424"/>
      <c r="Z308" s="424"/>
      <c r="AA308" s="60"/>
      <c r="AB308" s="75" t="s">
        <v>246</v>
      </c>
      <c r="AD308" s="80" t="s">
        <v>242</v>
      </c>
      <c r="AE308" s="78"/>
      <c r="AF308" s="74">
        <f t="shared" si="99"/>
        <v>0</v>
      </c>
      <c r="AG308" s="74">
        <f t="shared" si="100"/>
        <v>1</v>
      </c>
    </row>
    <row r="309" spans="1:35" s="58" customFormat="1" ht="18.5" customHeight="1" x14ac:dyDescent="0.2">
      <c r="A309" s="73" t="str">
        <f t="shared" si="98"/>
        <v>X</v>
      </c>
      <c r="B309" s="81"/>
      <c r="C309" s="57"/>
      <c r="D309" s="99" t="s">
        <v>245</v>
      </c>
      <c r="E309" s="424" t="s">
        <v>283</v>
      </c>
      <c r="F309" s="424"/>
      <c r="G309" s="424"/>
      <c r="H309" s="424"/>
      <c r="I309" s="424"/>
      <c r="J309" s="424"/>
      <c r="K309" s="424"/>
      <c r="L309" s="424"/>
      <c r="M309" s="424"/>
      <c r="N309" s="424"/>
      <c r="O309" s="424"/>
      <c r="P309" s="424"/>
      <c r="Q309" s="424"/>
      <c r="R309" s="424"/>
      <c r="S309" s="424"/>
      <c r="T309" s="424"/>
      <c r="U309" s="424"/>
      <c r="V309" s="424"/>
      <c r="W309" s="424"/>
      <c r="X309" s="424"/>
      <c r="Y309" s="424"/>
      <c r="Z309" s="424"/>
      <c r="AA309" s="60"/>
      <c r="AB309" s="75" t="s">
        <v>246</v>
      </c>
      <c r="AD309" s="80" t="s">
        <v>242</v>
      </c>
      <c r="AE309" s="78"/>
      <c r="AF309" s="74">
        <f t="shared" si="99"/>
        <v>0</v>
      </c>
      <c r="AG309" s="74">
        <f t="shared" si="100"/>
        <v>1</v>
      </c>
    </row>
    <row r="310" spans="1:35" s="58" customFormat="1" ht="18.5" customHeight="1" x14ac:dyDescent="0.2">
      <c r="A310" s="73" t="str">
        <f t="shared" si="98"/>
        <v>X</v>
      </c>
      <c r="B310" s="81"/>
      <c r="C310" s="57"/>
      <c r="D310" s="99" t="s">
        <v>245</v>
      </c>
      <c r="E310" s="424" t="s">
        <v>224</v>
      </c>
      <c r="F310" s="424"/>
      <c r="G310" s="424"/>
      <c r="H310" s="424"/>
      <c r="I310" s="424"/>
      <c r="J310" s="424"/>
      <c r="K310" s="424"/>
      <c r="L310" s="424"/>
      <c r="M310" s="424"/>
      <c r="N310" s="424"/>
      <c r="O310" s="424"/>
      <c r="P310" s="424"/>
      <c r="Q310" s="424"/>
      <c r="R310" s="424"/>
      <c r="S310" s="424"/>
      <c r="T310" s="424"/>
      <c r="U310" s="424"/>
      <c r="V310" s="424"/>
      <c r="W310" s="424"/>
      <c r="X310" s="424"/>
      <c r="Y310" s="424"/>
      <c r="Z310" s="424"/>
      <c r="AA310" s="60"/>
      <c r="AB310" s="75" t="s">
        <v>246</v>
      </c>
      <c r="AD310" s="80" t="s">
        <v>242</v>
      </c>
      <c r="AE310" s="78"/>
      <c r="AF310" s="74">
        <f t="shared" si="99"/>
        <v>0</v>
      </c>
      <c r="AG310" s="74">
        <f t="shared" si="100"/>
        <v>1</v>
      </c>
    </row>
    <row r="311" spans="1:35" s="58" customFormat="1" ht="18.5" customHeight="1" x14ac:dyDescent="0.2">
      <c r="A311" s="73" t="str">
        <f t="shared" si="98"/>
        <v>X</v>
      </c>
      <c r="B311" s="81"/>
      <c r="C311" s="57"/>
      <c r="D311" s="99" t="s">
        <v>245</v>
      </c>
      <c r="E311" s="424" t="s">
        <v>225</v>
      </c>
      <c r="F311" s="424"/>
      <c r="G311" s="424"/>
      <c r="H311" s="424"/>
      <c r="I311" s="424"/>
      <c r="J311" s="424"/>
      <c r="K311" s="424"/>
      <c r="L311" s="424"/>
      <c r="M311" s="424"/>
      <c r="N311" s="424"/>
      <c r="O311" s="424"/>
      <c r="P311" s="424"/>
      <c r="Q311" s="424"/>
      <c r="R311" s="424"/>
      <c r="S311" s="424"/>
      <c r="T311" s="424"/>
      <c r="U311" s="424"/>
      <c r="V311" s="424"/>
      <c r="W311" s="424"/>
      <c r="X311" s="424"/>
      <c r="Y311" s="424"/>
      <c r="Z311" s="424"/>
      <c r="AA311" s="60"/>
      <c r="AB311" s="75" t="s">
        <v>246</v>
      </c>
      <c r="AD311" s="80" t="s">
        <v>242</v>
      </c>
      <c r="AE311" s="78"/>
      <c r="AF311" s="74">
        <f t="shared" si="99"/>
        <v>0</v>
      </c>
      <c r="AG311" s="74">
        <f t="shared" si="100"/>
        <v>1</v>
      </c>
    </row>
    <row r="312" spans="1:35" s="58" customFormat="1" ht="18.5" customHeight="1" x14ac:dyDescent="0.2">
      <c r="A312" s="73" t="str">
        <f t="shared" si="98"/>
        <v>X</v>
      </c>
      <c r="B312" s="81"/>
      <c r="C312" s="57"/>
      <c r="D312" s="99" t="s">
        <v>245</v>
      </c>
      <c r="E312" s="424" t="s">
        <v>363</v>
      </c>
      <c r="F312" s="424"/>
      <c r="G312" s="424"/>
      <c r="H312" s="424"/>
      <c r="I312" s="424"/>
      <c r="J312" s="424"/>
      <c r="K312" s="424"/>
      <c r="L312" s="424"/>
      <c r="M312" s="424"/>
      <c r="N312" s="424"/>
      <c r="O312" s="424"/>
      <c r="P312" s="424"/>
      <c r="Q312" s="424"/>
      <c r="R312" s="424"/>
      <c r="S312" s="424"/>
      <c r="T312" s="424"/>
      <c r="U312" s="424"/>
      <c r="V312" s="424"/>
      <c r="W312" s="424"/>
      <c r="X312" s="424"/>
      <c r="Y312" s="424"/>
      <c r="Z312" s="424"/>
      <c r="AA312" s="60"/>
      <c r="AB312" s="75" t="s">
        <v>246</v>
      </c>
      <c r="AD312" s="80" t="s">
        <v>242</v>
      </c>
      <c r="AE312" s="78"/>
      <c r="AF312" s="74">
        <f t="shared" si="99"/>
        <v>0</v>
      </c>
      <c r="AG312" s="74">
        <f t="shared" si="100"/>
        <v>1</v>
      </c>
    </row>
    <row r="313" spans="1:35" s="58" customFormat="1" ht="18.5" customHeight="1" x14ac:dyDescent="0.2">
      <c r="A313" s="73" t="str">
        <f t="shared" si="98"/>
        <v/>
      </c>
      <c r="B313" s="74">
        <v>0</v>
      </c>
      <c r="C313" s="57"/>
      <c r="D313" s="99" t="s">
        <v>245</v>
      </c>
      <c r="E313" s="424" t="s">
        <v>287</v>
      </c>
      <c r="F313" s="424"/>
      <c r="G313" s="424"/>
      <c r="H313" s="424"/>
      <c r="I313" s="424"/>
      <c r="J313" s="424"/>
      <c r="K313" s="424"/>
      <c r="L313" s="424"/>
      <c r="M313" s="424"/>
      <c r="N313" s="424"/>
      <c r="O313" s="424"/>
      <c r="P313" s="424"/>
      <c r="Q313" s="424"/>
      <c r="R313" s="424"/>
      <c r="S313" s="424"/>
      <c r="T313" s="424"/>
      <c r="U313" s="424"/>
      <c r="V313" s="424"/>
      <c r="W313" s="424"/>
      <c r="X313" s="424"/>
      <c r="Y313" s="424"/>
      <c r="Z313" s="424"/>
      <c r="AA313" s="60"/>
      <c r="AB313" s="87" t="s">
        <v>314</v>
      </c>
      <c r="AD313" s="82" t="s">
        <v>288</v>
      </c>
      <c r="AE313" s="27"/>
      <c r="AF313" s="13"/>
      <c r="AG313" s="13"/>
    </row>
    <row r="314" spans="1:35" s="58" customFormat="1" ht="18" customHeight="1" x14ac:dyDescent="0.2">
      <c r="A314" s="73" t="str">
        <f t="shared" si="98"/>
        <v>X</v>
      </c>
      <c r="B314" s="81"/>
      <c r="C314" s="57"/>
      <c r="D314" s="99" t="s">
        <v>245</v>
      </c>
      <c r="E314" s="428"/>
      <c r="F314" s="428"/>
      <c r="G314" s="428"/>
      <c r="H314" s="428"/>
      <c r="I314" s="428"/>
      <c r="J314" s="428"/>
      <c r="K314" s="428"/>
      <c r="L314" s="428"/>
      <c r="M314" s="428"/>
      <c r="N314" s="428"/>
      <c r="O314" s="428"/>
      <c r="P314" s="428"/>
      <c r="Q314" s="428"/>
      <c r="R314" s="428"/>
      <c r="S314" s="428"/>
      <c r="T314" s="428"/>
      <c r="U314" s="428"/>
      <c r="V314" s="428"/>
      <c r="W314" s="428"/>
      <c r="X314" s="428"/>
      <c r="Y314" s="428"/>
      <c r="Z314" s="428"/>
      <c r="AA314" s="61"/>
      <c r="AB314" s="75" t="s">
        <v>316</v>
      </c>
      <c r="AD314" s="80" t="s">
        <v>242</v>
      </c>
      <c r="AE314" s="78"/>
      <c r="AF314" s="74">
        <f t="shared" ref="AF314:AF316" si="103">IF(B314&lt;&gt;"",1,0)</f>
        <v>0</v>
      </c>
      <c r="AG314" s="74">
        <f>IF(AND(SUM(AF:AF)&gt;0,OR(AND(B314=1,E314=""),AND(B314="",E314=""),AND(B314="",E314&lt;&gt;""),AND(B314=0,E314&lt;&gt;""))),1,0)</f>
        <v>1</v>
      </c>
    </row>
    <row r="315" spans="1:35" s="58" customFormat="1" ht="18" customHeight="1" x14ac:dyDescent="0.2">
      <c r="A315" s="73" t="str">
        <f t="shared" ref="A315" si="104">IF(AG315=1,"X","")</f>
        <v>X</v>
      </c>
      <c r="B315" s="81"/>
      <c r="C315" s="57"/>
      <c r="D315" s="99" t="s">
        <v>245</v>
      </c>
      <c r="E315" s="428"/>
      <c r="F315" s="428"/>
      <c r="G315" s="428"/>
      <c r="H315" s="428"/>
      <c r="I315" s="428"/>
      <c r="J315" s="428"/>
      <c r="K315" s="428"/>
      <c r="L315" s="428"/>
      <c r="M315" s="428"/>
      <c r="N315" s="428"/>
      <c r="O315" s="428"/>
      <c r="P315" s="428"/>
      <c r="Q315" s="428"/>
      <c r="R315" s="428"/>
      <c r="S315" s="428"/>
      <c r="T315" s="428"/>
      <c r="U315" s="428"/>
      <c r="V315" s="428"/>
      <c r="W315" s="428"/>
      <c r="X315" s="428"/>
      <c r="Y315" s="428"/>
      <c r="Z315" s="428"/>
      <c r="AA315" s="61"/>
      <c r="AB315" s="75" t="s">
        <v>316</v>
      </c>
      <c r="AD315" s="80" t="s">
        <v>242</v>
      </c>
      <c r="AE315" s="78"/>
      <c r="AF315" s="74">
        <f t="shared" si="103"/>
        <v>0</v>
      </c>
      <c r="AG315" s="74">
        <f>IF(AND(SUM(AF:AF)&gt;0,OR(AND(B315=1,E315=""),AND(B315="",E315=""),AND(B315="",E315&lt;&gt;""),AND(B315=0,E315&lt;&gt;""))),1,0)</f>
        <v>1</v>
      </c>
    </row>
    <row r="316" spans="1:35" s="58" customFormat="1" ht="18" customHeight="1" x14ac:dyDescent="0.2">
      <c r="A316" s="73" t="str">
        <f t="shared" ref="A316:A352" si="105">IF(AG316=1,"X","")</f>
        <v>X</v>
      </c>
      <c r="B316" s="81"/>
      <c r="C316" s="57"/>
      <c r="D316" s="99" t="s">
        <v>245</v>
      </c>
      <c r="E316" s="428"/>
      <c r="F316" s="428"/>
      <c r="G316" s="428"/>
      <c r="H316" s="428"/>
      <c r="I316" s="428"/>
      <c r="J316" s="428"/>
      <c r="K316" s="428"/>
      <c r="L316" s="428"/>
      <c r="M316" s="428"/>
      <c r="N316" s="428"/>
      <c r="O316" s="428"/>
      <c r="P316" s="428"/>
      <c r="Q316" s="428"/>
      <c r="R316" s="428"/>
      <c r="S316" s="428"/>
      <c r="T316" s="428"/>
      <c r="U316" s="428"/>
      <c r="V316" s="428"/>
      <c r="W316" s="428"/>
      <c r="X316" s="428"/>
      <c r="Y316" s="428"/>
      <c r="Z316" s="428"/>
      <c r="AA316" s="61"/>
      <c r="AB316" s="75" t="s">
        <v>316</v>
      </c>
      <c r="AD316" s="80" t="s">
        <v>242</v>
      </c>
      <c r="AE316" s="78"/>
      <c r="AF316" s="74">
        <f t="shared" si="103"/>
        <v>0</v>
      </c>
      <c r="AG316" s="74">
        <f>IF(AND(SUM(AF:AF)&gt;0,OR(AND(B316=1,E316=""),AND(B316="",E316=""),AND(B316="",E316&lt;&gt;""),AND(B316=0,E316&lt;&gt;""))),1,0)</f>
        <v>1</v>
      </c>
    </row>
    <row r="317" spans="1:35" ht="21" customHeight="1" x14ac:dyDescent="0.15">
      <c r="A317" s="73" t="str">
        <f t="shared" si="105"/>
        <v/>
      </c>
      <c r="B317" s="74">
        <f>IF(SUM(B318:B329)&gt;0,1,0)</f>
        <v>0</v>
      </c>
      <c r="D317" s="440" t="s">
        <v>435</v>
      </c>
      <c r="E317" s="440"/>
      <c r="F317" s="440"/>
      <c r="G317" s="440"/>
      <c r="H317" s="440"/>
      <c r="I317" s="440"/>
      <c r="J317" s="440"/>
      <c r="K317" s="440"/>
      <c r="L317" s="440"/>
      <c r="M317" s="440"/>
      <c r="N317" s="440"/>
      <c r="O317" s="440"/>
      <c r="P317" s="440"/>
      <c r="Q317" s="440"/>
      <c r="R317" s="440"/>
      <c r="S317" s="440"/>
      <c r="T317" s="440"/>
      <c r="U317" s="440"/>
      <c r="V317" s="440"/>
      <c r="W317" s="440"/>
      <c r="X317" s="440"/>
      <c r="Y317" s="440"/>
      <c r="Z317" s="440"/>
      <c r="AB317" s="87" t="s">
        <v>310</v>
      </c>
      <c r="AD317" s="82" t="s">
        <v>241</v>
      </c>
      <c r="AE317" s="52"/>
      <c r="AF317" s="13"/>
      <c r="AG317" s="13"/>
      <c r="AI317" s="58"/>
    </row>
    <row r="318" spans="1:35" s="58" customFormat="1" ht="15" x14ac:dyDescent="0.15">
      <c r="A318" s="73" t="str">
        <f t="shared" si="105"/>
        <v>X</v>
      </c>
      <c r="B318" s="81"/>
      <c r="C318" s="57"/>
      <c r="D318" s="468" t="s">
        <v>464</v>
      </c>
      <c r="E318" s="468"/>
      <c r="F318" s="468"/>
      <c r="G318" s="468"/>
      <c r="H318" s="468"/>
      <c r="I318" s="468"/>
      <c r="J318" s="468"/>
      <c r="K318" s="468"/>
      <c r="L318" s="468"/>
      <c r="M318" s="468"/>
      <c r="N318" s="468"/>
      <c r="O318" s="468"/>
      <c r="P318" s="468"/>
      <c r="Q318" s="468"/>
      <c r="R318" s="468"/>
      <c r="S318" s="468"/>
      <c r="T318" s="468"/>
      <c r="U318" s="468"/>
      <c r="V318" s="468"/>
      <c r="W318" s="468"/>
      <c r="X318" s="468"/>
      <c r="Y318" s="468"/>
      <c r="Z318" s="468"/>
      <c r="AB318" s="75" t="s">
        <v>246</v>
      </c>
      <c r="AC318" s="56"/>
      <c r="AD318" s="80" t="s">
        <v>242</v>
      </c>
      <c r="AE318" s="52"/>
      <c r="AF318" s="74">
        <f t="shared" ref="AF318" si="106">IF(B318&lt;&gt;"",1,0)</f>
        <v>0</v>
      </c>
      <c r="AG318" s="74">
        <f>IF(AND(SUM(AF:AF)&gt;0,B318=""),1,0)</f>
        <v>1</v>
      </c>
    </row>
    <row r="319" spans="1:35" s="58" customFormat="1" ht="18.5" customHeight="1" x14ac:dyDescent="0.2">
      <c r="A319" s="73" t="str">
        <f t="shared" si="105"/>
        <v/>
      </c>
      <c r="B319" s="74">
        <v>0</v>
      </c>
      <c r="C319" s="57"/>
      <c r="D319" s="473" t="s">
        <v>436</v>
      </c>
      <c r="E319" s="473"/>
      <c r="F319" s="473"/>
      <c r="G319" s="473"/>
      <c r="H319" s="473"/>
      <c r="I319" s="473"/>
      <c r="J319" s="473"/>
      <c r="K319" s="473"/>
      <c r="L319" s="473"/>
      <c r="M319" s="473"/>
      <c r="N319" s="473"/>
      <c r="O319" s="473"/>
      <c r="P319" s="473"/>
      <c r="Q319" s="473"/>
      <c r="R319" s="473"/>
      <c r="S319" s="473"/>
      <c r="T319" s="473"/>
      <c r="U319" s="473"/>
      <c r="V319" s="473"/>
      <c r="W319" s="473"/>
      <c r="X319" s="473"/>
      <c r="Y319" s="473"/>
      <c r="Z319" s="473"/>
      <c r="AA319" s="60"/>
      <c r="AB319" s="87" t="s">
        <v>314</v>
      </c>
      <c r="AD319" s="82" t="s">
        <v>288</v>
      </c>
      <c r="AE319" s="113"/>
      <c r="AF319" s="13"/>
      <c r="AG319" s="13"/>
    </row>
    <row r="320" spans="1:35" s="58" customFormat="1" ht="18" customHeight="1" x14ac:dyDescent="0.2">
      <c r="A320" s="73" t="str">
        <f t="shared" si="105"/>
        <v>X</v>
      </c>
      <c r="B320" s="81"/>
      <c r="C320" s="57"/>
      <c r="D320" s="99" t="s">
        <v>245</v>
      </c>
      <c r="E320" s="428"/>
      <c r="F320" s="428"/>
      <c r="G320" s="428"/>
      <c r="H320" s="428"/>
      <c r="I320" s="428"/>
      <c r="J320" s="428"/>
      <c r="K320" s="428"/>
      <c r="L320" s="428"/>
      <c r="M320" s="428"/>
      <c r="N320" s="428"/>
      <c r="O320" s="428"/>
      <c r="P320" s="428"/>
      <c r="Q320" s="428"/>
      <c r="R320" s="428"/>
      <c r="S320" s="428"/>
      <c r="T320" s="428"/>
      <c r="U320" s="428"/>
      <c r="V320" s="428"/>
      <c r="W320" s="428"/>
      <c r="X320" s="428"/>
      <c r="Y320" s="428"/>
      <c r="Z320" s="428"/>
      <c r="AA320" s="61"/>
      <c r="AB320" s="75" t="s">
        <v>316</v>
      </c>
      <c r="AD320" s="80" t="s">
        <v>242</v>
      </c>
      <c r="AE320" s="78"/>
      <c r="AF320" s="74">
        <f t="shared" ref="AF320:AF351" si="107">IF(B320&lt;&gt;"",1,0)</f>
        <v>0</v>
      </c>
      <c r="AG320" s="74">
        <f>IF(AND(SUM(AF:AF)&gt;0,OR(AND(B320=1,E320=""),AND(B320="",E320=""),AND(B320="",E320&lt;&gt;""),AND(B320=0,E320&lt;&gt;""))),1,0)</f>
        <v>1</v>
      </c>
    </row>
    <row r="321" spans="1:35" s="58" customFormat="1" ht="18" customHeight="1" x14ac:dyDescent="0.2">
      <c r="A321" s="73" t="str">
        <f t="shared" si="105"/>
        <v>X</v>
      </c>
      <c r="B321" s="81"/>
      <c r="C321" s="57"/>
      <c r="D321" s="99" t="s">
        <v>245</v>
      </c>
      <c r="E321" s="428"/>
      <c r="F321" s="428"/>
      <c r="G321" s="428"/>
      <c r="H321" s="428"/>
      <c r="I321" s="428"/>
      <c r="J321" s="428"/>
      <c r="K321" s="428"/>
      <c r="L321" s="428"/>
      <c r="M321" s="428"/>
      <c r="N321" s="428"/>
      <c r="O321" s="428"/>
      <c r="P321" s="428"/>
      <c r="Q321" s="428"/>
      <c r="R321" s="428"/>
      <c r="S321" s="428"/>
      <c r="T321" s="428"/>
      <c r="U321" s="428"/>
      <c r="V321" s="428"/>
      <c r="W321" s="428"/>
      <c r="X321" s="428"/>
      <c r="Y321" s="428"/>
      <c r="Z321" s="428"/>
      <c r="AA321" s="61"/>
      <c r="AB321" s="75" t="s">
        <v>316</v>
      </c>
      <c r="AD321" s="80" t="s">
        <v>242</v>
      </c>
      <c r="AE321" s="78"/>
      <c r="AF321" s="74">
        <f t="shared" si="107"/>
        <v>0</v>
      </c>
      <c r="AG321" s="74">
        <f>IF(AND(SUM(AF:AF)&gt;0,OR(AND(B321=1,E321=""),AND(B321="",E321=""),AND(B321="",E321&lt;&gt;""),AND(B321=0,E321&lt;&gt;""))),1,0)</f>
        <v>1</v>
      </c>
    </row>
    <row r="322" spans="1:35" s="58" customFormat="1" ht="18" customHeight="1" x14ac:dyDescent="0.2">
      <c r="A322" s="73" t="str">
        <f t="shared" si="105"/>
        <v>X</v>
      </c>
      <c r="B322" s="81"/>
      <c r="C322" s="57"/>
      <c r="D322" s="99" t="s">
        <v>245</v>
      </c>
      <c r="E322" s="428"/>
      <c r="F322" s="428"/>
      <c r="G322" s="428"/>
      <c r="H322" s="428"/>
      <c r="I322" s="428"/>
      <c r="J322" s="428"/>
      <c r="K322" s="428"/>
      <c r="L322" s="428"/>
      <c r="M322" s="428"/>
      <c r="N322" s="428"/>
      <c r="O322" s="428"/>
      <c r="P322" s="428"/>
      <c r="Q322" s="428"/>
      <c r="R322" s="428"/>
      <c r="S322" s="428"/>
      <c r="T322" s="428"/>
      <c r="U322" s="428"/>
      <c r="V322" s="428"/>
      <c r="W322" s="428"/>
      <c r="X322" s="428"/>
      <c r="Y322" s="428"/>
      <c r="Z322" s="428"/>
      <c r="AA322" s="61"/>
      <c r="AB322" s="75" t="s">
        <v>316</v>
      </c>
      <c r="AD322" s="80" t="s">
        <v>242</v>
      </c>
      <c r="AE322" s="78"/>
      <c r="AF322" s="74">
        <f t="shared" si="107"/>
        <v>0</v>
      </c>
      <c r="AG322" s="74">
        <f>IF(AND(SUM(AF:AF)&gt;0,OR(AND(B322=1,E322=""),AND(B322="",E322=""),AND(B322="",E322&lt;&gt;""),AND(B322=0,E322&lt;&gt;""))),1,0)</f>
        <v>1</v>
      </c>
    </row>
    <row r="323" spans="1:35" s="58" customFormat="1" ht="18" customHeight="1" x14ac:dyDescent="0.2">
      <c r="A323" s="73" t="str">
        <f t="shared" si="105"/>
        <v>X</v>
      </c>
      <c r="B323" s="81"/>
      <c r="C323" s="57"/>
      <c r="D323" s="99" t="s">
        <v>245</v>
      </c>
      <c r="E323" s="428"/>
      <c r="F323" s="428"/>
      <c r="G323" s="428"/>
      <c r="H323" s="428"/>
      <c r="I323" s="428"/>
      <c r="J323" s="428"/>
      <c r="K323" s="428"/>
      <c r="L323" s="428"/>
      <c r="M323" s="428"/>
      <c r="N323" s="428"/>
      <c r="O323" s="428"/>
      <c r="P323" s="428"/>
      <c r="Q323" s="428"/>
      <c r="R323" s="428"/>
      <c r="S323" s="428"/>
      <c r="T323" s="428"/>
      <c r="U323" s="428"/>
      <c r="V323" s="428"/>
      <c r="W323" s="428"/>
      <c r="X323" s="428"/>
      <c r="Y323" s="428"/>
      <c r="Z323" s="428"/>
      <c r="AA323" s="61"/>
      <c r="AB323" s="75" t="s">
        <v>316</v>
      </c>
      <c r="AD323" s="80" t="s">
        <v>242</v>
      </c>
      <c r="AE323" s="78"/>
      <c r="AF323" s="74">
        <f t="shared" si="107"/>
        <v>0</v>
      </c>
      <c r="AG323" s="74">
        <f>IF(AND(SUM(AF:AF)&gt;0,OR(AND(B323=1,E323=""),AND(B323="",E323=""),AND(B323="",E323&lt;&gt;""),AND(B323=0,E323&lt;&gt;""))),1,0)</f>
        <v>1</v>
      </c>
    </row>
    <row r="324" spans="1:35" s="58" customFormat="1" ht="15" x14ac:dyDescent="0.15">
      <c r="A324" s="73" t="str">
        <f t="shared" si="105"/>
        <v>X</v>
      </c>
      <c r="B324" s="81"/>
      <c r="C324" s="57"/>
      <c r="D324" s="468" t="s">
        <v>465</v>
      </c>
      <c r="E324" s="468"/>
      <c r="F324" s="468"/>
      <c r="G324" s="468"/>
      <c r="H324" s="468"/>
      <c r="I324" s="468"/>
      <c r="J324" s="468"/>
      <c r="K324" s="468"/>
      <c r="L324" s="468"/>
      <c r="M324" s="468"/>
      <c r="N324" s="468"/>
      <c r="O324" s="468"/>
      <c r="P324" s="468"/>
      <c r="Q324" s="468"/>
      <c r="R324" s="468"/>
      <c r="S324" s="468"/>
      <c r="T324" s="468"/>
      <c r="U324" s="468"/>
      <c r="V324" s="468"/>
      <c r="W324" s="468"/>
      <c r="X324" s="468"/>
      <c r="Y324" s="468"/>
      <c r="Z324" s="468"/>
      <c r="AB324" s="75" t="s">
        <v>246</v>
      </c>
      <c r="AC324" s="56"/>
      <c r="AD324" s="80" t="s">
        <v>242</v>
      </c>
      <c r="AE324" s="52"/>
      <c r="AF324" s="74">
        <f t="shared" si="107"/>
        <v>0</v>
      </c>
      <c r="AG324" s="74">
        <f t="shared" ref="AG324:AG351" si="108">IF(AND(SUM(AF:AF)&gt;0,B324=""),1,0)</f>
        <v>1</v>
      </c>
    </row>
    <row r="325" spans="1:35" s="58" customFormat="1" ht="18" customHeight="1" x14ac:dyDescent="0.2">
      <c r="A325" s="73" t="str">
        <f t="shared" si="105"/>
        <v>X</v>
      </c>
      <c r="B325" s="81"/>
      <c r="C325" s="57"/>
      <c r="D325" s="99" t="s">
        <v>245</v>
      </c>
      <c r="E325" s="424" t="s">
        <v>437</v>
      </c>
      <c r="F325" s="424"/>
      <c r="G325" s="424"/>
      <c r="H325" s="424"/>
      <c r="I325" s="424"/>
      <c r="J325" s="424"/>
      <c r="K325" s="424"/>
      <c r="L325" s="424"/>
      <c r="M325" s="424"/>
      <c r="N325" s="424"/>
      <c r="O325" s="424"/>
      <c r="P325" s="424"/>
      <c r="Q325" s="424"/>
      <c r="R325" s="424"/>
      <c r="S325" s="424"/>
      <c r="T325" s="424"/>
      <c r="U325" s="424"/>
      <c r="V325" s="424"/>
      <c r="W325" s="424"/>
      <c r="X325" s="424"/>
      <c r="Y325" s="424"/>
      <c r="Z325" s="424"/>
      <c r="AA325" s="61"/>
      <c r="AB325" s="75" t="s">
        <v>316</v>
      </c>
      <c r="AD325" s="80" t="s">
        <v>242</v>
      </c>
      <c r="AE325" s="78"/>
      <c r="AF325" s="74">
        <f t="shared" si="107"/>
        <v>0</v>
      </c>
      <c r="AG325" s="74">
        <f t="shared" si="108"/>
        <v>1</v>
      </c>
    </row>
    <row r="326" spans="1:35" s="58" customFormat="1" ht="18" customHeight="1" x14ac:dyDescent="0.2">
      <c r="A326" s="73" t="str">
        <f t="shared" si="105"/>
        <v>X</v>
      </c>
      <c r="B326" s="81"/>
      <c r="C326" s="57"/>
      <c r="D326" s="99" t="s">
        <v>245</v>
      </c>
      <c r="E326" s="424" t="s">
        <v>438</v>
      </c>
      <c r="F326" s="424"/>
      <c r="G326" s="424"/>
      <c r="H326" s="424"/>
      <c r="I326" s="424"/>
      <c r="J326" s="424"/>
      <c r="K326" s="424"/>
      <c r="L326" s="424"/>
      <c r="M326" s="424"/>
      <c r="N326" s="424"/>
      <c r="O326" s="424"/>
      <c r="P326" s="424"/>
      <c r="Q326" s="424"/>
      <c r="R326" s="424"/>
      <c r="S326" s="424"/>
      <c r="T326" s="424"/>
      <c r="U326" s="424"/>
      <c r="V326" s="424"/>
      <c r="W326" s="424"/>
      <c r="X326" s="424"/>
      <c r="Y326" s="424"/>
      <c r="Z326" s="424"/>
      <c r="AA326" s="61"/>
      <c r="AB326" s="75" t="s">
        <v>316</v>
      </c>
      <c r="AD326" s="80" t="s">
        <v>242</v>
      </c>
      <c r="AE326" s="78"/>
      <c r="AF326" s="74">
        <f t="shared" si="107"/>
        <v>0</v>
      </c>
      <c r="AG326" s="74">
        <f t="shared" si="108"/>
        <v>1</v>
      </c>
    </row>
    <row r="327" spans="1:35" s="58" customFormat="1" ht="18" customHeight="1" x14ac:dyDescent="0.2">
      <c r="A327" s="73" t="str">
        <f t="shared" si="105"/>
        <v>X</v>
      </c>
      <c r="B327" s="81"/>
      <c r="C327" s="57"/>
      <c r="D327" s="99" t="s">
        <v>245</v>
      </c>
      <c r="E327" s="424" t="s">
        <v>439</v>
      </c>
      <c r="F327" s="424"/>
      <c r="G327" s="424"/>
      <c r="H327" s="424"/>
      <c r="I327" s="424"/>
      <c r="J327" s="424"/>
      <c r="K327" s="424"/>
      <c r="L327" s="424"/>
      <c r="M327" s="424"/>
      <c r="N327" s="424"/>
      <c r="O327" s="424"/>
      <c r="P327" s="424"/>
      <c r="Q327" s="424"/>
      <c r="R327" s="424"/>
      <c r="S327" s="424"/>
      <c r="T327" s="424"/>
      <c r="U327" s="424"/>
      <c r="V327" s="424"/>
      <c r="W327" s="424"/>
      <c r="X327" s="424"/>
      <c r="Y327" s="424"/>
      <c r="Z327" s="424"/>
      <c r="AA327" s="61"/>
      <c r="AB327" s="75" t="s">
        <v>316</v>
      </c>
      <c r="AD327" s="80" t="s">
        <v>242</v>
      </c>
      <c r="AE327" s="78"/>
      <c r="AF327" s="74">
        <f t="shared" si="107"/>
        <v>0</v>
      </c>
      <c r="AG327" s="74">
        <f t="shared" si="108"/>
        <v>1</v>
      </c>
    </row>
    <row r="328" spans="1:35" s="58" customFormat="1" ht="18" customHeight="1" x14ac:dyDescent="0.2">
      <c r="A328" s="73" t="str">
        <f t="shared" si="105"/>
        <v>X</v>
      </c>
      <c r="B328" s="81"/>
      <c r="C328" s="57"/>
      <c r="D328" s="99" t="s">
        <v>245</v>
      </c>
      <c r="E328" s="424" t="s">
        <v>440</v>
      </c>
      <c r="F328" s="424"/>
      <c r="G328" s="424"/>
      <c r="H328" s="424"/>
      <c r="I328" s="424"/>
      <c r="J328" s="424"/>
      <c r="K328" s="424"/>
      <c r="L328" s="424"/>
      <c r="M328" s="424"/>
      <c r="N328" s="424"/>
      <c r="O328" s="424"/>
      <c r="P328" s="424"/>
      <c r="Q328" s="424"/>
      <c r="R328" s="424"/>
      <c r="S328" s="424"/>
      <c r="T328" s="424"/>
      <c r="U328" s="424"/>
      <c r="V328" s="424"/>
      <c r="W328" s="424"/>
      <c r="X328" s="424"/>
      <c r="Y328" s="424"/>
      <c r="Z328" s="424"/>
      <c r="AA328" s="61"/>
      <c r="AB328" s="75" t="s">
        <v>316</v>
      </c>
      <c r="AD328" s="80" t="s">
        <v>242</v>
      </c>
      <c r="AE328" s="78"/>
      <c r="AF328" s="74">
        <f t="shared" si="107"/>
        <v>0</v>
      </c>
      <c r="AG328" s="74">
        <f t="shared" si="108"/>
        <v>1</v>
      </c>
    </row>
    <row r="329" spans="1:35" s="58" customFormat="1" ht="33" customHeight="1" x14ac:dyDescent="0.2">
      <c r="A329" s="73" t="str">
        <f t="shared" si="105"/>
        <v>X</v>
      </c>
      <c r="B329" s="81"/>
      <c r="C329" s="57"/>
      <c r="D329" s="99" t="s">
        <v>245</v>
      </c>
      <c r="E329" s="424" t="s">
        <v>441</v>
      </c>
      <c r="F329" s="424"/>
      <c r="G329" s="424"/>
      <c r="H329" s="424"/>
      <c r="I329" s="424"/>
      <c r="J329" s="424"/>
      <c r="K329" s="424"/>
      <c r="L329" s="424"/>
      <c r="M329" s="424"/>
      <c r="N329" s="424"/>
      <c r="O329" s="424"/>
      <c r="P329" s="424"/>
      <c r="Q329" s="424"/>
      <c r="R329" s="424"/>
      <c r="S329" s="424"/>
      <c r="T329" s="424"/>
      <c r="U329" s="424"/>
      <c r="V329" s="424"/>
      <c r="W329" s="424"/>
      <c r="X329" s="424"/>
      <c r="Y329" s="424"/>
      <c r="Z329" s="424"/>
      <c r="AA329" s="61"/>
      <c r="AB329" s="75" t="s">
        <v>316</v>
      </c>
      <c r="AD329" s="80" t="s">
        <v>242</v>
      </c>
      <c r="AE329" s="78"/>
      <c r="AF329" s="74">
        <f t="shared" si="107"/>
        <v>0</v>
      </c>
      <c r="AG329" s="74">
        <f t="shared" si="108"/>
        <v>1</v>
      </c>
    </row>
    <row r="330" spans="1:35" ht="21" customHeight="1" x14ac:dyDescent="0.15">
      <c r="A330" s="73" t="str">
        <f t="shared" si="105"/>
        <v>X</v>
      </c>
      <c r="B330" s="81"/>
      <c r="D330" s="440" t="s">
        <v>457</v>
      </c>
      <c r="E330" s="440"/>
      <c r="F330" s="440"/>
      <c r="G330" s="440"/>
      <c r="H330" s="440"/>
      <c r="I330" s="440"/>
      <c r="J330" s="440"/>
      <c r="K330" s="440"/>
      <c r="L330" s="440"/>
      <c r="M330" s="440"/>
      <c r="N330" s="440"/>
      <c r="O330" s="440"/>
      <c r="P330" s="440"/>
      <c r="Q330" s="440"/>
      <c r="R330" s="440"/>
      <c r="S330" s="440"/>
      <c r="T330" s="440"/>
      <c r="U330" s="440"/>
      <c r="V330" s="440"/>
      <c r="W330" s="440"/>
      <c r="X330" s="440"/>
      <c r="Y330" s="440"/>
      <c r="Z330" s="440"/>
      <c r="AB330" s="75" t="s">
        <v>246</v>
      </c>
      <c r="AD330" s="80" t="s">
        <v>242</v>
      </c>
      <c r="AE330" s="52"/>
      <c r="AF330" s="74">
        <f t="shared" si="107"/>
        <v>0</v>
      </c>
      <c r="AG330" s="74">
        <f t="shared" si="108"/>
        <v>1</v>
      </c>
      <c r="AI330" s="58"/>
    </row>
    <row r="331" spans="1:35" ht="18" customHeight="1" x14ac:dyDescent="0.2">
      <c r="A331" s="73" t="str">
        <f t="shared" si="105"/>
        <v>X</v>
      </c>
      <c r="B331" s="81"/>
      <c r="D331" s="424" t="s">
        <v>401</v>
      </c>
      <c r="E331" s="424"/>
      <c r="F331" s="424"/>
      <c r="G331" s="424"/>
      <c r="H331" s="424"/>
      <c r="I331" s="424"/>
      <c r="J331" s="424"/>
      <c r="K331" s="424"/>
      <c r="L331" s="424"/>
      <c r="M331" s="424"/>
      <c r="N331" s="424"/>
      <c r="O331" s="424"/>
      <c r="P331" s="424"/>
      <c r="Q331" s="424"/>
      <c r="R331" s="424"/>
      <c r="S331" s="424"/>
      <c r="T331" s="424"/>
      <c r="U331" s="424"/>
      <c r="V331" s="424"/>
      <c r="W331" s="424"/>
      <c r="X331" s="424"/>
      <c r="Y331" s="424"/>
      <c r="Z331" s="424"/>
      <c r="AB331" s="75" t="s">
        <v>246</v>
      </c>
      <c r="AD331" s="80" t="s">
        <v>242</v>
      </c>
      <c r="AE331" s="78"/>
      <c r="AF331" s="74">
        <f t="shared" si="107"/>
        <v>0</v>
      </c>
      <c r="AG331" s="74">
        <f t="shared" si="108"/>
        <v>1</v>
      </c>
      <c r="AI331" s="58"/>
    </row>
    <row r="332" spans="1:35" ht="18" customHeight="1" x14ac:dyDescent="0.2">
      <c r="A332" s="73" t="str">
        <f t="shared" si="105"/>
        <v>X</v>
      </c>
      <c r="B332" s="81"/>
      <c r="D332" s="99" t="s">
        <v>245</v>
      </c>
      <c r="E332" s="424" t="s">
        <v>458</v>
      </c>
      <c r="F332" s="424"/>
      <c r="G332" s="424"/>
      <c r="H332" s="424"/>
      <c r="I332" s="424"/>
      <c r="J332" s="424"/>
      <c r="K332" s="424"/>
      <c r="L332" s="424"/>
      <c r="M332" s="424"/>
      <c r="N332" s="424"/>
      <c r="O332" s="424"/>
      <c r="P332" s="424"/>
      <c r="Q332" s="424"/>
      <c r="R332" s="424"/>
      <c r="S332" s="424"/>
      <c r="T332" s="424"/>
      <c r="U332" s="424"/>
      <c r="V332" s="424"/>
      <c r="W332" s="424"/>
      <c r="X332" s="424"/>
      <c r="Y332" s="424"/>
      <c r="Z332" s="424"/>
      <c r="AB332" s="75" t="s">
        <v>246</v>
      </c>
      <c r="AD332" s="80" t="s">
        <v>242</v>
      </c>
      <c r="AE332" s="78"/>
      <c r="AF332" s="74">
        <f t="shared" si="107"/>
        <v>0</v>
      </c>
      <c r="AG332" s="74">
        <f t="shared" si="108"/>
        <v>1</v>
      </c>
      <c r="AI332" s="58"/>
    </row>
    <row r="333" spans="1:35" ht="23.25" customHeight="1" x14ac:dyDescent="0.2">
      <c r="A333" s="73" t="str">
        <f t="shared" si="105"/>
        <v>X</v>
      </c>
      <c r="B333" s="81"/>
      <c r="D333" s="99" t="s">
        <v>245</v>
      </c>
      <c r="E333" s="424" t="s">
        <v>459</v>
      </c>
      <c r="F333" s="424"/>
      <c r="G333" s="424"/>
      <c r="H333" s="424"/>
      <c r="I333" s="424"/>
      <c r="J333" s="424"/>
      <c r="K333" s="424"/>
      <c r="L333" s="424"/>
      <c r="M333" s="424"/>
      <c r="N333" s="424"/>
      <c r="O333" s="424"/>
      <c r="P333" s="424"/>
      <c r="Q333" s="424"/>
      <c r="R333" s="424"/>
      <c r="S333" s="424"/>
      <c r="T333" s="424"/>
      <c r="U333" s="424"/>
      <c r="V333" s="424"/>
      <c r="W333" s="424"/>
      <c r="X333" s="424"/>
      <c r="Y333" s="424"/>
      <c r="Z333" s="424"/>
      <c r="AB333" s="75" t="s">
        <v>246</v>
      </c>
      <c r="AD333" s="80" t="s">
        <v>242</v>
      </c>
      <c r="AE333" s="78"/>
      <c r="AF333" s="74">
        <f t="shared" si="107"/>
        <v>0</v>
      </c>
      <c r="AG333" s="74">
        <f t="shared" si="108"/>
        <v>1</v>
      </c>
      <c r="AI333" s="58"/>
    </row>
    <row r="334" spans="1:35" ht="18" customHeight="1" x14ac:dyDescent="0.2">
      <c r="A334" s="73" t="str">
        <f t="shared" si="105"/>
        <v>X</v>
      </c>
      <c r="B334" s="81"/>
      <c r="D334" s="99" t="s">
        <v>245</v>
      </c>
      <c r="E334" s="424" t="s">
        <v>460</v>
      </c>
      <c r="F334" s="424"/>
      <c r="G334" s="424"/>
      <c r="H334" s="424"/>
      <c r="I334" s="424"/>
      <c r="J334" s="424"/>
      <c r="K334" s="424"/>
      <c r="L334" s="424"/>
      <c r="M334" s="424"/>
      <c r="N334" s="424"/>
      <c r="O334" s="424"/>
      <c r="P334" s="424"/>
      <c r="Q334" s="424"/>
      <c r="R334" s="424"/>
      <c r="S334" s="424"/>
      <c r="T334" s="424"/>
      <c r="U334" s="424"/>
      <c r="V334" s="424"/>
      <c r="W334" s="424"/>
      <c r="X334" s="424"/>
      <c r="Y334" s="424"/>
      <c r="Z334" s="424"/>
      <c r="AB334" s="75" t="s">
        <v>246</v>
      </c>
      <c r="AD334" s="80" t="s">
        <v>242</v>
      </c>
      <c r="AE334" s="78"/>
      <c r="AF334" s="74">
        <f t="shared" si="107"/>
        <v>0</v>
      </c>
      <c r="AG334" s="74">
        <f t="shared" si="108"/>
        <v>1</v>
      </c>
      <c r="AI334" s="58"/>
    </row>
    <row r="335" spans="1:35" ht="48.75" customHeight="1" x14ac:dyDescent="0.2">
      <c r="A335" s="73" t="str">
        <f t="shared" si="105"/>
        <v>X</v>
      </c>
      <c r="B335" s="81"/>
      <c r="D335" s="99" t="s">
        <v>245</v>
      </c>
      <c r="E335" s="424" t="s">
        <v>461</v>
      </c>
      <c r="F335" s="424"/>
      <c r="G335" s="424"/>
      <c r="H335" s="424"/>
      <c r="I335" s="424"/>
      <c r="J335" s="424"/>
      <c r="K335" s="424"/>
      <c r="L335" s="424"/>
      <c r="M335" s="424"/>
      <c r="N335" s="424"/>
      <c r="O335" s="424"/>
      <c r="P335" s="424"/>
      <c r="Q335" s="424"/>
      <c r="R335" s="424"/>
      <c r="S335" s="424"/>
      <c r="T335" s="424"/>
      <c r="U335" s="424"/>
      <c r="V335" s="424"/>
      <c r="W335" s="424"/>
      <c r="X335" s="424"/>
      <c r="Y335" s="424"/>
      <c r="Z335" s="424"/>
      <c r="AB335" s="75" t="s">
        <v>246</v>
      </c>
      <c r="AD335" s="80" t="s">
        <v>242</v>
      </c>
      <c r="AE335" s="78" t="s">
        <v>462</v>
      </c>
      <c r="AF335" s="74">
        <f t="shared" si="107"/>
        <v>0</v>
      </c>
      <c r="AG335" s="74">
        <f t="shared" si="108"/>
        <v>1</v>
      </c>
      <c r="AI335" s="58"/>
    </row>
    <row r="336" spans="1:35" ht="21" customHeight="1" x14ac:dyDescent="0.15">
      <c r="A336" s="73" t="str">
        <f t="shared" si="105"/>
        <v>X</v>
      </c>
      <c r="B336" s="81"/>
      <c r="D336" s="440" t="s">
        <v>442</v>
      </c>
      <c r="E336" s="440"/>
      <c r="F336" s="440"/>
      <c r="G336" s="440"/>
      <c r="H336" s="440"/>
      <c r="I336" s="440"/>
      <c r="J336" s="440"/>
      <c r="K336" s="440"/>
      <c r="L336" s="440"/>
      <c r="M336" s="440"/>
      <c r="N336" s="440"/>
      <c r="O336" s="440"/>
      <c r="P336" s="440"/>
      <c r="Q336" s="440"/>
      <c r="R336" s="440"/>
      <c r="S336" s="440"/>
      <c r="T336" s="440"/>
      <c r="U336" s="440"/>
      <c r="V336" s="440"/>
      <c r="W336" s="440"/>
      <c r="X336" s="440"/>
      <c r="Y336" s="440"/>
      <c r="Z336" s="440"/>
      <c r="AB336" s="75" t="s">
        <v>246</v>
      </c>
      <c r="AD336" s="80" t="s">
        <v>242</v>
      </c>
      <c r="AE336" s="52"/>
      <c r="AF336" s="74">
        <f t="shared" si="107"/>
        <v>0</v>
      </c>
      <c r="AG336" s="74">
        <f t="shared" si="108"/>
        <v>1</v>
      </c>
      <c r="AI336" s="58"/>
    </row>
    <row r="337" spans="1:35" ht="21" customHeight="1" x14ac:dyDescent="0.15">
      <c r="A337" s="73" t="str">
        <f t="shared" si="105"/>
        <v>X</v>
      </c>
      <c r="B337" s="81"/>
      <c r="D337" s="440" t="s">
        <v>443</v>
      </c>
      <c r="E337" s="440"/>
      <c r="F337" s="440"/>
      <c r="G337" s="440"/>
      <c r="H337" s="440"/>
      <c r="I337" s="440"/>
      <c r="J337" s="440"/>
      <c r="K337" s="440"/>
      <c r="L337" s="440"/>
      <c r="M337" s="440"/>
      <c r="N337" s="440"/>
      <c r="O337" s="440"/>
      <c r="P337" s="440"/>
      <c r="Q337" s="440"/>
      <c r="R337" s="440"/>
      <c r="S337" s="440"/>
      <c r="T337" s="440"/>
      <c r="U337" s="440"/>
      <c r="V337" s="440"/>
      <c r="W337" s="440"/>
      <c r="X337" s="440"/>
      <c r="Y337" s="440"/>
      <c r="Z337" s="440"/>
      <c r="AB337" s="75" t="s">
        <v>246</v>
      </c>
      <c r="AD337" s="80" t="s">
        <v>242</v>
      </c>
      <c r="AE337" s="52"/>
      <c r="AF337" s="74">
        <f t="shared" si="107"/>
        <v>0</v>
      </c>
      <c r="AG337" s="74">
        <f t="shared" si="108"/>
        <v>1</v>
      </c>
      <c r="AI337" s="58"/>
    </row>
    <row r="338" spans="1:35" ht="18" customHeight="1" x14ac:dyDescent="0.2">
      <c r="A338" s="73" t="str">
        <f t="shared" si="105"/>
        <v>X</v>
      </c>
      <c r="B338" s="81"/>
      <c r="D338" s="99" t="s">
        <v>245</v>
      </c>
      <c r="E338" s="424" t="s">
        <v>444</v>
      </c>
      <c r="F338" s="424"/>
      <c r="G338" s="424"/>
      <c r="H338" s="424"/>
      <c r="I338" s="424"/>
      <c r="J338" s="424"/>
      <c r="K338" s="424"/>
      <c r="L338" s="424"/>
      <c r="M338" s="424"/>
      <c r="N338" s="424"/>
      <c r="O338" s="424"/>
      <c r="P338" s="424"/>
      <c r="Q338" s="424"/>
      <c r="R338" s="424"/>
      <c r="S338" s="424"/>
      <c r="T338" s="424"/>
      <c r="U338" s="424"/>
      <c r="V338" s="424"/>
      <c r="W338" s="424"/>
      <c r="X338" s="424"/>
      <c r="Y338" s="424"/>
      <c r="Z338" s="424"/>
      <c r="AB338" s="75" t="s">
        <v>246</v>
      </c>
      <c r="AD338" s="80" t="s">
        <v>242</v>
      </c>
      <c r="AE338" s="78"/>
      <c r="AF338" s="74">
        <f t="shared" si="107"/>
        <v>0</v>
      </c>
      <c r="AG338" s="74">
        <f t="shared" si="108"/>
        <v>1</v>
      </c>
      <c r="AI338" s="58"/>
    </row>
    <row r="339" spans="1:35" ht="18" customHeight="1" x14ac:dyDescent="0.2">
      <c r="A339" s="73" t="str">
        <f t="shared" si="105"/>
        <v>X</v>
      </c>
      <c r="B339" s="81"/>
      <c r="D339" s="99" t="s">
        <v>245</v>
      </c>
      <c r="E339" s="424" t="s">
        <v>445</v>
      </c>
      <c r="F339" s="424"/>
      <c r="G339" s="424"/>
      <c r="H339" s="424"/>
      <c r="I339" s="424"/>
      <c r="J339" s="424"/>
      <c r="K339" s="424"/>
      <c r="L339" s="424"/>
      <c r="M339" s="424"/>
      <c r="N339" s="424"/>
      <c r="O339" s="424"/>
      <c r="P339" s="424"/>
      <c r="Q339" s="424"/>
      <c r="R339" s="424"/>
      <c r="S339" s="424"/>
      <c r="T339" s="424"/>
      <c r="U339" s="424"/>
      <c r="V339" s="424"/>
      <c r="W339" s="424"/>
      <c r="X339" s="424"/>
      <c r="Y339" s="424"/>
      <c r="Z339" s="424"/>
      <c r="AB339" s="75" t="s">
        <v>246</v>
      </c>
      <c r="AD339" s="80" t="s">
        <v>242</v>
      </c>
      <c r="AE339" s="78"/>
      <c r="AF339" s="74">
        <f t="shared" si="107"/>
        <v>0</v>
      </c>
      <c r="AG339" s="74">
        <f t="shared" si="108"/>
        <v>1</v>
      </c>
      <c r="AI339" s="58"/>
    </row>
    <row r="340" spans="1:35" ht="18" customHeight="1" x14ac:dyDescent="0.2">
      <c r="A340" s="73" t="str">
        <f t="shared" si="105"/>
        <v>X</v>
      </c>
      <c r="B340" s="81"/>
      <c r="D340" s="99" t="s">
        <v>245</v>
      </c>
      <c r="E340" s="424" t="s">
        <v>446</v>
      </c>
      <c r="F340" s="424"/>
      <c r="G340" s="424"/>
      <c r="H340" s="424"/>
      <c r="I340" s="424"/>
      <c r="J340" s="424"/>
      <c r="K340" s="424"/>
      <c r="L340" s="424"/>
      <c r="M340" s="424"/>
      <c r="N340" s="424"/>
      <c r="O340" s="424"/>
      <c r="P340" s="424"/>
      <c r="Q340" s="424"/>
      <c r="R340" s="424"/>
      <c r="S340" s="424"/>
      <c r="T340" s="424"/>
      <c r="U340" s="424"/>
      <c r="V340" s="424"/>
      <c r="W340" s="424"/>
      <c r="X340" s="424"/>
      <c r="Y340" s="424"/>
      <c r="Z340" s="424"/>
      <c r="AB340" s="75" t="s">
        <v>246</v>
      </c>
      <c r="AD340" s="80" t="s">
        <v>242</v>
      </c>
      <c r="AE340" s="78"/>
      <c r="AF340" s="74">
        <f t="shared" si="107"/>
        <v>0</v>
      </c>
      <c r="AG340" s="74">
        <f t="shared" si="108"/>
        <v>1</v>
      </c>
      <c r="AI340" s="58"/>
    </row>
    <row r="341" spans="1:35" ht="18" customHeight="1" x14ac:dyDescent="0.2">
      <c r="A341" s="73" t="str">
        <f t="shared" si="105"/>
        <v>X</v>
      </c>
      <c r="B341" s="81"/>
      <c r="D341" s="99" t="s">
        <v>245</v>
      </c>
      <c r="E341" s="424" t="s">
        <v>447</v>
      </c>
      <c r="F341" s="424"/>
      <c r="G341" s="424"/>
      <c r="H341" s="424"/>
      <c r="I341" s="424"/>
      <c r="J341" s="424"/>
      <c r="K341" s="424"/>
      <c r="L341" s="424"/>
      <c r="M341" s="424"/>
      <c r="N341" s="424"/>
      <c r="O341" s="424"/>
      <c r="P341" s="424"/>
      <c r="Q341" s="424"/>
      <c r="R341" s="424"/>
      <c r="S341" s="424"/>
      <c r="T341" s="424"/>
      <c r="U341" s="424"/>
      <c r="V341" s="424"/>
      <c r="W341" s="424"/>
      <c r="X341" s="424"/>
      <c r="Y341" s="424"/>
      <c r="Z341" s="424"/>
      <c r="AB341" s="75" t="s">
        <v>246</v>
      </c>
      <c r="AD341" s="80" t="s">
        <v>242</v>
      </c>
      <c r="AE341" s="78"/>
      <c r="AF341" s="74">
        <f t="shared" si="107"/>
        <v>0</v>
      </c>
      <c r="AG341" s="74">
        <f t="shared" si="108"/>
        <v>1</v>
      </c>
      <c r="AI341" s="58"/>
    </row>
    <row r="342" spans="1:35" ht="18" customHeight="1" x14ac:dyDescent="0.2">
      <c r="A342" s="73" t="str">
        <f t="shared" si="105"/>
        <v>X</v>
      </c>
      <c r="B342" s="81"/>
      <c r="D342" s="99" t="s">
        <v>245</v>
      </c>
      <c r="E342" s="424" t="s">
        <v>448</v>
      </c>
      <c r="F342" s="424"/>
      <c r="G342" s="424"/>
      <c r="H342" s="424"/>
      <c r="I342" s="424"/>
      <c r="J342" s="424"/>
      <c r="K342" s="424"/>
      <c r="L342" s="424"/>
      <c r="M342" s="424"/>
      <c r="N342" s="424"/>
      <c r="O342" s="424"/>
      <c r="P342" s="424"/>
      <c r="Q342" s="424"/>
      <c r="R342" s="424"/>
      <c r="S342" s="424"/>
      <c r="T342" s="424"/>
      <c r="U342" s="424"/>
      <c r="V342" s="424"/>
      <c r="W342" s="424"/>
      <c r="X342" s="424"/>
      <c r="Y342" s="424"/>
      <c r="Z342" s="424"/>
      <c r="AB342" s="75" t="s">
        <v>246</v>
      </c>
      <c r="AD342" s="80" t="s">
        <v>242</v>
      </c>
      <c r="AE342" s="78"/>
      <c r="AF342" s="74">
        <f t="shared" si="107"/>
        <v>0</v>
      </c>
      <c r="AG342" s="74">
        <f t="shared" si="108"/>
        <v>1</v>
      </c>
      <c r="AI342" s="58"/>
    </row>
    <row r="343" spans="1:35" ht="18" customHeight="1" x14ac:dyDescent="0.2">
      <c r="A343" s="73" t="str">
        <f t="shared" si="105"/>
        <v>X</v>
      </c>
      <c r="B343" s="81"/>
      <c r="D343" s="99" t="s">
        <v>245</v>
      </c>
      <c r="E343" s="424" t="s">
        <v>449</v>
      </c>
      <c r="F343" s="424"/>
      <c r="G343" s="424"/>
      <c r="H343" s="424"/>
      <c r="I343" s="424"/>
      <c r="J343" s="424"/>
      <c r="K343" s="424"/>
      <c r="L343" s="424"/>
      <c r="M343" s="424"/>
      <c r="N343" s="424"/>
      <c r="O343" s="424"/>
      <c r="P343" s="424"/>
      <c r="Q343" s="424"/>
      <c r="R343" s="424"/>
      <c r="S343" s="424"/>
      <c r="T343" s="424"/>
      <c r="U343" s="424"/>
      <c r="V343" s="424"/>
      <c r="W343" s="424"/>
      <c r="X343" s="424"/>
      <c r="Y343" s="424"/>
      <c r="Z343" s="424"/>
      <c r="AB343" s="75" t="s">
        <v>246</v>
      </c>
      <c r="AD343" s="80" t="s">
        <v>242</v>
      </c>
      <c r="AE343" s="78"/>
      <c r="AF343" s="74">
        <f t="shared" si="107"/>
        <v>0</v>
      </c>
      <c r="AG343" s="74">
        <f t="shared" si="108"/>
        <v>1</v>
      </c>
      <c r="AI343" s="58"/>
    </row>
    <row r="344" spans="1:35" ht="18" customHeight="1" x14ac:dyDescent="0.2">
      <c r="A344" s="73" t="str">
        <f t="shared" si="105"/>
        <v>X</v>
      </c>
      <c r="B344" s="81"/>
      <c r="D344" s="99" t="s">
        <v>245</v>
      </c>
      <c r="E344" s="424" t="s">
        <v>450</v>
      </c>
      <c r="F344" s="424"/>
      <c r="G344" s="424"/>
      <c r="H344" s="424"/>
      <c r="I344" s="424"/>
      <c r="J344" s="424"/>
      <c r="K344" s="424"/>
      <c r="L344" s="424"/>
      <c r="M344" s="424"/>
      <c r="N344" s="424"/>
      <c r="O344" s="424"/>
      <c r="P344" s="424"/>
      <c r="Q344" s="424"/>
      <c r="R344" s="424"/>
      <c r="S344" s="424"/>
      <c r="T344" s="424"/>
      <c r="U344" s="424"/>
      <c r="V344" s="424"/>
      <c r="W344" s="424"/>
      <c r="X344" s="424"/>
      <c r="Y344" s="424"/>
      <c r="Z344" s="424"/>
      <c r="AB344" s="75" t="s">
        <v>246</v>
      </c>
      <c r="AD344" s="80" t="s">
        <v>242</v>
      </c>
      <c r="AE344" s="78"/>
      <c r="AF344" s="74">
        <f t="shared" si="107"/>
        <v>0</v>
      </c>
      <c r="AG344" s="74">
        <f t="shared" si="108"/>
        <v>1</v>
      </c>
      <c r="AI344" s="58"/>
    </row>
    <row r="345" spans="1:35" ht="18" customHeight="1" x14ac:dyDescent="0.2">
      <c r="A345" s="73" t="str">
        <f t="shared" si="105"/>
        <v>X</v>
      </c>
      <c r="B345" s="81"/>
      <c r="D345" s="99" t="s">
        <v>245</v>
      </c>
      <c r="E345" s="424" t="s">
        <v>451</v>
      </c>
      <c r="F345" s="424"/>
      <c r="G345" s="424"/>
      <c r="H345" s="424"/>
      <c r="I345" s="424"/>
      <c r="J345" s="424"/>
      <c r="K345" s="424"/>
      <c r="L345" s="424"/>
      <c r="M345" s="424"/>
      <c r="N345" s="424"/>
      <c r="O345" s="424"/>
      <c r="P345" s="424"/>
      <c r="Q345" s="424"/>
      <c r="R345" s="424"/>
      <c r="S345" s="424"/>
      <c r="T345" s="424"/>
      <c r="U345" s="424"/>
      <c r="V345" s="424"/>
      <c r="W345" s="424"/>
      <c r="X345" s="424"/>
      <c r="Y345" s="424"/>
      <c r="Z345" s="424"/>
      <c r="AB345" s="75" t="s">
        <v>246</v>
      </c>
      <c r="AD345" s="80" t="s">
        <v>242</v>
      </c>
      <c r="AE345" s="78"/>
      <c r="AF345" s="74">
        <f t="shared" si="107"/>
        <v>0</v>
      </c>
      <c r="AG345" s="74">
        <f t="shared" si="108"/>
        <v>1</v>
      </c>
      <c r="AI345" s="58"/>
    </row>
    <row r="346" spans="1:35" ht="18" customHeight="1" x14ac:dyDescent="0.2">
      <c r="A346" s="73" t="str">
        <f t="shared" si="105"/>
        <v>X</v>
      </c>
      <c r="B346" s="81"/>
      <c r="D346" s="99" t="s">
        <v>245</v>
      </c>
      <c r="E346" s="424" t="s">
        <v>452</v>
      </c>
      <c r="F346" s="424"/>
      <c r="G346" s="424"/>
      <c r="H346" s="424"/>
      <c r="I346" s="424"/>
      <c r="J346" s="424"/>
      <c r="K346" s="424"/>
      <c r="L346" s="424"/>
      <c r="M346" s="424"/>
      <c r="N346" s="424"/>
      <c r="O346" s="424"/>
      <c r="P346" s="424"/>
      <c r="Q346" s="424"/>
      <c r="R346" s="424"/>
      <c r="S346" s="424"/>
      <c r="T346" s="424"/>
      <c r="U346" s="424"/>
      <c r="V346" s="424"/>
      <c r="W346" s="424"/>
      <c r="X346" s="424"/>
      <c r="Y346" s="424"/>
      <c r="Z346" s="424"/>
      <c r="AB346" s="75" t="s">
        <v>246</v>
      </c>
      <c r="AD346" s="80" t="s">
        <v>242</v>
      </c>
      <c r="AE346" s="78"/>
      <c r="AF346" s="74">
        <f t="shared" si="107"/>
        <v>0</v>
      </c>
      <c r="AG346" s="74">
        <f t="shared" si="108"/>
        <v>1</v>
      </c>
      <c r="AI346" s="58"/>
    </row>
    <row r="347" spans="1:35" ht="18" customHeight="1" x14ac:dyDescent="0.2">
      <c r="A347" s="73" t="str">
        <f t="shared" si="105"/>
        <v>X</v>
      </c>
      <c r="B347" s="81"/>
      <c r="D347" s="99" t="s">
        <v>245</v>
      </c>
      <c r="E347" s="424" t="s">
        <v>453</v>
      </c>
      <c r="F347" s="424"/>
      <c r="G347" s="424"/>
      <c r="H347" s="424"/>
      <c r="I347" s="424"/>
      <c r="J347" s="424"/>
      <c r="K347" s="424"/>
      <c r="L347" s="424"/>
      <c r="M347" s="424"/>
      <c r="N347" s="424"/>
      <c r="O347" s="424"/>
      <c r="P347" s="424"/>
      <c r="Q347" s="424"/>
      <c r="R347" s="424"/>
      <c r="S347" s="424"/>
      <c r="T347" s="424"/>
      <c r="U347" s="424"/>
      <c r="V347" s="424"/>
      <c r="W347" s="424"/>
      <c r="X347" s="424"/>
      <c r="Y347" s="424"/>
      <c r="Z347" s="424"/>
      <c r="AB347" s="75" t="s">
        <v>246</v>
      </c>
      <c r="AD347" s="80" t="s">
        <v>242</v>
      </c>
      <c r="AE347" s="78"/>
      <c r="AF347" s="74">
        <f t="shared" si="107"/>
        <v>0</v>
      </c>
      <c r="AG347" s="74">
        <f t="shared" si="108"/>
        <v>1</v>
      </c>
      <c r="AI347" s="58"/>
    </row>
    <row r="348" spans="1:35" ht="18" customHeight="1" x14ac:dyDescent="0.2">
      <c r="A348" s="73" t="str">
        <f t="shared" si="105"/>
        <v>X</v>
      </c>
      <c r="B348" s="81"/>
      <c r="D348" s="99" t="s">
        <v>245</v>
      </c>
      <c r="E348" s="424" t="s">
        <v>648</v>
      </c>
      <c r="F348" s="424"/>
      <c r="G348" s="424"/>
      <c r="H348" s="424"/>
      <c r="I348" s="424"/>
      <c r="J348" s="424"/>
      <c r="K348" s="424"/>
      <c r="L348" s="424"/>
      <c r="M348" s="424"/>
      <c r="N348" s="424"/>
      <c r="O348" s="424"/>
      <c r="P348" s="424"/>
      <c r="Q348" s="424"/>
      <c r="R348" s="424"/>
      <c r="S348" s="424"/>
      <c r="T348" s="424"/>
      <c r="U348" s="424"/>
      <c r="V348" s="424"/>
      <c r="W348" s="424"/>
      <c r="X348" s="424"/>
      <c r="Y348" s="424"/>
      <c r="Z348" s="424"/>
      <c r="AB348" s="75" t="s">
        <v>246</v>
      </c>
      <c r="AD348" s="80" t="s">
        <v>242</v>
      </c>
      <c r="AE348" s="78"/>
      <c r="AF348" s="74">
        <f t="shared" si="107"/>
        <v>0</v>
      </c>
      <c r="AG348" s="74">
        <f t="shared" si="108"/>
        <v>1</v>
      </c>
      <c r="AI348" s="58"/>
    </row>
    <row r="349" spans="1:35" ht="18" customHeight="1" x14ac:dyDescent="0.2">
      <c r="A349" s="73" t="str">
        <f t="shared" si="105"/>
        <v>X</v>
      </c>
      <c r="B349" s="81"/>
      <c r="D349" s="99" t="s">
        <v>245</v>
      </c>
      <c r="E349" s="424" t="s">
        <v>454</v>
      </c>
      <c r="F349" s="424"/>
      <c r="G349" s="424"/>
      <c r="H349" s="424"/>
      <c r="I349" s="424"/>
      <c r="J349" s="424"/>
      <c r="K349" s="424"/>
      <c r="L349" s="424"/>
      <c r="M349" s="424"/>
      <c r="N349" s="424"/>
      <c r="O349" s="424"/>
      <c r="P349" s="424"/>
      <c r="Q349" s="424"/>
      <c r="R349" s="424"/>
      <c r="S349" s="424"/>
      <c r="T349" s="424"/>
      <c r="U349" s="424"/>
      <c r="V349" s="424"/>
      <c r="W349" s="424"/>
      <c r="X349" s="424"/>
      <c r="Y349" s="424"/>
      <c r="Z349" s="424"/>
      <c r="AB349" s="75" t="s">
        <v>246</v>
      </c>
      <c r="AD349" s="80" t="s">
        <v>242</v>
      </c>
      <c r="AE349" s="78"/>
      <c r="AF349" s="74">
        <f t="shared" si="107"/>
        <v>0</v>
      </c>
      <c r="AG349" s="74">
        <f t="shared" si="108"/>
        <v>1</v>
      </c>
      <c r="AI349" s="58"/>
    </row>
    <row r="350" spans="1:35" ht="18" customHeight="1" x14ac:dyDescent="0.2">
      <c r="A350" s="73" t="str">
        <f t="shared" si="105"/>
        <v>X</v>
      </c>
      <c r="B350" s="81"/>
      <c r="D350" s="99" t="s">
        <v>245</v>
      </c>
      <c r="E350" s="424" t="s">
        <v>455</v>
      </c>
      <c r="F350" s="424"/>
      <c r="G350" s="424"/>
      <c r="H350" s="424"/>
      <c r="I350" s="424"/>
      <c r="J350" s="424"/>
      <c r="K350" s="424"/>
      <c r="L350" s="424"/>
      <c r="M350" s="424"/>
      <c r="N350" s="424"/>
      <c r="O350" s="424"/>
      <c r="P350" s="424"/>
      <c r="Q350" s="424"/>
      <c r="R350" s="424"/>
      <c r="S350" s="424"/>
      <c r="T350" s="424"/>
      <c r="U350" s="424"/>
      <c r="V350" s="424"/>
      <c r="W350" s="424"/>
      <c r="X350" s="424"/>
      <c r="Y350" s="424"/>
      <c r="Z350" s="424"/>
      <c r="AB350" s="75" t="s">
        <v>246</v>
      </c>
      <c r="AD350" s="80" t="s">
        <v>242</v>
      </c>
      <c r="AE350" s="78"/>
      <c r="AF350" s="74">
        <f t="shared" si="107"/>
        <v>0</v>
      </c>
      <c r="AG350" s="74">
        <f t="shared" si="108"/>
        <v>1</v>
      </c>
      <c r="AI350" s="58"/>
    </row>
    <row r="351" spans="1:35" ht="18" customHeight="1" x14ac:dyDescent="0.2">
      <c r="A351" s="73" t="str">
        <f t="shared" si="105"/>
        <v>X</v>
      </c>
      <c r="B351" s="81"/>
      <c r="D351" s="99" t="s">
        <v>245</v>
      </c>
      <c r="E351" s="424" t="s">
        <v>456</v>
      </c>
      <c r="F351" s="424"/>
      <c r="G351" s="424"/>
      <c r="H351" s="424"/>
      <c r="I351" s="424"/>
      <c r="J351" s="424"/>
      <c r="K351" s="424"/>
      <c r="L351" s="424"/>
      <c r="M351" s="424"/>
      <c r="N351" s="424"/>
      <c r="O351" s="424"/>
      <c r="P351" s="424"/>
      <c r="Q351" s="424"/>
      <c r="R351" s="424"/>
      <c r="S351" s="424"/>
      <c r="T351" s="424"/>
      <c r="U351" s="424"/>
      <c r="V351" s="424"/>
      <c r="W351" s="424"/>
      <c r="X351" s="424"/>
      <c r="Y351" s="424"/>
      <c r="Z351" s="424"/>
      <c r="AB351" s="75" t="s">
        <v>246</v>
      </c>
      <c r="AD351" s="80" t="s">
        <v>242</v>
      </c>
      <c r="AE351" s="78"/>
      <c r="AF351" s="74">
        <f t="shared" si="107"/>
        <v>0</v>
      </c>
      <c r="AG351" s="74">
        <f t="shared" si="108"/>
        <v>1</v>
      </c>
      <c r="AI351" s="58"/>
    </row>
    <row r="352" spans="1:35" ht="21" customHeight="1" x14ac:dyDescent="0.2">
      <c r="A352" s="73" t="str">
        <f t="shared" si="105"/>
        <v/>
      </c>
      <c r="B352" s="74">
        <v>0</v>
      </c>
      <c r="D352" s="446" t="s">
        <v>299</v>
      </c>
      <c r="E352" s="446"/>
      <c r="F352" s="446"/>
      <c r="G352" s="446"/>
      <c r="H352" s="446"/>
      <c r="I352" s="446"/>
      <c r="J352" s="446"/>
      <c r="K352" s="446"/>
      <c r="L352" s="446"/>
      <c r="M352" s="446"/>
      <c r="N352" s="446"/>
      <c r="O352" s="446"/>
      <c r="P352" s="446"/>
      <c r="Q352" s="446"/>
      <c r="R352" s="446"/>
      <c r="S352" s="446"/>
      <c r="T352" s="446"/>
      <c r="U352" s="446"/>
      <c r="V352" s="446"/>
      <c r="W352" s="446"/>
      <c r="X352" s="446"/>
      <c r="Y352" s="446"/>
      <c r="Z352" s="446"/>
      <c r="AB352" s="87" t="s">
        <v>314</v>
      </c>
      <c r="AD352" s="82" t="s">
        <v>288</v>
      </c>
      <c r="AE352" s="27"/>
      <c r="AF352" s="13"/>
      <c r="AG352" s="13"/>
    </row>
    <row r="353" spans="1:33" ht="15.75" customHeight="1" x14ac:dyDescent="0.2">
      <c r="A353" s="73"/>
      <c r="B353" s="74">
        <v>0</v>
      </c>
      <c r="D353" s="443" t="s">
        <v>303</v>
      </c>
      <c r="E353" s="443"/>
      <c r="F353" s="443"/>
      <c r="G353" s="443"/>
      <c r="H353" s="443"/>
      <c r="I353" s="443"/>
      <c r="J353" s="443"/>
      <c r="K353" s="443"/>
      <c r="L353" s="443"/>
      <c r="M353" s="443"/>
      <c r="N353" s="443"/>
      <c r="O353" s="443"/>
      <c r="P353" s="443"/>
      <c r="Q353" s="443"/>
      <c r="R353" s="443"/>
      <c r="S353" s="443"/>
      <c r="T353" s="443"/>
      <c r="U353" s="443"/>
      <c r="V353" s="443"/>
      <c r="W353" s="443"/>
      <c r="X353" s="443"/>
      <c r="Y353" s="443"/>
      <c r="Z353" s="443"/>
      <c r="AB353" s="87" t="s">
        <v>314</v>
      </c>
      <c r="AD353" s="82" t="s">
        <v>288</v>
      </c>
      <c r="AE353" s="27"/>
      <c r="AF353" s="13"/>
      <c r="AG353" s="13"/>
    </row>
    <row r="354" spans="1:33" ht="8.5" customHeight="1" x14ac:dyDescent="0.15">
      <c r="A354" s="73" t="str">
        <f>IF(AG354=1,"X","")</f>
        <v/>
      </c>
      <c r="B354" s="74">
        <f>IF(OR(D355="Show",Q355="Show"),1,0)</f>
        <v>0</v>
      </c>
      <c r="D354" s="426"/>
      <c r="E354" s="426"/>
      <c r="F354" s="426"/>
      <c r="G354" s="426"/>
      <c r="H354" s="426"/>
      <c r="I354" s="426"/>
      <c r="J354" s="426"/>
      <c r="K354" s="426"/>
      <c r="L354" s="426"/>
      <c r="M354" s="426"/>
      <c r="N354" s="426"/>
      <c r="O354" s="426"/>
      <c r="P354" s="426"/>
      <c r="Q354" s="426"/>
      <c r="R354" s="426"/>
      <c r="S354" s="426"/>
      <c r="T354" s="426"/>
      <c r="U354" s="426"/>
      <c r="V354" s="426"/>
      <c r="W354" s="426"/>
      <c r="X354" s="426"/>
      <c r="Y354" s="426"/>
      <c r="Z354" s="426"/>
      <c r="AD354" s="82" t="s">
        <v>241</v>
      </c>
      <c r="AE354" s="52"/>
      <c r="AF354" s="13"/>
      <c r="AG354" s="13"/>
    </row>
    <row r="355" spans="1:33" ht="18" customHeight="1" x14ac:dyDescent="0.2">
      <c r="A355" s="73" t="str">
        <f t="shared" ref="A355:A358" si="109">IF(AG355=1,"X","")</f>
        <v/>
      </c>
      <c r="B355" s="74">
        <v>0</v>
      </c>
      <c r="D355" s="427" t="s">
        <v>309</v>
      </c>
      <c r="E355" s="427"/>
      <c r="F355" s="427"/>
      <c r="G355" s="427"/>
      <c r="H355" s="427"/>
      <c r="I355" s="427"/>
      <c r="J355" s="427"/>
      <c r="K355" s="427"/>
      <c r="L355" s="427"/>
      <c r="M355" s="427"/>
      <c r="N355" s="427"/>
      <c r="O355" s="84"/>
      <c r="P355" s="84"/>
      <c r="Q355" s="427" t="s">
        <v>309</v>
      </c>
      <c r="R355" s="427"/>
      <c r="S355" s="427"/>
      <c r="T355" s="427"/>
      <c r="U355" s="427"/>
      <c r="V355" s="427"/>
      <c r="W355" s="427"/>
      <c r="X355" s="427"/>
      <c r="Y355" s="427"/>
      <c r="Z355" s="427"/>
      <c r="AA355" s="65"/>
      <c r="AB355" s="75" t="s">
        <v>302</v>
      </c>
      <c r="AD355" s="80" t="s">
        <v>242</v>
      </c>
      <c r="AE355" s="27"/>
      <c r="AF355" s="74">
        <f>IF(OR(D355="Show",D355="",Q355="Show",Q355=""),1,0)</f>
        <v>0</v>
      </c>
      <c r="AG355" s="74">
        <f>IF(AND(SUM(AF:AF)&gt;0,OR(D355="",Q355="")),1,0)</f>
        <v>0</v>
      </c>
    </row>
    <row r="356" spans="1:33" ht="197.25" customHeight="1" x14ac:dyDescent="0.2">
      <c r="A356" s="73" t="str">
        <f t="shared" si="109"/>
        <v/>
      </c>
      <c r="B356" s="74">
        <f>B354</f>
        <v>0</v>
      </c>
      <c r="D356" s="427"/>
      <c r="E356" s="427"/>
      <c r="F356" s="427"/>
      <c r="G356" s="427"/>
      <c r="H356" s="427"/>
      <c r="I356" s="427"/>
      <c r="J356" s="427"/>
      <c r="K356" s="427"/>
      <c r="L356" s="427"/>
      <c r="M356" s="427"/>
      <c r="N356" s="427"/>
      <c r="O356" s="84"/>
      <c r="P356" s="84"/>
      <c r="Q356" s="427"/>
      <c r="R356" s="427"/>
      <c r="S356" s="427"/>
      <c r="T356" s="427"/>
      <c r="U356" s="427"/>
      <c r="V356" s="427"/>
      <c r="W356" s="427"/>
      <c r="X356" s="427"/>
      <c r="Y356" s="427"/>
      <c r="Z356" s="427"/>
      <c r="AA356" s="65"/>
      <c r="AB356" s="75" t="s">
        <v>301</v>
      </c>
      <c r="AD356" s="80" t="s">
        <v>242</v>
      </c>
      <c r="AE356" s="78"/>
      <c r="AF356" s="13"/>
      <c r="AG356" s="13"/>
    </row>
    <row r="357" spans="1:33" ht="18" customHeight="1" x14ac:dyDescent="0.2">
      <c r="A357" s="73" t="str">
        <f t="shared" si="109"/>
        <v/>
      </c>
      <c r="B357" s="74">
        <f>B356</f>
        <v>0</v>
      </c>
      <c r="D357" s="430"/>
      <c r="E357" s="430"/>
      <c r="F357" s="430"/>
      <c r="G357" s="430"/>
      <c r="H357" s="430"/>
      <c r="I357" s="430"/>
      <c r="J357" s="430"/>
      <c r="K357" s="430"/>
      <c r="L357" s="430"/>
      <c r="M357" s="430"/>
      <c r="N357" s="430"/>
      <c r="O357" s="84"/>
      <c r="P357" s="84"/>
      <c r="Q357" s="430"/>
      <c r="R357" s="430"/>
      <c r="S357" s="430"/>
      <c r="T357" s="430"/>
      <c r="U357" s="430"/>
      <c r="V357" s="430"/>
      <c r="W357" s="430"/>
      <c r="X357" s="430"/>
      <c r="Y357" s="430"/>
      <c r="Z357" s="430"/>
      <c r="AA357" s="65"/>
      <c r="AB357" s="75" t="s">
        <v>300</v>
      </c>
      <c r="AD357" s="80" t="s">
        <v>242</v>
      </c>
      <c r="AE357" s="78"/>
      <c r="AF357" s="74">
        <f>IF(OR(D355="Show",D355="",Q355="Show",Q355=""),1,0)</f>
        <v>0</v>
      </c>
      <c r="AG357" s="74">
        <f>IF(AND(SUM(AF:AF)&gt;0,OR(AND(D355="Show",D357=""),AND(Q355="Show",Q357=""))),1,0)</f>
        <v>0</v>
      </c>
    </row>
    <row r="358" spans="1:33" ht="8.5" customHeight="1" x14ac:dyDescent="0.15">
      <c r="A358" s="73" t="str">
        <f t="shared" si="109"/>
        <v/>
      </c>
      <c r="B358" s="74">
        <f>B357</f>
        <v>0</v>
      </c>
      <c r="D358" s="426"/>
      <c r="E358" s="426"/>
      <c r="F358" s="426"/>
      <c r="G358" s="426"/>
      <c r="H358" s="426"/>
      <c r="I358" s="426"/>
      <c r="J358" s="426"/>
      <c r="K358" s="426"/>
      <c r="L358" s="426"/>
      <c r="M358" s="426"/>
      <c r="N358" s="426"/>
      <c r="O358" s="426"/>
      <c r="P358" s="426"/>
      <c r="Q358" s="426"/>
      <c r="R358" s="426"/>
      <c r="S358" s="426"/>
      <c r="T358" s="426"/>
      <c r="U358" s="426"/>
      <c r="V358" s="426"/>
      <c r="W358" s="426"/>
      <c r="X358" s="426"/>
      <c r="Y358" s="426"/>
      <c r="Z358" s="426"/>
      <c r="AA358" s="65"/>
      <c r="AD358" s="82" t="s">
        <v>241</v>
      </c>
      <c r="AE358" s="52"/>
      <c r="AF358" s="13"/>
      <c r="AG358" s="13"/>
    </row>
    <row r="359" spans="1:33" ht="15.75" customHeight="1" x14ac:dyDescent="0.2">
      <c r="A359" s="73"/>
      <c r="B359" s="74">
        <v>0</v>
      </c>
      <c r="D359" s="443" t="s">
        <v>304</v>
      </c>
      <c r="E359" s="443"/>
      <c r="F359" s="443"/>
      <c r="G359" s="443"/>
      <c r="H359" s="443"/>
      <c r="I359" s="443"/>
      <c r="J359" s="443"/>
      <c r="K359" s="443"/>
      <c r="L359" s="443"/>
      <c r="M359" s="443"/>
      <c r="N359" s="443"/>
      <c r="O359" s="443"/>
      <c r="P359" s="443"/>
      <c r="Q359" s="443"/>
      <c r="R359" s="443"/>
      <c r="S359" s="443"/>
      <c r="T359" s="443"/>
      <c r="U359" s="443"/>
      <c r="V359" s="443"/>
      <c r="W359" s="443"/>
      <c r="X359" s="443"/>
      <c r="Y359" s="443"/>
      <c r="Z359" s="443"/>
      <c r="AB359" s="87" t="s">
        <v>314</v>
      </c>
      <c r="AD359" s="82" t="s">
        <v>288</v>
      </c>
      <c r="AE359" s="27"/>
      <c r="AF359" s="13"/>
      <c r="AG359" s="13"/>
    </row>
    <row r="360" spans="1:33" ht="15.75" customHeight="1" x14ac:dyDescent="0.2">
      <c r="A360" s="73"/>
      <c r="B360" s="74">
        <v>0</v>
      </c>
      <c r="D360" s="443" t="s">
        <v>305</v>
      </c>
      <c r="E360" s="443"/>
      <c r="F360" s="443"/>
      <c r="G360" s="443"/>
      <c r="H360" s="443"/>
      <c r="I360" s="443"/>
      <c r="J360" s="443"/>
      <c r="K360" s="443"/>
      <c r="L360" s="443"/>
      <c r="M360" s="443"/>
      <c r="N360" s="443"/>
      <c r="O360" s="443"/>
      <c r="P360" s="443"/>
      <c r="Q360" s="443"/>
      <c r="R360" s="443"/>
      <c r="S360" s="443"/>
      <c r="T360" s="443"/>
      <c r="U360" s="443"/>
      <c r="V360" s="443"/>
      <c r="W360" s="443"/>
      <c r="X360" s="443"/>
      <c r="Y360" s="443"/>
      <c r="Z360" s="443"/>
      <c r="AB360" s="87" t="s">
        <v>314</v>
      </c>
      <c r="AD360" s="82" t="s">
        <v>288</v>
      </c>
      <c r="AE360" s="27"/>
      <c r="AF360" s="13"/>
      <c r="AG360" s="13"/>
    </row>
    <row r="361" spans="1:33" ht="8.5" customHeight="1" x14ac:dyDescent="0.15">
      <c r="A361" s="73" t="str">
        <f>IF(AG361=1,"X","")</f>
        <v/>
      </c>
      <c r="B361" s="74">
        <f>IF(OR(D362="Show",Q362="Show"),1,0)</f>
        <v>0</v>
      </c>
      <c r="D361" s="426"/>
      <c r="E361" s="426"/>
      <c r="F361" s="426"/>
      <c r="G361" s="426"/>
      <c r="H361" s="426"/>
      <c r="I361" s="426"/>
      <c r="J361" s="426"/>
      <c r="K361" s="426"/>
      <c r="L361" s="426"/>
      <c r="M361" s="426"/>
      <c r="N361" s="426"/>
      <c r="O361" s="426"/>
      <c r="P361" s="426"/>
      <c r="Q361" s="426"/>
      <c r="R361" s="426"/>
      <c r="S361" s="426"/>
      <c r="T361" s="426"/>
      <c r="U361" s="426"/>
      <c r="V361" s="426"/>
      <c r="W361" s="426"/>
      <c r="X361" s="426"/>
      <c r="Y361" s="426"/>
      <c r="Z361" s="426"/>
      <c r="AD361" s="82" t="s">
        <v>241</v>
      </c>
      <c r="AE361" s="52"/>
      <c r="AF361" s="13"/>
      <c r="AG361" s="13"/>
    </row>
    <row r="362" spans="1:33" ht="18" customHeight="1" x14ac:dyDescent="0.2">
      <c r="A362" s="73" t="str">
        <f t="shared" ref="A362:A365" si="110">IF(AG362=1,"X","")</f>
        <v/>
      </c>
      <c r="B362" s="74">
        <v>0</v>
      </c>
      <c r="D362" s="427" t="s">
        <v>309</v>
      </c>
      <c r="E362" s="427"/>
      <c r="F362" s="427"/>
      <c r="G362" s="427"/>
      <c r="H362" s="427"/>
      <c r="I362" s="427"/>
      <c r="J362" s="427"/>
      <c r="K362" s="427"/>
      <c r="L362" s="427"/>
      <c r="M362" s="427"/>
      <c r="N362" s="427"/>
      <c r="O362" s="84"/>
      <c r="P362" s="84"/>
      <c r="Q362" s="427" t="s">
        <v>309</v>
      </c>
      <c r="R362" s="427"/>
      <c r="S362" s="427"/>
      <c r="T362" s="427"/>
      <c r="U362" s="427"/>
      <c r="V362" s="427"/>
      <c r="W362" s="427"/>
      <c r="X362" s="427"/>
      <c r="Y362" s="427"/>
      <c r="Z362" s="427"/>
      <c r="AA362" s="65"/>
      <c r="AB362" s="75" t="s">
        <v>302</v>
      </c>
      <c r="AD362" s="80" t="s">
        <v>242</v>
      </c>
      <c r="AE362" s="27"/>
      <c r="AF362" s="74">
        <f>IF(OR(D362="Show",D362="",Q362="Show",Q362=""),1,0)</f>
        <v>0</v>
      </c>
      <c r="AG362" s="74">
        <f>IF(AND(SUM(AF:AF)&gt;0,OR(D362="",Q362="")),1,0)</f>
        <v>0</v>
      </c>
    </row>
    <row r="363" spans="1:33" ht="197.25" customHeight="1" x14ac:dyDescent="0.2">
      <c r="A363" s="73" t="str">
        <f t="shared" si="110"/>
        <v/>
      </c>
      <c r="B363" s="74">
        <f>B361</f>
        <v>0</v>
      </c>
      <c r="D363" s="427"/>
      <c r="E363" s="427"/>
      <c r="F363" s="427"/>
      <c r="G363" s="427"/>
      <c r="H363" s="427"/>
      <c r="I363" s="427"/>
      <c r="J363" s="427"/>
      <c r="K363" s="427"/>
      <c r="L363" s="427"/>
      <c r="M363" s="427"/>
      <c r="N363" s="427"/>
      <c r="O363" s="84"/>
      <c r="P363" s="84"/>
      <c r="Q363" s="427"/>
      <c r="R363" s="427"/>
      <c r="S363" s="427"/>
      <c r="T363" s="427"/>
      <c r="U363" s="427"/>
      <c r="V363" s="427"/>
      <c r="W363" s="427"/>
      <c r="X363" s="427"/>
      <c r="Y363" s="427"/>
      <c r="Z363" s="427"/>
      <c r="AA363" s="65"/>
      <c r="AB363" s="75" t="s">
        <v>301</v>
      </c>
      <c r="AD363" s="80" t="s">
        <v>242</v>
      </c>
      <c r="AE363" s="78"/>
      <c r="AF363" s="13"/>
      <c r="AG363" s="13"/>
    </row>
    <row r="364" spans="1:33" ht="18" customHeight="1" x14ac:dyDescent="0.2">
      <c r="A364" s="73" t="str">
        <f t="shared" si="110"/>
        <v/>
      </c>
      <c r="B364" s="74">
        <f>B363</f>
        <v>0</v>
      </c>
      <c r="D364" s="430"/>
      <c r="E364" s="430"/>
      <c r="F364" s="430"/>
      <c r="G364" s="430"/>
      <c r="H364" s="430"/>
      <c r="I364" s="430"/>
      <c r="J364" s="430"/>
      <c r="K364" s="430"/>
      <c r="L364" s="430"/>
      <c r="M364" s="430"/>
      <c r="N364" s="430"/>
      <c r="O364" s="84"/>
      <c r="P364" s="84"/>
      <c r="Q364" s="430"/>
      <c r="R364" s="430"/>
      <c r="S364" s="430"/>
      <c r="T364" s="430"/>
      <c r="U364" s="430"/>
      <c r="V364" s="430"/>
      <c r="W364" s="430"/>
      <c r="X364" s="430"/>
      <c r="Y364" s="430"/>
      <c r="Z364" s="430"/>
      <c r="AA364" s="65"/>
      <c r="AB364" s="75" t="s">
        <v>300</v>
      </c>
      <c r="AD364" s="80" t="s">
        <v>242</v>
      </c>
      <c r="AE364" s="78"/>
      <c r="AF364" s="74">
        <f>IF(OR(D362="Show",D362="",Q362="Show",Q362=""),1,0)</f>
        <v>0</v>
      </c>
      <c r="AG364" s="74">
        <f>IF(AND(SUM(AF:AF)&gt;0,OR(AND(D362="Show",D364=""),AND(Q362="Show",Q364=""))),1,0)</f>
        <v>0</v>
      </c>
    </row>
    <row r="365" spans="1:33" ht="8.5" customHeight="1" x14ac:dyDescent="0.15">
      <c r="A365" s="73" t="str">
        <f t="shared" si="110"/>
        <v/>
      </c>
      <c r="B365" s="74">
        <f>B364</f>
        <v>0</v>
      </c>
      <c r="D365" s="426"/>
      <c r="E365" s="426"/>
      <c r="F365" s="426"/>
      <c r="G365" s="426"/>
      <c r="H365" s="426"/>
      <c r="I365" s="426"/>
      <c r="J365" s="426"/>
      <c r="K365" s="426"/>
      <c r="L365" s="426"/>
      <c r="M365" s="426"/>
      <c r="N365" s="426"/>
      <c r="O365" s="426"/>
      <c r="P365" s="426"/>
      <c r="Q365" s="426"/>
      <c r="R365" s="426"/>
      <c r="S365" s="426"/>
      <c r="T365" s="426"/>
      <c r="U365" s="426"/>
      <c r="V365" s="426"/>
      <c r="W365" s="426"/>
      <c r="X365" s="426"/>
      <c r="Y365" s="426"/>
      <c r="Z365" s="426"/>
      <c r="AA365" s="65"/>
      <c r="AD365" s="82" t="s">
        <v>241</v>
      </c>
      <c r="AE365" s="52"/>
      <c r="AF365" s="13"/>
      <c r="AG365" s="13"/>
    </row>
    <row r="366" spans="1:33" ht="15.75" customHeight="1" x14ac:dyDescent="0.2">
      <c r="A366" s="73"/>
      <c r="B366" s="74">
        <v>0</v>
      </c>
      <c r="D366" s="443" t="s">
        <v>307</v>
      </c>
      <c r="E366" s="443"/>
      <c r="F366" s="443"/>
      <c r="G366" s="443"/>
      <c r="H366" s="443"/>
      <c r="I366" s="443"/>
      <c r="J366" s="443"/>
      <c r="K366" s="443"/>
      <c r="L366" s="443"/>
      <c r="M366" s="443"/>
      <c r="N366" s="443"/>
      <c r="O366" s="443"/>
      <c r="P366" s="443"/>
      <c r="Q366" s="443"/>
      <c r="R366" s="443"/>
      <c r="S366" s="443"/>
      <c r="T366" s="443"/>
      <c r="U366" s="443"/>
      <c r="V366" s="443"/>
      <c r="W366" s="443"/>
      <c r="X366" s="443"/>
      <c r="Y366" s="443"/>
      <c r="Z366" s="443"/>
      <c r="AB366" s="87" t="s">
        <v>314</v>
      </c>
      <c r="AD366" s="82" t="s">
        <v>288</v>
      </c>
      <c r="AE366" s="27"/>
      <c r="AF366" s="13"/>
      <c r="AG366" s="13"/>
    </row>
    <row r="367" spans="1:33" ht="15.75" customHeight="1" x14ac:dyDescent="0.2">
      <c r="A367" s="73"/>
      <c r="B367" s="74">
        <v>0</v>
      </c>
      <c r="D367" s="443" t="s">
        <v>308</v>
      </c>
      <c r="E367" s="443"/>
      <c r="F367" s="443"/>
      <c r="G367" s="443"/>
      <c r="H367" s="443"/>
      <c r="I367" s="443"/>
      <c r="J367" s="443"/>
      <c r="K367" s="443"/>
      <c r="L367" s="443"/>
      <c r="M367" s="443"/>
      <c r="N367" s="443"/>
      <c r="O367" s="443"/>
      <c r="P367" s="443"/>
      <c r="Q367" s="443"/>
      <c r="R367" s="443"/>
      <c r="S367" s="443"/>
      <c r="T367" s="443"/>
      <c r="U367" s="443"/>
      <c r="V367" s="443"/>
      <c r="W367" s="443"/>
      <c r="X367" s="443"/>
      <c r="Y367" s="443"/>
      <c r="Z367" s="443"/>
      <c r="AB367" s="87" t="s">
        <v>314</v>
      </c>
      <c r="AD367" s="82" t="s">
        <v>288</v>
      </c>
      <c r="AE367" s="27"/>
      <c r="AF367" s="13"/>
      <c r="AG367" s="13"/>
    </row>
    <row r="368" spans="1:33" ht="8.5" customHeight="1" x14ac:dyDescent="0.15">
      <c r="A368" s="73" t="str">
        <f>IF(AG368=1,"X","")</f>
        <v/>
      </c>
      <c r="B368" s="74">
        <f>IF(OR(D369="Show",Q369="Show"),1,0)</f>
        <v>0</v>
      </c>
      <c r="D368" s="426"/>
      <c r="E368" s="426"/>
      <c r="F368" s="426"/>
      <c r="G368" s="426"/>
      <c r="H368" s="426"/>
      <c r="I368" s="426"/>
      <c r="J368" s="426"/>
      <c r="K368" s="426"/>
      <c r="L368" s="426"/>
      <c r="M368" s="426"/>
      <c r="N368" s="426"/>
      <c r="O368" s="426"/>
      <c r="P368" s="426"/>
      <c r="Q368" s="426"/>
      <c r="R368" s="426"/>
      <c r="S368" s="426"/>
      <c r="T368" s="426"/>
      <c r="U368" s="426"/>
      <c r="V368" s="426"/>
      <c r="W368" s="426"/>
      <c r="X368" s="426"/>
      <c r="Y368" s="426"/>
      <c r="Z368" s="426"/>
      <c r="AD368" s="82" t="s">
        <v>241</v>
      </c>
      <c r="AE368" s="52"/>
      <c r="AF368" s="13"/>
      <c r="AG368" s="13"/>
    </row>
    <row r="369" spans="1:33" ht="18" customHeight="1" x14ac:dyDescent="0.2">
      <c r="A369" s="73" t="str">
        <f t="shared" ref="A369:A372" si="111">IF(AG369=1,"X","")</f>
        <v/>
      </c>
      <c r="B369" s="74">
        <v>0</v>
      </c>
      <c r="D369" s="427" t="s">
        <v>309</v>
      </c>
      <c r="E369" s="427"/>
      <c r="F369" s="427"/>
      <c r="G369" s="427"/>
      <c r="H369" s="427"/>
      <c r="I369" s="427"/>
      <c r="J369" s="427"/>
      <c r="K369" s="427"/>
      <c r="L369" s="427"/>
      <c r="M369" s="427"/>
      <c r="N369" s="427"/>
      <c r="O369" s="84"/>
      <c r="P369" s="84"/>
      <c r="Q369" s="427" t="s">
        <v>309</v>
      </c>
      <c r="R369" s="427"/>
      <c r="S369" s="427"/>
      <c r="T369" s="427"/>
      <c r="U369" s="427"/>
      <c r="V369" s="427"/>
      <c r="W369" s="427"/>
      <c r="X369" s="427"/>
      <c r="Y369" s="427"/>
      <c r="Z369" s="427"/>
      <c r="AA369" s="65"/>
      <c r="AB369" s="75" t="s">
        <v>302</v>
      </c>
      <c r="AD369" s="80" t="s">
        <v>242</v>
      </c>
      <c r="AE369" s="27"/>
      <c r="AF369" s="74">
        <f>IF(OR(D369="Show",D369="",Q369="Show",Q369=""),1,0)</f>
        <v>0</v>
      </c>
      <c r="AG369" s="74">
        <f>IF(AND(SUM(AF:AF)&gt;0,OR(D369="",Q369="")),1,0)</f>
        <v>0</v>
      </c>
    </row>
    <row r="370" spans="1:33" ht="197.25" customHeight="1" x14ac:dyDescent="0.2">
      <c r="A370" s="73" t="str">
        <f t="shared" si="111"/>
        <v/>
      </c>
      <c r="B370" s="74">
        <f>B368</f>
        <v>0</v>
      </c>
      <c r="D370" s="427"/>
      <c r="E370" s="427"/>
      <c r="F370" s="427"/>
      <c r="G370" s="427"/>
      <c r="H370" s="427"/>
      <c r="I370" s="427"/>
      <c r="J370" s="427"/>
      <c r="K370" s="427"/>
      <c r="L370" s="427"/>
      <c r="M370" s="427"/>
      <c r="N370" s="427"/>
      <c r="O370" s="84"/>
      <c r="P370" s="84"/>
      <c r="Q370" s="427"/>
      <c r="R370" s="427"/>
      <c r="S370" s="427"/>
      <c r="T370" s="427"/>
      <c r="U370" s="427"/>
      <c r="V370" s="427"/>
      <c r="W370" s="427"/>
      <c r="X370" s="427"/>
      <c r="Y370" s="427"/>
      <c r="Z370" s="427"/>
      <c r="AA370" s="65"/>
      <c r="AB370" s="75" t="s">
        <v>301</v>
      </c>
      <c r="AD370" s="80" t="s">
        <v>242</v>
      </c>
      <c r="AE370" s="78"/>
      <c r="AF370" s="13"/>
      <c r="AG370" s="13"/>
    </row>
    <row r="371" spans="1:33" ht="18" customHeight="1" x14ac:dyDescent="0.2">
      <c r="A371" s="73" t="str">
        <f t="shared" si="111"/>
        <v/>
      </c>
      <c r="B371" s="74">
        <f>B370</f>
        <v>0</v>
      </c>
      <c r="D371" s="430"/>
      <c r="E371" s="430"/>
      <c r="F371" s="430"/>
      <c r="G371" s="430"/>
      <c r="H371" s="430"/>
      <c r="I371" s="430"/>
      <c r="J371" s="430"/>
      <c r="K371" s="430"/>
      <c r="L371" s="430"/>
      <c r="M371" s="430"/>
      <c r="N371" s="430"/>
      <c r="O371" s="84"/>
      <c r="P371" s="84"/>
      <c r="Q371" s="430"/>
      <c r="R371" s="430"/>
      <c r="S371" s="430"/>
      <c r="T371" s="430"/>
      <c r="U371" s="430"/>
      <c r="V371" s="430"/>
      <c r="W371" s="430"/>
      <c r="X371" s="430"/>
      <c r="Y371" s="430"/>
      <c r="Z371" s="430"/>
      <c r="AA371" s="65"/>
      <c r="AB371" s="75" t="s">
        <v>300</v>
      </c>
      <c r="AD371" s="80" t="s">
        <v>242</v>
      </c>
      <c r="AE371" s="78"/>
      <c r="AF371" s="74">
        <f>IF(OR(D369="Show",D369="",Q369="Show",Q369=""),1,0)</f>
        <v>0</v>
      </c>
      <c r="AG371" s="74">
        <f>IF(AND(SUM(AF:AF)&gt;0,OR(AND(D369="Show",D371=""),AND(Q369="Show",Q371=""))),1,0)</f>
        <v>0</v>
      </c>
    </row>
    <row r="372" spans="1:33" ht="8.5" customHeight="1" x14ac:dyDescent="0.15">
      <c r="A372" s="73" t="str">
        <f t="shared" si="111"/>
        <v/>
      </c>
      <c r="B372" s="74">
        <f>B371</f>
        <v>0</v>
      </c>
      <c r="D372" s="426"/>
      <c r="E372" s="426"/>
      <c r="F372" s="426"/>
      <c r="G372" s="426"/>
      <c r="H372" s="426"/>
      <c r="I372" s="426"/>
      <c r="J372" s="426"/>
      <c r="K372" s="426"/>
      <c r="L372" s="426"/>
      <c r="M372" s="426"/>
      <c r="N372" s="426"/>
      <c r="O372" s="426"/>
      <c r="P372" s="426"/>
      <c r="Q372" s="426"/>
      <c r="R372" s="426"/>
      <c r="S372" s="426"/>
      <c r="T372" s="426"/>
      <c r="U372" s="426"/>
      <c r="V372" s="426"/>
      <c r="W372" s="426"/>
      <c r="X372" s="426"/>
      <c r="Y372" s="426"/>
      <c r="Z372" s="426"/>
      <c r="AA372" s="65"/>
      <c r="AD372" s="82" t="s">
        <v>241</v>
      </c>
      <c r="AE372" s="52"/>
      <c r="AF372" s="13"/>
      <c r="AG372" s="13"/>
    </row>
    <row r="373" spans="1:33" ht="15.75" customHeight="1" x14ac:dyDescent="0.2">
      <c r="A373" s="73"/>
      <c r="B373" s="74">
        <v>0</v>
      </c>
      <c r="D373" s="443" t="s">
        <v>306</v>
      </c>
      <c r="E373" s="443"/>
      <c r="F373" s="443"/>
      <c r="G373" s="443"/>
      <c r="H373" s="443"/>
      <c r="I373" s="443"/>
      <c r="J373" s="443"/>
      <c r="K373" s="443"/>
      <c r="L373" s="443"/>
      <c r="M373" s="443"/>
      <c r="N373" s="443"/>
      <c r="O373" s="443"/>
      <c r="P373" s="443"/>
      <c r="Q373" s="443"/>
      <c r="R373" s="443"/>
      <c r="S373" s="443"/>
      <c r="T373" s="443"/>
      <c r="U373" s="443"/>
      <c r="V373" s="443"/>
      <c r="W373" s="443"/>
      <c r="X373" s="443"/>
      <c r="Y373" s="443"/>
      <c r="Z373" s="443"/>
      <c r="AB373" s="87" t="s">
        <v>314</v>
      </c>
      <c r="AD373" s="82" t="s">
        <v>288</v>
      </c>
      <c r="AE373" s="27"/>
      <c r="AF373" s="13"/>
      <c r="AG373" s="13"/>
    </row>
    <row r="374" spans="1:33" ht="31" customHeight="1" x14ac:dyDescent="0.15">
      <c r="A374" s="73" t="str">
        <f t="shared" si="56"/>
        <v>X</v>
      </c>
      <c r="B374" s="81"/>
      <c r="D374" s="435" t="s">
        <v>0</v>
      </c>
      <c r="E374" s="435"/>
      <c r="F374" s="435"/>
      <c r="G374" s="435"/>
      <c r="H374" s="435"/>
      <c r="I374" s="435"/>
      <c r="J374" s="435"/>
      <c r="K374" s="435"/>
      <c r="L374" s="435"/>
      <c r="M374" s="435"/>
      <c r="N374" s="435"/>
      <c r="O374" s="435"/>
      <c r="P374" s="435"/>
      <c r="Q374" s="435"/>
      <c r="R374" s="435"/>
      <c r="S374" s="435"/>
      <c r="T374" s="435"/>
      <c r="U374" s="435"/>
      <c r="V374" s="435"/>
      <c r="W374" s="435"/>
      <c r="X374" s="435"/>
      <c r="Y374" s="435"/>
      <c r="Z374" s="435"/>
      <c r="AB374" s="75" t="s">
        <v>246</v>
      </c>
      <c r="AD374" s="80" t="s">
        <v>242</v>
      </c>
      <c r="AE374" s="52"/>
      <c r="AF374" s="74">
        <f>IF(B374&lt;&gt;"",1,0)</f>
        <v>0</v>
      </c>
      <c r="AG374" s="74">
        <f t="shared" ref="AG374:AG383" si="112">IF(AND(SUM(AF:AF)&gt;0,B374=""),1,0)</f>
        <v>1</v>
      </c>
    </row>
    <row r="375" spans="1:33" ht="79.25" customHeight="1" x14ac:dyDescent="0.2">
      <c r="A375" s="73" t="str">
        <f t="shared" si="56"/>
        <v>X</v>
      </c>
      <c r="B375" s="81"/>
      <c r="D375" s="424" t="s">
        <v>364</v>
      </c>
      <c r="E375" s="424"/>
      <c r="F375" s="424"/>
      <c r="G375" s="424"/>
      <c r="H375" s="424"/>
      <c r="I375" s="424"/>
      <c r="J375" s="424"/>
      <c r="K375" s="424"/>
      <c r="L375" s="424"/>
      <c r="M375" s="424"/>
      <c r="N375" s="424"/>
      <c r="O375" s="424"/>
      <c r="P375" s="424"/>
      <c r="Q375" s="424"/>
      <c r="R375" s="424"/>
      <c r="S375" s="424"/>
      <c r="T375" s="424"/>
      <c r="U375" s="424"/>
      <c r="V375" s="424"/>
      <c r="W375" s="424"/>
      <c r="X375" s="424"/>
      <c r="Y375" s="424"/>
      <c r="Z375" s="424"/>
      <c r="AB375" s="75" t="s">
        <v>246</v>
      </c>
      <c r="AD375" s="80" t="s">
        <v>242</v>
      </c>
      <c r="AE375" s="78"/>
      <c r="AF375" s="74">
        <f>IF(B375&lt;&gt;"",1,0)</f>
        <v>0</v>
      </c>
      <c r="AG375" s="74">
        <f t="shared" si="112"/>
        <v>1</v>
      </c>
    </row>
    <row r="376" spans="1:33" ht="79.25" customHeight="1" x14ac:dyDescent="0.2">
      <c r="A376" s="73" t="str">
        <f t="shared" ref="A376" si="113">IF(AG376=1,"X","")</f>
        <v>X</v>
      </c>
      <c r="B376" s="81"/>
      <c r="D376" s="424" t="s">
        <v>365</v>
      </c>
      <c r="E376" s="424"/>
      <c r="F376" s="424"/>
      <c r="G376" s="424"/>
      <c r="H376" s="424"/>
      <c r="I376" s="424"/>
      <c r="J376" s="424"/>
      <c r="K376" s="424"/>
      <c r="L376" s="424"/>
      <c r="M376" s="424"/>
      <c r="N376" s="424"/>
      <c r="O376" s="424"/>
      <c r="P376" s="424"/>
      <c r="Q376" s="424"/>
      <c r="R376" s="424"/>
      <c r="S376" s="424"/>
      <c r="T376" s="424"/>
      <c r="U376" s="424"/>
      <c r="V376" s="424"/>
      <c r="W376" s="424"/>
      <c r="X376" s="424"/>
      <c r="Y376" s="424"/>
      <c r="Z376" s="424"/>
      <c r="AB376" s="75" t="s">
        <v>246</v>
      </c>
      <c r="AD376" s="80" t="s">
        <v>242</v>
      </c>
      <c r="AE376" s="78"/>
      <c r="AF376" s="74">
        <f>IF(B376&lt;&gt;"",1,0)</f>
        <v>0</v>
      </c>
      <c r="AG376" s="74">
        <f t="shared" si="112"/>
        <v>1</v>
      </c>
    </row>
    <row r="377" spans="1:33" ht="79.25" customHeight="1" x14ac:dyDescent="0.2">
      <c r="A377" s="73" t="str">
        <f t="shared" ref="A377" si="114">IF(AG377=1,"X","")</f>
        <v>X</v>
      </c>
      <c r="B377" s="81"/>
      <c r="D377" s="424" t="s">
        <v>366</v>
      </c>
      <c r="E377" s="424"/>
      <c r="F377" s="424"/>
      <c r="G377" s="424"/>
      <c r="H377" s="424"/>
      <c r="I377" s="424"/>
      <c r="J377" s="424"/>
      <c r="K377" s="424"/>
      <c r="L377" s="424"/>
      <c r="M377" s="424"/>
      <c r="N377" s="424"/>
      <c r="O377" s="424"/>
      <c r="P377" s="424"/>
      <c r="Q377" s="424"/>
      <c r="R377" s="424"/>
      <c r="S377" s="424"/>
      <c r="T377" s="424"/>
      <c r="U377" s="424"/>
      <c r="V377" s="424"/>
      <c r="W377" s="424"/>
      <c r="X377" s="424"/>
      <c r="Y377" s="424"/>
      <c r="Z377" s="424"/>
      <c r="AB377" s="75" t="s">
        <v>246</v>
      </c>
      <c r="AD377" s="80" t="s">
        <v>242</v>
      </c>
      <c r="AE377" s="78"/>
      <c r="AF377" s="74">
        <f>IF(B377&lt;&gt;"",1,0)</f>
        <v>0</v>
      </c>
      <c r="AG377" s="74">
        <f t="shared" si="112"/>
        <v>1</v>
      </c>
    </row>
    <row r="378" spans="1:33" ht="77.5" customHeight="1" x14ac:dyDescent="0.2">
      <c r="A378" s="73" t="str">
        <f t="shared" si="56"/>
        <v>X</v>
      </c>
      <c r="B378" s="81"/>
      <c r="D378" s="424" t="s">
        <v>367</v>
      </c>
      <c r="E378" s="424"/>
      <c r="F378" s="424"/>
      <c r="G378" s="424"/>
      <c r="H378" s="424"/>
      <c r="I378" s="424"/>
      <c r="J378" s="424"/>
      <c r="K378" s="424"/>
      <c r="L378" s="424"/>
      <c r="M378" s="424"/>
      <c r="N378" s="424"/>
      <c r="O378" s="424"/>
      <c r="P378" s="424"/>
      <c r="Q378" s="424"/>
      <c r="R378" s="424"/>
      <c r="S378" s="424"/>
      <c r="T378" s="424"/>
      <c r="U378" s="424"/>
      <c r="V378" s="424"/>
      <c r="W378" s="424"/>
      <c r="X378" s="424"/>
      <c r="Y378" s="424"/>
      <c r="Z378" s="424"/>
      <c r="AB378" s="75" t="s">
        <v>246</v>
      </c>
      <c r="AD378" s="80" t="s">
        <v>242</v>
      </c>
      <c r="AE378" s="78"/>
      <c r="AF378" s="74">
        <f>IF(B378&lt;&gt;"",1,0)</f>
        <v>0</v>
      </c>
      <c r="AG378" s="74">
        <f t="shared" si="112"/>
        <v>1</v>
      </c>
    </row>
    <row r="379" spans="1:33" ht="38" customHeight="1" x14ac:dyDescent="0.2">
      <c r="A379" s="73" t="str">
        <f t="shared" si="56"/>
        <v>X</v>
      </c>
      <c r="B379" s="81"/>
      <c r="D379" s="424" t="s">
        <v>260</v>
      </c>
      <c r="E379" s="424"/>
      <c r="F379" s="424"/>
      <c r="G379" s="424"/>
      <c r="H379" s="424"/>
      <c r="I379" s="424"/>
      <c r="J379" s="424"/>
      <c r="K379" s="424"/>
      <c r="L379" s="424"/>
      <c r="M379" s="424"/>
      <c r="N379" s="424"/>
      <c r="O379" s="424"/>
      <c r="P379" s="424"/>
      <c r="Q379" s="424"/>
      <c r="R379" s="424"/>
      <c r="S379" s="424"/>
      <c r="T379" s="424"/>
      <c r="U379" s="424"/>
      <c r="V379" s="424"/>
      <c r="W379" s="424"/>
      <c r="X379" s="424"/>
      <c r="Y379" s="424"/>
      <c r="Z379" s="424"/>
      <c r="AB379" s="75" t="s">
        <v>246</v>
      </c>
      <c r="AD379" s="80" t="s">
        <v>242</v>
      </c>
      <c r="AE379" s="78"/>
      <c r="AF379" s="74">
        <f t="shared" ref="AF379:AF382" si="115">IF(B379&lt;&gt;"",1,0)</f>
        <v>0</v>
      </c>
      <c r="AG379" s="74">
        <f t="shared" si="112"/>
        <v>1</v>
      </c>
    </row>
    <row r="380" spans="1:33" ht="18" customHeight="1" x14ac:dyDescent="0.2">
      <c r="A380" s="73" t="str">
        <f t="shared" si="56"/>
        <v>X</v>
      </c>
      <c r="B380" s="81"/>
      <c r="D380" s="99" t="s">
        <v>245</v>
      </c>
      <c r="E380" s="424" t="s">
        <v>261</v>
      </c>
      <c r="F380" s="424"/>
      <c r="G380" s="424"/>
      <c r="H380" s="424"/>
      <c r="I380" s="424"/>
      <c r="J380" s="424"/>
      <c r="K380" s="424"/>
      <c r="L380" s="424"/>
      <c r="M380" s="424"/>
      <c r="N380" s="424"/>
      <c r="O380" s="424"/>
      <c r="P380" s="424"/>
      <c r="Q380" s="424"/>
      <c r="R380" s="424"/>
      <c r="S380" s="424"/>
      <c r="T380" s="424"/>
      <c r="U380" s="424"/>
      <c r="V380" s="424"/>
      <c r="W380" s="424"/>
      <c r="X380" s="424"/>
      <c r="Y380" s="424"/>
      <c r="Z380" s="424"/>
      <c r="AB380" s="75" t="s">
        <v>246</v>
      </c>
      <c r="AD380" s="80" t="s">
        <v>242</v>
      </c>
      <c r="AE380" s="78"/>
      <c r="AF380" s="74">
        <f t="shared" si="115"/>
        <v>0</v>
      </c>
      <c r="AG380" s="74">
        <f t="shared" si="112"/>
        <v>1</v>
      </c>
    </row>
    <row r="381" spans="1:33" ht="18" customHeight="1" x14ac:dyDescent="0.2">
      <c r="A381" s="73" t="str">
        <f t="shared" si="56"/>
        <v>X</v>
      </c>
      <c r="B381" s="81"/>
      <c r="D381" s="99" t="s">
        <v>245</v>
      </c>
      <c r="E381" s="424" t="s">
        <v>258</v>
      </c>
      <c r="F381" s="424"/>
      <c r="G381" s="424"/>
      <c r="H381" s="424"/>
      <c r="I381" s="424"/>
      <c r="J381" s="424"/>
      <c r="K381" s="424"/>
      <c r="L381" s="424"/>
      <c r="M381" s="424"/>
      <c r="N381" s="424"/>
      <c r="O381" s="424"/>
      <c r="P381" s="424"/>
      <c r="Q381" s="424"/>
      <c r="R381" s="424"/>
      <c r="S381" s="424"/>
      <c r="T381" s="424"/>
      <c r="U381" s="424"/>
      <c r="V381" s="424"/>
      <c r="W381" s="424"/>
      <c r="X381" s="424"/>
      <c r="Y381" s="424"/>
      <c r="Z381" s="424"/>
      <c r="AB381" s="75" t="s">
        <v>246</v>
      </c>
      <c r="AD381" s="80" t="s">
        <v>242</v>
      </c>
      <c r="AE381" s="78"/>
      <c r="AF381" s="74">
        <f t="shared" si="115"/>
        <v>0</v>
      </c>
      <c r="AG381" s="74">
        <f t="shared" si="112"/>
        <v>1</v>
      </c>
    </row>
    <row r="382" spans="1:33" ht="18" customHeight="1" x14ac:dyDescent="0.2">
      <c r="A382" s="73" t="str">
        <f t="shared" si="56"/>
        <v>X</v>
      </c>
      <c r="B382" s="81"/>
      <c r="D382" s="99" t="s">
        <v>245</v>
      </c>
      <c r="E382" s="424" t="s">
        <v>259</v>
      </c>
      <c r="F382" s="424"/>
      <c r="G382" s="424"/>
      <c r="H382" s="424"/>
      <c r="I382" s="424"/>
      <c r="J382" s="424"/>
      <c r="K382" s="424"/>
      <c r="L382" s="424"/>
      <c r="M382" s="424"/>
      <c r="N382" s="424"/>
      <c r="O382" s="424"/>
      <c r="P382" s="424"/>
      <c r="Q382" s="424"/>
      <c r="R382" s="424"/>
      <c r="S382" s="424"/>
      <c r="T382" s="424"/>
      <c r="U382" s="424"/>
      <c r="V382" s="424"/>
      <c r="W382" s="424"/>
      <c r="X382" s="424"/>
      <c r="Y382" s="424"/>
      <c r="Z382" s="424"/>
      <c r="AB382" s="75" t="s">
        <v>246</v>
      </c>
      <c r="AD382" s="80" t="s">
        <v>242</v>
      </c>
      <c r="AE382" s="78"/>
      <c r="AF382" s="74">
        <f t="shared" si="115"/>
        <v>0</v>
      </c>
      <c r="AG382" s="74">
        <f t="shared" si="112"/>
        <v>1</v>
      </c>
    </row>
    <row r="383" spans="1:33" ht="32.25" customHeight="1" x14ac:dyDescent="0.2">
      <c r="A383" s="73" t="str">
        <f t="shared" si="56"/>
        <v>X</v>
      </c>
      <c r="B383" s="81"/>
      <c r="D383" s="424" t="s">
        <v>213</v>
      </c>
      <c r="E383" s="424"/>
      <c r="F383" s="424"/>
      <c r="G383" s="424"/>
      <c r="H383" s="424"/>
      <c r="I383" s="424"/>
      <c r="J383" s="424"/>
      <c r="K383" s="424"/>
      <c r="L383" s="424"/>
      <c r="M383" s="424"/>
      <c r="N383" s="424"/>
      <c r="O383" s="424"/>
      <c r="P383" s="424"/>
      <c r="Q383" s="424"/>
      <c r="R383" s="424"/>
      <c r="S383" s="424"/>
      <c r="T383" s="424"/>
      <c r="U383" s="424"/>
      <c r="V383" s="424"/>
      <c r="W383" s="424"/>
      <c r="X383" s="424"/>
      <c r="Y383" s="424"/>
      <c r="Z383" s="424"/>
      <c r="AB383" s="75" t="s">
        <v>286</v>
      </c>
      <c r="AD383" s="80" t="s">
        <v>242</v>
      </c>
      <c r="AE383" s="78"/>
      <c r="AF383" s="74">
        <f t="shared" ref="AF383:AF408" si="116">IF(B383&lt;&gt;"",1,0)</f>
        <v>0</v>
      </c>
      <c r="AG383" s="74">
        <f t="shared" si="112"/>
        <v>1</v>
      </c>
    </row>
    <row r="384" spans="1:33" ht="21" customHeight="1" x14ac:dyDescent="0.2">
      <c r="A384" s="73" t="str">
        <f t="shared" ref="A384" si="117">IF(AG384=1,"X","")</f>
        <v/>
      </c>
      <c r="B384" s="74">
        <v>0</v>
      </c>
      <c r="D384" s="446" t="s">
        <v>299</v>
      </c>
      <c r="E384" s="446"/>
      <c r="F384" s="446"/>
      <c r="G384" s="446"/>
      <c r="H384" s="446"/>
      <c r="I384" s="446"/>
      <c r="J384" s="446"/>
      <c r="K384" s="446"/>
      <c r="L384" s="446"/>
      <c r="M384" s="446"/>
      <c r="N384" s="446"/>
      <c r="O384" s="446"/>
      <c r="P384" s="446"/>
      <c r="Q384" s="446"/>
      <c r="R384" s="446"/>
      <c r="S384" s="446"/>
      <c r="T384" s="446"/>
      <c r="U384" s="446"/>
      <c r="V384" s="446"/>
      <c r="W384" s="446"/>
      <c r="X384" s="446"/>
      <c r="Y384" s="446"/>
      <c r="Z384" s="446"/>
      <c r="AB384" s="87" t="s">
        <v>314</v>
      </c>
      <c r="AD384" s="82" t="s">
        <v>288</v>
      </c>
      <c r="AE384" s="27"/>
      <c r="AF384" s="13"/>
      <c r="AG384" s="13"/>
    </row>
    <row r="385" spans="1:33" ht="15.75" customHeight="1" x14ac:dyDescent="0.2">
      <c r="A385" s="73"/>
      <c r="B385" s="74">
        <v>0</v>
      </c>
      <c r="D385" s="443" t="s">
        <v>303</v>
      </c>
      <c r="E385" s="443"/>
      <c r="F385" s="443"/>
      <c r="G385" s="443"/>
      <c r="H385" s="443"/>
      <c r="I385" s="443"/>
      <c r="J385" s="443"/>
      <c r="K385" s="443"/>
      <c r="L385" s="443"/>
      <c r="M385" s="443"/>
      <c r="N385" s="443"/>
      <c r="O385" s="443"/>
      <c r="P385" s="443"/>
      <c r="Q385" s="443"/>
      <c r="R385" s="443"/>
      <c r="S385" s="443"/>
      <c r="T385" s="443"/>
      <c r="U385" s="443"/>
      <c r="V385" s="443"/>
      <c r="W385" s="443"/>
      <c r="X385" s="443"/>
      <c r="Y385" s="443"/>
      <c r="Z385" s="443"/>
      <c r="AB385" s="87" t="s">
        <v>314</v>
      </c>
      <c r="AD385" s="82" t="s">
        <v>288</v>
      </c>
      <c r="AE385" s="27"/>
      <c r="AF385" s="13"/>
      <c r="AG385" s="13"/>
    </row>
    <row r="386" spans="1:33" ht="8.5" customHeight="1" x14ac:dyDescent="0.15">
      <c r="A386" s="73" t="str">
        <f>IF(AG386=1,"X","")</f>
        <v/>
      </c>
      <c r="B386" s="74">
        <f>IF(OR(D387="Show",Q387="Show"),1,0)</f>
        <v>0</v>
      </c>
      <c r="D386" s="426"/>
      <c r="E386" s="426"/>
      <c r="F386" s="426"/>
      <c r="G386" s="426"/>
      <c r="H386" s="426"/>
      <c r="I386" s="426"/>
      <c r="J386" s="426"/>
      <c r="K386" s="426"/>
      <c r="L386" s="426"/>
      <c r="M386" s="426"/>
      <c r="N386" s="426"/>
      <c r="O386" s="426"/>
      <c r="P386" s="426"/>
      <c r="Q386" s="426"/>
      <c r="R386" s="426"/>
      <c r="S386" s="426"/>
      <c r="T386" s="426"/>
      <c r="U386" s="426"/>
      <c r="V386" s="426"/>
      <c r="W386" s="426"/>
      <c r="X386" s="426"/>
      <c r="Y386" s="426"/>
      <c r="Z386" s="426"/>
      <c r="AD386" s="82" t="s">
        <v>241</v>
      </c>
      <c r="AE386" s="52"/>
      <c r="AF386" s="13"/>
      <c r="AG386" s="13"/>
    </row>
    <row r="387" spans="1:33" ht="18" customHeight="1" x14ac:dyDescent="0.2">
      <c r="A387" s="73" t="str">
        <f t="shared" ref="A387:A390" si="118">IF(AG387=1,"X","")</f>
        <v/>
      </c>
      <c r="B387" s="74">
        <v>0</v>
      </c>
      <c r="D387" s="427" t="s">
        <v>309</v>
      </c>
      <c r="E387" s="427"/>
      <c r="F387" s="427"/>
      <c r="G387" s="427"/>
      <c r="H387" s="427"/>
      <c r="I387" s="427"/>
      <c r="J387" s="427"/>
      <c r="K387" s="427"/>
      <c r="L387" s="427"/>
      <c r="M387" s="427"/>
      <c r="N387" s="427"/>
      <c r="O387" s="84"/>
      <c r="P387" s="84"/>
      <c r="Q387" s="427" t="s">
        <v>309</v>
      </c>
      <c r="R387" s="427"/>
      <c r="S387" s="427"/>
      <c r="T387" s="427"/>
      <c r="U387" s="427"/>
      <c r="V387" s="427"/>
      <c r="W387" s="427"/>
      <c r="X387" s="427"/>
      <c r="Y387" s="427"/>
      <c r="Z387" s="427"/>
      <c r="AA387" s="65"/>
      <c r="AB387" s="75" t="s">
        <v>302</v>
      </c>
      <c r="AD387" s="80" t="s">
        <v>242</v>
      </c>
      <c r="AE387" s="27"/>
      <c r="AF387" s="74">
        <f>IF(OR(D387="Show",D387="",Q387="Show",Q387=""),1,0)</f>
        <v>0</v>
      </c>
      <c r="AG387" s="74">
        <f>IF(AND(SUM(AF:AF)&gt;0,OR(D387="",Q387="")),1,0)</f>
        <v>0</v>
      </c>
    </row>
    <row r="388" spans="1:33" ht="197.25" customHeight="1" x14ac:dyDescent="0.2">
      <c r="A388" s="73" t="str">
        <f t="shared" si="118"/>
        <v/>
      </c>
      <c r="B388" s="74">
        <f>B386</f>
        <v>0</v>
      </c>
      <c r="D388" s="427"/>
      <c r="E388" s="427"/>
      <c r="F388" s="427"/>
      <c r="G388" s="427"/>
      <c r="H388" s="427"/>
      <c r="I388" s="427"/>
      <c r="J388" s="427"/>
      <c r="K388" s="427"/>
      <c r="L388" s="427"/>
      <c r="M388" s="427"/>
      <c r="N388" s="427"/>
      <c r="O388" s="84"/>
      <c r="P388" s="84"/>
      <c r="Q388" s="427"/>
      <c r="R388" s="427"/>
      <c r="S388" s="427"/>
      <c r="T388" s="427"/>
      <c r="U388" s="427"/>
      <c r="V388" s="427"/>
      <c r="W388" s="427"/>
      <c r="X388" s="427"/>
      <c r="Y388" s="427"/>
      <c r="Z388" s="427"/>
      <c r="AA388" s="65"/>
      <c r="AB388" s="75" t="s">
        <v>301</v>
      </c>
      <c r="AD388" s="80" t="s">
        <v>242</v>
      </c>
      <c r="AE388" s="78"/>
      <c r="AF388" s="13"/>
      <c r="AG388" s="13"/>
    </row>
    <row r="389" spans="1:33" ht="18" customHeight="1" x14ac:dyDescent="0.2">
      <c r="A389" s="73" t="str">
        <f t="shared" si="118"/>
        <v/>
      </c>
      <c r="B389" s="74">
        <f>B388</f>
        <v>0</v>
      </c>
      <c r="D389" s="430"/>
      <c r="E389" s="430"/>
      <c r="F389" s="430"/>
      <c r="G389" s="430"/>
      <c r="H389" s="430"/>
      <c r="I389" s="430"/>
      <c r="J389" s="430"/>
      <c r="K389" s="430"/>
      <c r="L389" s="430"/>
      <c r="M389" s="430"/>
      <c r="N389" s="430"/>
      <c r="O389" s="84"/>
      <c r="P389" s="84"/>
      <c r="Q389" s="430"/>
      <c r="R389" s="430"/>
      <c r="S389" s="430"/>
      <c r="T389" s="430"/>
      <c r="U389" s="430"/>
      <c r="V389" s="430"/>
      <c r="W389" s="430"/>
      <c r="X389" s="430"/>
      <c r="Y389" s="430"/>
      <c r="Z389" s="430"/>
      <c r="AA389" s="65"/>
      <c r="AB389" s="75" t="s">
        <v>300</v>
      </c>
      <c r="AD389" s="80" t="s">
        <v>242</v>
      </c>
      <c r="AE389" s="78"/>
      <c r="AF389" s="74">
        <f>IF(OR(D387="Show",D387="",Q387="Show",Q387=""),1,0)</f>
        <v>0</v>
      </c>
      <c r="AG389" s="74">
        <f>IF(AND(SUM(AF:AF)&gt;0,OR(AND(D387="Show",D389=""),AND(Q387="Show",Q389=""))),1,0)</f>
        <v>0</v>
      </c>
    </row>
    <row r="390" spans="1:33" ht="8.5" customHeight="1" x14ac:dyDescent="0.15">
      <c r="A390" s="73" t="str">
        <f t="shared" si="118"/>
        <v/>
      </c>
      <c r="B390" s="74">
        <f>B389</f>
        <v>0</v>
      </c>
      <c r="D390" s="426"/>
      <c r="E390" s="426"/>
      <c r="F390" s="426"/>
      <c r="G390" s="426"/>
      <c r="H390" s="426"/>
      <c r="I390" s="426"/>
      <c r="J390" s="426"/>
      <c r="K390" s="426"/>
      <c r="L390" s="426"/>
      <c r="M390" s="426"/>
      <c r="N390" s="426"/>
      <c r="O390" s="426"/>
      <c r="P390" s="426"/>
      <c r="Q390" s="426"/>
      <c r="R390" s="426"/>
      <c r="S390" s="426"/>
      <c r="T390" s="426"/>
      <c r="U390" s="426"/>
      <c r="V390" s="426"/>
      <c r="W390" s="426"/>
      <c r="X390" s="426"/>
      <c r="Y390" s="426"/>
      <c r="Z390" s="426"/>
      <c r="AA390" s="65"/>
      <c r="AD390" s="82" t="s">
        <v>241</v>
      </c>
      <c r="AE390" s="52"/>
      <c r="AF390" s="13"/>
      <c r="AG390" s="13"/>
    </row>
    <row r="391" spans="1:33" ht="15.75" customHeight="1" x14ac:dyDescent="0.2">
      <c r="A391" s="73"/>
      <c r="B391" s="74">
        <v>0</v>
      </c>
      <c r="D391" s="443" t="s">
        <v>304</v>
      </c>
      <c r="E391" s="443"/>
      <c r="F391" s="443"/>
      <c r="G391" s="443"/>
      <c r="H391" s="443"/>
      <c r="I391" s="443"/>
      <c r="J391" s="443"/>
      <c r="K391" s="443"/>
      <c r="L391" s="443"/>
      <c r="M391" s="443"/>
      <c r="N391" s="443"/>
      <c r="O391" s="443"/>
      <c r="P391" s="443"/>
      <c r="Q391" s="443"/>
      <c r="R391" s="443"/>
      <c r="S391" s="443"/>
      <c r="T391" s="443"/>
      <c r="U391" s="443"/>
      <c r="V391" s="443"/>
      <c r="W391" s="443"/>
      <c r="X391" s="443"/>
      <c r="Y391" s="443"/>
      <c r="Z391" s="443"/>
      <c r="AB391" s="87" t="s">
        <v>314</v>
      </c>
      <c r="AD391" s="82" t="s">
        <v>288</v>
      </c>
      <c r="AE391" s="27"/>
      <c r="AF391" s="13"/>
      <c r="AG391" s="13"/>
    </row>
    <row r="392" spans="1:33" ht="15.75" customHeight="1" x14ac:dyDescent="0.2">
      <c r="A392" s="73"/>
      <c r="B392" s="74">
        <v>0</v>
      </c>
      <c r="D392" s="443" t="s">
        <v>305</v>
      </c>
      <c r="E392" s="443"/>
      <c r="F392" s="443"/>
      <c r="G392" s="443"/>
      <c r="H392" s="443"/>
      <c r="I392" s="443"/>
      <c r="J392" s="443"/>
      <c r="K392" s="443"/>
      <c r="L392" s="443"/>
      <c r="M392" s="443"/>
      <c r="N392" s="443"/>
      <c r="O392" s="443"/>
      <c r="P392" s="443"/>
      <c r="Q392" s="443"/>
      <c r="R392" s="443"/>
      <c r="S392" s="443"/>
      <c r="T392" s="443"/>
      <c r="U392" s="443"/>
      <c r="V392" s="443"/>
      <c r="W392" s="443"/>
      <c r="X392" s="443"/>
      <c r="Y392" s="443"/>
      <c r="Z392" s="443"/>
      <c r="AB392" s="87" t="s">
        <v>314</v>
      </c>
      <c r="AD392" s="82" t="s">
        <v>288</v>
      </c>
      <c r="AE392" s="27"/>
      <c r="AF392" s="13"/>
      <c r="AG392" s="13"/>
    </row>
    <row r="393" spans="1:33" ht="8.5" customHeight="1" x14ac:dyDescent="0.15">
      <c r="A393" s="73" t="str">
        <f>IF(AG393=1,"X","")</f>
        <v/>
      </c>
      <c r="B393" s="74">
        <f>IF(OR(D394="Show",Q394="Show"),1,0)</f>
        <v>0</v>
      </c>
      <c r="D393" s="426"/>
      <c r="E393" s="426"/>
      <c r="F393" s="426"/>
      <c r="G393" s="426"/>
      <c r="H393" s="426"/>
      <c r="I393" s="426"/>
      <c r="J393" s="426"/>
      <c r="K393" s="426"/>
      <c r="L393" s="426"/>
      <c r="M393" s="426"/>
      <c r="N393" s="426"/>
      <c r="O393" s="426"/>
      <c r="P393" s="426"/>
      <c r="Q393" s="426"/>
      <c r="R393" s="426"/>
      <c r="S393" s="426"/>
      <c r="T393" s="426"/>
      <c r="U393" s="426"/>
      <c r="V393" s="426"/>
      <c r="W393" s="426"/>
      <c r="X393" s="426"/>
      <c r="Y393" s="426"/>
      <c r="Z393" s="426"/>
      <c r="AD393" s="82" t="s">
        <v>241</v>
      </c>
      <c r="AE393" s="52"/>
      <c r="AF393" s="13"/>
      <c r="AG393" s="13"/>
    </row>
    <row r="394" spans="1:33" ht="18" customHeight="1" x14ac:dyDescent="0.2">
      <c r="A394" s="73" t="str">
        <f t="shared" ref="A394:A397" si="119">IF(AG394=1,"X","")</f>
        <v/>
      </c>
      <c r="B394" s="74">
        <v>0</v>
      </c>
      <c r="D394" s="427" t="s">
        <v>309</v>
      </c>
      <c r="E394" s="427"/>
      <c r="F394" s="427"/>
      <c r="G394" s="427"/>
      <c r="H394" s="427"/>
      <c r="I394" s="427"/>
      <c r="J394" s="427"/>
      <c r="K394" s="427"/>
      <c r="L394" s="427"/>
      <c r="M394" s="427"/>
      <c r="N394" s="427"/>
      <c r="O394" s="84"/>
      <c r="P394" s="84"/>
      <c r="Q394" s="427" t="s">
        <v>309</v>
      </c>
      <c r="R394" s="427"/>
      <c r="S394" s="427"/>
      <c r="T394" s="427"/>
      <c r="U394" s="427"/>
      <c r="V394" s="427"/>
      <c r="W394" s="427"/>
      <c r="X394" s="427"/>
      <c r="Y394" s="427"/>
      <c r="Z394" s="427"/>
      <c r="AA394" s="65"/>
      <c r="AB394" s="75" t="s">
        <v>302</v>
      </c>
      <c r="AD394" s="80" t="s">
        <v>242</v>
      </c>
      <c r="AE394" s="27"/>
      <c r="AF394" s="74">
        <f>IF(OR(D394="Show",D394="",Q394="Show",Q394=""),1,0)</f>
        <v>0</v>
      </c>
      <c r="AG394" s="74">
        <f>IF(AND(SUM(AF:AF)&gt;0,OR(D394="",Q394="")),1,0)</f>
        <v>0</v>
      </c>
    </row>
    <row r="395" spans="1:33" ht="197.25" customHeight="1" x14ac:dyDescent="0.2">
      <c r="A395" s="73" t="str">
        <f t="shared" si="119"/>
        <v/>
      </c>
      <c r="B395" s="74">
        <f>B393</f>
        <v>0</v>
      </c>
      <c r="D395" s="427"/>
      <c r="E395" s="427"/>
      <c r="F395" s="427"/>
      <c r="G395" s="427"/>
      <c r="H395" s="427"/>
      <c r="I395" s="427"/>
      <c r="J395" s="427"/>
      <c r="K395" s="427"/>
      <c r="L395" s="427"/>
      <c r="M395" s="427"/>
      <c r="N395" s="427"/>
      <c r="O395" s="84"/>
      <c r="P395" s="84"/>
      <c r="Q395" s="427"/>
      <c r="R395" s="427"/>
      <c r="S395" s="427"/>
      <c r="T395" s="427"/>
      <c r="U395" s="427"/>
      <c r="V395" s="427"/>
      <c r="W395" s="427"/>
      <c r="X395" s="427"/>
      <c r="Y395" s="427"/>
      <c r="Z395" s="427"/>
      <c r="AA395" s="65"/>
      <c r="AB395" s="75" t="s">
        <v>301</v>
      </c>
      <c r="AD395" s="80" t="s">
        <v>242</v>
      </c>
      <c r="AE395" s="78"/>
      <c r="AF395" s="13"/>
      <c r="AG395" s="13"/>
    </row>
    <row r="396" spans="1:33" ht="18" customHeight="1" x14ac:dyDescent="0.2">
      <c r="A396" s="73" t="str">
        <f t="shared" si="119"/>
        <v/>
      </c>
      <c r="B396" s="74">
        <f>B395</f>
        <v>0</v>
      </c>
      <c r="D396" s="430"/>
      <c r="E396" s="430"/>
      <c r="F396" s="430"/>
      <c r="G396" s="430"/>
      <c r="H396" s="430"/>
      <c r="I396" s="430"/>
      <c r="J396" s="430"/>
      <c r="K396" s="430"/>
      <c r="L396" s="430"/>
      <c r="M396" s="430"/>
      <c r="N396" s="430"/>
      <c r="O396" s="84"/>
      <c r="P396" s="84"/>
      <c r="Q396" s="430"/>
      <c r="R396" s="430"/>
      <c r="S396" s="430"/>
      <c r="T396" s="430"/>
      <c r="U396" s="430"/>
      <c r="V396" s="430"/>
      <c r="W396" s="430"/>
      <c r="X396" s="430"/>
      <c r="Y396" s="430"/>
      <c r="Z396" s="430"/>
      <c r="AA396" s="65"/>
      <c r="AB396" s="75" t="s">
        <v>300</v>
      </c>
      <c r="AD396" s="80" t="s">
        <v>242</v>
      </c>
      <c r="AE396" s="78"/>
      <c r="AF396" s="74">
        <f>IF(OR(D394="Show",D394="",Q394="Show",Q394=""),1,0)</f>
        <v>0</v>
      </c>
      <c r="AG396" s="74">
        <f>IF(AND(SUM(AF:AF)&gt;0,OR(AND(D394="Show",D396=""),AND(Q394="Show",Q396=""))),1,0)</f>
        <v>0</v>
      </c>
    </row>
    <row r="397" spans="1:33" ht="8.5" customHeight="1" x14ac:dyDescent="0.15">
      <c r="A397" s="73" t="str">
        <f t="shared" si="119"/>
        <v/>
      </c>
      <c r="B397" s="74">
        <f>B396</f>
        <v>0</v>
      </c>
      <c r="D397" s="426"/>
      <c r="E397" s="426"/>
      <c r="F397" s="426"/>
      <c r="G397" s="426"/>
      <c r="H397" s="426"/>
      <c r="I397" s="426"/>
      <c r="J397" s="426"/>
      <c r="K397" s="426"/>
      <c r="L397" s="426"/>
      <c r="M397" s="426"/>
      <c r="N397" s="426"/>
      <c r="O397" s="426"/>
      <c r="P397" s="426"/>
      <c r="Q397" s="426"/>
      <c r="R397" s="426"/>
      <c r="S397" s="426"/>
      <c r="T397" s="426"/>
      <c r="U397" s="426"/>
      <c r="V397" s="426"/>
      <c r="W397" s="426"/>
      <c r="X397" s="426"/>
      <c r="Y397" s="426"/>
      <c r="Z397" s="426"/>
      <c r="AA397" s="65"/>
      <c r="AD397" s="82" t="s">
        <v>241</v>
      </c>
      <c r="AE397" s="52"/>
      <c r="AF397" s="13"/>
      <c r="AG397" s="13"/>
    </row>
    <row r="398" spans="1:33" ht="15.75" customHeight="1" x14ac:dyDescent="0.2">
      <c r="A398" s="73"/>
      <c r="B398" s="74">
        <v>0</v>
      </c>
      <c r="D398" s="443" t="s">
        <v>307</v>
      </c>
      <c r="E398" s="443"/>
      <c r="F398" s="443"/>
      <c r="G398" s="443"/>
      <c r="H398" s="443"/>
      <c r="I398" s="443"/>
      <c r="J398" s="443"/>
      <c r="K398" s="443"/>
      <c r="L398" s="443"/>
      <c r="M398" s="443"/>
      <c r="N398" s="443"/>
      <c r="O398" s="443"/>
      <c r="P398" s="443"/>
      <c r="Q398" s="443"/>
      <c r="R398" s="443"/>
      <c r="S398" s="443"/>
      <c r="T398" s="443"/>
      <c r="U398" s="443"/>
      <c r="V398" s="443"/>
      <c r="W398" s="443"/>
      <c r="X398" s="443"/>
      <c r="Y398" s="443"/>
      <c r="Z398" s="443"/>
      <c r="AB398" s="87" t="s">
        <v>314</v>
      </c>
      <c r="AD398" s="82" t="s">
        <v>288</v>
      </c>
      <c r="AE398" s="27"/>
      <c r="AF398" s="13"/>
      <c r="AG398" s="13"/>
    </row>
    <row r="399" spans="1:33" ht="15.75" customHeight="1" x14ac:dyDescent="0.2">
      <c r="A399" s="73"/>
      <c r="B399" s="74">
        <v>0</v>
      </c>
      <c r="D399" s="443" t="s">
        <v>308</v>
      </c>
      <c r="E399" s="443"/>
      <c r="F399" s="443"/>
      <c r="G399" s="443"/>
      <c r="H399" s="443"/>
      <c r="I399" s="443"/>
      <c r="J399" s="443"/>
      <c r="K399" s="443"/>
      <c r="L399" s="443"/>
      <c r="M399" s="443"/>
      <c r="N399" s="443"/>
      <c r="O399" s="443"/>
      <c r="P399" s="443"/>
      <c r="Q399" s="443"/>
      <c r="R399" s="443"/>
      <c r="S399" s="443"/>
      <c r="T399" s="443"/>
      <c r="U399" s="443"/>
      <c r="V399" s="443"/>
      <c r="W399" s="443"/>
      <c r="X399" s="443"/>
      <c r="Y399" s="443"/>
      <c r="Z399" s="443"/>
      <c r="AB399" s="87" t="s">
        <v>314</v>
      </c>
      <c r="AD399" s="82" t="s">
        <v>288</v>
      </c>
      <c r="AE399" s="27"/>
      <c r="AF399" s="13"/>
      <c r="AG399" s="13"/>
    </row>
    <row r="400" spans="1:33" ht="8.5" customHeight="1" x14ac:dyDescent="0.15">
      <c r="A400" s="73" t="str">
        <f>IF(AG400=1,"X","")</f>
        <v/>
      </c>
      <c r="B400" s="74">
        <f>IF(OR(D401="Show",Q401="Show"),1,0)</f>
        <v>0</v>
      </c>
      <c r="D400" s="426"/>
      <c r="E400" s="426"/>
      <c r="F400" s="426"/>
      <c r="G400" s="426"/>
      <c r="H400" s="426"/>
      <c r="I400" s="426"/>
      <c r="J400" s="426"/>
      <c r="K400" s="426"/>
      <c r="L400" s="426"/>
      <c r="M400" s="426"/>
      <c r="N400" s="426"/>
      <c r="O400" s="426"/>
      <c r="P400" s="426"/>
      <c r="Q400" s="426"/>
      <c r="R400" s="426"/>
      <c r="S400" s="426"/>
      <c r="T400" s="426"/>
      <c r="U400" s="426"/>
      <c r="V400" s="426"/>
      <c r="W400" s="426"/>
      <c r="X400" s="426"/>
      <c r="Y400" s="426"/>
      <c r="Z400" s="426"/>
      <c r="AD400" s="82" t="s">
        <v>241</v>
      </c>
      <c r="AE400" s="52"/>
      <c r="AF400" s="13"/>
      <c r="AG400" s="13"/>
    </row>
    <row r="401" spans="1:33" ht="18" customHeight="1" x14ac:dyDescent="0.2">
      <c r="A401" s="73" t="str">
        <f t="shared" ref="A401:A404" si="120">IF(AG401=1,"X","")</f>
        <v/>
      </c>
      <c r="B401" s="74">
        <v>0</v>
      </c>
      <c r="D401" s="427" t="s">
        <v>309</v>
      </c>
      <c r="E401" s="427"/>
      <c r="F401" s="427"/>
      <c r="G401" s="427"/>
      <c r="H401" s="427"/>
      <c r="I401" s="427"/>
      <c r="J401" s="427"/>
      <c r="K401" s="427"/>
      <c r="L401" s="427"/>
      <c r="M401" s="427"/>
      <c r="N401" s="427"/>
      <c r="O401" s="84"/>
      <c r="P401" s="84"/>
      <c r="Q401" s="427" t="s">
        <v>309</v>
      </c>
      <c r="R401" s="427"/>
      <c r="S401" s="427"/>
      <c r="T401" s="427"/>
      <c r="U401" s="427"/>
      <c r="V401" s="427"/>
      <c r="W401" s="427"/>
      <c r="X401" s="427"/>
      <c r="Y401" s="427"/>
      <c r="Z401" s="427"/>
      <c r="AA401" s="65"/>
      <c r="AB401" s="75" t="s">
        <v>302</v>
      </c>
      <c r="AD401" s="80" t="s">
        <v>242</v>
      </c>
      <c r="AE401" s="27"/>
      <c r="AF401" s="74">
        <f>IF(OR(D401="Show",D401="",Q401="Show",Q401=""),1,0)</f>
        <v>0</v>
      </c>
      <c r="AG401" s="74">
        <f>IF(AND(SUM(AF:AF)&gt;0,OR(D401="",Q401="")),1,0)</f>
        <v>0</v>
      </c>
    </row>
    <row r="402" spans="1:33" ht="197.25" customHeight="1" x14ac:dyDescent="0.2">
      <c r="A402" s="73" t="str">
        <f t="shared" si="120"/>
        <v/>
      </c>
      <c r="B402" s="74">
        <f>B400</f>
        <v>0</v>
      </c>
      <c r="D402" s="427"/>
      <c r="E402" s="427"/>
      <c r="F402" s="427"/>
      <c r="G402" s="427"/>
      <c r="H402" s="427"/>
      <c r="I402" s="427"/>
      <c r="J402" s="427"/>
      <c r="K402" s="427"/>
      <c r="L402" s="427"/>
      <c r="M402" s="427"/>
      <c r="N402" s="427"/>
      <c r="O402" s="84"/>
      <c r="P402" s="84"/>
      <c r="Q402" s="427"/>
      <c r="R402" s="427"/>
      <c r="S402" s="427"/>
      <c r="T402" s="427"/>
      <c r="U402" s="427"/>
      <c r="V402" s="427"/>
      <c r="W402" s="427"/>
      <c r="X402" s="427"/>
      <c r="Y402" s="427"/>
      <c r="Z402" s="427"/>
      <c r="AA402" s="65"/>
      <c r="AB402" s="75" t="s">
        <v>301</v>
      </c>
      <c r="AD402" s="80" t="s">
        <v>242</v>
      </c>
      <c r="AE402" s="78"/>
      <c r="AF402" s="13"/>
      <c r="AG402" s="13"/>
    </row>
    <row r="403" spans="1:33" ht="18" customHeight="1" x14ac:dyDescent="0.2">
      <c r="A403" s="73" t="str">
        <f t="shared" si="120"/>
        <v/>
      </c>
      <c r="B403" s="74">
        <f>B402</f>
        <v>0</v>
      </c>
      <c r="D403" s="430"/>
      <c r="E403" s="430"/>
      <c r="F403" s="430"/>
      <c r="G403" s="430"/>
      <c r="H403" s="430"/>
      <c r="I403" s="430"/>
      <c r="J403" s="430"/>
      <c r="K403" s="430"/>
      <c r="L403" s="430"/>
      <c r="M403" s="430"/>
      <c r="N403" s="430"/>
      <c r="O403" s="84"/>
      <c r="P403" s="84"/>
      <c r="Q403" s="430"/>
      <c r="R403" s="430"/>
      <c r="S403" s="430"/>
      <c r="T403" s="430"/>
      <c r="U403" s="430"/>
      <c r="V403" s="430"/>
      <c r="W403" s="430"/>
      <c r="X403" s="430"/>
      <c r="Y403" s="430"/>
      <c r="Z403" s="430"/>
      <c r="AA403" s="65"/>
      <c r="AB403" s="75" t="s">
        <v>300</v>
      </c>
      <c r="AD403" s="80" t="s">
        <v>242</v>
      </c>
      <c r="AE403" s="78"/>
      <c r="AF403" s="74">
        <f>IF(OR(D401="Show",D401="",Q401="Show",Q401=""),1,0)</f>
        <v>0</v>
      </c>
      <c r="AG403" s="74">
        <f>IF(AND(SUM(AF:AF)&gt;0,OR(AND(D401="Show",D403=""),AND(Q401="Show",Q403=""))),1,0)</f>
        <v>0</v>
      </c>
    </row>
    <row r="404" spans="1:33" ht="8.5" customHeight="1" x14ac:dyDescent="0.15">
      <c r="A404" s="73" t="str">
        <f t="shared" si="120"/>
        <v/>
      </c>
      <c r="B404" s="74">
        <f>B403</f>
        <v>0</v>
      </c>
      <c r="D404" s="426"/>
      <c r="E404" s="426"/>
      <c r="F404" s="426"/>
      <c r="G404" s="426"/>
      <c r="H404" s="426"/>
      <c r="I404" s="426"/>
      <c r="J404" s="426"/>
      <c r="K404" s="426"/>
      <c r="L404" s="426"/>
      <c r="M404" s="426"/>
      <c r="N404" s="426"/>
      <c r="O404" s="426"/>
      <c r="P404" s="426"/>
      <c r="Q404" s="426"/>
      <c r="R404" s="426"/>
      <c r="S404" s="426"/>
      <c r="T404" s="426"/>
      <c r="U404" s="426"/>
      <c r="V404" s="426"/>
      <c r="W404" s="426"/>
      <c r="X404" s="426"/>
      <c r="Y404" s="426"/>
      <c r="Z404" s="426"/>
      <c r="AA404" s="65"/>
      <c r="AD404" s="82" t="s">
        <v>241</v>
      </c>
      <c r="AE404" s="52"/>
      <c r="AF404" s="13"/>
      <c r="AG404" s="13"/>
    </row>
    <row r="405" spans="1:33" ht="15.75" customHeight="1" x14ac:dyDescent="0.2">
      <c r="A405" s="73"/>
      <c r="B405" s="74">
        <v>0</v>
      </c>
      <c r="D405" s="443" t="s">
        <v>306</v>
      </c>
      <c r="E405" s="443"/>
      <c r="F405" s="443"/>
      <c r="G405" s="443"/>
      <c r="H405" s="443"/>
      <c r="I405" s="443"/>
      <c r="J405" s="443"/>
      <c r="K405" s="443"/>
      <c r="L405" s="443"/>
      <c r="M405" s="443"/>
      <c r="N405" s="443"/>
      <c r="O405" s="443"/>
      <c r="P405" s="443"/>
      <c r="Q405" s="443"/>
      <c r="R405" s="443"/>
      <c r="S405" s="443"/>
      <c r="T405" s="443"/>
      <c r="U405" s="443"/>
      <c r="V405" s="443"/>
      <c r="W405" s="443"/>
      <c r="X405" s="443"/>
      <c r="Y405" s="443"/>
      <c r="Z405" s="443"/>
      <c r="AB405" s="87" t="s">
        <v>314</v>
      </c>
      <c r="AD405" s="82" t="s">
        <v>288</v>
      </c>
      <c r="AE405" s="27"/>
      <c r="AF405" s="13"/>
      <c r="AG405" s="13"/>
    </row>
    <row r="406" spans="1:33" ht="21" customHeight="1" x14ac:dyDescent="0.15">
      <c r="A406" s="73" t="str">
        <f t="shared" si="56"/>
        <v>X</v>
      </c>
      <c r="B406" s="81"/>
      <c r="D406" s="440" t="s">
        <v>194</v>
      </c>
      <c r="E406" s="440"/>
      <c r="F406" s="440"/>
      <c r="G406" s="440"/>
      <c r="H406" s="440"/>
      <c r="I406" s="440"/>
      <c r="J406" s="440"/>
      <c r="K406" s="440"/>
      <c r="L406" s="440"/>
      <c r="M406" s="440"/>
      <c r="N406" s="440"/>
      <c r="O406" s="440"/>
      <c r="P406" s="440"/>
      <c r="Q406" s="440"/>
      <c r="R406" s="440"/>
      <c r="S406" s="440"/>
      <c r="T406" s="440"/>
      <c r="U406" s="440"/>
      <c r="V406" s="440"/>
      <c r="W406" s="440"/>
      <c r="X406" s="440"/>
      <c r="Y406" s="440"/>
      <c r="Z406" s="71"/>
      <c r="AA406" s="70"/>
      <c r="AB406" s="75" t="s">
        <v>246</v>
      </c>
      <c r="AD406" s="80" t="s">
        <v>242</v>
      </c>
      <c r="AE406" s="52"/>
      <c r="AF406" s="74">
        <f t="shared" si="116"/>
        <v>0</v>
      </c>
      <c r="AG406" s="74">
        <f t="shared" ref="AG406:AG415" si="121">IF(AND(SUM(AF:AF)&gt;0,B406=""),1,0)</f>
        <v>1</v>
      </c>
    </row>
    <row r="407" spans="1:33" ht="21.5" customHeight="1" x14ac:dyDescent="0.2">
      <c r="A407" s="73" t="str">
        <f t="shared" si="56"/>
        <v>X</v>
      </c>
      <c r="B407" s="81"/>
      <c r="D407" s="424" t="s">
        <v>401</v>
      </c>
      <c r="E407" s="424"/>
      <c r="F407" s="424"/>
      <c r="G407" s="424"/>
      <c r="H407" s="424"/>
      <c r="I407" s="424"/>
      <c r="J407" s="424"/>
      <c r="K407" s="424"/>
      <c r="L407" s="424"/>
      <c r="M407" s="424"/>
      <c r="N407" s="424"/>
      <c r="O407" s="424"/>
      <c r="P407" s="424"/>
      <c r="Q407" s="424"/>
      <c r="R407" s="424"/>
      <c r="S407" s="424"/>
      <c r="T407" s="424"/>
      <c r="U407" s="424"/>
      <c r="V407" s="424"/>
      <c r="W407" s="424"/>
      <c r="X407" s="424"/>
      <c r="Y407" s="424"/>
      <c r="Z407" s="424"/>
      <c r="AB407" s="75" t="s">
        <v>281</v>
      </c>
      <c r="AD407" s="80" t="s">
        <v>242</v>
      </c>
      <c r="AE407" s="78"/>
      <c r="AF407" s="74">
        <f t="shared" si="116"/>
        <v>0</v>
      </c>
      <c r="AG407" s="74">
        <f t="shared" si="121"/>
        <v>1</v>
      </c>
    </row>
    <row r="408" spans="1:33" ht="21.5" customHeight="1" x14ac:dyDescent="0.2">
      <c r="A408" s="73" t="str">
        <f t="shared" si="56"/>
        <v>X</v>
      </c>
      <c r="B408" s="81"/>
      <c r="D408" s="99" t="s">
        <v>245</v>
      </c>
      <c r="E408" s="424" t="s">
        <v>214</v>
      </c>
      <c r="F408" s="424"/>
      <c r="G408" s="424"/>
      <c r="H408" s="424"/>
      <c r="I408" s="424"/>
      <c r="J408" s="424"/>
      <c r="K408" s="424"/>
      <c r="L408" s="424"/>
      <c r="M408" s="424"/>
      <c r="N408" s="424"/>
      <c r="O408" s="424"/>
      <c r="P408" s="424"/>
      <c r="Q408" s="424"/>
      <c r="R408" s="424"/>
      <c r="S408" s="424"/>
      <c r="T408" s="424"/>
      <c r="U408" s="424"/>
      <c r="V408" s="424"/>
      <c r="W408" s="424"/>
      <c r="X408" s="424"/>
      <c r="Y408" s="424"/>
      <c r="Z408" s="424"/>
      <c r="AB408" s="75" t="s">
        <v>246</v>
      </c>
      <c r="AD408" s="80" t="s">
        <v>242</v>
      </c>
      <c r="AE408" s="78"/>
      <c r="AF408" s="74">
        <f t="shared" si="116"/>
        <v>0</v>
      </c>
      <c r="AG408" s="74">
        <f t="shared" si="121"/>
        <v>1</v>
      </c>
    </row>
    <row r="409" spans="1:33" ht="21.5" customHeight="1" x14ac:dyDescent="0.2">
      <c r="A409" s="73" t="str">
        <f t="shared" si="56"/>
        <v>X</v>
      </c>
      <c r="B409" s="81"/>
      <c r="D409" s="99" t="s">
        <v>245</v>
      </c>
      <c r="E409" s="424" t="s">
        <v>215</v>
      </c>
      <c r="F409" s="424"/>
      <c r="G409" s="424"/>
      <c r="H409" s="424"/>
      <c r="I409" s="424"/>
      <c r="J409" s="424"/>
      <c r="K409" s="424"/>
      <c r="L409" s="424"/>
      <c r="M409" s="424"/>
      <c r="N409" s="424"/>
      <c r="O409" s="424"/>
      <c r="P409" s="424"/>
      <c r="Q409" s="424"/>
      <c r="R409" s="424"/>
      <c r="S409" s="424"/>
      <c r="T409" s="424"/>
      <c r="U409" s="424"/>
      <c r="V409" s="424"/>
      <c r="W409" s="424"/>
      <c r="X409" s="424"/>
      <c r="Y409" s="424"/>
      <c r="Z409" s="424"/>
      <c r="AB409" s="75" t="s">
        <v>246</v>
      </c>
      <c r="AD409" s="80" t="s">
        <v>242</v>
      </c>
      <c r="AE409" s="78"/>
      <c r="AF409" s="74">
        <f t="shared" ref="AF409:AF414" si="122">IF(B409&lt;&gt;"",1,0)</f>
        <v>0</v>
      </c>
      <c r="AG409" s="74">
        <f t="shared" si="121"/>
        <v>1</v>
      </c>
    </row>
    <row r="410" spans="1:33" ht="31.5" customHeight="1" x14ac:dyDescent="0.2">
      <c r="A410" s="73" t="str">
        <f>IF(AG410=1,"X","")</f>
        <v>X</v>
      </c>
      <c r="B410" s="81"/>
      <c r="D410" s="99" t="s">
        <v>245</v>
      </c>
      <c r="E410" s="468" t="s">
        <v>218</v>
      </c>
      <c r="F410" s="468"/>
      <c r="G410" s="468"/>
      <c r="H410" s="468"/>
      <c r="I410" s="468"/>
      <c r="J410" s="468"/>
      <c r="K410" s="468"/>
      <c r="L410" s="468"/>
      <c r="M410" s="468"/>
      <c r="N410" s="468"/>
      <c r="O410" s="468"/>
      <c r="P410" s="468"/>
      <c r="Q410" s="468"/>
      <c r="R410" s="468"/>
      <c r="S410" s="468"/>
      <c r="T410" s="468"/>
      <c r="U410" s="468"/>
      <c r="V410" s="468"/>
      <c r="W410" s="468"/>
      <c r="X410" s="468"/>
      <c r="Y410" s="468"/>
      <c r="Z410" s="468"/>
      <c r="AB410" s="75" t="s">
        <v>246</v>
      </c>
      <c r="AD410" s="80" t="s">
        <v>242</v>
      </c>
      <c r="AE410" s="78"/>
      <c r="AF410" s="74">
        <f>IF(B410&lt;&gt;"",1,0)</f>
        <v>0</v>
      </c>
      <c r="AG410" s="74">
        <f t="shared" si="121"/>
        <v>1</v>
      </c>
    </row>
    <row r="411" spans="1:33" ht="21.5" customHeight="1" x14ac:dyDescent="0.2">
      <c r="A411" s="73" t="str">
        <f t="shared" si="56"/>
        <v>X</v>
      </c>
      <c r="B411" s="81"/>
      <c r="D411" s="99" t="s">
        <v>245</v>
      </c>
      <c r="E411" s="424" t="s">
        <v>216</v>
      </c>
      <c r="F411" s="424"/>
      <c r="G411" s="424"/>
      <c r="H411" s="424"/>
      <c r="I411" s="424"/>
      <c r="J411" s="424"/>
      <c r="K411" s="424"/>
      <c r="L411" s="424"/>
      <c r="M411" s="424"/>
      <c r="N411" s="424"/>
      <c r="O411" s="424"/>
      <c r="P411" s="424"/>
      <c r="Q411" s="424"/>
      <c r="R411" s="424"/>
      <c r="S411" s="424"/>
      <c r="T411" s="424"/>
      <c r="U411" s="424"/>
      <c r="V411" s="424"/>
      <c r="W411" s="424"/>
      <c r="X411" s="424"/>
      <c r="Y411" s="424"/>
      <c r="Z411" s="424"/>
      <c r="AB411" s="75" t="s">
        <v>246</v>
      </c>
      <c r="AD411" s="80" t="s">
        <v>242</v>
      </c>
      <c r="AE411" s="78"/>
      <c r="AF411" s="74">
        <f t="shared" si="122"/>
        <v>0</v>
      </c>
      <c r="AG411" s="74">
        <f t="shared" si="121"/>
        <v>1</v>
      </c>
    </row>
    <row r="412" spans="1:33" ht="22.25" customHeight="1" x14ac:dyDescent="0.2">
      <c r="A412" s="73" t="str">
        <f t="shared" si="56"/>
        <v>X</v>
      </c>
      <c r="B412" s="81"/>
      <c r="D412" s="99" t="s">
        <v>245</v>
      </c>
      <c r="E412" s="424" t="s">
        <v>217</v>
      </c>
      <c r="F412" s="424"/>
      <c r="G412" s="424"/>
      <c r="H412" s="424"/>
      <c r="I412" s="424"/>
      <c r="J412" s="424"/>
      <c r="K412" s="424"/>
      <c r="L412" s="424"/>
      <c r="M412" s="424"/>
      <c r="N412" s="424"/>
      <c r="O412" s="424"/>
      <c r="P412" s="424"/>
      <c r="Q412" s="424"/>
      <c r="R412" s="424"/>
      <c r="S412" s="424"/>
      <c r="T412" s="424"/>
      <c r="U412" s="424"/>
      <c r="V412" s="424"/>
      <c r="W412" s="424"/>
      <c r="X412" s="424"/>
      <c r="Y412" s="424"/>
      <c r="Z412" s="424"/>
      <c r="AB412" s="75" t="s">
        <v>246</v>
      </c>
      <c r="AD412" s="80" t="s">
        <v>242</v>
      </c>
      <c r="AE412" s="78"/>
      <c r="AF412" s="74">
        <f t="shared" si="122"/>
        <v>0</v>
      </c>
      <c r="AG412" s="74">
        <f t="shared" si="121"/>
        <v>1</v>
      </c>
    </row>
    <row r="413" spans="1:33" ht="22.25" customHeight="1" x14ac:dyDescent="0.2">
      <c r="A413" s="73" t="str">
        <f t="shared" si="56"/>
        <v>X</v>
      </c>
      <c r="B413" s="81"/>
      <c r="D413" s="99" t="s">
        <v>245</v>
      </c>
      <c r="E413" s="424" t="s">
        <v>420</v>
      </c>
      <c r="F413" s="424"/>
      <c r="G413" s="424"/>
      <c r="H413" s="424"/>
      <c r="I413" s="424"/>
      <c r="J413" s="424"/>
      <c r="K413" s="424"/>
      <c r="L413" s="424"/>
      <c r="M413" s="424"/>
      <c r="N413" s="424"/>
      <c r="O413" s="424"/>
      <c r="P413" s="424"/>
      <c r="Q413" s="424"/>
      <c r="R413" s="424"/>
      <c r="S413" s="424"/>
      <c r="T413" s="424"/>
      <c r="U413" s="424"/>
      <c r="V413" s="424"/>
      <c r="W413" s="424"/>
      <c r="X413" s="424"/>
      <c r="Y413" s="424"/>
      <c r="Z413" s="424"/>
      <c r="AB413" s="75" t="s">
        <v>246</v>
      </c>
      <c r="AD413" s="80" t="s">
        <v>242</v>
      </c>
      <c r="AE413" s="78"/>
      <c r="AF413" s="74">
        <f t="shared" si="122"/>
        <v>0</v>
      </c>
      <c r="AG413" s="74">
        <f t="shared" si="121"/>
        <v>1</v>
      </c>
    </row>
    <row r="414" spans="1:33" ht="18" customHeight="1" x14ac:dyDescent="0.2">
      <c r="A414" s="73" t="str">
        <f t="shared" si="56"/>
        <v>X</v>
      </c>
      <c r="B414" s="81"/>
      <c r="D414" s="99" t="s">
        <v>245</v>
      </c>
      <c r="E414" s="424" t="s">
        <v>219</v>
      </c>
      <c r="F414" s="424"/>
      <c r="G414" s="424"/>
      <c r="H414" s="424"/>
      <c r="I414" s="424"/>
      <c r="J414" s="424"/>
      <c r="K414" s="424"/>
      <c r="L414" s="424"/>
      <c r="M414" s="424"/>
      <c r="N414" s="424"/>
      <c r="O414" s="424"/>
      <c r="P414" s="424"/>
      <c r="Q414" s="424"/>
      <c r="R414" s="424"/>
      <c r="S414" s="424"/>
      <c r="T414" s="424"/>
      <c r="U414" s="424"/>
      <c r="V414" s="424"/>
      <c r="W414" s="424"/>
      <c r="X414" s="424"/>
      <c r="Y414" s="424"/>
      <c r="Z414" s="424"/>
      <c r="AB414" s="75" t="s">
        <v>246</v>
      </c>
      <c r="AD414" s="80" t="s">
        <v>242</v>
      </c>
      <c r="AE414" s="78"/>
      <c r="AF414" s="74">
        <f t="shared" si="122"/>
        <v>0</v>
      </c>
      <c r="AG414" s="74">
        <f t="shared" si="121"/>
        <v>1</v>
      </c>
    </row>
    <row r="415" spans="1:33" ht="18" customHeight="1" x14ac:dyDescent="0.2">
      <c r="A415" s="73" t="str">
        <f t="shared" si="56"/>
        <v>X</v>
      </c>
      <c r="B415" s="81"/>
      <c r="D415" s="99" t="s">
        <v>245</v>
      </c>
      <c r="E415" s="424" t="s">
        <v>220</v>
      </c>
      <c r="F415" s="424"/>
      <c r="G415" s="424"/>
      <c r="H415" s="424"/>
      <c r="I415" s="424"/>
      <c r="J415" s="424"/>
      <c r="K415" s="424"/>
      <c r="L415" s="424"/>
      <c r="M415" s="424"/>
      <c r="N415" s="424"/>
      <c r="O415" s="424"/>
      <c r="P415" s="424"/>
      <c r="Q415" s="424"/>
      <c r="R415" s="424"/>
      <c r="S415" s="424"/>
      <c r="T415" s="424"/>
      <c r="U415" s="424"/>
      <c r="V415" s="424"/>
      <c r="W415" s="424"/>
      <c r="X415" s="424"/>
      <c r="Y415" s="424"/>
      <c r="Z415" s="424"/>
      <c r="AB415" s="75" t="s">
        <v>246</v>
      </c>
      <c r="AD415" s="80" t="s">
        <v>242</v>
      </c>
      <c r="AE415" s="78"/>
      <c r="AF415" s="74">
        <f t="shared" ref="AF415:AF417" si="123">IF(B415&lt;&gt;"",1,0)</f>
        <v>0</v>
      </c>
      <c r="AG415" s="74">
        <f t="shared" si="121"/>
        <v>1</v>
      </c>
    </row>
    <row r="416" spans="1:33" ht="71.25" customHeight="1" x14ac:dyDescent="0.2">
      <c r="A416" s="73" t="str">
        <f t="shared" ref="A416" si="124">IF(AG416=1,"X","")</f>
        <v>X</v>
      </c>
      <c r="B416" s="81"/>
      <c r="D416" s="99" t="s">
        <v>245</v>
      </c>
      <c r="E416" s="424" t="s">
        <v>679</v>
      </c>
      <c r="F416" s="424"/>
      <c r="G416" s="424"/>
      <c r="H416" s="424"/>
      <c r="I416" s="424"/>
      <c r="J416" s="424"/>
      <c r="K416" s="424"/>
      <c r="L416" s="424"/>
      <c r="M416" s="424"/>
      <c r="N416" s="424"/>
      <c r="O416" s="424"/>
      <c r="P416" s="424"/>
      <c r="Q416" s="424"/>
      <c r="R416" s="424"/>
      <c r="S416" s="424"/>
      <c r="T416" s="424"/>
      <c r="U416" s="424"/>
      <c r="V416" s="424"/>
      <c r="W416" s="424"/>
      <c r="X416" s="424"/>
      <c r="Y416" s="424"/>
      <c r="Z416" s="424"/>
      <c r="AB416" s="75" t="s">
        <v>246</v>
      </c>
      <c r="AD416" s="80" t="s">
        <v>242</v>
      </c>
      <c r="AE416" s="78"/>
      <c r="AF416" s="74">
        <f t="shared" si="123"/>
        <v>0</v>
      </c>
      <c r="AG416" s="74">
        <f t="shared" ref="AG416" si="125">IF(AND(SUM(AF:AF)&gt;0,B416=""),1,0)</f>
        <v>1</v>
      </c>
    </row>
    <row r="417" spans="1:33" s="64" customFormat="1" ht="17.25" customHeight="1" x14ac:dyDescent="0.2">
      <c r="A417" s="73" t="str">
        <f t="shared" ref="A417:A426" si="126">IF(AG417=1,"X","")</f>
        <v>X</v>
      </c>
      <c r="B417" s="81"/>
      <c r="C417" s="66"/>
      <c r="D417" s="442" t="s">
        <v>280</v>
      </c>
      <c r="E417" s="442"/>
      <c r="F417" s="442"/>
      <c r="G417" s="442"/>
      <c r="H417" s="442"/>
      <c r="I417" s="442"/>
      <c r="J417" s="442"/>
      <c r="K417" s="442"/>
      <c r="L417" s="442"/>
      <c r="M417" s="442"/>
      <c r="N417" s="442"/>
      <c r="O417" s="442"/>
      <c r="P417" s="442"/>
      <c r="Q417" s="442"/>
      <c r="R417" s="442"/>
      <c r="S417" s="442"/>
      <c r="T417" s="442"/>
      <c r="U417" s="442"/>
      <c r="V417" s="442"/>
      <c r="W417" s="442"/>
      <c r="X417" s="442"/>
      <c r="Y417" s="442"/>
      <c r="Z417" s="442"/>
      <c r="AB417" s="75" t="s">
        <v>267</v>
      </c>
      <c r="AD417" s="80" t="s">
        <v>242</v>
      </c>
      <c r="AE417" s="78"/>
      <c r="AF417" s="74">
        <f t="shared" si="123"/>
        <v>0</v>
      </c>
      <c r="AG417" s="74">
        <f>IF(AND(SUM(AF:AF)&gt;0,B417=""),1,0)</f>
        <v>1</v>
      </c>
    </row>
    <row r="418" spans="1:33" s="59" customFormat="1" ht="31" customHeight="1" x14ac:dyDescent="0.15">
      <c r="A418" s="73" t="str">
        <f t="shared" si="126"/>
        <v>X</v>
      </c>
      <c r="B418" s="81" t="str">
        <f t="shared" ref="B418:B421" si="127">IF($B$221="","",IF($B$221=1,0,""))</f>
        <v/>
      </c>
      <c r="C418" s="57"/>
      <c r="D418" s="435" t="s">
        <v>675</v>
      </c>
      <c r="E418" s="435"/>
      <c r="F418" s="435"/>
      <c r="G418" s="435"/>
      <c r="H418" s="435"/>
      <c r="I418" s="435"/>
      <c r="J418" s="435"/>
      <c r="K418" s="435"/>
      <c r="L418" s="435"/>
      <c r="M418" s="435"/>
      <c r="N418" s="435"/>
      <c r="O418" s="435"/>
      <c r="P418" s="435"/>
      <c r="Q418" s="435"/>
      <c r="R418" s="435"/>
      <c r="S418" s="435"/>
      <c r="T418" s="435"/>
      <c r="U418" s="435"/>
      <c r="V418" s="435"/>
      <c r="W418" s="435"/>
      <c r="X418" s="435"/>
      <c r="Y418" s="435"/>
      <c r="Z418" s="435"/>
      <c r="AB418" s="75" t="s">
        <v>246</v>
      </c>
      <c r="AD418" s="80" t="s">
        <v>242</v>
      </c>
      <c r="AE418" s="52"/>
      <c r="AF418" s="74">
        <f>IF(B418&lt;&gt;"",1,0)</f>
        <v>0</v>
      </c>
      <c r="AG418" s="74">
        <f>IF(AND(SUM(AF:AF)&gt;0,B418=""),1,0)</f>
        <v>1</v>
      </c>
    </row>
    <row r="419" spans="1:33" s="58" customFormat="1" ht="29.25" customHeight="1" x14ac:dyDescent="0.2">
      <c r="A419" s="73" t="str">
        <f t="shared" si="126"/>
        <v>X</v>
      </c>
      <c r="B419" s="81" t="str">
        <f t="shared" si="127"/>
        <v/>
      </c>
      <c r="C419" s="57"/>
      <c r="D419" s="424" t="s">
        <v>676</v>
      </c>
      <c r="E419" s="424"/>
      <c r="F419" s="424"/>
      <c r="G419" s="424"/>
      <c r="H419" s="424"/>
      <c r="I419" s="424"/>
      <c r="J419" s="424"/>
      <c r="K419" s="424"/>
      <c r="L419" s="424"/>
      <c r="M419" s="424"/>
      <c r="N419" s="424"/>
      <c r="O419" s="424"/>
      <c r="P419" s="424"/>
      <c r="Q419" s="424"/>
      <c r="R419" s="424"/>
      <c r="S419" s="424"/>
      <c r="T419" s="424"/>
      <c r="U419" s="424"/>
      <c r="V419" s="424"/>
      <c r="W419" s="424"/>
      <c r="X419" s="424"/>
      <c r="Y419" s="424"/>
      <c r="Z419" s="424"/>
      <c r="AB419" s="75" t="s">
        <v>246</v>
      </c>
      <c r="AD419" s="80" t="s">
        <v>242</v>
      </c>
      <c r="AE419" s="78"/>
      <c r="AF419" s="74">
        <f t="shared" ref="AF419:AF421" si="128">IF(B419&lt;&gt;"",1,0)</f>
        <v>0</v>
      </c>
      <c r="AG419" s="74">
        <f>IF(AND(SUM(AF:AF)&gt;0,B419=""),1,0)</f>
        <v>1</v>
      </c>
    </row>
    <row r="420" spans="1:33" s="58" customFormat="1" ht="18.5" customHeight="1" x14ac:dyDescent="0.2">
      <c r="A420" s="73" t="str">
        <f t="shared" si="126"/>
        <v>X</v>
      </c>
      <c r="B420" s="81" t="str">
        <f t="shared" si="127"/>
        <v/>
      </c>
      <c r="C420" s="57"/>
      <c r="D420" s="99" t="s">
        <v>245</v>
      </c>
      <c r="E420" s="424" t="s">
        <v>225</v>
      </c>
      <c r="F420" s="424"/>
      <c r="G420" s="424"/>
      <c r="H420" s="424"/>
      <c r="I420" s="424"/>
      <c r="J420" s="424"/>
      <c r="K420" s="424"/>
      <c r="L420" s="424"/>
      <c r="M420" s="424"/>
      <c r="N420" s="424"/>
      <c r="O420" s="424"/>
      <c r="P420" s="424"/>
      <c r="Q420" s="424"/>
      <c r="R420" s="424"/>
      <c r="S420" s="424"/>
      <c r="T420" s="424"/>
      <c r="U420" s="424"/>
      <c r="V420" s="424"/>
      <c r="W420" s="424"/>
      <c r="X420" s="424"/>
      <c r="Y420" s="424"/>
      <c r="Z420" s="424"/>
      <c r="AA420" s="60"/>
      <c r="AB420" s="75" t="s">
        <v>246</v>
      </c>
      <c r="AD420" s="80" t="s">
        <v>242</v>
      </c>
      <c r="AE420" s="78"/>
      <c r="AF420" s="74">
        <f t="shared" si="128"/>
        <v>0</v>
      </c>
      <c r="AG420" s="74">
        <f>IF(AND(SUM(AF:AF)&gt;0,B420=""),1,0)</f>
        <v>1</v>
      </c>
    </row>
    <row r="421" spans="1:33" s="58" customFormat="1" ht="18.5" customHeight="1" x14ac:dyDescent="0.2">
      <c r="A421" s="73" t="str">
        <f t="shared" si="126"/>
        <v>X</v>
      </c>
      <c r="B421" s="81" t="str">
        <f t="shared" si="127"/>
        <v/>
      </c>
      <c r="C421" s="57"/>
      <c r="D421" s="99" t="s">
        <v>245</v>
      </c>
      <c r="E421" s="424" t="s">
        <v>363</v>
      </c>
      <c r="F421" s="424"/>
      <c r="G421" s="424"/>
      <c r="H421" s="424"/>
      <c r="I421" s="424"/>
      <c r="J421" s="424"/>
      <c r="K421" s="424"/>
      <c r="L421" s="424"/>
      <c r="M421" s="424"/>
      <c r="N421" s="424"/>
      <c r="O421" s="424"/>
      <c r="P421" s="424"/>
      <c r="Q421" s="424"/>
      <c r="R421" s="424"/>
      <c r="S421" s="424"/>
      <c r="T421" s="424"/>
      <c r="U421" s="424"/>
      <c r="V421" s="424"/>
      <c r="W421" s="424"/>
      <c r="X421" s="424"/>
      <c r="Y421" s="424"/>
      <c r="Z421" s="424"/>
      <c r="AA421" s="60"/>
      <c r="AB421" s="75" t="s">
        <v>246</v>
      </c>
      <c r="AD421" s="80" t="s">
        <v>242</v>
      </c>
      <c r="AE421" s="78"/>
      <c r="AF421" s="74">
        <f t="shared" si="128"/>
        <v>0</v>
      </c>
      <c r="AG421" s="74">
        <f>IF(AND(SUM(AF:AF)&gt;0,B421=""),1,0)</f>
        <v>1</v>
      </c>
    </row>
    <row r="422" spans="1:33" s="58" customFormat="1" ht="18.5" customHeight="1" x14ac:dyDescent="0.2">
      <c r="A422" s="73" t="str">
        <f t="shared" si="126"/>
        <v/>
      </c>
      <c r="B422" s="74">
        <v>0</v>
      </c>
      <c r="C422" s="57"/>
      <c r="D422" s="99" t="s">
        <v>245</v>
      </c>
      <c r="E422" s="424" t="s">
        <v>287</v>
      </c>
      <c r="F422" s="424"/>
      <c r="G422" s="424"/>
      <c r="H422" s="424"/>
      <c r="I422" s="424"/>
      <c r="J422" s="424"/>
      <c r="K422" s="424"/>
      <c r="L422" s="424"/>
      <c r="M422" s="424"/>
      <c r="N422" s="424"/>
      <c r="O422" s="424"/>
      <c r="P422" s="424"/>
      <c r="Q422" s="424"/>
      <c r="R422" s="424"/>
      <c r="S422" s="424"/>
      <c r="T422" s="424"/>
      <c r="U422" s="424"/>
      <c r="V422" s="424"/>
      <c r="W422" s="424"/>
      <c r="X422" s="424"/>
      <c r="Y422" s="424"/>
      <c r="Z422" s="424"/>
      <c r="AA422" s="60"/>
      <c r="AB422" s="87" t="s">
        <v>314</v>
      </c>
      <c r="AD422" s="82" t="s">
        <v>288</v>
      </c>
      <c r="AE422" s="27"/>
      <c r="AF422" s="13"/>
      <c r="AG422" s="13"/>
    </row>
    <row r="423" spans="1:33" s="58" customFormat="1" ht="18" customHeight="1" x14ac:dyDescent="0.2">
      <c r="A423" s="73" t="str">
        <f t="shared" si="126"/>
        <v>X</v>
      </c>
      <c r="B423" s="81" t="str">
        <f>IF($B$221="","",IF($B$221=1,0,""))</f>
        <v/>
      </c>
      <c r="C423" s="57"/>
      <c r="D423" s="99" t="s">
        <v>245</v>
      </c>
      <c r="E423" s="428"/>
      <c r="F423" s="428"/>
      <c r="G423" s="428"/>
      <c r="H423" s="428"/>
      <c r="I423" s="428"/>
      <c r="J423" s="428"/>
      <c r="K423" s="428"/>
      <c r="L423" s="428"/>
      <c r="M423" s="428"/>
      <c r="N423" s="428"/>
      <c r="O423" s="428"/>
      <c r="P423" s="428"/>
      <c r="Q423" s="428"/>
      <c r="R423" s="428"/>
      <c r="S423" s="428"/>
      <c r="T423" s="428"/>
      <c r="U423" s="428"/>
      <c r="V423" s="428"/>
      <c r="W423" s="428"/>
      <c r="X423" s="428"/>
      <c r="Y423" s="428"/>
      <c r="Z423" s="428"/>
      <c r="AA423" s="61"/>
      <c r="AB423" s="75" t="s">
        <v>316</v>
      </c>
      <c r="AD423" s="80" t="s">
        <v>242</v>
      </c>
      <c r="AE423" s="78"/>
      <c r="AF423" s="74">
        <f t="shared" ref="AF423:AF425" si="129">IF(B423&lt;&gt;"",1,0)</f>
        <v>0</v>
      </c>
      <c r="AG423" s="74">
        <f>IF(AND(SUM(AF:AF)&gt;0,OR(AND(B423=1,E423=""),AND(B423="",E423=""),AND(B423="",E423&lt;&gt;""),AND(B423=0,E423&lt;&gt;""))),1,0)</f>
        <v>1</v>
      </c>
    </row>
    <row r="424" spans="1:33" s="58" customFormat="1" ht="18" customHeight="1" x14ac:dyDescent="0.2">
      <c r="A424" s="73" t="str">
        <f t="shared" si="126"/>
        <v>X</v>
      </c>
      <c r="B424" s="81" t="str">
        <f>IF($B$221="","",IF($B$221=1,0,""))</f>
        <v/>
      </c>
      <c r="C424" s="57"/>
      <c r="D424" s="99" t="s">
        <v>245</v>
      </c>
      <c r="E424" s="428"/>
      <c r="F424" s="428"/>
      <c r="G424" s="428"/>
      <c r="H424" s="428"/>
      <c r="I424" s="428"/>
      <c r="J424" s="428"/>
      <c r="K424" s="428"/>
      <c r="L424" s="428"/>
      <c r="M424" s="428"/>
      <c r="N424" s="428"/>
      <c r="O424" s="428"/>
      <c r="P424" s="428"/>
      <c r="Q424" s="428"/>
      <c r="R424" s="428"/>
      <c r="S424" s="428"/>
      <c r="T424" s="428"/>
      <c r="U424" s="428"/>
      <c r="V424" s="428"/>
      <c r="W424" s="428"/>
      <c r="X424" s="428"/>
      <c r="Y424" s="428"/>
      <c r="Z424" s="428"/>
      <c r="AA424" s="61"/>
      <c r="AB424" s="75" t="s">
        <v>316</v>
      </c>
      <c r="AD424" s="80" t="s">
        <v>242</v>
      </c>
      <c r="AE424" s="78"/>
      <c r="AF424" s="74">
        <f t="shared" si="129"/>
        <v>0</v>
      </c>
      <c r="AG424" s="74">
        <f>IF(AND(SUM(AF:AF)&gt;0,OR(AND(B424=1,E424=""),AND(B424="",E424=""),AND(B424="",E424&lt;&gt;""),AND(B424=0,E424&lt;&gt;""))),1,0)</f>
        <v>1</v>
      </c>
    </row>
    <row r="425" spans="1:33" s="58" customFormat="1" ht="18" customHeight="1" x14ac:dyDescent="0.2">
      <c r="A425" s="73" t="str">
        <f t="shared" si="126"/>
        <v>X</v>
      </c>
      <c r="B425" s="81" t="str">
        <f>IF($B$221="","",IF($B$221=1,0,""))</f>
        <v/>
      </c>
      <c r="C425" s="57"/>
      <c r="D425" s="99" t="s">
        <v>245</v>
      </c>
      <c r="E425" s="428"/>
      <c r="F425" s="428"/>
      <c r="G425" s="428"/>
      <c r="H425" s="428"/>
      <c r="I425" s="428"/>
      <c r="J425" s="428"/>
      <c r="K425" s="428"/>
      <c r="L425" s="428"/>
      <c r="M425" s="428"/>
      <c r="N425" s="428"/>
      <c r="O425" s="428"/>
      <c r="P425" s="428"/>
      <c r="Q425" s="428"/>
      <c r="R425" s="428"/>
      <c r="S425" s="428"/>
      <c r="T425" s="428"/>
      <c r="U425" s="428"/>
      <c r="V425" s="428"/>
      <c r="W425" s="428"/>
      <c r="X425" s="428"/>
      <c r="Y425" s="428"/>
      <c r="Z425" s="428"/>
      <c r="AA425" s="61"/>
      <c r="AB425" s="75" t="s">
        <v>316</v>
      </c>
      <c r="AD425" s="80" t="s">
        <v>242</v>
      </c>
      <c r="AE425" s="78"/>
      <c r="AF425" s="74">
        <f t="shared" si="129"/>
        <v>0</v>
      </c>
      <c r="AG425" s="74">
        <f>IF(AND(SUM(AF:AF)&gt;0,OR(AND(B425=1,E425=""),AND(B425="",E425=""),AND(B425="",E425&lt;&gt;""),AND(B425=0,E425&lt;&gt;""))),1,0)</f>
        <v>1</v>
      </c>
    </row>
    <row r="426" spans="1:33" ht="21" customHeight="1" x14ac:dyDescent="0.2">
      <c r="A426" s="73" t="str">
        <f t="shared" si="126"/>
        <v/>
      </c>
      <c r="B426" s="74">
        <v>0</v>
      </c>
      <c r="D426" s="446" t="s">
        <v>299</v>
      </c>
      <c r="E426" s="446"/>
      <c r="F426" s="446"/>
      <c r="G426" s="446"/>
      <c r="H426" s="446"/>
      <c r="I426" s="446"/>
      <c r="J426" s="446"/>
      <c r="K426" s="446"/>
      <c r="L426" s="446"/>
      <c r="M426" s="446"/>
      <c r="N426" s="446"/>
      <c r="O426" s="446"/>
      <c r="P426" s="446"/>
      <c r="Q426" s="446"/>
      <c r="R426" s="446"/>
      <c r="S426" s="446"/>
      <c r="T426" s="446"/>
      <c r="U426" s="446"/>
      <c r="V426" s="446"/>
      <c r="W426" s="446"/>
      <c r="X426" s="446"/>
      <c r="Y426" s="446"/>
      <c r="Z426" s="446"/>
      <c r="AB426" s="87" t="s">
        <v>314</v>
      </c>
      <c r="AD426" s="82" t="s">
        <v>288</v>
      </c>
      <c r="AE426" s="27"/>
      <c r="AF426" s="13"/>
      <c r="AG426" s="13"/>
    </row>
    <row r="427" spans="1:33" ht="15.75" customHeight="1" x14ac:dyDescent="0.2">
      <c r="A427" s="73"/>
      <c r="B427" s="74">
        <v>0</v>
      </c>
      <c r="D427" s="443" t="s">
        <v>303</v>
      </c>
      <c r="E427" s="443"/>
      <c r="F427" s="443"/>
      <c r="G427" s="443"/>
      <c r="H427" s="443"/>
      <c r="I427" s="443"/>
      <c r="J427" s="443"/>
      <c r="K427" s="443"/>
      <c r="L427" s="443"/>
      <c r="M427" s="443"/>
      <c r="N427" s="443"/>
      <c r="O427" s="443"/>
      <c r="P427" s="443"/>
      <c r="Q427" s="443"/>
      <c r="R427" s="443"/>
      <c r="S427" s="443"/>
      <c r="T427" s="443"/>
      <c r="U427" s="443"/>
      <c r="V427" s="443"/>
      <c r="W427" s="443"/>
      <c r="X427" s="443"/>
      <c r="Y427" s="443"/>
      <c r="Z427" s="443"/>
      <c r="AB427" s="87" t="s">
        <v>314</v>
      </c>
      <c r="AD427" s="82" t="s">
        <v>288</v>
      </c>
      <c r="AE427" s="27"/>
      <c r="AF427" s="13"/>
      <c r="AG427" s="13"/>
    </row>
    <row r="428" spans="1:33" ht="8.5" customHeight="1" x14ac:dyDescent="0.15">
      <c r="A428" s="73" t="str">
        <f>IF(AG428=1,"X","")</f>
        <v/>
      </c>
      <c r="B428" s="74">
        <f>IF(OR(D429="Show",Q429="Show"),1,0)</f>
        <v>0</v>
      </c>
      <c r="D428" s="426"/>
      <c r="E428" s="426"/>
      <c r="F428" s="426"/>
      <c r="G428" s="426"/>
      <c r="H428" s="426"/>
      <c r="I428" s="426"/>
      <c r="J428" s="426"/>
      <c r="K428" s="426"/>
      <c r="L428" s="426"/>
      <c r="M428" s="426"/>
      <c r="N428" s="426"/>
      <c r="O428" s="426"/>
      <c r="P428" s="426"/>
      <c r="Q428" s="426"/>
      <c r="R428" s="426"/>
      <c r="S428" s="426"/>
      <c r="T428" s="426"/>
      <c r="U428" s="426"/>
      <c r="V428" s="426"/>
      <c r="W428" s="426"/>
      <c r="X428" s="426"/>
      <c r="Y428" s="426"/>
      <c r="Z428" s="426"/>
      <c r="AD428" s="82" t="s">
        <v>241</v>
      </c>
      <c r="AE428" s="52"/>
      <c r="AF428" s="13"/>
      <c r="AG428" s="13"/>
    </row>
    <row r="429" spans="1:33" ht="18" customHeight="1" x14ac:dyDescent="0.2">
      <c r="A429" s="73" t="str">
        <f t="shared" ref="A429:A432" si="130">IF(AG429=1,"X","")</f>
        <v/>
      </c>
      <c r="B429" s="74">
        <v>0</v>
      </c>
      <c r="D429" s="427" t="s">
        <v>309</v>
      </c>
      <c r="E429" s="427"/>
      <c r="F429" s="427"/>
      <c r="G429" s="427"/>
      <c r="H429" s="427"/>
      <c r="I429" s="427"/>
      <c r="J429" s="427"/>
      <c r="K429" s="427"/>
      <c r="L429" s="427"/>
      <c r="M429" s="427"/>
      <c r="N429" s="427"/>
      <c r="O429" s="84"/>
      <c r="P429" s="84"/>
      <c r="Q429" s="427" t="s">
        <v>309</v>
      </c>
      <c r="R429" s="427"/>
      <c r="S429" s="427"/>
      <c r="T429" s="427"/>
      <c r="U429" s="427"/>
      <c r="V429" s="427"/>
      <c r="W429" s="427"/>
      <c r="X429" s="427"/>
      <c r="Y429" s="427"/>
      <c r="Z429" s="427"/>
      <c r="AA429" s="65"/>
      <c r="AB429" s="75" t="s">
        <v>302</v>
      </c>
      <c r="AD429" s="80" t="s">
        <v>242</v>
      </c>
      <c r="AE429" s="27"/>
      <c r="AF429" s="74">
        <f>IF(OR(D429="Show",D429="",Q429="Show",Q429=""),1,0)</f>
        <v>0</v>
      </c>
      <c r="AG429" s="74">
        <f>IF(AND(SUM(AF:AF)&gt;0,OR(D429="",Q429="")),1,0)</f>
        <v>0</v>
      </c>
    </row>
    <row r="430" spans="1:33" ht="197.25" customHeight="1" x14ac:dyDescent="0.2">
      <c r="A430" s="73" t="str">
        <f t="shared" si="130"/>
        <v/>
      </c>
      <c r="B430" s="74">
        <f>B428</f>
        <v>0</v>
      </c>
      <c r="D430" s="427"/>
      <c r="E430" s="427"/>
      <c r="F430" s="427"/>
      <c r="G430" s="427"/>
      <c r="H430" s="427"/>
      <c r="I430" s="427"/>
      <c r="J430" s="427"/>
      <c r="K430" s="427"/>
      <c r="L430" s="427"/>
      <c r="M430" s="427"/>
      <c r="N430" s="427"/>
      <c r="O430" s="84"/>
      <c r="P430" s="84"/>
      <c r="Q430" s="427"/>
      <c r="R430" s="427"/>
      <c r="S430" s="427"/>
      <c r="T430" s="427"/>
      <c r="U430" s="427"/>
      <c r="V430" s="427"/>
      <c r="W430" s="427"/>
      <c r="X430" s="427"/>
      <c r="Y430" s="427"/>
      <c r="Z430" s="427"/>
      <c r="AA430" s="65"/>
      <c r="AB430" s="75" t="s">
        <v>301</v>
      </c>
      <c r="AD430" s="80" t="s">
        <v>242</v>
      </c>
      <c r="AE430" s="78"/>
      <c r="AF430" s="13"/>
      <c r="AG430" s="13"/>
    </row>
    <row r="431" spans="1:33" ht="18" customHeight="1" x14ac:dyDescent="0.2">
      <c r="A431" s="73" t="str">
        <f t="shared" si="130"/>
        <v/>
      </c>
      <c r="B431" s="74">
        <f>B430</f>
        <v>0</v>
      </c>
      <c r="D431" s="430"/>
      <c r="E431" s="430"/>
      <c r="F431" s="430"/>
      <c r="G431" s="430"/>
      <c r="H431" s="430"/>
      <c r="I431" s="430"/>
      <c r="J431" s="430"/>
      <c r="K431" s="430"/>
      <c r="L431" s="430"/>
      <c r="M431" s="430"/>
      <c r="N431" s="430"/>
      <c r="O431" s="84"/>
      <c r="P431" s="84"/>
      <c r="Q431" s="430"/>
      <c r="R431" s="430"/>
      <c r="S431" s="430"/>
      <c r="T431" s="430"/>
      <c r="U431" s="430"/>
      <c r="V431" s="430"/>
      <c r="W431" s="430"/>
      <c r="X431" s="430"/>
      <c r="Y431" s="430"/>
      <c r="Z431" s="430"/>
      <c r="AA431" s="65"/>
      <c r="AB431" s="75" t="s">
        <v>300</v>
      </c>
      <c r="AD431" s="80" t="s">
        <v>242</v>
      </c>
      <c r="AE431" s="78"/>
      <c r="AF431" s="74">
        <f>IF(OR(D429="Show",D429="",Q429="Show",Q429=""),1,0)</f>
        <v>0</v>
      </c>
      <c r="AG431" s="74">
        <f>IF(AND(SUM(AF:AF)&gt;0,OR(AND(D429="Show",D431=""),AND(Q429="Show",Q431=""))),1,0)</f>
        <v>0</v>
      </c>
    </row>
    <row r="432" spans="1:33" ht="8.5" customHeight="1" x14ac:dyDescent="0.15">
      <c r="A432" s="73" t="str">
        <f t="shared" si="130"/>
        <v/>
      </c>
      <c r="B432" s="74">
        <f>B431</f>
        <v>0</v>
      </c>
      <c r="D432" s="426"/>
      <c r="E432" s="426"/>
      <c r="F432" s="426"/>
      <c r="G432" s="426"/>
      <c r="H432" s="426"/>
      <c r="I432" s="426"/>
      <c r="J432" s="426"/>
      <c r="K432" s="426"/>
      <c r="L432" s="426"/>
      <c r="M432" s="426"/>
      <c r="N432" s="426"/>
      <c r="O432" s="426"/>
      <c r="P432" s="426"/>
      <c r="Q432" s="426"/>
      <c r="R432" s="426"/>
      <c r="S432" s="426"/>
      <c r="T432" s="426"/>
      <c r="U432" s="426"/>
      <c r="V432" s="426"/>
      <c r="W432" s="426"/>
      <c r="X432" s="426"/>
      <c r="Y432" s="426"/>
      <c r="Z432" s="426"/>
      <c r="AA432" s="65"/>
      <c r="AD432" s="82" t="s">
        <v>241</v>
      </c>
      <c r="AE432" s="52"/>
      <c r="AF432" s="13"/>
      <c r="AG432" s="13"/>
    </row>
    <row r="433" spans="1:33" ht="15.75" customHeight="1" x14ac:dyDescent="0.2">
      <c r="A433" s="73"/>
      <c r="B433" s="74">
        <v>0</v>
      </c>
      <c r="D433" s="443" t="s">
        <v>304</v>
      </c>
      <c r="E433" s="443"/>
      <c r="F433" s="443"/>
      <c r="G433" s="443"/>
      <c r="H433" s="443"/>
      <c r="I433" s="443"/>
      <c r="J433" s="443"/>
      <c r="K433" s="443"/>
      <c r="L433" s="443"/>
      <c r="M433" s="443"/>
      <c r="N433" s="443"/>
      <c r="O433" s="443"/>
      <c r="P433" s="443"/>
      <c r="Q433" s="443"/>
      <c r="R433" s="443"/>
      <c r="S433" s="443"/>
      <c r="T433" s="443"/>
      <c r="U433" s="443"/>
      <c r="V433" s="443"/>
      <c r="W433" s="443"/>
      <c r="X433" s="443"/>
      <c r="Y433" s="443"/>
      <c r="Z433" s="443"/>
      <c r="AB433" s="87" t="s">
        <v>314</v>
      </c>
      <c r="AD433" s="82" t="s">
        <v>288</v>
      </c>
      <c r="AE433" s="27"/>
      <c r="AF433" s="13"/>
      <c r="AG433" s="13"/>
    </row>
    <row r="434" spans="1:33" s="58" customFormat="1" ht="37.5" customHeight="1" x14ac:dyDescent="0.15">
      <c r="A434" s="73" t="str">
        <f t="shared" ref="A434:A481" si="131">IF(AG434=1,"X","")</f>
        <v/>
      </c>
      <c r="B434" s="74">
        <v>1</v>
      </c>
      <c r="C434" s="57"/>
      <c r="D434" s="468" t="s">
        <v>326</v>
      </c>
      <c r="E434" s="468"/>
      <c r="F434" s="468"/>
      <c r="G434" s="468"/>
      <c r="H434" s="468"/>
      <c r="I434" s="468"/>
      <c r="J434" s="468"/>
      <c r="K434" s="468"/>
      <c r="L434" s="468"/>
      <c r="M434" s="468"/>
      <c r="N434" s="468"/>
      <c r="O434" s="468"/>
      <c r="P434" s="468"/>
      <c r="Q434" s="468"/>
      <c r="R434" s="468"/>
      <c r="S434" s="468"/>
      <c r="T434" s="468"/>
      <c r="U434" s="468"/>
      <c r="V434" s="468"/>
      <c r="W434" s="468"/>
      <c r="X434" s="468"/>
      <c r="Y434" s="468"/>
      <c r="Z434" s="468"/>
      <c r="AB434" s="87" t="s">
        <v>310</v>
      </c>
      <c r="AD434" s="82" t="s">
        <v>241</v>
      </c>
      <c r="AE434" s="52"/>
      <c r="AF434" s="13"/>
      <c r="AG434" s="13"/>
    </row>
    <row r="435" spans="1:33" s="58" customFormat="1" ht="85.5" customHeight="1" x14ac:dyDescent="0.15">
      <c r="A435" s="73" t="str">
        <f t="shared" si="131"/>
        <v/>
      </c>
      <c r="B435" s="74">
        <v>1</v>
      </c>
      <c r="C435" s="57"/>
      <c r="D435" s="424" t="s">
        <v>381</v>
      </c>
      <c r="E435" s="424"/>
      <c r="F435" s="424"/>
      <c r="G435" s="424"/>
      <c r="H435" s="424"/>
      <c r="I435" s="424"/>
      <c r="J435" s="424"/>
      <c r="K435" s="424"/>
      <c r="L435" s="424"/>
      <c r="M435" s="424"/>
      <c r="N435" s="424"/>
      <c r="O435" s="424"/>
      <c r="P435" s="424"/>
      <c r="Q435" s="424"/>
      <c r="R435" s="424"/>
      <c r="S435" s="424"/>
      <c r="T435" s="424"/>
      <c r="U435" s="424"/>
      <c r="V435" s="424"/>
      <c r="W435" s="424"/>
      <c r="X435" s="424"/>
      <c r="Y435" s="424"/>
      <c r="Z435" s="424"/>
      <c r="AB435" s="87" t="s">
        <v>310</v>
      </c>
      <c r="AD435" s="82" t="s">
        <v>241</v>
      </c>
      <c r="AE435" s="52"/>
      <c r="AF435" s="13"/>
      <c r="AG435" s="13"/>
    </row>
    <row r="436" spans="1:33" s="58" customFormat="1" ht="33.75" customHeight="1" x14ac:dyDescent="0.15">
      <c r="A436" s="73" t="str">
        <f t="shared" si="131"/>
        <v>X</v>
      </c>
      <c r="B436" s="81"/>
      <c r="C436" s="57"/>
      <c r="D436" s="424" t="s">
        <v>382</v>
      </c>
      <c r="E436" s="424"/>
      <c r="F436" s="424"/>
      <c r="G436" s="424"/>
      <c r="H436" s="424"/>
      <c r="I436" s="424"/>
      <c r="J436" s="424"/>
      <c r="K436" s="424"/>
      <c r="L436" s="424"/>
      <c r="M436" s="424"/>
      <c r="N436" s="424"/>
      <c r="O436" s="424"/>
      <c r="P436" s="424"/>
      <c r="Q436" s="424"/>
      <c r="R436" s="424"/>
      <c r="S436" s="424"/>
      <c r="T436" s="424"/>
      <c r="U436" s="424"/>
      <c r="V436" s="424"/>
      <c r="W436" s="424"/>
      <c r="X436" s="424"/>
      <c r="Y436" s="424"/>
      <c r="Z436" s="424"/>
      <c r="AB436" s="75" t="s">
        <v>246</v>
      </c>
      <c r="AC436" s="56"/>
      <c r="AD436" s="80" t="s">
        <v>242</v>
      </c>
      <c r="AE436" s="52"/>
      <c r="AF436" s="74">
        <f t="shared" ref="AF436:AF438" si="132">IF(B436&lt;&gt;"",1,0)</f>
        <v>0</v>
      </c>
      <c r="AG436" s="74">
        <f t="shared" ref="AG436:AG441" si="133">IF(AND(SUM(AF:AF)&gt;0,B436=""),1,0)</f>
        <v>1</v>
      </c>
    </row>
    <row r="437" spans="1:33" ht="48" customHeight="1" x14ac:dyDescent="0.15">
      <c r="A437" s="73" t="str">
        <f t="shared" si="131"/>
        <v>X</v>
      </c>
      <c r="B437" s="81"/>
      <c r="D437" s="424" t="s">
        <v>226</v>
      </c>
      <c r="E437" s="424"/>
      <c r="F437" s="424"/>
      <c r="G437" s="424"/>
      <c r="H437" s="424"/>
      <c r="I437" s="424"/>
      <c r="J437" s="424"/>
      <c r="K437" s="424"/>
      <c r="L437" s="424"/>
      <c r="M437" s="424"/>
      <c r="N437" s="424"/>
      <c r="O437" s="424"/>
      <c r="P437" s="424"/>
      <c r="Q437" s="424"/>
      <c r="R437" s="424"/>
      <c r="S437" s="424"/>
      <c r="T437" s="424"/>
      <c r="U437" s="424"/>
      <c r="V437" s="424"/>
      <c r="W437" s="424"/>
      <c r="X437" s="424"/>
      <c r="Y437" s="424"/>
      <c r="Z437" s="424"/>
      <c r="AB437" s="75" t="s">
        <v>246</v>
      </c>
      <c r="AD437" s="80" t="s">
        <v>242</v>
      </c>
      <c r="AE437" s="52"/>
      <c r="AF437" s="74">
        <f t="shared" si="132"/>
        <v>0</v>
      </c>
      <c r="AG437" s="74">
        <f t="shared" si="133"/>
        <v>1</v>
      </c>
    </row>
    <row r="438" spans="1:33" ht="113.25" customHeight="1" x14ac:dyDescent="0.15">
      <c r="A438" s="73" t="str">
        <f t="shared" si="131"/>
        <v>X</v>
      </c>
      <c r="B438" s="81"/>
      <c r="D438" s="424" t="s">
        <v>284</v>
      </c>
      <c r="E438" s="424"/>
      <c r="F438" s="424"/>
      <c r="G438" s="424"/>
      <c r="H438" s="424"/>
      <c r="I438" s="424"/>
      <c r="J438" s="424"/>
      <c r="K438" s="424"/>
      <c r="L438" s="424"/>
      <c r="M438" s="424"/>
      <c r="N438" s="424"/>
      <c r="O438" s="424"/>
      <c r="P438" s="424"/>
      <c r="Q438" s="424"/>
      <c r="R438" s="424"/>
      <c r="S438" s="424"/>
      <c r="T438" s="424"/>
      <c r="U438" s="424"/>
      <c r="V438" s="424"/>
      <c r="W438" s="424"/>
      <c r="X438" s="424"/>
      <c r="Y438" s="424"/>
      <c r="Z438" s="424"/>
      <c r="AB438" s="75" t="s">
        <v>246</v>
      </c>
      <c r="AD438" s="80" t="s">
        <v>242</v>
      </c>
      <c r="AE438" s="52"/>
      <c r="AF438" s="74">
        <f t="shared" si="132"/>
        <v>0</v>
      </c>
      <c r="AG438" s="74">
        <f t="shared" si="133"/>
        <v>1</v>
      </c>
    </row>
    <row r="439" spans="1:33" ht="21" customHeight="1" x14ac:dyDescent="0.15">
      <c r="A439" s="73" t="str">
        <f t="shared" si="131"/>
        <v>X</v>
      </c>
      <c r="B439" s="81"/>
      <c r="D439" s="440" t="s">
        <v>227</v>
      </c>
      <c r="E439" s="440"/>
      <c r="F439" s="440"/>
      <c r="G439" s="440"/>
      <c r="H439" s="440"/>
      <c r="I439" s="440"/>
      <c r="J439" s="440"/>
      <c r="K439" s="440"/>
      <c r="L439" s="440"/>
      <c r="M439" s="440"/>
      <c r="N439" s="440"/>
      <c r="O439" s="440"/>
      <c r="P439" s="440"/>
      <c r="Q439" s="440"/>
      <c r="R439" s="440"/>
      <c r="S439" s="440"/>
      <c r="T439" s="440"/>
      <c r="U439" s="440"/>
      <c r="V439" s="440"/>
      <c r="W439" s="440"/>
      <c r="X439" s="440"/>
      <c r="Y439" s="440"/>
      <c r="Z439" s="440"/>
      <c r="AB439" s="75" t="s">
        <v>246</v>
      </c>
      <c r="AD439" s="80" t="s">
        <v>242</v>
      </c>
      <c r="AE439" s="52"/>
      <c r="AF439" s="74">
        <f t="shared" ref="AF439" si="134">IF(B439&lt;&gt;"",1,0)</f>
        <v>0</v>
      </c>
      <c r="AG439" s="74">
        <f t="shared" si="133"/>
        <v>1</v>
      </c>
    </row>
    <row r="440" spans="1:33" ht="18" customHeight="1" x14ac:dyDescent="0.2">
      <c r="A440" s="73" t="str">
        <f t="shared" si="131"/>
        <v>X</v>
      </c>
      <c r="B440" s="81"/>
      <c r="D440" s="424" t="s">
        <v>265</v>
      </c>
      <c r="E440" s="424"/>
      <c r="F440" s="424"/>
      <c r="G440" s="424"/>
      <c r="H440" s="424"/>
      <c r="I440" s="424"/>
      <c r="J440" s="424"/>
      <c r="K440" s="424"/>
      <c r="L440" s="424"/>
      <c r="M440" s="424"/>
      <c r="N440" s="424"/>
      <c r="O440" s="424"/>
      <c r="P440" s="424"/>
      <c r="Q440" s="424"/>
      <c r="R440" s="424"/>
      <c r="S440" s="424"/>
      <c r="T440" s="424"/>
      <c r="U440" s="424"/>
      <c r="V440" s="424"/>
      <c r="W440" s="424"/>
      <c r="X440" s="424"/>
      <c r="Y440" s="424"/>
      <c r="Z440" s="424"/>
      <c r="AB440" s="75" t="s">
        <v>246</v>
      </c>
      <c r="AD440" s="80" t="s">
        <v>242</v>
      </c>
      <c r="AE440" s="78"/>
      <c r="AF440" s="74">
        <f t="shared" ref="AF440" si="135">IF(B440&lt;&gt;"",1,0)</f>
        <v>0</v>
      </c>
      <c r="AG440" s="74">
        <f t="shared" si="133"/>
        <v>1</v>
      </c>
    </row>
    <row r="441" spans="1:33" ht="18" customHeight="1" x14ac:dyDescent="0.2">
      <c r="A441" s="73" t="str">
        <f t="shared" si="131"/>
        <v>X</v>
      </c>
      <c r="B441" s="81" t="str">
        <f>IF($B$440="","",IF($B$440=1,0,""))</f>
        <v/>
      </c>
      <c r="D441" s="441" t="s">
        <v>327</v>
      </c>
      <c r="E441" s="441"/>
      <c r="F441" s="441"/>
      <c r="G441" s="441"/>
      <c r="H441" s="441"/>
      <c r="I441" s="441"/>
      <c r="J441" s="441"/>
      <c r="K441" s="441"/>
      <c r="L441" s="441"/>
      <c r="M441" s="441"/>
      <c r="N441" s="441"/>
      <c r="O441" s="441"/>
      <c r="P441" s="441"/>
      <c r="Q441" s="441"/>
      <c r="R441" s="441"/>
      <c r="S441" s="441"/>
      <c r="T441" s="441"/>
      <c r="U441" s="441"/>
      <c r="V441" s="441"/>
      <c r="W441" s="441"/>
      <c r="X441" s="441"/>
      <c r="Y441" s="441"/>
      <c r="Z441" s="441"/>
      <c r="AB441" s="75" t="s">
        <v>246</v>
      </c>
      <c r="AD441" s="80" t="s">
        <v>242</v>
      </c>
      <c r="AE441" s="78"/>
      <c r="AF441" s="74">
        <f t="shared" ref="AF441" si="136">IF(B441&lt;&gt;"",1,0)</f>
        <v>0</v>
      </c>
      <c r="AG441" s="74">
        <f t="shared" si="133"/>
        <v>1</v>
      </c>
    </row>
    <row r="442" spans="1:33" ht="21" customHeight="1" x14ac:dyDescent="0.2">
      <c r="A442" s="73" t="str">
        <f t="shared" si="131"/>
        <v/>
      </c>
      <c r="B442" s="74">
        <v>0</v>
      </c>
      <c r="D442" s="446" t="s">
        <v>299</v>
      </c>
      <c r="E442" s="446"/>
      <c r="F442" s="446"/>
      <c r="G442" s="446"/>
      <c r="H442" s="446"/>
      <c r="I442" s="446"/>
      <c r="J442" s="446"/>
      <c r="K442" s="446"/>
      <c r="L442" s="446"/>
      <c r="M442" s="446"/>
      <c r="N442" s="446"/>
      <c r="O442" s="446"/>
      <c r="P442" s="446"/>
      <c r="Q442" s="446"/>
      <c r="R442" s="446"/>
      <c r="S442" s="446"/>
      <c r="T442" s="446"/>
      <c r="U442" s="446"/>
      <c r="V442" s="446"/>
      <c r="W442" s="446"/>
      <c r="X442" s="446"/>
      <c r="Y442" s="446"/>
      <c r="Z442" s="446"/>
      <c r="AB442" s="87" t="s">
        <v>314</v>
      </c>
      <c r="AD442" s="82" t="s">
        <v>288</v>
      </c>
      <c r="AE442" s="27"/>
      <c r="AF442" s="13"/>
      <c r="AG442" s="13"/>
    </row>
    <row r="443" spans="1:33" ht="15.75" customHeight="1" x14ac:dyDescent="0.2">
      <c r="A443" s="73"/>
      <c r="B443" s="74">
        <v>0</v>
      </c>
      <c r="D443" s="443" t="s">
        <v>303</v>
      </c>
      <c r="E443" s="443"/>
      <c r="F443" s="443"/>
      <c r="G443" s="443"/>
      <c r="H443" s="443"/>
      <c r="I443" s="443"/>
      <c r="J443" s="443"/>
      <c r="K443" s="443"/>
      <c r="L443" s="443"/>
      <c r="M443" s="443"/>
      <c r="N443" s="443"/>
      <c r="O443" s="443"/>
      <c r="P443" s="443"/>
      <c r="Q443" s="443"/>
      <c r="R443" s="443"/>
      <c r="S443" s="443"/>
      <c r="T443" s="443"/>
      <c r="U443" s="443"/>
      <c r="V443" s="443"/>
      <c r="W443" s="443"/>
      <c r="X443" s="443"/>
      <c r="Y443" s="443"/>
      <c r="Z443" s="443"/>
      <c r="AB443" s="87" t="s">
        <v>314</v>
      </c>
      <c r="AD443" s="82" t="s">
        <v>288</v>
      </c>
      <c r="AE443" s="27"/>
      <c r="AF443" s="13"/>
      <c r="AG443" s="13"/>
    </row>
    <row r="444" spans="1:33" ht="8.5" customHeight="1" x14ac:dyDescent="0.15">
      <c r="A444" s="73" t="str">
        <f>IF(AG444=1,"X","")</f>
        <v/>
      </c>
      <c r="B444" s="74">
        <f>IF(OR(D445="Show",Q445="Show"),1,0)</f>
        <v>0</v>
      </c>
      <c r="D444" s="426"/>
      <c r="E444" s="426"/>
      <c r="F444" s="426"/>
      <c r="G444" s="426"/>
      <c r="H444" s="426"/>
      <c r="I444" s="426"/>
      <c r="J444" s="426"/>
      <c r="K444" s="426"/>
      <c r="L444" s="426"/>
      <c r="M444" s="426"/>
      <c r="N444" s="426"/>
      <c r="O444" s="426"/>
      <c r="P444" s="426"/>
      <c r="Q444" s="426"/>
      <c r="R444" s="426"/>
      <c r="S444" s="426"/>
      <c r="T444" s="426"/>
      <c r="U444" s="426"/>
      <c r="V444" s="426"/>
      <c r="W444" s="426"/>
      <c r="X444" s="426"/>
      <c r="Y444" s="426"/>
      <c r="Z444" s="426"/>
      <c r="AD444" s="82" t="s">
        <v>241</v>
      </c>
      <c r="AE444" s="52"/>
      <c r="AF444" s="13"/>
      <c r="AG444" s="13"/>
    </row>
    <row r="445" spans="1:33" ht="18" customHeight="1" x14ac:dyDescent="0.2">
      <c r="A445" s="73" t="str">
        <f t="shared" ref="A445:A448" si="137">IF(AG445=1,"X","")</f>
        <v/>
      </c>
      <c r="B445" s="74">
        <v>0</v>
      </c>
      <c r="D445" s="427" t="s">
        <v>309</v>
      </c>
      <c r="E445" s="427"/>
      <c r="F445" s="427"/>
      <c r="G445" s="427"/>
      <c r="H445" s="427"/>
      <c r="I445" s="427"/>
      <c r="J445" s="427"/>
      <c r="K445" s="427"/>
      <c r="L445" s="427"/>
      <c r="M445" s="427"/>
      <c r="N445" s="427"/>
      <c r="O445" s="84"/>
      <c r="P445" s="84"/>
      <c r="Q445" s="427" t="s">
        <v>309</v>
      </c>
      <c r="R445" s="427"/>
      <c r="S445" s="427"/>
      <c r="T445" s="427"/>
      <c r="U445" s="427"/>
      <c r="V445" s="427"/>
      <c r="W445" s="427"/>
      <c r="X445" s="427"/>
      <c r="Y445" s="427"/>
      <c r="Z445" s="427"/>
      <c r="AA445" s="65"/>
      <c r="AB445" s="75" t="s">
        <v>302</v>
      </c>
      <c r="AD445" s="80" t="s">
        <v>242</v>
      </c>
      <c r="AE445" s="27"/>
      <c r="AF445" s="74">
        <f>IF(OR(D445="Show",D445="",Q445="Show",Q445=""),1,0)</f>
        <v>0</v>
      </c>
      <c r="AG445" s="74">
        <f>IF(AND(SUM(AF:AF)&gt;0,OR(D445="",Q445="")),1,0)</f>
        <v>0</v>
      </c>
    </row>
    <row r="446" spans="1:33" ht="197.25" customHeight="1" x14ac:dyDescent="0.2">
      <c r="A446" s="73" t="str">
        <f t="shared" si="137"/>
        <v/>
      </c>
      <c r="B446" s="74">
        <f>B444</f>
        <v>0</v>
      </c>
      <c r="D446" s="427"/>
      <c r="E446" s="427"/>
      <c r="F446" s="427"/>
      <c r="G446" s="427"/>
      <c r="H446" s="427"/>
      <c r="I446" s="427"/>
      <c r="J446" s="427"/>
      <c r="K446" s="427"/>
      <c r="L446" s="427"/>
      <c r="M446" s="427"/>
      <c r="N446" s="427"/>
      <c r="O446" s="84"/>
      <c r="P446" s="84"/>
      <c r="Q446" s="427"/>
      <c r="R446" s="427"/>
      <c r="S446" s="427"/>
      <c r="T446" s="427"/>
      <c r="U446" s="427"/>
      <c r="V446" s="427"/>
      <c r="W446" s="427"/>
      <c r="X446" s="427"/>
      <c r="Y446" s="427"/>
      <c r="Z446" s="427"/>
      <c r="AA446" s="65"/>
      <c r="AB446" s="75" t="s">
        <v>301</v>
      </c>
      <c r="AD446" s="80" t="s">
        <v>242</v>
      </c>
      <c r="AE446" s="78"/>
      <c r="AF446" s="13"/>
      <c r="AG446" s="13"/>
    </row>
    <row r="447" spans="1:33" ht="18" customHeight="1" x14ac:dyDescent="0.2">
      <c r="A447" s="73" t="str">
        <f t="shared" si="137"/>
        <v/>
      </c>
      <c r="B447" s="74">
        <f>B446</f>
        <v>0</v>
      </c>
      <c r="D447" s="430"/>
      <c r="E447" s="430"/>
      <c r="F447" s="430"/>
      <c r="G447" s="430"/>
      <c r="H447" s="430"/>
      <c r="I447" s="430"/>
      <c r="J447" s="430"/>
      <c r="K447" s="430"/>
      <c r="L447" s="430"/>
      <c r="M447" s="430"/>
      <c r="N447" s="430"/>
      <c r="O447" s="84"/>
      <c r="P447" s="84"/>
      <c r="Q447" s="430"/>
      <c r="R447" s="430"/>
      <c r="S447" s="430"/>
      <c r="T447" s="430"/>
      <c r="U447" s="430"/>
      <c r="V447" s="430"/>
      <c r="W447" s="430"/>
      <c r="X447" s="430"/>
      <c r="Y447" s="430"/>
      <c r="Z447" s="430"/>
      <c r="AA447" s="65"/>
      <c r="AB447" s="75" t="s">
        <v>300</v>
      </c>
      <c r="AD447" s="80" t="s">
        <v>242</v>
      </c>
      <c r="AE447" s="78"/>
      <c r="AF447" s="74">
        <f>IF(OR(D445="Show",D445="",Q445="Show",Q445=""),1,0)</f>
        <v>0</v>
      </c>
      <c r="AG447" s="74">
        <f>IF(AND(SUM(AF:AF)&gt;0,OR(AND(D445="Show",D447=""),AND(Q445="Show",Q447=""))),1,0)</f>
        <v>0</v>
      </c>
    </row>
    <row r="448" spans="1:33" ht="8.5" customHeight="1" x14ac:dyDescent="0.15">
      <c r="A448" s="73" t="str">
        <f t="shared" si="137"/>
        <v/>
      </c>
      <c r="B448" s="74">
        <f>B447</f>
        <v>0</v>
      </c>
      <c r="D448" s="426"/>
      <c r="E448" s="426"/>
      <c r="F448" s="426"/>
      <c r="G448" s="426"/>
      <c r="H448" s="426"/>
      <c r="I448" s="426"/>
      <c r="J448" s="426"/>
      <c r="K448" s="426"/>
      <c r="L448" s="426"/>
      <c r="M448" s="426"/>
      <c r="N448" s="426"/>
      <c r="O448" s="426"/>
      <c r="P448" s="426"/>
      <c r="Q448" s="426"/>
      <c r="R448" s="426"/>
      <c r="S448" s="426"/>
      <c r="T448" s="426"/>
      <c r="U448" s="426"/>
      <c r="V448" s="426"/>
      <c r="W448" s="426"/>
      <c r="X448" s="426"/>
      <c r="Y448" s="426"/>
      <c r="Z448" s="426"/>
      <c r="AA448" s="65"/>
      <c r="AD448" s="82" t="s">
        <v>241</v>
      </c>
      <c r="AE448" s="52"/>
      <c r="AF448" s="13"/>
      <c r="AG448" s="13"/>
    </row>
    <row r="449" spans="1:33" ht="15.75" customHeight="1" x14ac:dyDescent="0.2">
      <c r="A449" s="73"/>
      <c r="B449" s="74">
        <v>0</v>
      </c>
      <c r="D449" s="443" t="s">
        <v>304</v>
      </c>
      <c r="E449" s="443"/>
      <c r="F449" s="443"/>
      <c r="G449" s="443"/>
      <c r="H449" s="443"/>
      <c r="I449" s="443"/>
      <c r="J449" s="443"/>
      <c r="K449" s="443"/>
      <c r="L449" s="443"/>
      <c r="M449" s="443"/>
      <c r="N449" s="443"/>
      <c r="O449" s="443"/>
      <c r="P449" s="443"/>
      <c r="Q449" s="443"/>
      <c r="R449" s="443"/>
      <c r="S449" s="443"/>
      <c r="T449" s="443"/>
      <c r="U449" s="443"/>
      <c r="V449" s="443"/>
      <c r="W449" s="443"/>
      <c r="X449" s="443"/>
      <c r="Y449" s="443"/>
      <c r="Z449" s="443"/>
      <c r="AB449" s="87" t="s">
        <v>314</v>
      </c>
      <c r="AD449" s="82" t="s">
        <v>288</v>
      </c>
      <c r="AE449" s="27"/>
      <c r="AF449" s="13"/>
      <c r="AG449" s="13"/>
    </row>
    <row r="450" spans="1:33" ht="15.75" customHeight="1" x14ac:dyDescent="0.2">
      <c r="A450" s="73"/>
      <c r="B450" s="74">
        <v>0</v>
      </c>
      <c r="D450" s="443" t="s">
        <v>305</v>
      </c>
      <c r="E450" s="443"/>
      <c r="F450" s="443"/>
      <c r="G450" s="443"/>
      <c r="H450" s="443"/>
      <c r="I450" s="443"/>
      <c r="J450" s="443"/>
      <c r="K450" s="443"/>
      <c r="L450" s="443"/>
      <c r="M450" s="443"/>
      <c r="N450" s="443"/>
      <c r="O450" s="443"/>
      <c r="P450" s="443"/>
      <c r="Q450" s="443"/>
      <c r="R450" s="443"/>
      <c r="S450" s="443"/>
      <c r="T450" s="443"/>
      <c r="U450" s="443"/>
      <c r="V450" s="443"/>
      <c r="W450" s="443"/>
      <c r="X450" s="443"/>
      <c r="Y450" s="443"/>
      <c r="Z450" s="443"/>
      <c r="AB450" s="87" t="s">
        <v>314</v>
      </c>
      <c r="AD450" s="82" t="s">
        <v>288</v>
      </c>
      <c r="AE450" s="27"/>
      <c r="AF450" s="13"/>
      <c r="AG450" s="13"/>
    </row>
    <row r="451" spans="1:33" ht="8.5" customHeight="1" x14ac:dyDescent="0.15">
      <c r="A451" s="73" t="str">
        <f>IF(AG451=1,"X","")</f>
        <v/>
      </c>
      <c r="B451" s="74">
        <f>IF(OR(D452="Show",Q452="Show"),1,0)</f>
        <v>0</v>
      </c>
      <c r="D451" s="426"/>
      <c r="E451" s="426"/>
      <c r="F451" s="426"/>
      <c r="G451" s="426"/>
      <c r="H451" s="426"/>
      <c r="I451" s="426"/>
      <c r="J451" s="426"/>
      <c r="K451" s="426"/>
      <c r="L451" s="426"/>
      <c r="M451" s="426"/>
      <c r="N451" s="426"/>
      <c r="O451" s="426"/>
      <c r="P451" s="426"/>
      <c r="Q451" s="426"/>
      <c r="R451" s="426"/>
      <c r="S451" s="426"/>
      <c r="T451" s="426"/>
      <c r="U451" s="426"/>
      <c r="V451" s="426"/>
      <c r="W451" s="426"/>
      <c r="X451" s="426"/>
      <c r="Y451" s="426"/>
      <c r="Z451" s="426"/>
      <c r="AD451" s="82" t="s">
        <v>241</v>
      </c>
      <c r="AE451" s="52"/>
      <c r="AF451" s="13"/>
      <c r="AG451" s="13"/>
    </row>
    <row r="452" spans="1:33" ht="18" customHeight="1" x14ac:dyDescent="0.2">
      <c r="A452" s="73" t="str">
        <f t="shared" ref="A452:A455" si="138">IF(AG452=1,"X","")</f>
        <v/>
      </c>
      <c r="B452" s="74">
        <v>0</v>
      </c>
      <c r="D452" s="427" t="s">
        <v>309</v>
      </c>
      <c r="E452" s="427"/>
      <c r="F452" s="427"/>
      <c r="G452" s="427"/>
      <c r="H452" s="427"/>
      <c r="I452" s="427"/>
      <c r="J452" s="427"/>
      <c r="K452" s="427"/>
      <c r="L452" s="427"/>
      <c r="M452" s="427"/>
      <c r="N452" s="427"/>
      <c r="O452" s="84"/>
      <c r="P452" s="84"/>
      <c r="Q452" s="427" t="s">
        <v>309</v>
      </c>
      <c r="R452" s="427"/>
      <c r="S452" s="427"/>
      <c r="T452" s="427"/>
      <c r="U452" s="427"/>
      <c r="V452" s="427"/>
      <c r="W452" s="427"/>
      <c r="X452" s="427"/>
      <c r="Y452" s="427"/>
      <c r="Z452" s="427"/>
      <c r="AA452" s="65"/>
      <c r="AB452" s="75" t="s">
        <v>302</v>
      </c>
      <c r="AD452" s="80" t="s">
        <v>242</v>
      </c>
      <c r="AE452" s="27"/>
      <c r="AF452" s="74">
        <f>IF(OR(D452="Show",D452="",Q452="Show",Q452=""),1,0)</f>
        <v>0</v>
      </c>
      <c r="AG452" s="74">
        <f>IF(AND(SUM(AF:AF)&gt;0,OR(D452="",Q452="")),1,0)</f>
        <v>0</v>
      </c>
    </row>
    <row r="453" spans="1:33" ht="197.25" customHeight="1" x14ac:dyDescent="0.2">
      <c r="A453" s="73" t="str">
        <f t="shared" si="138"/>
        <v/>
      </c>
      <c r="B453" s="74">
        <f>B451</f>
        <v>0</v>
      </c>
      <c r="D453" s="427"/>
      <c r="E453" s="427"/>
      <c r="F453" s="427"/>
      <c r="G453" s="427"/>
      <c r="H453" s="427"/>
      <c r="I453" s="427"/>
      <c r="J453" s="427"/>
      <c r="K453" s="427"/>
      <c r="L453" s="427"/>
      <c r="M453" s="427"/>
      <c r="N453" s="427"/>
      <c r="O453" s="84"/>
      <c r="P453" s="84"/>
      <c r="Q453" s="427"/>
      <c r="R453" s="427"/>
      <c r="S453" s="427"/>
      <c r="T453" s="427"/>
      <c r="U453" s="427"/>
      <c r="V453" s="427"/>
      <c r="W453" s="427"/>
      <c r="X453" s="427"/>
      <c r="Y453" s="427"/>
      <c r="Z453" s="427"/>
      <c r="AA453" s="65"/>
      <c r="AB453" s="75" t="s">
        <v>301</v>
      </c>
      <c r="AD453" s="80" t="s">
        <v>242</v>
      </c>
      <c r="AE453" s="78"/>
      <c r="AF453" s="13"/>
      <c r="AG453" s="13"/>
    </row>
    <row r="454" spans="1:33" ht="18" customHeight="1" x14ac:dyDescent="0.2">
      <c r="A454" s="73" t="str">
        <f t="shared" si="138"/>
        <v/>
      </c>
      <c r="B454" s="74">
        <f>B453</f>
        <v>0</v>
      </c>
      <c r="D454" s="430"/>
      <c r="E454" s="430"/>
      <c r="F454" s="430"/>
      <c r="G454" s="430"/>
      <c r="H454" s="430"/>
      <c r="I454" s="430"/>
      <c r="J454" s="430"/>
      <c r="K454" s="430"/>
      <c r="L454" s="430"/>
      <c r="M454" s="430"/>
      <c r="N454" s="430"/>
      <c r="O454" s="84"/>
      <c r="P454" s="84"/>
      <c r="Q454" s="430"/>
      <c r="R454" s="430"/>
      <c r="S454" s="430"/>
      <c r="T454" s="430"/>
      <c r="U454" s="430"/>
      <c r="V454" s="430"/>
      <c r="W454" s="430"/>
      <c r="X454" s="430"/>
      <c r="Y454" s="430"/>
      <c r="Z454" s="430"/>
      <c r="AA454" s="65"/>
      <c r="AB454" s="75" t="s">
        <v>300</v>
      </c>
      <c r="AD454" s="80" t="s">
        <v>242</v>
      </c>
      <c r="AE454" s="78"/>
      <c r="AF454" s="74">
        <f>IF(OR(D452="Show",D452="",Q452="Show",Q452=""),1,0)</f>
        <v>0</v>
      </c>
      <c r="AG454" s="74">
        <f>IF(AND(SUM(AF:AF)&gt;0,OR(AND(D452="Show",D454=""),AND(Q452="Show",Q454=""))),1,0)</f>
        <v>0</v>
      </c>
    </row>
    <row r="455" spans="1:33" ht="8.5" customHeight="1" x14ac:dyDescent="0.15">
      <c r="A455" s="73" t="str">
        <f t="shared" si="138"/>
        <v/>
      </c>
      <c r="B455" s="74">
        <f>B454</f>
        <v>0</v>
      </c>
      <c r="D455" s="426"/>
      <c r="E455" s="426"/>
      <c r="F455" s="426"/>
      <c r="G455" s="426"/>
      <c r="H455" s="426"/>
      <c r="I455" s="426"/>
      <c r="J455" s="426"/>
      <c r="K455" s="426"/>
      <c r="L455" s="426"/>
      <c r="M455" s="426"/>
      <c r="N455" s="426"/>
      <c r="O455" s="426"/>
      <c r="P455" s="426"/>
      <c r="Q455" s="426"/>
      <c r="R455" s="426"/>
      <c r="S455" s="426"/>
      <c r="T455" s="426"/>
      <c r="U455" s="426"/>
      <c r="V455" s="426"/>
      <c r="W455" s="426"/>
      <c r="X455" s="426"/>
      <c r="Y455" s="426"/>
      <c r="Z455" s="426"/>
      <c r="AA455" s="65"/>
      <c r="AD455" s="82" t="s">
        <v>241</v>
      </c>
      <c r="AE455" s="52"/>
      <c r="AF455" s="13"/>
      <c r="AG455" s="13"/>
    </row>
    <row r="456" spans="1:33" ht="15.75" customHeight="1" x14ac:dyDescent="0.2">
      <c r="A456" s="73"/>
      <c r="B456" s="74">
        <v>0</v>
      </c>
      <c r="D456" s="443" t="s">
        <v>307</v>
      </c>
      <c r="E456" s="443"/>
      <c r="F456" s="443"/>
      <c r="G456" s="443"/>
      <c r="H456" s="443"/>
      <c r="I456" s="443"/>
      <c r="J456" s="443"/>
      <c r="K456" s="443"/>
      <c r="L456" s="443"/>
      <c r="M456" s="443"/>
      <c r="N456" s="443"/>
      <c r="O456" s="443"/>
      <c r="P456" s="443"/>
      <c r="Q456" s="443"/>
      <c r="R456" s="443"/>
      <c r="S456" s="443"/>
      <c r="T456" s="443"/>
      <c r="U456" s="443"/>
      <c r="V456" s="443"/>
      <c r="W456" s="443"/>
      <c r="X456" s="443"/>
      <c r="Y456" s="443"/>
      <c r="Z456" s="443"/>
      <c r="AB456" s="87" t="s">
        <v>314</v>
      </c>
      <c r="AD456" s="82" t="s">
        <v>288</v>
      </c>
      <c r="AE456" s="27"/>
      <c r="AF456" s="13"/>
      <c r="AG456" s="13"/>
    </row>
    <row r="457" spans="1:33" ht="15.75" customHeight="1" x14ac:dyDescent="0.2">
      <c r="A457" s="73"/>
      <c r="B457" s="74">
        <v>0</v>
      </c>
      <c r="D457" s="443" t="s">
        <v>308</v>
      </c>
      <c r="E457" s="443"/>
      <c r="F457" s="443"/>
      <c r="G457" s="443"/>
      <c r="H457" s="443"/>
      <c r="I457" s="443"/>
      <c r="J457" s="443"/>
      <c r="K457" s="443"/>
      <c r="L457" s="443"/>
      <c r="M457" s="443"/>
      <c r="N457" s="443"/>
      <c r="O457" s="443"/>
      <c r="P457" s="443"/>
      <c r="Q457" s="443"/>
      <c r="R457" s="443"/>
      <c r="S457" s="443"/>
      <c r="T457" s="443"/>
      <c r="U457" s="443"/>
      <c r="V457" s="443"/>
      <c r="W457" s="443"/>
      <c r="X457" s="443"/>
      <c r="Y457" s="443"/>
      <c r="Z457" s="443"/>
      <c r="AB457" s="87" t="s">
        <v>314</v>
      </c>
      <c r="AD457" s="82" t="s">
        <v>288</v>
      </c>
      <c r="AE457" s="27"/>
      <c r="AF457" s="13"/>
      <c r="AG457" s="13"/>
    </row>
    <row r="458" spans="1:33" ht="8.5" customHeight="1" x14ac:dyDescent="0.15">
      <c r="A458" s="73" t="str">
        <f>IF(AG458=1,"X","")</f>
        <v/>
      </c>
      <c r="B458" s="74">
        <f>IF(OR(D459="Show",Q459="Show"),1,0)</f>
        <v>0</v>
      </c>
      <c r="D458" s="426"/>
      <c r="E458" s="426"/>
      <c r="F458" s="426"/>
      <c r="G458" s="426"/>
      <c r="H458" s="426"/>
      <c r="I458" s="426"/>
      <c r="J458" s="426"/>
      <c r="K458" s="426"/>
      <c r="L458" s="426"/>
      <c r="M458" s="426"/>
      <c r="N458" s="426"/>
      <c r="O458" s="426"/>
      <c r="P458" s="426"/>
      <c r="Q458" s="426"/>
      <c r="R458" s="426"/>
      <c r="S458" s="426"/>
      <c r="T458" s="426"/>
      <c r="U458" s="426"/>
      <c r="V458" s="426"/>
      <c r="W458" s="426"/>
      <c r="X458" s="426"/>
      <c r="Y458" s="426"/>
      <c r="Z458" s="426"/>
      <c r="AD458" s="82" t="s">
        <v>241</v>
      </c>
      <c r="AE458" s="52"/>
      <c r="AF458" s="13"/>
      <c r="AG458" s="13"/>
    </row>
    <row r="459" spans="1:33" ht="18" customHeight="1" x14ac:dyDescent="0.2">
      <c r="A459" s="73" t="str">
        <f t="shared" ref="A459:A462" si="139">IF(AG459=1,"X","")</f>
        <v/>
      </c>
      <c r="B459" s="74">
        <v>0</v>
      </c>
      <c r="D459" s="427" t="s">
        <v>309</v>
      </c>
      <c r="E459" s="427"/>
      <c r="F459" s="427"/>
      <c r="G459" s="427"/>
      <c r="H459" s="427"/>
      <c r="I459" s="427"/>
      <c r="J459" s="427"/>
      <c r="K459" s="427"/>
      <c r="L459" s="427"/>
      <c r="M459" s="427"/>
      <c r="N459" s="427"/>
      <c r="O459" s="84"/>
      <c r="P459" s="84"/>
      <c r="Q459" s="427" t="s">
        <v>309</v>
      </c>
      <c r="R459" s="427"/>
      <c r="S459" s="427"/>
      <c r="T459" s="427"/>
      <c r="U459" s="427"/>
      <c r="V459" s="427"/>
      <c r="W459" s="427"/>
      <c r="X459" s="427"/>
      <c r="Y459" s="427"/>
      <c r="Z459" s="427"/>
      <c r="AA459" s="65"/>
      <c r="AB459" s="75" t="s">
        <v>302</v>
      </c>
      <c r="AD459" s="80" t="s">
        <v>242</v>
      </c>
      <c r="AE459" s="27"/>
      <c r="AF459" s="74">
        <f>IF(OR(D459="Show",D459="",Q459="Show",Q459=""),1,0)</f>
        <v>0</v>
      </c>
      <c r="AG459" s="74">
        <f>IF(AND(SUM(AF:AF)&gt;0,OR(D459="",Q459="")),1,0)</f>
        <v>0</v>
      </c>
    </row>
    <row r="460" spans="1:33" ht="197.25" customHeight="1" x14ac:dyDescent="0.2">
      <c r="A460" s="73" t="str">
        <f t="shared" si="139"/>
        <v/>
      </c>
      <c r="B460" s="74">
        <f>B458</f>
        <v>0</v>
      </c>
      <c r="D460" s="427"/>
      <c r="E460" s="427"/>
      <c r="F460" s="427"/>
      <c r="G460" s="427"/>
      <c r="H460" s="427"/>
      <c r="I460" s="427"/>
      <c r="J460" s="427"/>
      <c r="K460" s="427"/>
      <c r="L460" s="427"/>
      <c r="M460" s="427"/>
      <c r="N460" s="427"/>
      <c r="O460" s="84"/>
      <c r="P460" s="84"/>
      <c r="Q460" s="427"/>
      <c r="R460" s="427"/>
      <c r="S460" s="427"/>
      <c r="T460" s="427"/>
      <c r="U460" s="427"/>
      <c r="V460" s="427"/>
      <c r="W460" s="427"/>
      <c r="X460" s="427"/>
      <c r="Y460" s="427"/>
      <c r="Z460" s="427"/>
      <c r="AA460" s="65"/>
      <c r="AB460" s="75" t="s">
        <v>301</v>
      </c>
      <c r="AD460" s="80" t="s">
        <v>242</v>
      </c>
      <c r="AE460" s="78"/>
      <c r="AF460" s="13"/>
      <c r="AG460" s="13"/>
    </row>
    <row r="461" spans="1:33" ht="18" customHeight="1" x14ac:dyDescent="0.2">
      <c r="A461" s="73" t="str">
        <f t="shared" si="139"/>
        <v/>
      </c>
      <c r="B461" s="74">
        <f>B460</f>
        <v>0</v>
      </c>
      <c r="D461" s="430"/>
      <c r="E461" s="430"/>
      <c r="F461" s="430"/>
      <c r="G461" s="430"/>
      <c r="H461" s="430"/>
      <c r="I461" s="430"/>
      <c r="J461" s="430"/>
      <c r="K461" s="430"/>
      <c r="L461" s="430"/>
      <c r="M461" s="430"/>
      <c r="N461" s="430"/>
      <c r="O461" s="84"/>
      <c r="P461" s="84"/>
      <c r="Q461" s="430"/>
      <c r="R461" s="430"/>
      <c r="S461" s="430"/>
      <c r="T461" s="430"/>
      <c r="U461" s="430"/>
      <c r="V461" s="430"/>
      <c r="W461" s="430"/>
      <c r="X461" s="430"/>
      <c r="Y461" s="430"/>
      <c r="Z461" s="430"/>
      <c r="AA461" s="65"/>
      <c r="AB461" s="75" t="s">
        <v>300</v>
      </c>
      <c r="AD461" s="80" t="s">
        <v>242</v>
      </c>
      <c r="AE461" s="78"/>
      <c r="AF461" s="74">
        <f>IF(OR(D459="Show",D459="",Q459="Show",Q459=""),1,0)</f>
        <v>0</v>
      </c>
      <c r="AG461" s="74">
        <f>IF(AND(SUM(AF:AF)&gt;0,OR(AND(D459="Show",D461=""),AND(Q459="Show",Q461=""))),1,0)</f>
        <v>0</v>
      </c>
    </row>
    <row r="462" spans="1:33" ht="8.5" customHeight="1" x14ac:dyDescent="0.15">
      <c r="A462" s="73" t="str">
        <f t="shared" si="139"/>
        <v/>
      </c>
      <c r="B462" s="74">
        <f>B461</f>
        <v>0</v>
      </c>
      <c r="D462" s="426"/>
      <c r="E462" s="426"/>
      <c r="F462" s="426"/>
      <c r="G462" s="426"/>
      <c r="H462" s="426"/>
      <c r="I462" s="426"/>
      <c r="J462" s="426"/>
      <c r="K462" s="426"/>
      <c r="L462" s="426"/>
      <c r="M462" s="426"/>
      <c r="N462" s="426"/>
      <c r="O462" s="426"/>
      <c r="P462" s="426"/>
      <c r="Q462" s="426"/>
      <c r="R462" s="426"/>
      <c r="S462" s="426"/>
      <c r="T462" s="426"/>
      <c r="U462" s="426"/>
      <c r="V462" s="426"/>
      <c r="W462" s="426"/>
      <c r="X462" s="426"/>
      <c r="Y462" s="426"/>
      <c r="Z462" s="426"/>
      <c r="AA462" s="65"/>
      <c r="AD462" s="82" t="s">
        <v>241</v>
      </c>
      <c r="AE462" s="52"/>
      <c r="AF462" s="13"/>
      <c r="AG462" s="13"/>
    </row>
    <row r="463" spans="1:33" ht="15.75" customHeight="1" x14ac:dyDescent="0.2">
      <c r="A463" s="73"/>
      <c r="B463" s="74">
        <v>0</v>
      </c>
      <c r="D463" s="443" t="s">
        <v>306</v>
      </c>
      <c r="E463" s="443"/>
      <c r="F463" s="443"/>
      <c r="G463" s="443"/>
      <c r="H463" s="443"/>
      <c r="I463" s="443"/>
      <c r="J463" s="443"/>
      <c r="K463" s="443"/>
      <c r="L463" s="443"/>
      <c r="M463" s="443"/>
      <c r="N463" s="443"/>
      <c r="O463" s="443"/>
      <c r="P463" s="443"/>
      <c r="Q463" s="443"/>
      <c r="R463" s="443"/>
      <c r="S463" s="443"/>
      <c r="T463" s="443"/>
      <c r="U463" s="443"/>
      <c r="V463" s="443"/>
      <c r="W463" s="443"/>
      <c r="X463" s="443"/>
      <c r="Y463" s="443"/>
      <c r="Z463" s="443"/>
      <c r="AB463" s="87" t="s">
        <v>314</v>
      </c>
      <c r="AD463" s="82" t="s">
        <v>288</v>
      </c>
      <c r="AE463" s="27"/>
      <c r="AF463" s="13"/>
      <c r="AG463" s="13"/>
    </row>
    <row r="464" spans="1:33" ht="21" customHeight="1" x14ac:dyDescent="0.15">
      <c r="A464" s="73" t="str">
        <f t="shared" si="131"/>
        <v>X</v>
      </c>
      <c r="B464" s="81" t="str">
        <f t="shared" ref="B464:B467" si="140">IF($B$440="","",IF($B$440=1,0,""))</f>
        <v/>
      </c>
      <c r="D464" s="440" t="s">
        <v>194</v>
      </c>
      <c r="E464" s="440"/>
      <c r="F464" s="440"/>
      <c r="G464" s="440"/>
      <c r="H464" s="440"/>
      <c r="I464" s="440"/>
      <c r="J464" s="440"/>
      <c r="K464" s="440"/>
      <c r="L464" s="440"/>
      <c r="M464" s="440"/>
      <c r="N464" s="440"/>
      <c r="O464" s="440"/>
      <c r="P464" s="440"/>
      <c r="Q464" s="440"/>
      <c r="R464" s="440"/>
      <c r="S464" s="440"/>
      <c r="T464" s="440"/>
      <c r="U464" s="440"/>
      <c r="V464" s="440"/>
      <c r="W464" s="440"/>
      <c r="X464" s="440"/>
      <c r="Y464" s="440"/>
      <c r="Z464" s="440"/>
      <c r="AB464" s="75" t="s">
        <v>246</v>
      </c>
      <c r="AD464" s="80" t="s">
        <v>242</v>
      </c>
      <c r="AE464" s="78"/>
      <c r="AF464" s="74">
        <f t="shared" ref="AF464:AF469" si="141">IF(B464&lt;&gt;"",1,0)</f>
        <v>0</v>
      </c>
      <c r="AG464" s="74">
        <f>IF(AND(SUM(AF:AF)&gt;0,B464=""),1,0)</f>
        <v>1</v>
      </c>
    </row>
    <row r="465" spans="1:33" ht="18" customHeight="1" x14ac:dyDescent="0.2">
      <c r="A465" s="73" t="str">
        <f t="shared" si="131"/>
        <v>X</v>
      </c>
      <c r="B465" s="81" t="str">
        <f t="shared" si="140"/>
        <v/>
      </c>
      <c r="D465" s="424" t="s">
        <v>401</v>
      </c>
      <c r="E465" s="424"/>
      <c r="F465" s="424"/>
      <c r="G465" s="424"/>
      <c r="H465" s="424"/>
      <c r="I465" s="424"/>
      <c r="J465" s="424"/>
      <c r="K465" s="424"/>
      <c r="L465" s="424"/>
      <c r="M465" s="424"/>
      <c r="N465" s="424"/>
      <c r="O465" s="424"/>
      <c r="P465" s="424"/>
      <c r="Q465" s="424"/>
      <c r="R465" s="424"/>
      <c r="S465" s="424"/>
      <c r="T465" s="424"/>
      <c r="U465" s="424"/>
      <c r="V465" s="424"/>
      <c r="W465" s="424"/>
      <c r="X465" s="424"/>
      <c r="Y465" s="424"/>
      <c r="Z465" s="424"/>
      <c r="AB465" s="75" t="s">
        <v>246</v>
      </c>
      <c r="AD465" s="80" t="s">
        <v>242</v>
      </c>
      <c r="AE465" s="78"/>
      <c r="AF465" s="74">
        <f t="shared" si="141"/>
        <v>0</v>
      </c>
      <c r="AG465" s="74">
        <f>IF(AND(SUM(AF:AF)&gt;0,B465=""),1,0)</f>
        <v>1</v>
      </c>
    </row>
    <row r="466" spans="1:33" ht="32" customHeight="1" x14ac:dyDescent="0.2">
      <c r="A466" s="73" t="str">
        <f t="shared" si="131"/>
        <v>X</v>
      </c>
      <c r="B466" s="81" t="str">
        <f t="shared" si="140"/>
        <v/>
      </c>
      <c r="D466" s="99" t="s">
        <v>245</v>
      </c>
      <c r="E466" s="424" t="s">
        <v>328</v>
      </c>
      <c r="F466" s="424"/>
      <c r="G466" s="424"/>
      <c r="H466" s="424"/>
      <c r="I466" s="424"/>
      <c r="J466" s="424"/>
      <c r="K466" s="424"/>
      <c r="L466" s="424"/>
      <c r="M466" s="424"/>
      <c r="N466" s="424"/>
      <c r="O466" s="424"/>
      <c r="P466" s="424"/>
      <c r="Q466" s="424"/>
      <c r="R466" s="424"/>
      <c r="S466" s="424"/>
      <c r="T466" s="424"/>
      <c r="U466" s="424"/>
      <c r="V466" s="424"/>
      <c r="W466" s="424"/>
      <c r="X466" s="424"/>
      <c r="Y466" s="424"/>
      <c r="Z466" s="424"/>
      <c r="AB466" s="75" t="s">
        <v>246</v>
      </c>
      <c r="AD466" s="80" t="s">
        <v>242</v>
      </c>
      <c r="AE466" s="78"/>
      <c r="AF466" s="74">
        <f t="shared" si="141"/>
        <v>0</v>
      </c>
      <c r="AG466" s="74">
        <f>IF(AND(SUM(AF:AF)&gt;0,B466=""),1,0)</f>
        <v>1</v>
      </c>
    </row>
    <row r="467" spans="1:33" ht="18" customHeight="1" x14ac:dyDescent="0.2">
      <c r="A467" s="73" t="str">
        <f t="shared" si="131"/>
        <v>X</v>
      </c>
      <c r="B467" s="81" t="str">
        <f t="shared" si="140"/>
        <v/>
      </c>
      <c r="D467" s="99" t="s">
        <v>245</v>
      </c>
      <c r="E467" s="424" t="s">
        <v>408</v>
      </c>
      <c r="F467" s="424"/>
      <c r="G467" s="424"/>
      <c r="H467" s="424"/>
      <c r="I467" s="424"/>
      <c r="J467" s="424"/>
      <c r="K467" s="424"/>
      <c r="L467" s="424"/>
      <c r="M467" s="424"/>
      <c r="N467" s="424"/>
      <c r="O467" s="424"/>
      <c r="P467" s="424"/>
      <c r="Q467" s="424"/>
      <c r="R467" s="424"/>
      <c r="S467" s="424"/>
      <c r="T467" s="424"/>
      <c r="U467" s="424"/>
      <c r="V467" s="424"/>
      <c r="W467" s="424"/>
      <c r="X467" s="424"/>
      <c r="Y467" s="424"/>
      <c r="Z467" s="424"/>
      <c r="AB467" s="75" t="s">
        <v>246</v>
      </c>
      <c r="AD467" s="80" t="s">
        <v>242</v>
      </c>
      <c r="AE467" s="78"/>
      <c r="AF467" s="74">
        <f t="shared" si="141"/>
        <v>0</v>
      </c>
      <c r="AG467" s="74">
        <f>IF(AND(SUM(AF:AF)&gt;0,B467=""),1,0)</f>
        <v>1</v>
      </c>
    </row>
    <row r="468" spans="1:33" ht="31" customHeight="1" x14ac:dyDescent="0.15">
      <c r="A468" s="73" t="str">
        <f t="shared" si="131"/>
        <v/>
      </c>
      <c r="B468" s="74">
        <f>B469</f>
        <v>0</v>
      </c>
      <c r="D468" s="435" t="s">
        <v>419</v>
      </c>
      <c r="E468" s="435"/>
      <c r="F468" s="435"/>
      <c r="G468" s="435"/>
      <c r="H468" s="435"/>
      <c r="I468" s="435"/>
      <c r="J468" s="435"/>
      <c r="K468" s="435"/>
      <c r="L468" s="435"/>
      <c r="M468" s="435"/>
      <c r="N468" s="435"/>
      <c r="O468" s="435"/>
      <c r="P468" s="435"/>
      <c r="Q468" s="435"/>
      <c r="R468" s="435"/>
      <c r="S468" s="435"/>
      <c r="T468" s="435"/>
      <c r="U468" s="435"/>
      <c r="V468" s="435"/>
      <c r="W468" s="435"/>
      <c r="X468" s="435"/>
      <c r="Y468" s="435"/>
      <c r="Z468" s="435"/>
      <c r="AA468" s="62"/>
      <c r="AB468" s="75" t="s">
        <v>246</v>
      </c>
      <c r="AD468" s="80" t="s">
        <v>242</v>
      </c>
      <c r="AE468" s="78"/>
      <c r="AF468" s="74">
        <f t="shared" si="141"/>
        <v>1</v>
      </c>
      <c r="AG468" s="74">
        <f>IF(AND(SUM(AF:AF)&gt;0,B468=""),1,0)</f>
        <v>0</v>
      </c>
    </row>
    <row r="469" spans="1:33" s="58" customFormat="1" ht="47.25" customHeight="1" x14ac:dyDescent="0.2">
      <c r="A469" s="73" t="str">
        <f t="shared" si="131"/>
        <v>X</v>
      </c>
      <c r="B469" s="81"/>
      <c r="C469" s="57"/>
      <c r="D469" s="428"/>
      <c r="E469" s="428"/>
      <c r="F469" s="428"/>
      <c r="G469" s="428"/>
      <c r="H469" s="428"/>
      <c r="I469" s="428"/>
      <c r="J469" s="428"/>
      <c r="K469" s="428"/>
      <c r="L469" s="428"/>
      <c r="M469" s="428"/>
      <c r="N469" s="428"/>
      <c r="O469" s="428"/>
      <c r="P469" s="428"/>
      <c r="Q469" s="428"/>
      <c r="R469" s="428"/>
      <c r="S469" s="428"/>
      <c r="T469" s="428"/>
      <c r="U469" s="428"/>
      <c r="V469" s="428"/>
      <c r="W469" s="428"/>
      <c r="X469" s="428"/>
      <c r="Y469" s="428"/>
      <c r="Z469" s="428"/>
      <c r="AA469" s="61"/>
      <c r="AB469" s="75" t="s">
        <v>246</v>
      </c>
      <c r="AC469" s="56"/>
      <c r="AD469" s="80" t="s">
        <v>242</v>
      </c>
      <c r="AE469" s="78"/>
      <c r="AF469" s="74">
        <f t="shared" si="141"/>
        <v>0</v>
      </c>
      <c r="AG469" s="74">
        <f>IF(AND(SUM(AF:AF)&gt;0,OR(AND(B469=1,D469=""),AND(B469="",D469=""),AND(B469="",D469&lt;&gt;""),AND(B469=0,D469&lt;&gt;""))),1,0)</f>
        <v>1</v>
      </c>
    </row>
    <row r="470" spans="1:33" ht="8.5" customHeight="1" x14ac:dyDescent="0.15">
      <c r="A470" s="73" t="str">
        <f t="shared" si="131"/>
        <v/>
      </c>
      <c r="B470" s="74">
        <v>1</v>
      </c>
      <c r="D470" s="426"/>
      <c r="E470" s="426"/>
      <c r="F470" s="426"/>
      <c r="G470" s="426"/>
      <c r="H470" s="426"/>
      <c r="I470" s="426"/>
      <c r="J470" s="426"/>
      <c r="K470" s="426"/>
      <c r="L470" s="426"/>
      <c r="M470" s="426"/>
      <c r="N470" s="426"/>
      <c r="O470" s="426"/>
      <c r="P470" s="426"/>
      <c r="Q470" s="426"/>
      <c r="R470" s="426"/>
      <c r="S470" s="426"/>
      <c r="T470" s="426"/>
      <c r="U470" s="426"/>
      <c r="V470" s="426"/>
      <c r="W470" s="426"/>
      <c r="X470" s="426"/>
      <c r="Y470" s="426"/>
      <c r="Z470" s="426"/>
      <c r="AD470" s="82" t="s">
        <v>241</v>
      </c>
      <c r="AE470" s="52"/>
      <c r="AF470" s="13"/>
      <c r="AG470" s="13"/>
    </row>
    <row r="471" spans="1:33" ht="28.5" customHeight="1" x14ac:dyDescent="0.15">
      <c r="A471" s="73" t="str">
        <f t="shared" si="131"/>
        <v/>
      </c>
      <c r="B471" s="74">
        <v>1</v>
      </c>
      <c r="D471" s="442" t="s">
        <v>262</v>
      </c>
      <c r="E471" s="442"/>
      <c r="F471" s="442"/>
      <c r="G471" s="442"/>
      <c r="H471" s="442"/>
      <c r="I471" s="442"/>
      <c r="J471" s="442"/>
      <c r="K471" s="442"/>
      <c r="L471" s="442"/>
      <c r="M471" s="442"/>
      <c r="N471" s="442"/>
      <c r="O471" s="442"/>
      <c r="P471" s="442"/>
      <c r="Q471" s="442"/>
      <c r="R471" s="442"/>
      <c r="S471" s="442"/>
      <c r="T471" s="442"/>
      <c r="U471" s="442"/>
      <c r="V471" s="442"/>
      <c r="W471" s="442"/>
      <c r="X471" s="442"/>
      <c r="Y471" s="442"/>
      <c r="Z471" s="442"/>
      <c r="AD471" s="82" t="s">
        <v>241</v>
      </c>
      <c r="AE471" s="52"/>
      <c r="AF471" s="13"/>
      <c r="AG471" s="13"/>
    </row>
    <row r="472" spans="1:33" ht="8.5" customHeight="1" x14ac:dyDescent="0.15">
      <c r="A472" s="73" t="str">
        <f t="shared" ref="A472" si="142">IF(AG472=1,"X","")</f>
        <v/>
      </c>
      <c r="B472" s="74">
        <v>1</v>
      </c>
      <c r="D472" s="426"/>
      <c r="E472" s="426"/>
      <c r="F472" s="426"/>
      <c r="G472" s="426"/>
      <c r="H472" s="426"/>
      <c r="I472" s="426"/>
      <c r="J472" s="426"/>
      <c r="K472" s="426"/>
      <c r="L472" s="426"/>
      <c r="M472" s="426"/>
      <c r="N472" s="426"/>
      <c r="O472" s="426"/>
      <c r="P472" s="426"/>
      <c r="Q472" s="426"/>
      <c r="R472" s="426"/>
      <c r="S472" s="426"/>
      <c r="T472" s="426"/>
      <c r="U472" s="426"/>
      <c r="V472" s="426"/>
      <c r="W472" s="426"/>
      <c r="X472" s="426"/>
      <c r="Y472" s="426"/>
      <c r="Z472" s="426"/>
      <c r="AD472" s="82" t="s">
        <v>241</v>
      </c>
      <c r="AE472" s="52"/>
      <c r="AF472" s="13"/>
      <c r="AG472" s="13"/>
    </row>
    <row r="473" spans="1:33" ht="27" x14ac:dyDescent="0.2">
      <c r="A473" s="73" t="str">
        <f>IF(AG473=1,"X","")</f>
        <v/>
      </c>
      <c r="B473" s="74">
        <f>IF(Costing!E14="Steven Robinson",1,0)</f>
        <v>0</v>
      </c>
      <c r="D473" s="438" t="s">
        <v>230</v>
      </c>
      <c r="E473" s="439"/>
      <c r="F473" s="439"/>
      <c r="G473" s="439"/>
      <c r="H473" s="439"/>
      <c r="I473" s="439"/>
      <c r="J473" s="439"/>
      <c r="K473" s="439"/>
      <c r="L473" s="439"/>
      <c r="M473" s="439"/>
      <c r="N473" s="54"/>
      <c r="O473" s="54"/>
      <c r="P473" s="54"/>
      <c r="Q473" s="54"/>
      <c r="R473" s="54"/>
      <c r="S473" s="54"/>
      <c r="T473" s="54"/>
      <c r="U473" s="54"/>
      <c r="V473" s="54"/>
      <c r="W473" s="54"/>
      <c r="X473" s="54"/>
      <c r="Y473" s="54"/>
      <c r="Z473" s="54"/>
      <c r="AD473" s="82" t="s">
        <v>264</v>
      </c>
      <c r="AE473" s="83"/>
      <c r="AF473" s="13"/>
      <c r="AG473" s="13"/>
    </row>
    <row r="474" spans="1:33" x14ac:dyDescent="0.2">
      <c r="A474" s="73" t="str">
        <f>IF(AG474=1,"X","")</f>
        <v/>
      </c>
      <c r="B474" s="74">
        <f>B473</f>
        <v>0</v>
      </c>
      <c r="D474" s="436" t="s">
        <v>231</v>
      </c>
      <c r="E474" s="436"/>
      <c r="F474" s="436"/>
      <c r="G474" s="436"/>
      <c r="H474" s="436"/>
      <c r="I474" s="436"/>
      <c r="J474" s="436"/>
      <c r="K474" s="54"/>
      <c r="L474" s="54"/>
      <c r="M474" s="54"/>
      <c r="N474" s="54"/>
      <c r="O474" s="54"/>
      <c r="P474" s="54"/>
      <c r="Q474" s="54"/>
      <c r="R474" s="54"/>
      <c r="S474" s="54"/>
      <c r="T474" s="54"/>
      <c r="U474" s="54"/>
      <c r="V474" s="54"/>
      <c r="W474" s="54"/>
      <c r="X474" s="54"/>
      <c r="Y474" s="54"/>
      <c r="Z474" s="54"/>
      <c r="AD474" s="82" t="s">
        <v>264</v>
      </c>
      <c r="AE474" s="83"/>
      <c r="AF474" s="13"/>
      <c r="AG474" s="13"/>
    </row>
    <row r="475" spans="1:33" x14ac:dyDescent="0.2">
      <c r="A475" s="73" t="str">
        <f>IF(AG475=1,"X","")</f>
        <v/>
      </c>
      <c r="B475" s="74">
        <f>B474</f>
        <v>0</v>
      </c>
      <c r="D475" s="436" t="s">
        <v>229</v>
      </c>
      <c r="E475" s="436"/>
      <c r="F475" s="436"/>
      <c r="G475" s="436"/>
      <c r="H475" s="436"/>
      <c r="I475" s="436"/>
      <c r="J475" s="436"/>
      <c r="K475" s="436"/>
      <c r="L475" s="436"/>
      <c r="M475" s="436"/>
      <c r="N475" s="54"/>
      <c r="O475" s="54"/>
      <c r="P475" s="54"/>
      <c r="Q475" s="54"/>
      <c r="R475" s="54"/>
      <c r="S475" s="54"/>
      <c r="T475" s="54"/>
      <c r="U475" s="54"/>
      <c r="V475" s="54"/>
      <c r="W475" s="54"/>
      <c r="X475" s="54"/>
      <c r="Y475" s="54"/>
      <c r="Z475" s="54"/>
      <c r="AD475" s="82" t="s">
        <v>264</v>
      </c>
      <c r="AE475" s="83"/>
      <c r="AF475" s="13"/>
      <c r="AG475" s="13"/>
    </row>
    <row r="476" spans="1:33" ht="27" x14ac:dyDescent="0.2">
      <c r="A476" s="73" t="str">
        <f t="shared" si="131"/>
        <v/>
      </c>
      <c r="B476" s="74">
        <f>IF(Costing!E14="Graeme Hazel",1,0)</f>
        <v>0</v>
      </c>
      <c r="D476" s="438" t="s">
        <v>228</v>
      </c>
      <c r="E476" s="439"/>
      <c r="F476" s="439"/>
      <c r="G476" s="439"/>
      <c r="H476" s="439"/>
      <c r="I476" s="439"/>
      <c r="J476" s="439"/>
      <c r="K476" s="439"/>
      <c r="L476" s="439"/>
      <c r="M476" s="439"/>
      <c r="N476" s="54"/>
      <c r="O476" s="54"/>
      <c r="P476" s="54"/>
      <c r="Q476" s="54"/>
      <c r="R476" s="54"/>
      <c r="S476" s="54"/>
      <c r="T476" s="54"/>
      <c r="U476" s="54"/>
      <c r="V476" s="54"/>
      <c r="W476" s="54"/>
      <c r="X476" s="54"/>
      <c r="Y476" s="54"/>
      <c r="Z476" s="54"/>
      <c r="AD476" s="82" t="s">
        <v>264</v>
      </c>
      <c r="AE476" s="83"/>
      <c r="AF476" s="13"/>
      <c r="AG476" s="13"/>
    </row>
    <row r="477" spans="1:33" x14ac:dyDescent="0.2">
      <c r="A477" s="73" t="str">
        <f t="shared" si="131"/>
        <v/>
      </c>
      <c r="B477" s="74">
        <f>B476</f>
        <v>0</v>
      </c>
      <c r="D477" s="436" t="s">
        <v>228</v>
      </c>
      <c r="E477" s="436"/>
      <c r="F477" s="436"/>
      <c r="G477" s="436"/>
      <c r="H477" s="436"/>
      <c r="I477" s="436"/>
      <c r="J477" s="436"/>
      <c r="K477" s="436"/>
      <c r="L477" s="436"/>
      <c r="M477" s="436"/>
      <c r="N477" s="54"/>
      <c r="O477" s="54"/>
      <c r="P477" s="54"/>
      <c r="Q477" s="54"/>
      <c r="R477" s="54"/>
      <c r="S477" s="54"/>
      <c r="T477" s="54"/>
      <c r="U477" s="54"/>
      <c r="V477" s="54"/>
      <c r="W477" s="54"/>
      <c r="X477" s="54"/>
      <c r="Y477" s="54"/>
      <c r="Z477" s="54"/>
      <c r="AD477" s="82" t="s">
        <v>264</v>
      </c>
      <c r="AE477" s="83"/>
      <c r="AF477" s="13"/>
      <c r="AG477" s="13"/>
    </row>
    <row r="478" spans="1:33" x14ac:dyDescent="0.2">
      <c r="A478" s="73" t="str">
        <f t="shared" si="131"/>
        <v/>
      </c>
      <c r="B478" s="74">
        <f>B477</f>
        <v>0</v>
      </c>
      <c r="D478" s="436" t="s">
        <v>229</v>
      </c>
      <c r="E478" s="436"/>
      <c r="F478" s="436"/>
      <c r="G478" s="436"/>
      <c r="H478" s="436"/>
      <c r="I478" s="436"/>
      <c r="J478" s="436"/>
      <c r="K478" s="436"/>
      <c r="L478" s="436"/>
      <c r="M478" s="436"/>
      <c r="N478" s="54"/>
      <c r="O478" s="54"/>
      <c r="P478" s="54"/>
      <c r="Q478" s="54"/>
      <c r="R478" s="54"/>
      <c r="S478" s="54"/>
      <c r="T478" s="54"/>
      <c r="U478" s="54"/>
      <c r="V478" s="54"/>
      <c r="W478" s="54"/>
      <c r="X478" s="54"/>
      <c r="Y478" s="54"/>
      <c r="Z478" s="54"/>
      <c r="AD478" s="82" t="s">
        <v>264</v>
      </c>
      <c r="AE478" s="83"/>
      <c r="AF478" s="13"/>
      <c r="AG478" s="13"/>
    </row>
    <row r="479" spans="1:33" ht="30" x14ac:dyDescent="0.2">
      <c r="A479" s="73" t="str">
        <f t="shared" si="131"/>
        <v/>
      </c>
      <c r="B479" s="74">
        <f>IF(Costing!E14="Mike Davison",1,0)</f>
        <v>0</v>
      </c>
      <c r="D479" s="85" t="s">
        <v>232</v>
      </c>
      <c r="E479" s="54"/>
      <c r="F479" s="54"/>
      <c r="G479" s="54"/>
      <c r="H479" s="54"/>
      <c r="I479" s="54"/>
      <c r="J479" s="54"/>
      <c r="K479" s="54"/>
      <c r="L479" s="54"/>
      <c r="M479" s="54"/>
      <c r="N479" s="54"/>
      <c r="O479" s="54"/>
      <c r="P479" s="54"/>
      <c r="Q479" s="54"/>
      <c r="R479" s="54"/>
      <c r="S479" s="54"/>
      <c r="T479" s="54"/>
      <c r="U479" s="54"/>
      <c r="V479" s="54"/>
      <c r="W479" s="54"/>
      <c r="X479" s="54"/>
      <c r="Y479" s="54"/>
      <c r="Z479" s="54"/>
      <c r="AD479" s="82" t="s">
        <v>264</v>
      </c>
      <c r="AE479" s="83"/>
      <c r="AF479" s="13"/>
      <c r="AG479" s="13"/>
    </row>
    <row r="480" spans="1:33" x14ac:dyDescent="0.2">
      <c r="A480" s="73" t="str">
        <f t="shared" si="131"/>
        <v/>
      </c>
      <c r="B480" s="74">
        <f>B479</f>
        <v>0</v>
      </c>
      <c r="D480" s="436" t="s">
        <v>263</v>
      </c>
      <c r="E480" s="437"/>
      <c r="F480" s="437"/>
      <c r="G480" s="437"/>
      <c r="H480" s="437"/>
      <c r="I480" s="437"/>
      <c r="J480" s="437"/>
      <c r="K480" s="437"/>
      <c r="L480" s="437"/>
      <c r="M480" s="437"/>
      <c r="N480" s="54"/>
      <c r="O480" s="54"/>
      <c r="P480" s="54"/>
      <c r="Q480" s="54"/>
      <c r="R480" s="54"/>
      <c r="S480" s="54"/>
      <c r="T480" s="54"/>
      <c r="U480" s="54"/>
      <c r="V480" s="54"/>
      <c r="W480" s="54"/>
      <c r="X480" s="54"/>
      <c r="Y480" s="54"/>
      <c r="Z480" s="54"/>
      <c r="AD480" s="82" t="s">
        <v>264</v>
      </c>
      <c r="AE480" s="83"/>
      <c r="AF480" s="13"/>
      <c r="AG480" s="13"/>
    </row>
    <row r="481" spans="1:33" x14ac:dyDescent="0.2">
      <c r="A481" s="73" t="str">
        <f t="shared" si="131"/>
        <v/>
      </c>
      <c r="B481" s="74">
        <f>B480</f>
        <v>0</v>
      </c>
      <c r="D481" s="436" t="s">
        <v>233</v>
      </c>
      <c r="E481" s="436"/>
      <c r="F481" s="436"/>
      <c r="G481" s="436"/>
      <c r="H481" s="436"/>
      <c r="I481" s="436"/>
      <c r="J481" s="436"/>
      <c r="K481" s="436"/>
      <c r="L481" s="436"/>
      <c r="M481" s="436"/>
      <c r="N481" s="54"/>
      <c r="O481" s="54"/>
      <c r="P481" s="54"/>
      <c r="Q481" s="54"/>
      <c r="R481" s="54"/>
      <c r="S481" s="54"/>
      <c r="T481" s="54"/>
      <c r="U481" s="54"/>
      <c r="V481" s="54"/>
      <c r="W481" s="54"/>
      <c r="X481" s="54"/>
      <c r="Y481" s="54"/>
      <c r="Z481" s="54"/>
      <c r="AD481" s="82" t="s">
        <v>264</v>
      </c>
      <c r="AE481" s="83"/>
      <c r="AF481" s="13"/>
      <c r="AG481" s="13"/>
    </row>
    <row r="482" spans="1:33" s="58" customFormat="1" ht="31" customHeight="1" x14ac:dyDescent="0.15">
      <c r="A482" s="73" t="str">
        <f t="shared" ref="A482" si="143">IF(AG482=1,"X","")</f>
        <v/>
      </c>
      <c r="B482" s="81">
        <v>1</v>
      </c>
      <c r="C482" s="57"/>
      <c r="D482" s="435" t="s">
        <v>321</v>
      </c>
      <c r="E482" s="435"/>
      <c r="F482" s="435"/>
      <c r="G482" s="435"/>
      <c r="H482" s="435"/>
      <c r="I482" s="435"/>
      <c r="J482" s="435"/>
      <c r="K482" s="435"/>
      <c r="L482" s="435"/>
      <c r="M482" s="435"/>
      <c r="N482" s="435"/>
      <c r="O482" s="435"/>
      <c r="P482" s="435"/>
      <c r="Q482" s="435"/>
      <c r="R482" s="435"/>
      <c r="S482" s="435"/>
      <c r="T482" s="435"/>
      <c r="U482" s="435"/>
      <c r="V482" s="435"/>
      <c r="W482" s="435"/>
      <c r="X482" s="435"/>
      <c r="Y482" s="435"/>
      <c r="Z482" s="435"/>
      <c r="AB482" s="75" t="s">
        <v>246</v>
      </c>
      <c r="AC482" s="56"/>
      <c r="AD482" s="80" t="s">
        <v>397</v>
      </c>
      <c r="AE482" s="52"/>
      <c r="AF482" s="13"/>
      <c r="AG482" s="13"/>
    </row>
    <row r="483" spans="1:33" x14ac:dyDescent="0.15">
      <c r="B483" s="74">
        <f>B482</f>
        <v>1</v>
      </c>
      <c r="D483" s="426"/>
      <c r="E483" s="426"/>
      <c r="F483" s="426"/>
      <c r="G483" s="426"/>
      <c r="H483" s="426"/>
      <c r="I483" s="426"/>
      <c r="J483" s="426"/>
      <c r="K483" s="426"/>
      <c r="L483" s="426"/>
      <c r="M483" s="426"/>
      <c r="N483" s="426"/>
      <c r="O483" s="426"/>
      <c r="P483" s="426"/>
      <c r="Q483" s="426"/>
      <c r="R483" s="426"/>
      <c r="S483" s="426"/>
      <c r="T483" s="426"/>
      <c r="U483" s="426"/>
      <c r="V483" s="426"/>
      <c r="W483" s="426"/>
      <c r="X483" s="426"/>
      <c r="Y483" s="426"/>
      <c r="Z483" s="426"/>
      <c r="AB483" s="87" t="s">
        <v>398</v>
      </c>
      <c r="AD483" s="82" t="s">
        <v>398</v>
      </c>
      <c r="AE483" s="52"/>
      <c r="AF483" s="13"/>
      <c r="AG483" s="13"/>
    </row>
    <row r="484" spans="1:33" x14ac:dyDescent="0.15">
      <c r="B484" s="74">
        <f t="shared" ref="B484:B525" si="144">B483</f>
        <v>1</v>
      </c>
      <c r="D484" s="426"/>
      <c r="E484" s="426"/>
      <c r="F484" s="426"/>
      <c r="G484" s="426"/>
      <c r="H484" s="426"/>
      <c r="I484" s="426"/>
      <c r="J484" s="426"/>
      <c r="K484" s="426"/>
      <c r="L484" s="426"/>
      <c r="M484" s="426"/>
      <c r="N484" s="426"/>
      <c r="O484" s="426"/>
      <c r="P484" s="426"/>
      <c r="Q484" s="426"/>
      <c r="R484" s="426"/>
      <c r="S484" s="426"/>
      <c r="T484" s="426"/>
      <c r="U484" s="426"/>
      <c r="V484" s="426"/>
      <c r="W484" s="426"/>
      <c r="X484" s="426"/>
      <c r="Y484" s="426"/>
      <c r="Z484" s="426"/>
      <c r="AB484" s="87" t="s">
        <v>398</v>
      </c>
      <c r="AD484" s="82" t="s">
        <v>398</v>
      </c>
      <c r="AE484" s="52"/>
      <c r="AF484" s="13"/>
      <c r="AG484" s="13"/>
    </row>
    <row r="485" spans="1:33" x14ac:dyDescent="0.15">
      <c r="B485" s="74">
        <f t="shared" si="144"/>
        <v>1</v>
      </c>
      <c r="D485" s="426"/>
      <c r="E485" s="426"/>
      <c r="F485" s="426"/>
      <c r="G485" s="426"/>
      <c r="H485" s="426"/>
      <c r="I485" s="426"/>
      <c r="J485" s="426"/>
      <c r="K485" s="426"/>
      <c r="L485" s="426"/>
      <c r="M485" s="426"/>
      <c r="N485" s="426"/>
      <c r="O485" s="426"/>
      <c r="P485" s="426"/>
      <c r="Q485" s="426"/>
      <c r="R485" s="426"/>
      <c r="S485" s="426"/>
      <c r="T485" s="426"/>
      <c r="U485" s="426"/>
      <c r="V485" s="426"/>
      <c r="W485" s="426"/>
      <c r="X485" s="426"/>
      <c r="Y485" s="426"/>
      <c r="Z485" s="426"/>
      <c r="AB485" s="87" t="s">
        <v>398</v>
      </c>
      <c r="AD485" s="82" t="s">
        <v>398</v>
      </c>
      <c r="AE485" s="52"/>
      <c r="AF485" s="13"/>
      <c r="AG485" s="13"/>
    </row>
    <row r="486" spans="1:33" x14ac:dyDescent="0.15">
      <c r="B486" s="74">
        <f t="shared" si="144"/>
        <v>1</v>
      </c>
      <c r="D486" s="426"/>
      <c r="E486" s="426"/>
      <c r="F486" s="426"/>
      <c r="G486" s="426"/>
      <c r="H486" s="426"/>
      <c r="I486" s="426"/>
      <c r="J486" s="426"/>
      <c r="K486" s="426"/>
      <c r="L486" s="426"/>
      <c r="M486" s="426"/>
      <c r="N486" s="426"/>
      <c r="O486" s="426"/>
      <c r="P486" s="426"/>
      <c r="Q486" s="426"/>
      <c r="R486" s="426"/>
      <c r="S486" s="426"/>
      <c r="T486" s="426"/>
      <c r="U486" s="426"/>
      <c r="V486" s="426"/>
      <c r="W486" s="426"/>
      <c r="X486" s="426"/>
      <c r="Y486" s="426"/>
      <c r="Z486" s="426"/>
      <c r="AB486" s="87" t="s">
        <v>398</v>
      </c>
      <c r="AD486" s="82" t="s">
        <v>398</v>
      </c>
      <c r="AE486" s="52"/>
      <c r="AF486" s="13"/>
      <c r="AG486" s="13"/>
    </row>
    <row r="487" spans="1:33" x14ac:dyDescent="0.15">
      <c r="B487" s="74">
        <f t="shared" si="144"/>
        <v>1</v>
      </c>
      <c r="D487" s="426"/>
      <c r="E487" s="426"/>
      <c r="F487" s="426"/>
      <c r="G487" s="426"/>
      <c r="H487" s="426"/>
      <c r="I487" s="426"/>
      <c r="J487" s="426"/>
      <c r="K487" s="426"/>
      <c r="L487" s="426"/>
      <c r="M487" s="426"/>
      <c r="N487" s="426"/>
      <c r="O487" s="426"/>
      <c r="P487" s="426"/>
      <c r="Q487" s="426"/>
      <c r="R487" s="426"/>
      <c r="S487" s="426"/>
      <c r="T487" s="426"/>
      <c r="U487" s="426"/>
      <c r="V487" s="426"/>
      <c r="W487" s="426"/>
      <c r="X487" s="426"/>
      <c r="Y487" s="426"/>
      <c r="Z487" s="426"/>
      <c r="AB487" s="87" t="s">
        <v>398</v>
      </c>
      <c r="AD487" s="82" t="s">
        <v>398</v>
      </c>
      <c r="AE487" s="52"/>
      <c r="AF487" s="13"/>
      <c r="AG487" s="13"/>
    </row>
    <row r="488" spans="1:33" x14ac:dyDescent="0.15">
      <c r="B488" s="74">
        <f t="shared" si="144"/>
        <v>1</v>
      </c>
      <c r="D488" s="426"/>
      <c r="E488" s="426"/>
      <c r="F488" s="426"/>
      <c r="G488" s="426"/>
      <c r="H488" s="426"/>
      <c r="I488" s="426"/>
      <c r="J488" s="426"/>
      <c r="K488" s="426"/>
      <c r="L488" s="426"/>
      <c r="M488" s="426"/>
      <c r="N488" s="426"/>
      <c r="O488" s="426"/>
      <c r="P488" s="426"/>
      <c r="Q488" s="426"/>
      <c r="R488" s="426"/>
      <c r="S488" s="426"/>
      <c r="T488" s="426"/>
      <c r="U488" s="426"/>
      <c r="V488" s="426"/>
      <c r="W488" s="426"/>
      <c r="X488" s="426"/>
      <c r="Y488" s="426"/>
      <c r="Z488" s="426"/>
      <c r="AB488" s="87" t="s">
        <v>398</v>
      </c>
      <c r="AD488" s="82" t="s">
        <v>398</v>
      </c>
      <c r="AE488" s="52"/>
      <c r="AF488" s="13"/>
      <c r="AG488" s="13"/>
    </row>
    <row r="489" spans="1:33" x14ac:dyDescent="0.15">
      <c r="B489" s="74">
        <f t="shared" si="144"/>
        <v>1</v>
      </c>
      <c r="D489" s="426"/>
      <c r="E489" s="426"/>
      <c r="F489" s="426"/>
      <c r="G489" s="426"/>
      <c r="H489" s="426"/>
      <c r="I489" s="426"/>
      <c r="J489" s="426"/>
      <c r="K489" s="426"/>
      <c r="L489" s="426"/>
      <c r="M489" s="426"/>
      <c r="N489" s="426"/>
      <c r="O489" s="426"/>
      <c r="P489" s="426"/>
      <c r="Q489" s="426"/>
      <c r="R489" s="426"/>
      <c r="S489" s="426"/>
      <c r="T489" s="426"/>
      <c r="U489" s="426"/>
      <c r="V489" s="426"/>
      <c r="W489" s="426"/>
      <c r="X489" s="426"/>
      <c r="Y489" s="426"/>
      <c r="Z489" s="426"/>
      <c r="AB489" s="87" t="s">
        <v>398</v>
      </c>
      <c r="AD489" s="82" t="s">
        <v>398</v>
      </c>
      <c r="AE489" s="52"/>
      <c r="AF489" s="13"/>
      <c r="AG489" s="13"/>
    </row>
    <row r="490" spans="1:33" x14ac:dyDescent="0.15">
      <c r="B490" s="74">
        <f t="shared" si="144"/>
        <v>1</v>
      </c>
      <c r="D490" s="426"/>
      <c r="E490" s="426"/>
      <c r="F490" s="426"/>
      <c r="G490" s="426"/>
      <c r="H490" s="426"/>
      <c r="I490" s="426"/>
      <c r="J490" s="426"/>
      <c r="K490" s="426"/>
      <c r="L490" s="426"/>
      <c r="M490" s="426"/>
      <c r="N490" s="426"/>
      <c r="O490" s="426"/>
      <c r="P490" s="426"/>
      <c r="Q490" s="426"/>
      <c r="R490" s="426"/>
      <c r="S490" s="426"/>
      <c r="T490" s="426"/>
      <c r="U490" s="426"/>
      <c r="V490" s="426"/>
      <c r="W490" s="426"/>
      <c r="X490" s="426"/>
      <c r="Y490" s="426"/>
      <c r="Z490" s="426"/>
      <c r="AB490" s="87" t="s">
        <v>398</v>
      </c>
      <c r="AD490" s="82" t="s">
        <v>398</v>
      </c>
      <c r="AE490" s="52"/>
      <c r="AF490" s="13"/>
      <c r="AG490" s="13"/>
    </row>
    <row r="491" spans="1:33" x14ac:dyDescent="0.15">
      <c r="B491" s="74">
        <f t="shared" si="144"/>
        <v>1</v>
      </c>
      <c r="D491" s="426"/>
      <c r="E491" s="426"/>
      <c r="F491" s="426"/>
      <c r="G491" s="426"/>
      <c r="H491" s="426"/>
      <c r="I491" s="426"/>
      <c r="J491" s="426"/>
      <c r="K491" s="426"/>
      <c r="L491" s="426"/>
      <c r="M491" s="426"/>
      <c r="N491" s="426"/>
      <c r="O491" s="426"/>
      <c r="P491" s="426"/>
      <c r="Q491" s="426"/>
      <c r="R491" s="426"/>
      <c r="S491" s="426"/>
      <c r="T491" s="426"/>
      <c r="U491" s="426"/>
      <c r="V491" s="426"/>
      <c r="W491" s="426"/>
      <c r="X491" s="426"/>
      <c r="Y491" s="426"/>
      <c r="Z491" s="426"/>
      <c r="AB491" s="87" t="s">
        <v>398</v>
      </c>
      <c r="AD491" s="82" t="s">
        <v>398</v>
      </c>
      <c r="AE491" s="52"/>
      <c r="AF491" s="13"/>
      <c r="AG491" s="13"/>
    </row>
    <row r="492" spans="1:33" x14ac:dyDescent="0.15">
      <c r="B492" s="74">
        <f t="shared" si="144"/>
        <v>1</v>
      </c>
      <c r="D492" s="426"/>
      <c r="E492" s="426"/>
      <c r="F492" s="426"/>
      <c r="G492" s="426"/>
      <c r="H492" s="426"/>
      <c r="I492" s="426"/>
      <c r="J492" s="426"/>
      <c r="K492" s="426"/>
      <c r="L492" s="426"/>
      <c r="M492" s="426"/>
      <c r="N492" s="426"/>
      <c r="O492" s="426"/>
      <c r="P492" s="426"/>
      <c r="Q492" s="426"/>
      <c r="R492" s="426"/>
      <c r="S492" s="426"/>
      <c r="T492" s="426"/>
      <c r="U492" s="426"/>
      <c r="V492" s="426"/>
      <c r="W492" s="426"/>
      <c r="X492" s="426"/>
      <c r="Y492" s="426"/>
      <c r="Z492" s="426"/>
      <c r="AB492" s="87" t="s">
        <v>398</v>
      </c>
      <c r="AD492" s="82" t="s">
        <v>398</v>
      </c>
      <c r="AE492" s="52"/>
      <c r="AF492" s="13"/>
      <c r="AG492" s="13"/>
    </row>
    <row r="493" spans="1:33" x14ac:dyDescent="0.15">
      <c r="B493" s="74">
        <f t="shared" si="144"/>
        <v>1</v>
      </c>
      <c r="D493" s="426"/>
      <c r="E493" s="426"/>
      <c r="F493" s="426"/>
      <c r="G493" s="426"/>
      <c r="H493" s="426"/>
      <c r="I493" s="426"/>
      <c r="J493" s="426"/>
      <c r="K493" s="426"/>
      <c r="L493" s="426"/>
      <c r="M493" s="426"/>
      <c r="N493" s="426"/>
      <c r="O493" s="426"/>
      <c r="P493" s="426"/>
      <c r="Q493" s="426"/>
      <c r="R493" s="426"/>
      <c r="S493" s="426"/>
      <c r="T493" s="426"/>
      <c r="U493" s="426"/>
      <c r="V493" s="426"/>
      <c r="W493" s="426"/>
      <c r="X493" s="426"/>
      <c r="Y493" s="426"/>
      <c r="Z493" s="426"/>
      <c r="AB493" s="87" t="s">
        <v>398</v>
      </c>
      <c r="AD493" s="82" t="s">
        <v>398</v>
      </c>
      <c r="AE493" s="52"/>
      <c r="AF493" s="13"/>
      <c r="AG493" s="13"/>
    </row>
    <row r="494" spans="1:33" x14ac:dyDescent="0.15">
      <c r="B494" s="74">
        <f t="shared" si="144"/>
        <v>1</v>
      </c>
      <c r="D494" s="426"/>
      <c r="E494" s="426"/>
      <c r="F494" s="426"/>
      <c r="G494" s="426"/>
      <c r="H494" s="426"/>
      <c r="I494" s="426"/>
      <c r="J494" s="426"/>
      <c r="K494" s="426"/>
      <c r="L494" s="426"/>
      <c r="M494" s="426"/>
      <c r="N494" s="426"/>
      <c r="O494" s="426"/>
      <c r="P494" s="426"/>
      <c r="Q494" s="426"/>
      <c r="R494" s="426"/>
      <c r="S494" s="426"/>
      <c r="T494" s="426"/>
      <c r="U494" s="426"/>
      <c r="V494" s="426"/>
      <c r="W494" s="426"/>
      <c r="X494" s="426"/>
      <c r="Y494" s="426"/>
      <c r="Z494" s="426"/>
      <c r="AB494" s="87" t="s">
        <v>398</v>
      </c>
      <c r="AD494" s="82" t="s">
        <v>398</v>
      </c>
      <c r="AE494" s="52"/>
      <c r="AF494" s="13"/>
      <c r="AG494" s="13"/>
    </row>
    <row r="495" spans="1:33" x14ac:dyDescent="0.15">
      <c r="B495" s="74">
        <f t="shared" si="144"/>
        <v>1</v>
      </c>
      <c r="D495" s="426"/>
      <c r="E495" s="426"/>
      <c r="F495" s="426"/>
      <c r="G495" s="426"/>
      <c r="H495" s="426"/>
      <c r="I495" s="426"/>
      <c r="J495" s="426"/>
      <c r="K495" s="426"/>
      <c r="L495" s="426"/>
      <c r="M495" s="426"/>
      <c r="N495" s="426"/>
      <c r="O495" s="426"/>
      <c r="P495" s="426"/>
      <c r="Q495" s="426"/>
      <c r="R495" s="426"/>
      <c r="S495" s="426"/>
      <c r="T495" s="426"/>
      <c r="U495" s="426"/>
      <c r="V495" s="426"/>
      <c r="W495" s="426"/>
      <c r="X495" s="426"/>
      <c r="Y495" s="426"/>
      <c r="Z495" s="426"/>
      <c r="AB495" s="87" t="s">
        <v>398</v>
      </c>
      <c r="AD495" s="82" t="s">
        <v>398</v>
      </c>
      <c r="AE495" s="52"/>
      <c r="AF495" s="13"/>
      <c r="AG495" s="13"/>
    </row>
    <row r="496" spans="1:33" x14ac:dyDescent="0.15">
      <c r="B496" s="74">
        <f t="shared" si="144"/>
        <v>1</v>
      </c>
      <c r="D496" s="426"/>
      <c r="E496" s="426"/>
      <c r="F496" s="426"/>
      <c r="G496" s="426"/>
      <c r="H496" s="426"/>
      <c r="I496" s="426"/>
      <c r="J496" s="426"/>
      <c r="K496" s="426"/>
      <c r="L496" s="426"/>
      <c r="M496" s="426"/>
      <c r="N496" s="426"/>
      <c r="O496" s="426"/>
      <c r="P496" s="426"/>
      <c r="Q496" s="426"/>
      <c r="R496" s="426"/>
      <c r="S496" s="426"/>
      <c r="T496" s="426"/>
      <c r="U496" s="426"/>
      <c r="V496" s="426"/>
      <c r="W496" s="426"/>
      <c r="X496" s="426"/>
      <c r="Y496" s="426"/>
      <c r="Z496" s="426"/>
      <c r="AB496" s="87" t="s">
        <v>398</v>
      </c>
      <c r="AD496" s="82" t="s">
        <v>398</v>
      </c>
      <c r="AE496" s="52"/>
      <c r="AF496" s="13"/>
      <c r="AG496" s="13"/>
    </row>
    <row r="497" spans="2:33" x14ac:dyDescent="0.15">
      <c r="B497" s="74">
        <f t="shared" si="144"/>
        <v>1</v>
      </c>
      <c r="D497" s="426"/>
      <c r="E497" s="426"/>
      <c r="F497" s="426"/>
      <c r="G497" s="426"/>
      <c r="H497" s="426"/>
      <c r="I497" s="426"/>
      <c r="J497" s="426"/>
      <c r="K497" s="426"/>
      <c r="L497" s="426"/>
      <c r="M497" s="426"/>
      <c r="N497" s="426"/>
      <c r="O497" s="426"/>
      <c r="P497" s="426"/>
      <c r="Q497" s="426"/>
      <c r="R497" s="426"/>
      <c r="S497" s="426"/>
      <c r="T497" s="426"/>
      <c r="U497" s="426"/>
      <c r="V497" s="426"/>
      <c r="W497" s="426"/>
      <c r="X497" s="426"/>
      <c r="Y497" s="426"/>
      <c r="Z497" s="426"/>
      <c r="AB497" s="87" t="s">
        <v>398</v>
      </c>
      <c r="AD497" s="82" t="s">
        <v>398</v>
      </c>
      <c r="AE497" s="52"/>
      <c r="AF497" s="13"/>
      <c r="AG497" s="13"/>
    </row>
    <row r="498" spans="2:33" x14ac:dyDescent="0.15">
      <c r="B498" s="74">
        <f t="shared" si="144"/>
        <v>1</v>
      </c>
      <c r="D498" s="426"/>
      <c r="E498" s="426"/>
      <c r="F498" s="426"/>
      <c r="G498" s="426"/>
      <c r="H498" s="426"/>
      <c r="I498" s="426"/>
      <c r="J498" s="426"/>
      <c r="K498" s="426"/>
      <c r="L498" s="426"/>
      <c r="M498" s="426"/>
      <c r="N498" s="426"/>
      <c r="O498" s="426"/>
      <c r="P498" s="426"/>
      <c r="Q498" s="426"/>
      <c r="R498" s="426"/>
      <c r="S498" s="426"/>
      <c r="T498" s="426"/>
      <c r="U498" s="426"/>
      <c r="V498" s="426"/>
      <c r="W498" s="426"/>
      <c r="X498" s="426"/>
      <c r="Y498" s="426"/>
      <c r="Z498" s="426"/>
      <c r="AB498" s="87" t="s">
        <v>398</v>
      </c>
      <c r="AD498" s="82" t="s">
        <v>398</v>
      </c>
      <c r="AE498" s="52"/>
      <c r="AF498" s="13"/>
      <c r="AG498" s="13"/>
    </row>
    <row r="499" spans="2:33" x14ac:dyDescent="0.15">
      <c r="B499" s="74">
        <f t="shared" si="144"/>
        <v>1</v>
      </c>
      <c r="D499" s="426"/>
      <c r="E499" s="426"/>
      <c r="F499" s="426"/>
      <c r="G499" s="426"/>
      <c r="H499" s="426"/>
      <c r="I499" s="426"/>
      <c r="J499" s="426"/>
      <c r="K499" s="426"/>
      <c r="L499" s="426"/>
      <c r="M499" s="426"/>
      <c r="N499" s="426"/>
      <c r="O499" s="426"/>
      <c r="P499" s="426"/>
      <c r="Q499" s="426"/>
      <c r="R499" s="426"/>
      <c r="S499" s="426"/>
      <c r="T499" s="426"/>
      <c r="U499" s="426"/>
      <c r="V499" s="426"/>
      <c r="W499" s="426"/>
      <c r="X499" s="426"/>
      <c r="Y499" s="426"/>
      <c r="Z499" s="426"/>
      <c r="AB499" s="87" t="s">
        <v>398</v>
      </c>
      <c r="AD499" s="82" t="s">
        <v>398</v>
      </c>
      <c r="AE499" s="52"/>
      <c r="AF499" s="13"/>
      <c r="AG499" s="13"/>
    </row>
    <row r="500" spans="2:33" x14ac:dyDescent="0.15">
      <c r="B500" s="74">
        <f t="shared" si="144"/>
        <v>1</v>
      </c>
      <c r="D500" s="426"/>
      <c r="E500" s="426"/>
      <c r="F500" s="426"/>
      <c r="G500" s="426"/>
      <c r="H500" s="426"/>
      <c r="I500" s="426"/>
      <c r="J500" s="426"/>
      <c r="K500" s="426"/>
      <c r="L500" s="426"/>
      <c r="M500" s="426"/>
      <c r="N500" s="426"/>
      <c r="O500" s="426"/>
      <c r="P500" s="426"/>
      <c r="Q500" s="426"/>
      <c r="R500" s="426"/>
      <c r="S500" s="426"/>
      <c r="T500" s="426"/>
      <c r="U500" s="426"/>
      <c r="V500" s="426"/>
      <c r="W500" s="426"/>
      <c r="X500" s="426"/>
      <c r="Y500" s="426"/>
      <c r="Z500" s="426"/>
      <c r="AB500" s="87" t="s">
        <v>398</v>
      </c>
      <c r="AD500" s="82" t="s">
        <v>398</v>
      </c>
      <c r="AE500" s="52"/>
      <c r="AF500" s="13"/>
      <c r="AG500" s="13"/>
    </row>
    <row r="501" spans="2:33" x14ac:dyDescent="0.15">
      <c r="B501" s="74">
        <f t="shared" si="144"/>
        <v>1</v>
      </c>
      <c r="D501" s="426"/>
      <c r="E501" s="426"/>
      <c r="F501" s="426"/>
      <c r="G501" s="426"/>
      <c r="H501" s="426"/>
      <c r="I501" s="426"/>
      <c r="J501" s="426"/>
      <c r="K501" s="426"/>
      <c r="L501" s="426"/>
      <c r="M501" s="426"/>
      <c r="N501" s="426"/>
      <c r="O501" s="426"/>
      <c r="P501" s="426"/>
      <c r="Q501" s="426"/>
      <c r="R501" s="426"/>
      <c r="S501" s="426"/>
      <c r="T501" s="426"/>
      <c r="U501" s="426"/>
      <c r="V501" s="426"/>
      <c r="W501" s="426"/>
      <c r="X501" s="426"/>
      <c r="Y501" s="426"/>
      <c r="Z501" s="426"/>
      <c r="AB501" s="87" t="s">
        <v>398</v>
      </c>
      <c r="AD501" s="82" t="s">
        <v>398</v>
      </c>
      <c r="AE501" s="52"/>
      <c r="AF501" s="13"/>
      <c r="AG501" s="13"/>
    </row>
    <row r="502" spans="2:33" x14ac:dyDescent="0.15">
      <c r="B502" s="74">
        <f t="shared" si="144"/>
        <v>1</v>
      </c>
      <c r="D502" s="426"/>
      <c r="E502" s="426"/>
      <c r="F502" s="426"/>
      <c r="G502" s="426"/>
      <c r="H502" s="426"/>
      <c r="I502" s="426"/>
      <c r="J502" s="426"/>
      <c r="K502" s="426"/>
      <c r="L502" s="426"/>
      <c r="M502" s="426"/>
      <c r="N502" s="426"/>
      <c r="O502" s="426"/>
      <c r="P502" s="426"/>
      <c r="Q502" s="426"/>
      <c r="R502" s="426"/>
      <c r="S502" s="426"/>
      <c r="T502" s="426"/>
      <c r="U502" s="426"/>
      <c r="V502" s="426"/>
      <c r="W502" s="426"/>
      <c r="X502" s="426"/>
      <c r="Y502" s="426"/>
      <c r="Z502" s="426"/>
      <c r="AB502" s="87" t="s">
        <v>398</v>
      </c>
      <c r="AD502" s="82" t="s">
        <v>398</v>
      </c>
      <c r="AE502" s="52"/>
      <c r="AF502" s="13"/>
      <c r="AG502" s="13"/>
    </row>
    <row r="503" spans="2:33" x14ac:dyDescent="0.15">
      <c r="B503" s="74">
        <f t="shared" si="144"/>
        <v>1</v>
      </c>
      <c r="D503" s="426"/>
      <c r="E503" s="426"/>
      <c r="F503" s="426"/>
      <c r="G503" s="426"/>
      <c r="H503" s="426"/>
      <c r="I503" s="426"/>
      <c r="J503" s="426"/>
      <c r="K503" s="426"/>
      <c r="L503" s="426"/>
      <c r="M503" s="426"/>
      <c r="N503" s="426"/>
      <c r="O503" s="426"/>
      <c r="P503" s="426"/>
      <c r="Q503" s="426"/>
      <c r="R503" s="426"/>
      <c r="S503" s="426"/>
      <c r="T503" s="426"/>
      <c r="U503" s="426"/>
      <c r="V503" s="426"/>
      <c r="W503" s="426"/>
      <c r="X503" s="426"/>
      <c r="Y503" s="426"/>
      <c r="Z503" s="426"/>
      <c r="AB503" s="87" t="s">
        <v>398</v>
      </c>
      <c r="AD503" s="82" t="s">
        <v>398</v>
      </c>
      <c r="AE503" s="52"/>
      <c r="AF503" s="13"/>
      <c r="AG503" s="13"/>
    </row>
    <row r="504" spans="2:33" x14ac:dyDescent="0.15">
      <c r="B504" s="74">
        <f t="shared" si="144"/>
        <v>1</v>
      </c>
      <c r="D504" s="426"/>
      <c r="E504" s="426"/>
      <c r="F504" s="426"/>
      <c r="G504" s="426"/>
      <c r="H504" s="426"/>
      <c r="I504" s="426"/>
      <c r="J504" s="426"/>
      <c r="K504" s="426"/>
      <c r="L504" s="426"/>
      <c r="M504" s="426"/>
      <c r="N504" s="426"/>
      <c r="O504" s="426"/>
      <c r="P504" s="426"/>
      <c r="Q504" s="426"/>
      <c r="R504" s="426"/>
      <c r="S504" s="426"/>
      <c r="T504" s="426"/>
      <c r="U504" s="426"/>
      <c r="V504" s="426"/>
      <c r="W504" s="426"/>
      <c r="X504" s="426"/>
      <c r="Y504" s="426"/>
      <c r="Z504" s="426"/>
      <c r="AB504" s="87" t="s">
        <v>398</v>
      </c>
      <c r="AD504" s="82" t="s">
        <v>398</v>
      </c>
      <c r="AE504" s="52"/>
      <c r="AF504" s="13"/>
      <c r="AG504" s="13"/>
    </row>
    <row r="505" spans="2:33" x14ac:dyDescent="0.15">
      <c r="B505" s="74">
        <f t="shared" si="144"/>
        <v>1</v>
      </c>
      <c r="D505" s="426"/>
      <c r="E505" s="426"/>
      <c r="F505" s="426"/>
      <c r="G505" s="426"/>
      <c r="H505" s="426"/>
      <c r="I505" s="426"/>
      <c r="J505" s="426"/>
      <c r="K505" s="426"/>
      <c r="L505" s="426"/>
      <c r="M505" s="426"/>
      <c r="N505" s="426"/>
      <c r="O505" s="426"/>
      <c r="P505" s="426"/>
      <c r="Q505" s="426"/>
      <c r="R505" s="426"/>
      <c r="S505" s="426"/>
      <c r="T505" s="426"/>
      <c r="U505" s="426"/>
      <c r="V505" s="426"/>
      <c r="W505" s="426"/>
      <c r="X505" s="426"/>
      <c r="Y505" s="426"/>
      <c r="Z505" s="426"/>
      <c r="AB505" s="87" t="s">
        <v>398</v>
      </c>
      <c r="AD505" s="82" t="s">
        <v>398</v>
      </c>
      <c r="AE505" s="52"/>
      <c r="AF505" s="13"/>
      <c r="AG505" s="13"/>
    </row>
    <row r="506" spans="2:33" x14ac:dyDescent="0.15">
      <c r="B506" s="74">
        <f t="shared" si="144"/>
        <v>1</v>
      </c>
      <c r="D506" s="426"/>
      <c r="E506" s="426"/>
      <c r="F506" s="426"/>
      <c r="G506" s="426"/>
      <c r="H506" s="426"/>
      <c r="I506" s="426"/>
      <c r="J506" s="426"/>
      <c r="K506" s="426"/>
      <c r="L506" s="426"/>
      <c r="M506" s="426"/>
      <c r="N506" s="426"/>
      <c r="O506" s="426"/>
      <c r="P506" s="426"/>
      <c r="Q506" s="426"/>
      <c r="R506" s="426"/>
      <c r="S506" s="426"/>
      <c r="T506" s="426"/>
      <c r="U506" s="426"/>
      <c r="V506" s="426"/>
      <c r="W506" s="426"/>
      <c r="X506" s="426"/>
      <c r="Y506" s="426"/>
      <c r="Z506" s="426"/>
      <c r="AB506" s="87" t="s">
        <v>398</v>
      </c>
      <c r="AD506" s="82" t="s">
        <v>398</v>
      </c>
      <c r="AE506" s="52"/>
      <c r="AF506" s="13"/>
      <c r="AG506" s="13"/>
    </row>
    <row r="507" spans="2:33" x14ac:dyDescent="0.15">
      <c r="B507" s="74">
        <f t="shared" si="144"/>
        <v>1</v>
      </c>
      <c r="D507" s="426"/>
      <c r="E507" s="426"/>
      <c r="F507" s="426"/>
      <c r="G507" s="426"/>
      <c r="H507" s="426"/>
      <c r="I507" s="426"/>
      <c r="J507" s="426"/>
      <c r="K507" s="426"/>
      <c r="L507" s="426"/>
      <c r="M507" s="426"/>
      <c r="N507" s="426"/>
      <c r="O507" s="426"/>
      <c r="P507" s="426"/>
      <c r="Q507" s="426"/>
      <c r="R507" s="426"/>
      <c r="S507" s="426"/>
      <c r="T507" s="426"/>
      <c r="U507" s="426"/>
      <c r="V507" s="426"/>
      <c r="W507" s="426"/>
      <c r="X507" s="426"/>
      <c r="Y507" s="426"/>
      <c r="Z507" s="426"/>
      <c r="AB507" s="87" t="s">
        <v>398</v>
      </c>
      <c r="AD507" s="82" t="s">
        <v>398</v>
      </c>
      <c r="AE507" s="52"/>
      <c r="AF507" s="13"/>
      <c r="AG507" s="13"/>
    </row>
    <row r="508" spans="2:33" x14ac:dyDescent="0.15">
      <c r="B508" s="74">
        <f t="shared" si="144"/>
        <v>1</v>
      </c>
      <c r="D508" s="426"/>
      <c r="E508" s="426"/>
      <c r="F508" s="426"/>
      <c r="G508" s="426"/>
      <c r="H508" s="426"/>
      <c r="I508" s="426"/>
      <c r="J508" s="426"/>
      <c r="K508" s="426"/>
      <c r="L508" s="426"/>
      <c r="M508" s="426"/>
      <c r="N508" s="426"/>
      <c r="O508" s="426"/>
      <c r="P508" s="426"/>
      <c r="Q508" s="426"/>
      <c r="R508" s="426"/>
      <c r="S508" s="426"/>
      <c r="T508" s="426"/>
      <c r="U508" s="426"/>
      <c r="V508" s="426"/>
      <c r="W508" s="426"/>
      <c r="X508" s="426"/>
      <c r="Y508" s="426"/>
      <c r="Z508" s="426"/>
      <c r="AB508" s="87" t="s">
        <v>398</v>
      </c>
      <c r="AD508" s="82" t="s">
        <v>398</v>
      </c>
      <c r="AE508" s="52"/>
      <c r="AF508" s="13"/>
      <c r="AG508" s="13"/>
    </row>
    <row r="509" spans="2:33" x14ac:dyDescent="0.15">
      <c r="B509" s="74">
        <f t="shared" si="144"/>
        <v>1</v>
      </c>
      <c r="D509" s="426"/>
      <c r="E509" s="426"/>
      <c r="F509" s="426"/>
      <c r="G509" s="426"/>
      <c r="H509" s="426"/>
      <c r="I509" s="426"/>
      <c r="J509" s="426"/>
      <c r="K509" s="426"/>
      <c r="L509" s="426"/>
      <c r="M509" s="426"/>
      <c r="N509" s="426"/>
      <c r="O509" s="426"/>
      <c r="P509" s="426"/>
      <c r="Q509" s="426"/>
      <c r="R509" s="426"/>
      <c r="S509" s="426"/>
      <c r="T509" s="426"/>
      <c r="U509" s="426"/>
      <c r="V509" s="426"/>
      <c r="W509" s="426"/>
      <c r="X509" s="426"/>
      <c r="Y509" s="426"/>
      <c r="Z509" s="426"/>
      <c r="AB509" s="87" t="s">
        <v>398</v>
      </c>
      <c r="AD509" s="82" t="s">
        <v>398</v>
      </c>
      <c r="AE509" s="52"/>
      <c r="AF509" s="13"/>
      <c r="AG509" s="13"/>
    </row>
    <row r="510" spans="2:33" x14ac:dyDescent="0.15">
      <c r="B510" s="74">
        <f t="shared" si="144"/>
        <v>1</v>
      </c>
      <c r="D510" s="426"/>
      <c r="E510" s="426"/>
      <c r="F510" s="426"/>
      <c r="G510" s="426"/>
      <c r="H510" s="426"/>
      <c r="I510" s="426"/>
      <c r="J510" s="426"/>
      <c r="K510" s="426"/>
      <c r="L510" s="426"/>
      <c r="M510" s="426"/>
      <c r="N510" s="426"/>
      <c r="O510" s="426"/>
      <c r="P510" s="426"/>
      <c r="Q510" s="426"/>
      <c r="R510" s="426"/>
      <c r="S510" s="426"/>
      <c r="T510" s="426"/>
      <c r="U510" s="426"/>
      <c r="V510" s="426"/>
      <c r="W510" s="426"/>
      <c r="X510" s="426"/>
      <c r="Y510" s="426"/>
      <c r="Z510" s="426"/>
      <c r="AB510" s="87" t="s">
        <v>398</v>
      </c>
      <c r="AD510" s="82" t="s">
        <v>398</v>
      </c>
      <c r="AE510" s="52"/>
      <c r="AF510" s="13"/>
      <c r="AG510" s="13"/>
    </row>
    <row r="511" spans="2:33" x14ac:dyDescent="0.15">
      <c r="B511" s="74">
        <f t="shared" si="144"/>
        <v>1</v>
      </c>
      <c r="D511" s="426"/>
      <c r="E511" s="426"/>
      <c r="F511" s="426"/>
      <c r="G511" s="426"/>
      <c r="H511" s="426"/>
      <c r="I511" s="426"/>
      <c r="J511" s="426"/>
      <c r="K511" s="426"/>
      <c r="L511" s="426"/>
      <c r="M511" s="426"/>
      <c r="N511" s="426"/>
      <c r="O511" s="426"/>
      <c r="P511" s="426"/>
      <c r="Q511" s="426"/>
      <c r="R511" s="426"/>
      <c r="S511" s="426"/>
      <c r="T511" s="426"/>
      <c r="U511" s="426"/>
      <c r="V511" s="426"/>
      <c r="W511" s="426"/>
      <c r="X511" s="426"/>
      <c r="Y511" s="426"/>
      <c r="Z511" s="426"/>
      <c r="AB511" s="87" t="s">
        <v>398</v>
      </c>
      <c r="AD511" s="82" t="s">
        <v>398</v>
      </c>
      <c r="AE511" s="52"/>
      <c r="AF511" s="13"/>
      <c r="AG511" s="13"/>
    </row>
    <row r="512" spans="2:33" x14ac:dyDescent="0.15">
      <c r="B512" s="74">
        <f t="shared" si="144"/>
        <v>1</v>
      </c>
      <c r="D512" s="426"/>
      <c r="E512" s="426"/>
      <c r="F512" s="426"/>
      <c r="G512" s="426"/>
      <c r="H512" s="426"/>
      <c r="I512" s="426"/>
      <c r="J512" s="426"/>
      <c r="K512" s="426"/>
      <c r="L512" s="426"/>
      <c r="M512" s="426"/>
      <c r="N512" s="426"/>
      <c r="O512" s="426"/>
      <c r="P512" s="426"/>
      <c r="Q512" s="426"/>
      <c r="R512" s="426"/>
      <c r="S512" s="426"/>
      <c r="T512" s="426"/>
      <c r="U512" s="426"/>
      <c r="V512" s="426"/>
      <c r="W512" s="426"/>
      <c r="X512" s="426"/>
      <c r="Y512" s="426"/>
      <c r="Z512" s="426"/>
      <c r="AB512" s="87" t="s">
        <v>398</v>
      </c>
      <c r="AD512" s="82" t="s">
        <v>398</v>
      </c>
      <c r="AE512" s="52"/>
      <c r="AF512" s="13"/>
      <c r="AG512" s="13"/>
    </row>
    <row r="513" spans="2:33" x14ac:dyDescent="0.15">
      <c r="B513" s="74">
        <f t="shared" si="144"/>
        <v>1</v>
      </c>
      <c r="D513" s="426"/>
      <c r="E513" s="426"/>
      <c r="F513" s="426"/>
      <c r="G513" s="426"/>
      <c r="H513" s="426"/>
      <c r="I513" s="426"/>
      <c r="J513" s="426"/>
      <c r="K513" s="426"/>
      <c r="L513" s="426"/>
      <c r="M513" s="426"/>
      <c r="N513" s="426"/>
      <c r="O513" s="426"/>
      <c r="P513" s="426"/>
      <c r="Q513" s="426"/>
      <c r="R513" s="426"/>
      <c r="S513" s="426"/>
      <c r="T513" s="426"/>
      <c r="U513" s="426"/>
      <c r="V513" s="426"/>
      <c r="W513" s="426"/>
      <c r="X513" s="426"/>
      <c r="Y513" s="426"/>
      <c r="Z513" s="426"/>
      <c r="AB513" s="87" t="s">
        <v>398</v>
      </c>
      <c r="AD513" s="82" t="s">
        <v>398</v>
      </c>
      <c r="AE513" s="52"/>
      <c r="AF513" s="13"/>
      <c r="AG513" s="13"/>
    </row>
    <row r="514" spans="2:33" x14ac:dyDescent="0.15">
      <c r="B514" s="74">
        <f t="shared" si="144"/>
        <v>1</v>
      </c>
      <c r="D514" s="426"/>
      <c r="E514" s="426"/>
      <c r="F514" s="426"/>
      <c r="G514" s="426"/>
      <c r="H514" s="426"/>
      <c r="I514" s="426"/>
      <c r="J514" s="426"/>
      <c r="K514" s="426"/>
      <c r="L514" s="426"/>
      <c r="M514" s="426"/>
      <c r="N514" s="426"/>
      <c r="O514" s="426"/>
      <c r="P514" s="426"/>
      <c r="Q514" s="426"/>
      <c r="R514" s="426"/>
      <c r="S514" s="426"/>
      <c r="T514" s="426"/>
      <c r="U514" s="426"/>
      <c r="V514" s="426"/>
      <c r="W514" s="426"/>
      <c r="X514" s="426"/>
      <c r="Y514" s="426"/>
      <c r="Z514" s="426"/>
      <c r="AB514" s="87" t="s">
        <v>398</v>
      </c>
      <c r="AD514" s="82" t="s">
        <v>398</v>
      </c>
      <c r="AE514" s="52"/>
      <c r="AF514" s="13"/>
      <c r="AG514" s="13"/>
    </row>
    <row r="515" spans="2:33" x14ac:dyDescent="0.15">
      <c r="B515" s="74">
        <f t="shared" si="144"/>
        <v>1</v>
      </c>
      <c r="D515" s="426"/>
      <c r="E515" s="426"/>
      <c r="F515" s="426"/>
      <c r="G515" s="426"/>
      <c r="H515" s="426"/>
      <c r="I515" s="426"/>
      <c r="J515" s="426"/>
      <c r="K515" s="426"/>
      <c r="L515" s="426"/>
      <c r="M515" s="426"/>
      <c r="N515" s="426"/>
      <c r="O515" s="426"/>
      <c r="P515" s="426"/>
      <c r="Q515" s="426"/>
      <c r="R515" s="426"/>
      <c r="S515" s="426"/>
      <c r="T515" s="426"/>
      <c r="U515" s="426"/>
      <c r="V515" s="426"/>
      <c r="W515" s="426"/>
      <c r="X515" s="426"/>
      <c r="Y515" s="426"/>
      <c r="Z515" s="426"/>
      <c r="AB515" s="87" t="s">
        <v>398</v>
      </c>
      <c r="AD515" s="82" t="s">
        <v>398</v>
      </c>
      <c r="AE515" s="52"/>
      <c r="AF515" s="13"/>
      <c r="AG515" s="13"/>
    </row>
    <row r="516" spans="2:33" x14ac:dyDescent="0.15">
      <c r="B516" s="74">
        <f t="shared" si="144"/>
        <v>1</v>
      </c>
      <c r="D516" s="426"/>
      <c r="E516" s="426"/>
      <c r="F516" s="426"/>
      <c r="G516" s="426"/>
      <c r="H516" s="426"/>
      <c r="I516" s="426"/>
      <c r="J516" s="426"/>
      <c r="K516" s="426"/>
      <c r="L516" s="426"/>
      <c r="M516" s="426"/>
      <c r="N516" s="426"/>
      <c r="O516" s="426"/>
      <c r="P516" s="426"/>
      <c r="Q516" s="426"/>
      <c r="R516" s="426"/>
      <c r="S516" s="426"/>
      <c r="T516" s="426"/>
      <c r="U516" s="426"/>
      <c r="V516" s="426"/>
      <c r="W516" s="426"/>
      <c r="X516" s="426"/>
      <c r="Y516" s="426"/>
      <c r="Z516" s="426"/>
      <c r="AB516" s="87" t="s">
        <v>398</v>
      </c>
      <c r="AD516" s="82" t="s">
        <v>398</v>
      </c>
      <c r="AE516" s="52"/>
      <c r="AF516" s="13"/>
      <c r="AG516" s="13"/>
    </row>
    <row r="517" spans="2:33" x14ac:dyDescent="0.15">
      <c r="B517" s="74">
        <f t="shared" si="144"/>
        <v>1</v>
      </c>
      <c r="D517" s="426"/>
      <c r="E517" s="426"/>
      <c r="F517" s="426"/>
      <c r="G517" s="426"/>
      <c r="H517" s="426"/>
      <c r="I517" s="426"/>
      <c r="J517" s="426"/>
      <c r="K517" s="426"/>
      <c r="L517" s="426"/>
      <c r="M517" s="426"/>
      <c r="N517" s="426"/>
      <c r="O517" s="426"/>
      <c r="P517" s="426"/>
      <c r="Q517" s="426"/>
      <c r="R517" s="426"/>
      <c r="S517" s="426"/>
      <c r="T517" s="426"/>
      <c r="U517" s="426"/>
      <c r="V517" s="426"/>
      <c r="W517" s="426"/>
      <c r="X517" s="426"/>
      <c r="Y517" s="426"/>
      <c r="Z517" s="426"/>
      <c r="AB517" s="87" t="s">
        <v>398</v>
      </c>
      <c r="AD517" s="82" t="s">
        <v>398</v>
      </c>
      <c r="AE517" s="52"/>
      <c r="AF517" s="13"/>
      <c r="AG517" s="13"/>
    </row>
    <row r="518" spans="2:33" x14ac:dyDescent="0.15">
      <c r="B518" s="74">
        <f t="shared" si="144"/>
        <v>1</v>
      </c>
      <c r="D518" s="426"/>
      <c r="E518" s="426"/>
      <c r="F518" s="426"/>
      <c r="G518" s="426"/>
      <c r="H518" s="426"/>
      <c r="I518" s="426"/>
      <c r="J518" s="426"/>
      <c r="K518" s="426"/>
      <c r="L518" s="426"/>
      <c r="M518" s="426"/>
      <c r="N518" s="426"/>
      <c r="O518" s="426"/>
      <c r="P518" s="426"/>
      <c r="Q518" s="426"/>
      <c r="R518" s="426"/>
      <c r="S518" s="426"/>
      <c r="T518" s="426"/>
      <c r="U518" s="426"/>
      <c r="V518" s="426"/>
      <c r="W518" s="426"/>
      <c r="X518" s="426"/>
      <c r="Y518" s="426"/>
      <c r="Z518" s="426"/>
      <c r="AB518" s="87" t="s">
        <v>398</v>
      </c>
      <c r="AD518" s="82" t="s">
        <v>398</v>
      </c>
      <c r="AE518" s="52"/>
      <c r="AF518" s="13"/>
      <c r="AG518" s="13"/>
    </row>
    <row r="519" spans="2:33" x14ac:dyDescent="0.15">
      <c r="B519" s="74">
        <f t="shared" si="144"/>
        <v>1</v>
      </c>
      <c r="D519" s="426"/>
      <c r="E519" s="426"/>
      <c r="F519" s="426"/>
      <c r="G519" s="426"/>
      <c r="H519" s="426"/>
      <c r="I519" s="426"/>
      <c r="J519" s="426"/>
      <c r="K519" s="426"/>
      <c r="L519" s="426"/>
      <c r="M519" s="426"/>
      <c r="N519" s="426"/>
      <c r="O519" s="426"/>
      <c r="P519" s="426"/>
      <c r="Q519" s="426"/>
      <c r="R519" s="426"/>
      <c r="S519" s="426"/>
      <c r="T519" s="426"/>
      <c r="U519" s="426"/>
      <c r="V519" s="426"/>
      <c r="W519" s="426"/>
      <c r="X519" s="426"/>
      <c r="Y519" s="426"/>
      <c r="Z519" s="426"/>
      <c r="AB519" s="87" t="s">
        <v>398</v>
      </c>
      <c r="AD519" s="82" t="s">
        <v>398</v>
      </c>
      <c r="AE519" s="52"/>
      <c r="AF519" s="13"/>
      <c r="AG519" s="13"/>
    </row>
    <row r="520" spans="2:33" x14ac:dyDescent="0.15">
      <c r="B520" s="74">
        <f t="shared" si="144"/>
        <v>1</v>
      </c>
      <c r="D520" s="426"/>
      <c r="E520" s="426"/>
      <c r="F520" s="426"/>
      <c r="G520" s="426"/>
      <c r="H520" s="426"/>
      <c r="I520" s="426"/>
      <c r="J520" s="426"/>
      <c r="K520" s="426"/>
      <c r="L520" s="426"/>
      <c r="M520" s="426"/>
      <c r="N520" s="426"/>
      <c r="O520" s="426"/>
      <c r="P520" s="426"/>
      <c r="Q520" s="426"/>
      <c r="R520" s="426"/>
      <c r="S520" s="426"/>
      <c r="T520" s="426"/>
      <c r="U520" s="426"/>
      <c r="V520" s="426"/>
      <c r="W520" s="426"/>
      <c r="X520" s="426"/>
      <c r="Y520" s="426"/>
      <c r="Z520" s="426"/>
      <c r="AB520" s="87" t="s">
        <v>398</v>
      </c>
      <c r="AD520" s="82" t="s">
        <v>398</v>
      </c>
      <c r="AE520" s="52"/>
      <c r="AF520" s="13"/>
      <c r="AG520" s="13"/>
    </row>
    <row r="521" spans="2:33" x14ac:dyDescent="0.15">
      <c r="B521" s="74">
        <f t="shared" si="144"/>
        <v>1</v>
      </c>
      <c r="D521" s="426"/>
      <c r="E521" s="426"/>
      <c r="F521" s="426"/>
      <c r="G521" s="426"/>
      <c r="H521" s="426"/>
      <c r="I521" s="426"/>
      <c r="J521" s="426"/>
      <c r="K521" s="426"/>
      <c r="L521" s="426"/>
      <c r="M521" s="426"/>
      <c r="N521" s="426"/>
      <c r="O521" s="426"/>
      <c r="P521" s="426"/>
      <c r="Q521" s="426"/>
      <c r="R521" s="426"/>
      <c r="S521" s="426"/>
      <c r="T521" s="426"/>
      <c r="U521" s="426"/>
      <c r="V521" s="426"/>
      <c r="W521" s="426"/>
      <c r="X521" s="426"/>
      <c r="Y521" s="426"/>
      <c r="Z521" s="426"/>
      <c r="AB521" s="87" t="s">
        <v>398</v>
      </c>
      <c r="AD521" s="82" t="s">
        <v>398</v>
      </c>
      <c r="AE521" s="52"/>
      <c r="AF521" s="13"/>
      <c r="AG521" s="13"/>
    </row>
    <row r="522" spans="2:33" x14ac:dyDescent="0.15">
      <c r="B522" s="74">
        <f t="shared" si="144"/>
        <v>1</v>
      </c>
      <c r="D522" s="426"/>
      <c r="E522" s="426"/>
      <c r="F522" s="426"/>
      <c r="G522" s="426"/>
      <c r="H522" s="426"/>
      <c r="I522" s="426"/>
      <c r="J522" s="426"/>
      <c r="K522" s="426"/>
      <c r="L522" s="426"/>
      <c r="M522" s="426"/>
      <c r="N522" s="426"/>
      <c r="O522" s="426"/>
      <c r="P522" s="426"/>
      <c r="Q522" s="426"/>
      <c r="R522" s="426"/>
      <c r="S522" s="426"/>
      <c r="T522" s="426"/>
      <c r="U522" s="426"/>
      <c r="V522" s="426"/>
      <c r="W522" s="426"/>
      <c r="X522" s="426"/>
      <c r="Y522" s="426"/>
      <c r="Z522" s="426"/>
      <c r="AB522" s="87" t="s">
        <v>398</v>
      </c>
      <c r="AD522" s="82" t="s">
        <v>398</v>
      </c>
      <c r="AE522" s="52"/>
      <c r="AF522" s="13"/>
      <c r="AG522" s="13"/>
    </row>
    <row r="523" spans="2:33" x14ac:dyDescent="0.15">
      <c r="B523" s="74">
        <f t="shared" si="144"/>
        <v>1</v>
      </c>
      <c r="D523" s="426"/>
      <c r="E523" s="426"/>
      <c r="F523" s="426"/>
      <c r="G523" s="426"/>
      <c r="H523" s="426"/>
      <c r="I523" s="426"/>
      <c r="J523" s="426"/>
      <c r="K523" s="426"/>
      <c r="L523" s="426"/>
      <c r="M523" s="426"/>
      <c r="N523" s="426"/>
      <c r="O523" s="426"/>
      <c r="P523" s="426"/>
      <c r="Q523" s="426"/>
      <c r="R523" s="426"/>
      <c r="S523" s="426"/>
      <c r="T523" s="426"/>
      <c r="U523" s="426"/>
      <c r="V523" s="426"/>
      <c r="W523" s="426"/>
      <c r="X523" s="426"/>
      <c r="Y523" s="426"/>
      <c r="Z523" s="426"/>
      <c r="AB523" s="87" t="s">
        <v>398</v>
      </c>
      <c r="AD523" s="82" t="s">
        <v>398</v>
      </c>
      <c r="AE523" s="52"/>
      <c r="AF523" s="13"/>
      <c r="AG523" s="13"/>
    </row>
    <row r="524" spans="2:33" x14ac:dyDescent="0.15">
      <c r="B524" s="74">
        <f t="shared" si="144"/>
        <v>1</v>
      </c>
      <c r="D524" s="426"/>
      <c r="E524" s="426"/>
      <c r="F524" s="426"/>
      <c r="G524" s="426"/>
      <c r="H524" s="426"/>
      <c r="I524" s="426"/>
      <c r="J524" s="426"/>
      <c r="K524" s="426"/>
      <c r="L524" s="426"/>
      <c r="M524" s="426"/>
      <c r="N524" s="426"/>
      <c r="O524" s="426"/>
      <c r="P524" s="426"/>
      <c r="Q524" s="426"/>
      <c r="R524" s="426"/>
      <c r="S524" s="426"/>
      <c r="T524" s="426"/>
      <c r="U524" s="426"/>
      <c r="V524" s="426"/>
      <c r="W524" s="426"/>
      <c r="X524" s="426"/>
      <c r="Y524" s="426"/>
      <c r="Z524" s="426"/>
      <c r="AB524" s="87" t="s">
        <v>398</v>
      </c>
      <c r="AD524" s="82" t="s">
        <v>398</v>
      </c>
      <c r="AE524" s="52"/>
      <c r="AF524" s="13"/>
      <c r="AG524" s="13"/>
    </row>
    <row r="525" spans="2:33" x14ac:dyDescent="0.15">
      <c r="B525" s="74">
        <f t="shared" si="144"/>
        <v>1</v>
      </c>
      <c r="D525" s="426"/>
      <c r="E525" s="426"/>
      <c r="F525" s="426"/>
      <c r="G525" s="426"/>
      <c r="H525" s="426"/>
      <c r="I525" s="426"/>
      <c r="J525" s="426"/>
      <c r="K525" s="426"/>
      <c r="L525" s="426"/>
      <c r="M525" s="426"/>
      <c r="N525" s="426"/>
      <c r="O525" s="426"/>
      <c r="P525" s="426"/>
      <c r="Q525" s="426"/>
      <c r="R525" s="426"/>
      <c r="S525" s="426"/>
      <c r="T525" s="426"/>
      <c r="U525" s="426"/>
      <c r="V525" s="426"/>
      <c r="W525" s="426"/>
      <c r="X525" s="426"/>
      <c r="Y525" s="426"/>
      <c r="Z525" s="426"/>
      <c r="AB525" s="87" t="s">
        <v>398</v>
      </c>
      <c r="AD525" s="82" t="s">
        <v>398</v>
      </c>
      <c r="AE525" s="52"/>
      <c r="AF525" s="13"/>
      <c r="AG525" s="13"/>
    </row>
    <row r="527" spans="2:33" ht="24.75" customHeight="1" x14ac:dyDescent="0.2">
      <c r="D527" s="444" t="s">
        <v>350</v>
      </c>
      <c r="E527" s="444"/>
      <c r="F527" s="444"/>
      <c r="G527" s="444"/>
      <c r="H527" s="444"/>
      <c r="I527" s="444"/>
      <c r="J527" s="444"/>
      <c r="K527" s="444"/>
      <c r="L527" s="444"/>
      <c r="M527" s="444"/>
      <c r="N527" s="444"/>
      <c r="O527" s="444"/>
      <c r="P527" s="444"/>
      <c r="Q527" s="444"/>
      <c r="R527" s="444"/>
      <c r="S527" s="444"/>
      <c r="T527" s="444"/>
      <c r="U527" s="444"/>
      <c r="V527" s="444"/>
      <c r="W527" s="444"/>
      <c r="X527" s="444"/>
      <c r="Y527" s="444"/>
      <c r="Z527" s="444"/>
    </row>
    <row r="528" spans="2:33" ht="20.25" customHeight="1" x14ac:dyDescent="0.2">
      <c r="D528" s="445" t="s">
        <v>347</v>
      </c>
      <c r="E528" s="445"/>
      <c r="F528" s="445"/>
      <c r="G528" s="445"/>
      <c r="H528" s="445"/>
      <c r="I528" s="445"/>
      <c r="J528" s="445"/>
      <c r="K528" s="445"/>
      <c r="L528" s="445"/>
      <c r="M528" s="445"/>
      <c r="N528" s="445"/>
      <c r="O528" s="445"/>
      <c r="P528" s="445"/>
      <c r="Q528" s="445"/>
      <c r="R528" s="445"/>
      <c r="S528" s="445"/>
      <c r="T528" s="445"/>
      <c r="U528" s="445"/>
      <c r="V528" s="445"/>
      <c r="W528" s="445"/>
      <c r="X528" s="445"/>
      <c r="Y528" s="445"/>
      <c r="Z528" s="445"/>
    </row>
    <row r="529" spans="4:28" ht="20.25" customHeight="1" x14ac:dyDescent="0.2">
      <c r="D529" s="434" t="s">
        <v>348</v>
      </c>
      <c r="E529" s="434"/>
      <c r="F529" s="434"/>
      <c r="G529" s="434"/>
      <c r="H529" s="434"/>
      <c r="I529" s="434"/>
      <c r="J529" s="434"/>
      <c r="K529" s="434"/>
      <c r="L529" s="434"/>
      <c r="M529" s="434"/>
      <c r="N529" s="434"/>
      <c r="O529" s="434"/>
      <c r="P529" s="434"/>
      <c r="Q529" s="434"/>
      <c r="R529" s="434"/>
      <c r="S529" s="434"/>
      <c r="T529" s="434"/>
      <c r="U529" s="434"/>
      <c r="V529" s="434"/>
      <c r="W529" s="434"/>
      <c r="X529" s="434"/>
      <c r="Y529" s="434"/>
      <c r="Z529" s="434"/>
    </row>
    <row r="530" spans="4:28" ht="20.25" customHeight="1" x14ac:dyDescent="0.2">
      <c r="D530" s="434" t="s">
        <v>352</v>
      </c>
      <c r="E530" s="434"/>
      <c r="F530" s="434"/>
      <c r="G530" s="434"/>
      <c r="H530" s="434"/>
      <c r="I530" s="434"/>
      <c r="J530" s="434"/>
      <c r="K530" s="434"/>
      <c r="L530" s="434"/>
      <c r="M530" s="434"/>
      <c r="N530" s="434"/>
      <c r="O530" s="434"/>
      <c r="P530" s="434"/>
      <c r="Q530" s="434"/>
      <c r="R530" s="434"/>
      <c r="S530" s="434"/>
      <c r="T530" s="434"/>
      <c r="U530" s="434"/>
      <c r="V530" s="434"/>
      <c r="W530" s="434"/>
      <c r="X530" s="434"/>
      <c r="Y530" s="434"/>
      <c r="Z530" s="434"/>
    </row>
    <row r="531" spans="4:28" ht="34.5" customHeight="1" x14ac:dyDescent="0.2">
      <c r="D531" s="434" t="s">
        <v>353</v>
      </c>
      <c r="E531" s="434"/>
      <c r="F531" s="434"/>
      <c r="G531" s="434"/>
      <c r="H531" s="434"/>
      <c r="I531" s="434"/>
      <c r="J531" s="434"/>
      <c r="K531" s="434"/>
      <c r="L531" s="434"/>
      <c r="M531" s="434"/>
      <c r="N531" s="434"/>
      <c r="O531" s="434"/>
      <c r="P531" s="434"/>
      <c r="Q531" s="434"/>
      <c r="R531" s="434"/>
      <c r="S531" s="434"/>
      <c r="T531" s="434"/>
      <c r="U531" s="434"/>
      <c r="V531" s="434"/>
      <c r="W531" s="434"/>
      <c r="X531" s="434"/>
      <c r="Y531" s="434"/>
      <c r="Z531" s="434"/>
    </row>
    <row r="532" spans="4:28" ht="30" customHeight="1" x14ac:dyDescent="0.2">
      <c r="D532" s="434" t="s">
        <v>349</v>
      </c>
      <c r="E532" s="434"/>
      <c r="F532" s="434"/>
      <c r="G532" s="434"/>
      <c r="H532" s="434"/>
      <c r="I532" s="434"/>
      <c r="J532" s="434"/>
      <c r="K532" s="434"/>
      <c r="L532" s="434"/>
      <c r="M532" s="434"/>
      <c r="N532" s="434"/>
      <c r="O532" s="434"/>
      <c r="P532" s="434"/>
      <c r="Q532" s="434"/>
      <c r="R532" s="434"/>
      <c r="S532" s="434"/>
      <c r="T532" s="434"/>
      <c r="U532" s="434"/>
      <c r="V532" s="434"/>
      <c r="W532" s="434"/>
      <c r="X532" s="434"/>
      <c r="Y532" s="434"/>
      <c r="Z532" s="434"/>
      <c r="AB532" s="101" t="s">
        <v>351</v>
      </c>
    </row>
    <row r="535" spans="4:28" ht="23.25" customHeight="1" x14ac:dyDescent="0.2">
      <c r="D535" s="444" t="s">
        <v>322</v>
      </c>
      <c r="E535" s="444"/>
      <c r="F535" s="444"/>
      <c r="G535" s="444"/>
      <c r="H535" s="444"/>
      <c r="I535" s="444"/>
      <c r="J535" s="444"/>
      <c r="K535" s="444"/>
      <c r="L535" s="444"/>
      <c r="M535" s="444"/>
      <c r="N535" s="444"/>
      <c r="O535" s="444"/>
      <c r="P535" s="444"/>
      <c r="Q535" s="444"/>
      <c r="R535" s="444"/>
      <c r="S535" s="444"/>
      <c r="T535" s="444"/>
      <c r="U535" s="444"/>
      <c r="V535" s="444"/>
      <c r="W535" s="444"/>
      <c r="X535" s="444"/>
      <c r="Y535" s="444"/>
      <c r="Z535" s="444"/>
    </row>
    <row r="536" spans="4:28" ht="23.25" customHeight="1" x14ac:dyDescent="0.2">
      <c r="D536" s="467" t="s">
        <v>329</v>
      </c>
      <c r="E536" s="467"/>
      <c r="F536" s="467"/>
      <c r="G536" s="467"/>
      <c r="H536" s="467"/>
      <c r="I536" s="467"/>
      <c r="J536" s="467"/>
      <c r="K536" s="467"/>
      <c r="L536" s="467"/>
      <c r="M536" s="467"/>
      <c r="N536" s="467"/>
      <c r="O536" s="467"/>
      <c r="P536" s="467"/>
      <c r="Q536" s="467"/>
      <c r="R536" s="467"/>
      <c r="S536" s="467"/>
      <c r="T536" s="467"/>
      <c r="U536" s="467"/>
      <c r="V536" s="467"/>
      <c r="W536" s="467"/>
      <c r="X536" s="467"/>
      <c r="Y536" s="467"/>
      <c r="Z536" s="467"/>
    </row>
    <row r="537" spans="4:28" ht="23.25" customHeight="1" x14ac:dyDescent="0.2">
      <c r="D537" s="445" t="s">
        <v>323</v>
      </c>
      <c r="E537" s="445"/>
      <c r="F537" s="445"/>
      <c r="G537" s="445"/>
      <c r="H537" s="445"/>
      <c r="I537" s="445"/>
      <c r="J537" s="445"/>
      <c r="K537" s="445"/>
      <c r="L537" s="445"/>
      <c r="M537" s="445"/>
      <c r="N537" s="445"/>
      <c r="O537" s="445"/>
      <c r="P537" s="445"/>
      <c r="Q537" s="445"/>
      <c r="R537" s="445"/>
      <c r="S537" s="445"/>
      <c r="T537" s="445"/>
      <c r="U537" s="445"/>
      <c r="V537" s="445"/>
      <c r="W537" s="445"/>
      <c r="X537" s="445"/>
      <c r="Y537" s="445"/>
      <c r="Z537" s="445"/>
    </row>
    <row r="538" spans="4:28" ht="27" customHeight="1" x14ac:dyDescent="0.2">
      <c r="D538" s="470" t="s">
        <v>324</v>
      </c>
      <c r="E538" s="470"/>
      <c r="F538" s="470"/>
      <c r="G538" s="470"/>
      <c r="H538" s="470"/>
      <c r="I538" s="470"/>
      <c r="J538" s="470"/>
      <c r="K538" s="470"/>
      <c r="L538" s="470"/>
      <c r="M538" s="470"/>
      <c r="N538" s="470"/>
      <c r="O538" s="470"/>
      <c r="P538" s="470"/>
      <c r="Q538" s="470"/>
      <c r="R538" s="470"/>
      <c r="S538" s="470"/>
      <c r="T538" s="470"/>
      <c r="U538" s="470"/>
      <c r="V538" s="470"/>
      <c r="W538" s="470"/>
      <c r="X538" s="470"/>
      <c r="Y538" s="470"/>
      <c r="Z538" s="470"/>
    </row>
    <row r="539" spans="4:28" ht="23.25" customHeight="1" x14ac:dyDescent="0.2">
      <c r="D539" s="467" t="s">
        <v>333</v>
      </c>
      <c r="E539" s="467"/>
      <c r="F539" s="467"/>
      <c r="G539" s="467"/>
      <c r="H539" s="467"/>
      <c r="I539" s="467"/>
      <c r="J539" s="467"/>
      <c r="K539" s="467"/>
      <c r="L539" s="467"/>
      <c r="M539" s="467"/>
      <c r="N539" s="467"/>
      <c r="O539" s="467"/>
      <c r="P539" s="467"/>
      <c r="Q539" s="467"/>
      <c r="R539" s="467"/>
      <c r="S539" s="467"/>
      <c r="T539" s="467"/>
      <c r="U539" s="467"/>
      <c r="V539" s="467"/>
      <c r="W539" s="467"/>
      <c r="X539" s="467"/>
      <c r="Y539" s="467"/>
      <c r="Z539" s="467"/>
    </row>
    <row r="540" spans="4:28" ht="23.25" customHeight="1" x14ac:dyDescent="0.2">
      <c r="D540" s="445" t="s">
        <v>330</v>
      </c>
      <c r="E540" s="445"/>
      <c r="F540" s="445"/>
      <c r="G540" s="445"/>
      <c r="H540" s="445"/>
      <c r="I540" s="445"/>
      <c r="J540" s="445"/>
      <c r="K540" s="445"/>
      <c r="L540" s="445"/>
      <c r="M540" s="445"/>
      <c r="N540" s="445"/>
      <c r="O540" s="445"/>
      <c r="P540" s="445"/>
      <c r="Q540" s="445"/>
      <c r="R540" s="445"/>
      <c r="S540" s="445"/>
      <c r="T540" s="445"/>
      <c r="U540" s="445"/>
      <c r="V540" s="445"/>
      <c r="W540" s="445"/>
      <c r="X540" s="445"/>
      <c r="Y540" s="445"/>
      <c r="Z540" s="445"/>
    </row>
    <row r="541" spans="4:28" ht="23.25" customHeight="1" x14ac:dyDescent="0.2">
      <c r="D541" s="445" t="s">
        <v>339</v>
      </c>
      <c r="E541" s="445"/>
      <c r="F541" s="445"/>
      <c r="G541" s="445"/>
      <c r="H541" s="445"/>
      <c r="I541" s="445"/>
      <c r="J541" s="445"/>
      <c r="K541" s="445"/>
      <c r="L541" s="445"/>
      <c r="M541" s="445"/>
      <c r="N541" s="445"/>
      <c r="O541" s="445"/>
      <c r="P541" s="445"/>
      <c r="Q541" s="445"/>
      <c r="R541" s="445"/>
      <c r="S541" s="445"/>
      <c r="T541" s="445"/>
      <c r="U541" s="445"/>
      <c r="V541" s="445"/>
      <c r="W541" s="445"/>
      <c r="X541" s="445"/>
      <c r="Y541" s="445"/>
      <c r="Z541" s="445"/>
    </row>
    <row r="542" spans="4:28" ht="42.75" customHeight="1" x14ac:dyDescent="0.2">
      <c r="D542" s="434" t="s">
        <v>331</v>
      </c>
      <c r="E542" s="434"/>
      <c r="F542" s="434"/>
      <c r="G542" s="434"/>
      <c r="H542" s="434"/>
      <c r="I542" s="434"/>
      <c r="J542" s="434"/>
      <c r="K542" s="434"/>
      <c r="L542" s="434"/>
      <c r="M542" s="434"/>
      <c r="N542" s="434"/>
      <c r="O542" s="434"/>
      <c r="P542" s="434"/>
      <c r="Q542" s="434"/>
      <c r="R542" s="434"/>
      <c r="S542" s="434"/>
      <c r="T542" s="434"/>
      <c r="U542" s="434"/>
      <c r="V542" s="434"/>
      <c r="W542" s="434"/>
      <c r="X542" s="434"/>
      <c r="Y542" s="434"/>
      <c r="Z542" s="434"/>
    </row>
    <row r="543" spans="4:28" ht="39" customHeight="1" x14ac:dyDescent="0.2">
      <c r="D543" s="434" t="s">
        <v>334</v>
      </c>
      <c r="E543" s="434"/>
      <c r="F543" s="434"/>
      <c r="G543" s="434"/>
      <c r="H543" s="434"/>
      <c r="I543" s="434"/>
      <c r="J543" s="434"/>
      <c r="K543" s="434"/>
      <c r="L543" s="434"/>
      <c r="M543" s="434"/>
      <c r="N543" s="434"/>
      <c r="O543" s="434"/>
      <c r="P543" s="434"/>
      <c r="Q543" s="434"/>
      <c r="R543" s="434"/>
      <c r="S543" s="434"/>
      <c r="T543" s="434"/>
      <c r="U543" s="434"/>
      <c r="V543" s="434"/>
      <c r="W543" s="434"/>
      <c r="X543" s="434"/>
      <c r="Y543" s="434"/>
      <c r="Z543" s="434"/>
    </row>
    <row r="544" spans="4:28" ht="23.25" customHeight="1" x14ac:dyDescent="0.2">
      <c r="D544" s="445" t="s">
        <v>332</v>
      </c>
      <c r="E544" s="445"/>
      <c r="F544" s="445"/>
      <c r="G544" s="445"/>
      <c r="H544" s="445"/>
      <c r="I544" s="445"/>
      <c r="J544" s="445"/>
      <c r="K544" s="445"/>
      <c r="L544" s="445"/>
      <c r="M544" s="445"/>
      <c r="N544" s="445"/>
      <c r="O544" s="445"/>
      <c r="P544" s="445"/>
      <c r="Q544" s="445"/>
      <c r="R544" s="445"/>
      <c r="S544" s="445"/>
      <c r="T544" s="445"/>
      <c r="U544" s="445"/>
      <c r="V544" s="445"/>
      <c r="W544" s="445"/>
      <c r="X544" s="445"/>
      <c r="Y544" s="445"/>
      <c r="Z544" s="445"/>
    </row>
  </sheetData>
  <sheetProtection formatRows="0" autoFilter="0"/>
  <autoFilter ref="A3:AG525" xr:uid="{92F4F79D-34B6-4B67-8D1E-AF7225E51608}">
    <filterColumn colId="3" showButton="0"/>
    <filterColumn colId="4" showButton="0"/>
    <filterColumn colId="5" showButton="0"/>
    <filterColumn colId="6" showButton="0"/>
    <filterColumn colId="7" showButton="0"/>
    <filterColumn colId="8" showButton="0"/>
    <filterColumn colId="9" showButton="0"/>
    <filterColumn colId="10" showButton="0"/>
    <filterColumn colId="11" showButton="0"/>
    <filterColumn colId="12" showButton="0"/>
    <filterColumn colId="13" showButton="0"/>
    <filterColumn colId="14" showButton="0"/>
    <filterColumn colId="15" showButton="0"/>
    <filterColumn colId="16" showButton="0"/>
    <filterColumn colId="17" showButton="0"/>
    <filterColumn colId="18" showButton="0"/>
    <filterColumn colId="19" showButton="0"/>
    <filterColumn colId="20" showButton="0"/>
    <filterColumn colId="21" showButton="0"/>
    <filterColumn colId="22" showButton="0"/>
    <filterColumn colId="23" showButton="0"/>
    <filterColumn colId="24" showButton="0"/>
  </autoFilter>
  <mergeCells count="655">
    <mergeCell ref="D427:Z427"/>
    <mergeCell ref="D428:Z428"/>
    <mergeCell ref="D429:N429"/>
    <mergeCell ref="Q429:Z429"/>
    <mergeCell ref="D430:N430"/>
    <mergeCell ref="Q430:Z430"/>
    <mergeCell ref="D431:N431"/>
    <mergeCell ref="Q431:Z431"/>
    <mergeCell ref="D95:N95"/>
    <mergeCell ref="Q95:Z95"/>
    <mergeCell ref="D96:Z96"/>
    <mergeCell ref="D97:Z97"/>
    <mergeCell ref="D98:Z98"/>
    <mergeCell ref="D289:F289"/>
    <mergeCell ref="H289:Z289"/>
    <mergeCell ref="D283:N283"/>
    <mergeCell ref="Q283:Z283"/>
    <mergeCell ref="D284:N284"/>
    <mergeCell ref="Q284:Z284"/>
    <mergeCell ref="D285:Z285"/>
    <mergeCell ref="D286:Z286"/>
    <mergeCell ref="T274:U274"/>
    <mergeCell ref="D282:N282"/>
    <mergeCell ref="Q282:Z282"/>
    <mergeCell ref="D109:N109"/>
    <mergeCell ref="Q109:Z109"/>
    <mergeCell ref="D110:Z110"/>
    <mergeCell ref="D111:Z111"/>
    <mergeCell ref="D279:Z279"/>
    <mergeCell ref="D280:Z280"/>
    <mergeCell ref="D281:Z281"/>
    <mergeCell ref="D102:N102"/>
    <mergeCell ref="Q102:Z102"/>
    <mergeCell ref="D103:Z103"/>
    <mergeCell ref="D104:Z104"/>
    <mergeCell ref="D105:Z105"/>
    <mergeCell ref="D106:Z106"/>
    <mergeCell ref="D107:N107"/>
    <mergeCell ref="Q107:Z107"/>
    <mergeCell ref="D108:N108"/>
    <mergeCell ref="Q108:Z108"/>
    <mergeCell ref="E265:Z265"/>
    <mergeCell ref="D266:Z266"/>
    <mergeCell ref="D267:Z267"/>
    <mergeCell ref="D268:Z268"/>
    <mergeCell ref="D269:N269"/>
    <mergeCell ref="Q269:Z269"/>
    <mergeCell ref="D270:N270"/>
    <mergeCell ref="D99:Z99"/>
    <mergeCell ref="D100:N100"/>
    <mergeCell ref="Q100:Z100"/>
    <mergeCell ref="D101:N101"/>
    <mergeCell ref="Q101:Z101"/>
    <mergeCell ref="E343:Z343"/>
    <mergeCell ref="E344:Z344"/>
    <mergeCell ref="E345:Z345"/>
    <mergeCell ref="E346:Z346"/>
    <mergeCell ref="E323:Z323"/>
    <mergeCell ref="D324:Z324"/>
    <mergeCell ref="E325:Z325"/>
    <mergeCell ref="D272:Z272"/>
    <mergeCell ref="D273:Z273"/>
    <mergeCell ref="D293:Z293"/>
    <mergeCell ref="D305:Z305"/>
    <mergeCell ref="D330:Z330"/>
    <mergeCell ref="D331:Z331"/>
    <mergeCell ref="D318:Z318"/>
    <mergeCell ref="D319:Z319"/>
    <mergeCell ref="E320:Z320"/>
    <mergeCell ref="E321:Z321"/>
    <mergeCell ref="E322:Z322"/>
    <mergeCell ref="D304:Z304"/>
    <mergeCell ref="E338:Z338"/>
    <mergeCell ref="D434:Z434"/>
    <mergeCell ref="E414:Z414"/>
    <mergeCell ref="E415:Z415"/>
    <mergeCell ref="D417:Z417"/>
    <mergeCell ref="D385:Z385"/>
    <mergeCell ref="D384:Z384"/>
    <mergeCell ref="D392:Z392"/>
    <mergeCell ref="D393:Z393"/>
    <mergeCell ref="D388:N388"/>
    <mergeCell ref="Q388:Z388"/>
    <mergeCell ref="D389:N389"/>
    <mergeCell ref="Q389:Z389"/>
    <mergeCell ref="D387:N387"/>
    <mergeCell ref="E347:Z347"/>
    <mergeCell ref="E348:Z348"/>
    <mergeCell ref="E349:Z349"/>
    <mergeCell ref="E350:Z350"/>
    <mergeCell ref="E351:Z351"/>
    <mergeCell ref="D383:Z383"/>
    <mergeCell ref="D354:Z354"/>
    <mergeCell ref="D357:N357"/>
    <mergeCell ref="D375:Z375"/>
    <mergeCell ref="D378:Z378"/>
    <mergeCell ref="E328:Z328"/>
    <mergeCell ref="Q453:Z453"/>
    <mergeCell ref="D445:N445"/>
    <mergeCell ref="Q445:Z445"/>
    <mergeCell ref="D446:N446"/>
    <mergeCell ref="D407:Z407"/>
    <mergeCell ref="D442:Z442"/>
    <mergeCell ref="D443:Z443"/>
    <mergeCell ref="D444:Z444"/>
    <mergeCell ref="D448:Z448"/>
    <mergeCell ref="D449:Z449"/>
    <mergeCell ref="D450:Z450"/>
    <mergeCell ref="Q447:Z447"/>
    <mergeCell ref="D418:Z418"/>
    <mergeCell ref="D419:Z419"/>
    <mergeCell ref="E420:Z420"/>
    <mergeCell ref="E421:Z421"/>
    <mergeCell ref="E422:Z422"/>
    <mergeCell ref="E423:Z423"/>
    <mergeCell ref="E424:Z424"/>
    <mergeCell ref="E425:Z425"/>
    <mergeCell ref="D432:Z432"/>
    <mergeCell ref="D433:Z433"/>
    <mergeCell ref="D426:Z426"/>
    <mergeCell ref="E329:Z329"/>
    <mergeCell ref="D336:Z336"/>
    <mergeCell ref="D337:Z337"/>
    <mergeCell ref="E332:Z332"/>
    <mergeCell ref="E333:Z333"/>
    <mergeCell ref="E334:Z334"/>
    <mergeCell ref="E335:Z335"/>
    <mergeCell ref="D256:Z256"/>
    <mergeCell ref="E257:Z257"/>
    <mergeCell ref="E258:Z258"/>
    <mergeCell ref="E259:Z259"/>
    <mergeCell ref="E260:Z260"/>
    <mergeCell ref="E261:Z261"/>
    <mergeCell ref="E262:Z262"/>
    <mergeCell ref="E263:Z263"/>
    <mergeCell ref="E264:Z264"/>
    <mergeCell ref="Q270:Z270"/>
    <mergeCell ref="D271:N271"/>
    <mergeCell ref="Q271:Z271"/>
    <mergeCell ref="D297:Z297"/>
    <mergeCell ref="D295:Z295"/>
    <mergeCell ref="D317:Z317"/>
    <mergeCell ref="E326:Z326"/>
    <mergeCell ref="E327:Z327"/>
    <mergeCell ref="D247:Z247"/>
    <mergeCell ref="D248:Z248"/>
    <mergeCell ref="D240:Z240"/>
    <mergeCell ref="D241:Z241"/>
    <mergeCell ref="D242:Z242"/>
    <mergeCell ref="D243:Z243"/>
    <mergeCell ref="D244:N244"/>
    <mergeCell ref="Q244:Z244"/>
    <mergeCell ref="D245:N245"/>
    <mergeCell ref="Q245:Z245"/>
    <mergeCell ref="D246:N246"/>
    <mergeCell ref="Q246:Z246"/>
    <mergeCell ref="D233:Z233"/>
    <mergeCell ref="D234:Z234"/>
    <mergeCell ref="D235:Z235"/>
    <mergeCell ref="D236:Z236"/>
    <mergeCell ref="D237:N237"/>
    <mergeCell ref="Q237:Z237"/>
    <mergeCell ref="D238:N238"/>
    <mergeCell ref="Q238:Z238"/>
    <mergeCell ref="D239:N239"/>
    <mergeCell ref="Q239:Z239"/>
    <mergeCell ref="D227:Z227"/>
    <mergeCell ref="D228:Z228"/>
    <mergeCell ref="D229:Z229"/>
    <mergeCell ref="D230:N230"/>
    <mergeCell ref="Q230:Z230"/>
    <mergeCell ref="D231:N231"/>
    <mergeCell ref="Q231:Z231"/>
    <mergeCell ref="D232:N232"/>
    <mergeCell ref="Q232:Z232"/>
    <mergeCell ref="E223:Z223"/>
    <mergeCell ref="E224:Z224"/>
    <mergeCell ref="E225:Z225"/>
    <mergeCell ref="D274:S274"/>
    <mergeCell ref="D390:Z390"/>
    <mergeCell ref="D300:Z300"/>
    <mergeCell ref="D356:N356"/>
    <mergeCell ref="Q356:Z356"/>
    <mergeCell ref="D303:Z303"/>
    <mergeCell ref="D294:Z294"/>
    <mergeCell ref="D299:Z299"/>
    <mergeCell ref="D298:Z298"/>
    <mergeCell ref="D276:Z276"/>
    <mergeCell ref="D287:Z287"/>
    <mergeCell ref="D288:F288"/>
    <mergeCell ref="D290:E290"/>
    <mergeCell ref="D278:Z278"/>
    <mergeCell ref="D277:Z277"/>
    <mergeCell ref="H288:Z288"/>
    <mergeCell ref="G253:Z253"/>
    <mergeCell ref="E381:Z381"/>
    <mergeCell ref="E382:Z382"/>
    <mergeCell ref="E226:Z226"/>
    <mergeCell ref="D359:Z359"/>
    <mergeCell ref="D215:Z215"/>
    <mergeCell ref="G250:Z250"/>
    <mergeCell ref="D210:Z210"/>
    <mergeCell ref="D211:N211"/>
    <mergeCell ref="E250:F250"/>
    <mergeCell ref="D219:Z219"/>
    <mergeCell ref="Q141:Z141"/>
    <mergeCell ref="Q206:Z206"/>
    <mergeCell ref="Q211:Z211"/>
    <mergeCell ref="D169:N169"/>
    <mergeCell ref="Q169:Z169"/>
    <mergeCell ref="D170:N170"/>
    <mergeCell ref="D207:Z207"/>
    <mergeCell ref="D146:Z146"/>
    <mergeCell ref="D148:N148"/>
    <mergeCell ref="D152:Z152"/>
    <mergeCell ref="D168:Z168"/>
    <mergeCell ref="D176:N176"/>
    <mergeCell ref="E185:Z185"/>
    <mergeCell ref="E186:Z186"/>
    <mergeCell ref="E184:Z184"/>
    <mergeCell ref="D166:Z166"/>
    <mergeCell ref="D167:Z167"/>
    <mergeCell ref="Q148:Z148"/>
    <mergeCell ref="D80:N80"/>
    <mergeCell ref="Q80:Z80"/>
    <mergeCell ref="D81:N81"/>
    <mergeCell ref="Q81:Z81"/>
    <mergeCell ref="D90:Z90"/>
    <mergeCell ref="D118:Z118"/>
    <mergeCell ref="D119:Z119"/>
    <mergeCell ref="D114:Z114"/>
    <mergeCell ref="D214:Z214"/>
    <mergeCell ref="D149:N149"/>
    <mergeCell ref="Q149:Z149"/>
    <mergeCell ref="D150:Z150"/>
    <mergeCell ref="D151:Z151"/>
    <mergeCell ref="D147:N147"/>
    <mergeCell ref="Q147:Z147"/>
    <mergeCell ref="Q162:Z162"/>
    <mergeCell ref="D157:O157"/>
    <mergeCell ref="Q163:Z163"/>
    <mergeCell ref="D159:Z159"/>
    <mergeCell ref="D160:Z160"/>
    <mergeCell ref="D161:Z161"/>
    <mergeCell ref="D91:Z91"/>
    <mergeCell ref="D92:Z92"/>
    <mergeCell ref="D93:N93"/>
    <mergeCell ref="D542:Z542"/>
    <mergeCell ref="D544:Z544"/>
    <mergeCell ref="D543:Z543"/>
    <mergeCell ref="D472:Z472"/>
    <mergeCell ref="D470:Z470"/>
    <mergeCell ref="D535:Z535"/>
    <mergeCell ref="D536:Z536"/>
    <mergeCell ref="D538:Z538"/>
    <mergeCell ref="D483:Z483"/>
    <mergeCell ref="D484:Z484"/>
    <mergeCell ref="D488:Z488"/>
    <mergeCell ref="D489:Z489"/>
    <mergeCell ref="D490:Z490"/>
    <mergeCell ref="D491:Z491"/>
    <mergeCell ref="D492:Z492"/>
    <mergeCell ref="D493:Z493"/>
    <mergeCell ref="D494:Z494"/>
    <mergeCell ref="D495:Z495"/>
    <mergeCell ref="D496:Z496"/>
    <mergeCell ref="D485:Z485"/>
    <mergeCell ref="D486:Z486"/>
    <mergeCell ref="D487:Z487"/>
    <mergeCell ref="D540:Z540"/>
    <mergeCell ref="D541:Z541"/>
    <mergeCell ref="D220:Z220"/>
    <mergeCell ref="D404:Z404"/>
    <mergeCell ref="D405:Z405"/>
    <mergeCell ref="D353:Z353"/>
    <mergeCell ref="E251:F251"/>
    <mergeCell ref="D402:N402"/>
    <mergeCell ref="Q402:Z402"/>
    <mergeCell ref="E308:Z308"/>
    <mergeCell ref="E252:F252"/>
    <mergeCell ref="D275:Z275"/>
    <mergeCell ref="D371:N371"/>
    <mergeCell ref="Q362:Z362"/>
    <mergeCell ref="D401:N401"/>
    <mergeCell ref="Q401:Z401"/>
    <mergeCell ref="Q395:Z395"/>
    <mergeCell ref="D396:N396"/>
    <mergeCell ref="Q396:Z396"/>
    <mergeCell ref="D397:Z397"/>
    <mergeCell ref="D398:Z398"/>
    <mergeCell ref="D399:Z399"/>
    <mergeCell ref="D400:Z400"/>
    <mergeCell ref="D394:N394"/>
    <mergeCell ref="G252:Z252"/>
    <mergeCell ref="D222:Z222"/>
    <mergeCell ref="D539:Z539"/>
    <mergeCell ref="D537:Z537"/>
    <mergeCell ref="E380:Z380"/>
    <mergeCell ref="D403:N403"/>
    <mergeCell ref="Q403:Z403"/>
    <mergeCell ref="E412:Z412"/>
    <mergeCell ref="E410:Z410"/>
    <mergeCell ref="E408:Z408"/>
    <mergeCell ref="E409:Z409"/>
    <mergeCell ref="D386:Z386"/>
    <mergeCell ref="Q387:Z387"/>
    <mergeCell ref="D406:Y406"/>
    <mergeCell ref="Q394:Z394"/>
    <mergeCell ref="D395:N395"/>
    <mergeCell ref="D391:Z391"/>
    <mergeCell ref="D438:Z438"/>
    <mergeCell ref="Q460:Z460"/>
    <mergeCell ref="D461:N461"/>
    <mergeCell ref="Q461:Z461"/>
    <mergeCell ref="D453:N453"/>
    <mergeCell ref="D497:Z497"/>
    <mergeCell ref="D498:Z498"/>
    <mergeCell ref="D499:Z499"/>
    <mergeCell ref="D500:Z500"/>
    <mergeCell ref="D204:N204"/>
    <mergeCell ref="Q204:Z204"/>
    <mergeCell ref="D205:N205"/>
    <mergeCell ref="Q205:Z205"/>
    <mergeCell ref="D206:N206"/>
    <mergeCell ref="D188:Z188"/>
    <mergeCell ref="N187:Z187"/>
    <mergeCell ref="D187:H187"/>
    <mergeCell ref="I187:M187"/>
    <mergeCell ref="D199:N199"/>
    <mergeCell ref="Q199:Z199"/>
    <mergeCell ref="D171:N171"/>
    <mergeCell ref="Q171:Z171"/>
    <mergeCell ref="D194:Z194"/>
    <mergeCell ref="D190:Z190"/>
    <mergeCell ref="D191:Z191"/>
    <mergeCell ref="D193:Z193"/>
    <mergeCell ref="D183:Z183"/>
    <mergeCell ref="Q198:Z198"/>
    <mergeCell ref="D174:Z174"/>
    <mergeCell ref="D175:Z175"/>
    <mergeCell ref="Q178:Z178"/>
    <mergeCell ref="D180:Z180"/>
    <mergeCell ref="D195:Z195"/>
    <mergeCell ref="D196:Z196"/>
    <mergeCell ref="D197:N197"/>
    <mergeCell ref="Q197:Z197"/>
    <mergeCell ref="D198:N198"/>
    <mergeCell ref="D379:Z379"/>
    <mergeCell ref="Q371:Z371"/>
    <mergeCell ref="D374:Z374"/>
    <mergeCell ref="D370:N370"/>
    <mergeCell ref="Q364:Z364"/>
    <mergeCell ref="D365:Z365"/>
    <mergeCell ref="D366:Z366"/>
    <mergeCell ref="D367:Z367"/>
    <mergeCell ref="D373:Z373"/>
    <mergeCell ref="D364:N364"/>
    <mergeCell ref="D372:Z372"/>
    <mergeCell ref="Q370:Z370"/>
    <mergeCell ref="D369:N369"/>
    <mergeCell ref="Q369:Z369"/>
    <mergeCell ref="D162:N162"/>
    <mergeCell ref="D155:Z155"/>
    <mergeCell ref="D153:Z153"/>
    <mergeCell ref="D139:Z139"/>
    <mergeCell ref="D138:Z138"/>
    <mergeCell ref="Q134:Z134"/>
    <mergeCell ref="D89:Z89"/>
    <mergeCell ref="D122:N122"/>
    <mergeCell ref="D145:Z145"/>
    <mergeCell ref="D117:Z117"/>
    <mergeCell ref="D123:Z123"/>
    <mergeCell ref="D121:N121"/>
    <mergeCell ref="Q121:Z121"/>
    <mergeCell ref="D127:Z127"/>
    <mergeCell ref="D142:N142"/>
    <mergeCell ref="Q142:Z142"/>
    <mergeCell ref="D143:Z143"/>
    <mergeCell ref="D144:Z144"/>
    <mergeCell ref="D113:Z113"/>
    <mergeCell ref="D116:Z116"/>
    <mergeCell ref="D134:N134"/>
    <mergeCell ref="Q93:Z93"/>
    <mergeCell ref="D94:N94"/>
    <mergeCell ref="Q94:Z94"/>
    <mergeCell ref="D1:I1"/>
    <mergeCell ref="J1:Z1"/>
    <mergeCell ref="D5:Z5"/>
    <mergeCell ref="D14:Z14"/>
    <mergeCell ref="D12:Z12"/>
    <mergeCell ref="D15:Z15"/>
    <mergeCell ref="D4:Z4"/>
    <mergeCell ref="D8:Z8"/>
    <mergeCell ref="D6:Z6"/>
    <mergeCell ref="D7:Z7"/>
    <mergeCell ref="D9:Z9"/>
    <mergeCell ref="D10:Z10"/>
    <mergeCell ref="I13:Z13"/>
    <mergeCell ref="D13:H13"/>
    <mergeCell ref="D11:Z11"/>
    <mergeCell ref="D3:Z3"/>
    <mergeCell ref="D71:Z71"/>
    <mergeCell ref="Q72:Z72"/>
    <mergeCell ref="D72:N72"/>
    <mergeCell ref="Q86:Z86"/>
    <mergeCell ref="E411:Z411"/>
    <mergeCell ref="D355:N355"/>
    <mergeCell ref="Q355:Z355"/>
    <mergeCell ref="D306:Z306"/>
    <mergeCell ref="D307:Z307"/>
    <mergeCell ref="D301:Z301"/>
    <mergeCell ref="D192:Z192"/>
    <mergeCell ref="D189:Z189"/>
    <mergeCell ref="D140:N140"/>
    <mergeCell ref="Q140:Z140"/>
    <mergeCell ref="D141:N141"/>
    <mergeCell ref="D181:Z181"/>
    <mergeCell ref="D182:Z182"/>
    <mergeCell ref="D173:Z173"/>
    <mergeCell ref="D164:N164"/>
    <mergeCell ref="Q164:Z164"/>
    <mergeCell ref="D165:Z165"/>
    <mergeCell ref="Q170:Z170"/>
    <mergeCell ref="D172:Z172"/>
    <mergeCell ref="Q213:Z213"/>
    <mergeCell ref="D74:N74"/>
    <mergeCell ref="Q74:Z74"/>
    <mergeCell ref="D77:Z77"/>
    <mergeCell ref="E253:F253"/>
    <mergeCell ref="Q176:Z176"/>
    <mergeCell ref="D177:N177"/>
    <mergeCell ref="Q177:Z177"/>
    <mergeCell ref="D178:N178"/>
    <mergeCell ref="D221:Z221"/>
    <mergeCell ref="D200:Z200"/>
    <mergeCell ref="D201:Z201"/>
    <mergeCell ref="D202:Z202"/>
    <mergeCell ref="D203:Z203"/>
    <mergeCell ref="D124:Z124"/>
    <mergeCell ref="D218:Z218"/>
    <mergeCell ref="D163:N163"/>
    <mergeCell ref="D87:N87"/>
    <mergeCell ref="Q87:Z87"/>
    <mergeCell ref="D76:Z76"/>
    <mergeCell ref="D78:Z78"/>
    <mergeCell ref="D79:N79"/>
    <mergeCell ref="Q79:Z79"/>
    <mergeCell ref="D156:Z156"/>
    <mergeCell ref="P157:Z157"/>
    <mergeCell ref="Q73:Z73"/>
    <mergeCell ref="D135:N135"/>
    <mergeCell ref="Q135:Z135"/>
    <mergeCell ref="D130:Z130"/>
    <mergeCell ref="D128:Z128"/>
    <mergeCell ref="D129:Z129"/>
    <mergeCell ref="D125:Z125"/>
    <mergeCell ref="D126:Z126"/>
    <mergeCell ref="D131:Z131"/>
    <mergeCell ref="D132:Z132"/>
    <mergeCell ref="D133:N133"/>
    <mergeCell ref="D83:Z83"/>
    <mergeCell ref="D84:Z84"/>
    <mergeCell ref="Q122:Z122"/>
    <mergeCell ref="D115:Z115"/>
    <mergeCell ref="D88:N88"/>
    <mergeCell ref="Q88:Z88"/>
    <mergeCell ref="D120:N120"/>
    <mergeCell ref="Q120:Z120"/>
    <mergeCell ref="D112:Z112"/>
    <mergeCell ref="Q133:Z133"/>
    <mergeCell ref="D73:N73"/>
    <mergeCell ref="D85:Z85"/>
    <mergeCell ref="D86:N86"/>
    <mergeCell ref="E66:Z66"/>
    <mergeCell ref="E67:Z67"/>
    <mergeCell ref="E68:Z68"/>
    <mergeCell ref="E48:Z48"/>
    <mergeCell ref="E53:Z53"/>
    <mergeCell ref="E56:Z56"/>
    <mergeCell ref="E49:Z49"/>
    <mergeCell ref="D46:Z46"/>
    <mergeCell ref="E59:Z59"/>
    <mergeCell ref="E60:Z60"/>
    <mergeCell ref="E63:Z63"/>
    <mergeCell ref="E61:Z61"/>
    <mergeCell ref="E62:Z62"/>
    <mergeCell ref="D39:Z39"/>
    <mergeCell ref="D41:Z41"/>
    <mergeCell ref="D36:Z36"/>
    <mergeCell ref="E58:Z58"/>
    <mergeCell ref="E52:Z52"/>
    <mergeCell ref="E54:Z54"/>
    <mergeCell ref="E57:Z57"/>
    <mergeCell ref="E65:Z65"/>
    <mergeCell ref="E55:Z55"/>
    <mergeCell ref="D19:Z19"/>
    <mergeCell ref="D16:J16"/>
    <mergeCell ref="K16:Z16"/>
    <mergeCell ref="K17:Z17"/>
    <mergeCell ref="D30:L30"/>
    <mergeCell ref="D29:L29"/>
    <mergeCell ref="D28:L28"/>
    <mergeCell ref="M28:Z28"/>
    <mergeCell ref="M29:Z29"/>
    <mergeCell ref="M30:Z30"/>
    <mergeCell ref="D20:Z20"/>
    <mergeCell ref="D21:Z21"/>
    <mergeCell ref="D22:Z22"/>
    <mergeCell ref="D23:N23"/>
    <mergeCell ref="Q23:Z23"/>
    <mergeCell ref="D24:N24"/>
    <mergeCell ref="Q24:Z24"/>
    <mergeCell ref="D25:N25"/>
    <mergeCell ref="Q25:Z25"/>
    <mergeCell ref="D26:Z26"/>
    <mergeCell ref="D27:Z27"/>
    <mergeCell ref="D17:J17"/>
    <mergeCell ref="D18:J18"/>
    <mergeCell ref="D31:Z31"/>
    <mergeCell ref="D40:Z40"/>
    <mergeCell ref="D42:Z42"/>
    <mergeCell ref="D43:Z43"/>
    <mergeCell ref="D44:Z44"/>
    <mergeCell ref="D47:Z47"/>
    <mergeCell ref="E64:Z64"/>
    <mergeCell ref="D217:Z217"/>
    <mergeCell ref="P158:Z158"/>
    <mergeCell ref="D158:O158"/>
    <mergeCell ref="D82:Z82"/>
    <mergeCell ref="D136:Z136"/>
    <mergeCell ref="D137:Z137"/>
    <mergeCell ref="D69:Z69"/>
    <mergeCell ref="D75:Z75"/>
    <mergeCell ref="E50:Z50"/>
    <mergeCell ref="E51:Z51"/>
    <mergeCell ref="D70:Z70"/>
    <mergeCell ref="D45:Z45"/>
    <mergeCell ref="D32:Z32"/>
    <mergeCell ref="D37:Z37"/>
    <mergeCell ref="D33:Z33"/>
    <mergeCell ref="D216:Z216"/>
    <mergeCell ref="D38:Z38"/>
    <mergeCell ref="D255:Z255"/>
    <mergeCell ref="D368:Z368"/>
    <mergeCell ref="D302:Z302"/>
    <mergeCell ref="G251:Z251"/>
    <mergeCell ref="D249:Z249"/>
    <mergeCell ref="D208:Z208"/>
    <mergeCell ref="D209:Z209"/>
    <mergeCell ref="D212:N212"/>
    <mergeCell ref="Q212:Z212"/>
    <mergeCell ref="D213:N213"/>
    <mergeCell ref="F292:Z292"/>
    <mergeCell ref="H290:Z290"/>
    <mergeCell ref="D291:Z291"/>
    <mergeCell ref="Q363:Z363"/>
    <mergeCell ref="E314:Z314"/>
    <mergeCell ref="E315:Z315"/>
    <mergeCell ref="E339:Z339"/>
    <mergeCell ref="E340:Z340"/>
    <mergeCell ref="E341:Z341"/>
    <mergeCell ref="E342:Z342"/>
    <mergeCell ref="D352:Z352"/>
    <mergeCell ref="D363:N363"/>
    <mergeCell ref="D360:Z360"/>
    <mergeCell ref="D358:Z358"/>
    <mergeCell ref="D504:Z504"/>
    <mergeCell ref="D478:M478"/>
    <mergeCell ref="D481:M481"/>
    <mergeCell ref="Q454:Z454"/>
    <mergeCell ref="D462:Z462"/>
    <mergeCell ref="D463:Z463"/>
    <mergeCell ref="D468:Z468"/>
    <mergeCell ref="D469:Z469"/>
    <mergeCell ref="E467:Z467"/>
    <mergeCell ref="E466:Z466"/>
    <mergeCell ref="D458:Z458"/>
    <mergeCell ref="D459:N459"/>
    <mergeCell ref="Q459:Z459"/>
    <mergeCell ref="D460:N460"/>
    <mergeCell ref="D502:Z502"/>
    <mergeCell ref="D457:Z457"/>
    <mergeCell ref="D503:Z503"/>
    <mergeCell ref="D532:Z532"/>
    <mergeCell ref="D505:Z505"/>
    <mergeCell ref="D506:Z506"/>
    <mergeCell ref="D507:Z507"/>
    <mergeCell ref="D508:Z508"/>
    <mergeCell ref="D509:Z509"/>
    <mergeCell ref="D510:Z510"/>
    <mergeCell ref="D511:Z511"/>
    <mergeCell ref="D512:Z512"/>
    <mergeCell ref="D513:Z513"/>
    <mergeCell ref="D523:Z523"/>
    <mergeCell ref="D524:Z524"/>
    <mergeCell ref="D525:Z525"/>
    <mergeCell ref="D514:Z514"/>
    <mergeCell ref="D515:Z515"/>
    <mergeCell ref="D516:Z516"/>
    <mergeCell ref="D517:Z517"/>
    <mergeCell ref="D518:Z518"/>
    <mergeCell ref="D519:Z519"/>
    <mergeCell ref="D527:Z527"/>
    <mergeCell ref="D528:Z528"/>
    <mergeCell ref="D520:Z520"/>
    <mergeCell ref="D521:Z521"/>
    <mergeCell ref="D522:Z522"/>
    <mergeCell ref="E254:F254"/>
    <mergeCell ref="G254:Z254"/>
    <mergeCell ref="D35:Z35"/>
    <mergeCell ref="D529:Z529"/>
    <mergeCell ref="D530:Z530"/>
    <mergeCell ref="D531:Z531"/>
    <mergeCell ref="D482:Z482"/>
    <mergeCell ref="D465:Z465"/>
    <mergeCell ref="D475:M475"/>
    <mergeCell ref="D480:M480"/>
    <mergeCell ref="D476:M476"/>
    <mergeCell ref="D477:M477"/>
    <mergeCell ref="D439:Z439"/>
    <mergeCell ref="D440:Z440"/>
    <mergeCell ref="D441:Z441"/>
    <mergeCell ref="D464:Z464"/>
    <mergeCell ref="D471:Z471"/>
    <mergeCell ref="D455:Z455"/>
    <mergeCell ref="D456:Z456"/>
    <mergeCell ref="D473:M473"/>
    <mergeCell ref="D474:J474"/>
    <mergeCell ref="D454:N454"/>
    <mergeCell ref="D501:Z501"/>
    <mergeCell ref="D154:Z154"/>
    <mergeCell ref="E416:Z416"/>
    <mergeCell ref="D34:Z34"/>
    <mergeCell ref="E312:Z312"/>
    <mergeCell ref="D376:Z376"/>
    <mergeCell ref="D377:Z377"/>
    <mergeCell ref="D451:Z451"/>
    <mergeCell ref="D452:N452"/>
    <mergeCell ref="Q452:Z452"/>
    <mergeCell ref="E309:Z309"/>
    <mergeCell ref="E310:Z310"/>
    <mergeCell ref="E311:Z311"/>
    <mergeCell ref="E313:Z313"/>
    <mergeCell ref="E316:Z316"/>
    <mergeCell ref="D296:Z296"/>
    <mergeCell ref="Q357:Z357"/>
    <mergeCell ref="D436:Z436"/>
    <mergeCell ref="D437:Z437"/>
    <mergeCell ref="D435:Z435"/>
    <mergeCell ref="D361:Z361"/>
    <mergeCell ref="D362:N362"/>
    <mergeCell ref="E413:Z413"/>
    <mergeCell ref="D179:Z179"/>
    <mergeCell ref="Q446:Z446"/>
    <mergeCell ref="D447:N447"/>
  </mergeCells>
  <conditionalFormatting sqref="J1">
    <cfRule type="cellIs" dxfId="580" priority="1148" operator="equal">
      <formula>"SHEET COMPLETE"</formula>
    </cfRule>
    <cfRule type="cellIs" dxfId="579" priority="1149" operator="equal">
      <formula>"SHEET NOT COMPLETE"</formula>
    </cfRule>
  </conditionalFormatting>
  <conditionalFormatting sqref="B356:B361 B363:B368 B370:B373 B313:B316 K16:K18 M28:M30 B46 B270:B273 B262:B268 B256:B260 B408:B415 B352:B354 B330:B335 B277:B278 B48:B64 B287:B311 B430:B433 B422:B428 B419:B420 B417">
    <cfRule type="containsBlanks" dxfId="578" priority="1147">
      <formula>LEN(TRIM(B16))=0</formula>
    </cfRule>
  </conditionalFormatting>
  <conditionalFormatting sqref="D33 D35">
    <cfRule type="containsBlanks" dxfId="577" priority="1142">
      <formula>LEN(TRIM(D33))=0</formula>
    </cfRule>
  </conditionalFormatting>
  <conditionalFormatting sqref="B115:B116">
    <cfRule type="containsBlanks" dxfId="576" priority="1140">
      <formula>LEN(TRIM(B115))=0</formula>
    </cfRule>
  </conditionalFormatting>
  <conditionalFormatting sqref="B128:B129">
    <cfRule type="containsBlanks" dxfId="575" priority="1139">
      <formula>LEN(TRIM(B128))=0</formula>
    </cfRule>
  </conditionalFormatting>
  <conditionalFormatting sqref="B153:B155">
    <cfRule type="containsBlanks" dxfId="574" priority="1138">
      <formula>LEN(TRIM(B153))=0</formula>
    </cfRule>
  </conditionalFormatting>
  <conditionalFormatting sqref="P157">
    <cfRule type="containsBlanks" dxfId="573" priority="1135">
      <formula>LEN(TRIM(P157))=0</formula>
    </cfRule>
  </conditionalFormatting>
  <conditionalFormatting sqref="P158">
    <cfRule type="containsBlanks" dxfId="572" priority="1134">
      <formula>LEN(TRIM(P158))=0</formula>
    </cfRule>
  </conditionalFormatting>
  <conditionalFormatting sqref="B187:B188 B181:B183">
    <cfRule type="containsBlanks" dxfId="571" priority="1133">
      <formula>LEN(TRIM(B181))=0</formula>
    </cfRule>
  </conditionalFormatting>
  <conditionalFormatting sqref="B189:B193">
    <cfRule type="containsBlanks" dxfId="570" priority="1132">
      <formula>LEN(TRIM(B189))=0</formula>
    </cfRule>
  </conditionalFormatting>
  <conditionalFormatting sqref="B218:B220">
    <cfRule type="containsBlanks" dxfId="569" priority="1129">
      <formula>LEN(TRIM(B218))=0</formula>
    </cfRule>
  </conditionalFormatting>
  <conditionalFormatting sqref="B221 B249:B254">
    <cfRule type="containsBlanks" dxfId="568" priority="1127">
      <formula>LEN(TRIM(B221))=0</formula>
    </cfRule>
  </conditionalFormatting>
  <conditionalFormatting sqref="E250:F250">
    <cfRule type="containsBlanks" dxfId="567" priority="1126">
      <formula>LEN(TRIM(E250))=0</formula>
    </cfRule>
  </conditionalFormatting>
  <conditionalFormatting sqref="E251:F254">
    <cfRule type="containsBlanks" dxfId="566" priority="1125">
      <formula>LEN(TRIM(E251))=0</formula>
    </cfRule>
  </conditionalFormatting>
  <conditionalFormatting sqref="T274">
    <cfRule type="containsBlanks" dxfId="565" priority="1124">
      <formula>LEN(TRIM(T274))=0</formula>
    </cfRule>
  </conditionalFormatting>
  <conditionalFormatting sqref="F290 E292 G288:G289">
    <cfRule type="containsBlanks" dxfId="564" priority="1122">
      <formula>LEN(TRIM(E288))=0</formula>
    </cfRule>
  </conditionalFormatting>
  <conditionalFormatting sqref="B380:B383 B406:B407">
    <cfRule type="containsBlanks" dxfId="563" priority="1120">
      <formula>LEN(TRIM(B380))=0</formula>
    </cfRule>
  </conditionalFormatting>
  <conditionalFormatting sqref="E314:Z316">
    <cfRule type="containsBlanks" dxfId="562" priority="1117">
      <formula>LEN(TRIM(E314))=0</formula>
    </cfRule>
  </conditionalFormatting>
  <conditionalFormatting sqref="B308:B311">
    <cfRule type="containsBlanks" dxfId="561" priority="1116">
      <formula>LEN(TRIM(B308))=0</formula>
    </cfRule>
  </conditionalFormatting>
  <conditionalFormatting sqref="B464:B466 B437:B441">
    <cfRule type="containsBlanks" dxfId="560" priority="1115">
      <formula>LEN(TRIM(B437))=0</formula>
    </cfRule>
  </conditionalFormatting>
  <conditionalFormatting sqref="D72:N72 Q72:Z72">
    <cfRule type="cellIs" dxfId="559" priority="1092" operator="equal">
      <formula>"Show"</formula>
    </cfRule>
    <cfRule type="cellIs" dxfId="558" priority="1094" operator="equal">
      <formula>"Hide"</formula>
    </cfRule>
    <cfRule type="containsBlanks" dxfId="557" priority="1096">
      <formula>LEN(TRIM(D72))=0</formula>
    </cfRule>
  </conditionalFormatting>
  <conditionalFormatting sqref="D74:N75">
    <cfRule type="expression" dxfId="556" priority="1095">
      <formula>AND(D72="Show",D74="")</formula>
    </cfRule>
  </conditionalFormatting>
  <conditionalFormatting sqref="Q74:Z75">
    <cfRule type="expression" dxfId="555" priority="1093">
      <formula>AND(Q72="Show",Q74="")</formula>
    </cfRule>
  </conditionalFormatting>
  <conditionalFormatting sqref="D72:N72">
    <cfRule type="expression" dxfId="554" priority="1064">
      <formula>OR(D72="Show",D72="Hide")</formula>
    </cfRule>
  </conditionalFormatting>
  <conditionalFormatting sqref="D73:N73">
    <cfRule type="expression" dxfId="553" priority="1063">
      <formula>OR(D72="Show",D72="Hide")</formula>
    </cfRule>
  </conditionalFormatting>
  <conditionalFormatting sqref="D74:N74">
    <cfRule type="expression" dxfId="552" priority="1062">
      <formula>OR(D72="Show",D72="Hide")</formula>
    </cfRule>
  </conditionalFormatting>
  <conditionalFormatting sqref="Q72:Z72">
    <cfRule type="expression" dxfId="551" priority="1061">
      <formula>OR(Q72="Show",Q72="Hide")</formula>
    </cfRule>
  </conditionalFormatting>
  <conditionalFormatting sqref="Q73:Z73">
    <cfRule type="expression" dxfId="550" priority="1060">
      <formula>OR(Q72="Show",Q72="Hide")</formula>
    </cfRule>
  </conditionalFormatting>
  <conditionalFormatting sqref="Q74:Z74">
    <cfRule type="expression" dxfId="549" priority="1059">
      <formula>OR(Q72="Show",Q72="Hide")</formula>
    </cfRule>
  </conditionalFormatting>
  <conditionalFormatting sqref="D82:N82">
    <cfRule type="expression" dxfId="548" priority="1056">
      <formula>AND(D80="Show",D82="")</formula>
    </cfRule>
  </conditionalFormatting>
  <conditionalFormatting sqref="Q82:Z82">
    <cfRule type="expression" dxfId="547" priority="1054">
      <formula>AND(Q80="Show",Q82="")</formula>
    </cfRule>
  </conditionalFormatting>
  <conditionalFormatting sqref="D79:N79 Q79:Z79">
    <cfRule type="cellIs" dxfId="546" priority="849" operator="equal">
      <formula>"Show"</formula>
    </cfRule>
    <cfRule type="cellIs" dxfId="545" priority="851" operator="equal">
      <formula>"Hide"</formula>
    </cfRule>
    <cfRule type="containsBlanks" dxfId="544" priority="853">
      <formula>LEN(TRIM(D79))=0</formula>
    </cfRule>
  </conditionalFormatting>
  <conditionalFormatting sqref="D81:N81">
    <cfRule type="expression" dxfId="543" priority="852">
      <formula>AND(D79="Show",D81="")</formula>
    </cfRule>
  </conditionalFormatting>
  <conditionalFormatting sqref="Q81:Z81">
    <cfRule type="expression" dxfId="542" priority="850">
      <formula>AND(Q79="Show",Q81="")</formula>
    </cfRule>
  </conditionalFormatting>
  <conditionalFormatting sqref="D79:N79">
    <cfRule type="expression" dxfId="541" priority="848">
      <formula>OR(D79="Show",D79="Hide")</formula>
    </cfRule>
  </conditionalFormatting>
  <conditionalFormatting sqref="D80:N80">
    <cfRule type="expression" dxfId="540" priority="847">
      <formula>OR(D79="Show",D79="Hide")</formula>
    </cfRule>
  </conditionalFormatting>
  <conditionalFormatting sqref="D81:N81">
    <cfRule type="expression" dxfId="539" priority="846">
      <formula>OR(D79="Show",D79="Hide")</formula>
    </cfRule>
  </conditionalFormatting>
  <conditionalFormatting sqref="Q79:Z79">
    <cfRule type="expression" dxfId="538" priority="845">
      <formula>OR(Q79="Show",Q79="Hide")</formula>
    </cfRule>
  </conditionalFormatting>
  <conditionalFormatting sqref="Q80:Z80">
    <cfRule type="expression" dxfId="537" priority="844">
      <formula>OR(Q79="Show",Q79="Hide")</formula>
    </cfRule>
  </conditionalFormatting>
  <conditionalFormatting sqref="Q81:Z81">
    <cfRule type="expression" dxfId="536" priority="843">
      <formula>OR(Q79="Show",Q79="Hide")</formula>
    </cfRule>
  </conditionalFormatting>
  <conditionalFormatting sqref="D89:N89">
    <cfRule type="expression" dxfId="535" priority="554">
      <formula>AND(D87="Show",D89="")</formula>
    </cfRule>
  </conditionalFormatting>
  <conditionalFormatting sqref="Q89:Z89">
    <cfRule type="expression" dxfId="534" priority="553">
      <formula>AND(Q87="Show",Q89="")</formula>
    </cfRule>
  </conditionalFormatting>
  <conditionalFormatting sqref="D86:N86 Q86:Z86">
    <cfRule type="cellIs" dxfId="533" priority="547" operator="equal">
      <formula>"Show"</formula>
    </cfRule>
    <cfRule type="cellIs" dxfId="532" priority="549" operator="equal">
      <formula>"Hide"</formula>
    </cfRule>
    <cfRule type="containsBlanks" dxfId="531" priority="551">
      <formula>LEN(TRIM(D86))=0</formula>
    </cfRule>
  </conditionalFormatting>
  <conditionalFormatting sqref="D88:N88">
    <cfRule type="expression" dxfId="530" priority="550">
      <formula>AND(D86="Show",D88="")</formula>
    </cfRule>
  </conditionalFormatting>
  <conditionalFormatting sqref="Q88:Z88">
    <cfRule type="expression" dxfId="529" priority="548">
      <formula>AND(Q86="Show",Q88="")</formula>
    </cfRule>
  </conditionalFormatting>
  <conditionalFormatting sqref="D86:N86">
    <cfRule type="expression" dxfId="528" priority="546">
      <formula>OR(D86="Show",D86="Hide")</formula>
    </cfRule>
  </conditionalFormatting>
  <conditionalFormatting sqref="D87:N87">
    <cfRule type="expression" dxfId="527" priority="545">
      <formula>OR(D86="Show",D86="Hide")</formula>
    </cfRule>
  </conditionalFormatting>
  <conditionalFormatting sqref="D88:N88">
    <cfRule type="expression" dxfId="526" priority="544">
      <formula>OR(D86="Show",D86="Hide")</formula>
    </cfRule>
  </conditionalFormatting>
  <conditionalFormatting sqref="Q86:Z86">
    <cfRule type="expression" dxfId="525" priority="543">
      <formula>OR(Q86="Show",Q86="Hide")</formula>
    </cfRule>
  </conditionalFormatting>
  <conditionalFormatting sqref="Q87:Z87">
    <cfRule type="expression" dxfId="524" priority="542">
      <formula>OR(Q86="Show",Q86="Hide")</formula>
    </cfRule>
  </conditionalFormatting>
  <conditionalFormatting sqref="Q88:Z88">
    <cfRule type="expression" dxfId="523" priority="541">
      <formula>OR(Q86="Show",Q86="Hide")</formula>
    </cfRule>
  </conditionalFormatting>
  <conditionalFormatting sqref="D123:N123">
    <cfRule type="expression" dxfId="522" priority="540">
      <formula>AND(D121="Show",D123="")</formula>
    </cfRule>
  </conditionalFormatting>
  <conditionalFormatting sqref="Q123:Z123">
    <cfRule type="expression" dxfId="521" priority="539">
      <formula>AND(Q121="Show",Q123="")</formula>
    </cfRule>
  </conditionalFormatting>
  <conditionalFormatting sqref="D120:N120 Q120:Z120">
    <cfRule type="cellIs" dxfId="520" priority="533" operator="equal">
      <formula>"Show"</formula>
    </cfRule>
    <cfRule type="cellIs" dxfId="519" priority="535" operator="equal">
      <formula>"Hide"</formula>
    </cfRule>
    <cfRule type="containsBlanks" dxfId="518" priority="537">
      <formula>LEN(TRIM(D120))=0</formula>
    </cfRule>
  </conditionalFormatting>
  <conditionalFormatting sqref="D122:N122">
    <cfRule type="expression" dxfId="517" priority="536">
      <formula>AND(D120="Show",D122="")</formula>
    </cfRule>
  </conditionalFormatting>
  <conditionalFormatting sqref="Q122:Z122">
    <cfRule type="expression" dxfId="516" priority="534">
      <formula>AND(Q120="Show",Q122="")</formula>
    </cfRule>
  </conditionalFormatting>
  <conditionalFormatting sqref="D120:N120">
    <cfRule type="expression" dxfId="515" priority="532">
      <formula>OR(D120="Show",D120="Hide")</formula>
    </cfRule>
  </conditionalFormatting>
  <conditionalFormatting sqref="D121:N121">
    <cfRule type="expression" dxfId="514" priority="531">
      <formula>OR(D120="Show",D120="Hide")</formula>
    </cfRule>
  </conditionalFormatting>
  <conditionalFormatting sqref="D122:N122">
    <cfRule type="expression" dxfId="513" priority="530">
      <formula>OR(D120="Show",D120="Hide")</formula>
    </cfRule>
  </conditionalFormatting>
  <conditionalFormatting sqref="Q120:Z120">
    <cfRule type="expression" dxfId="512" priority="529">
      <formula>OR(Q120="Show",Q120="Hide")</formula>
    </cfRule>
  </conditionalFormatting>
  <conditionalFormatting sqref="Q121:Z121">
    <cfRule type="expression" dxfId="511" priority="528">
      <formula>OR(Q120="Show",Q120="Hide")</formula>
    </cfRule>
  </conditionalFormatting>
  <conditionalFormatting sqref="Q122:Z122">
    <cfRule type="expression" dxfId="510" priority="527">
      <formula>OR(Q120="Show",Q120="Hide")</formula>
    </cfRule>
  </conditionalFormatting>
  <conditionalFormatting sqref="D136:N136">
    <cfRule type="expression" dxfId="509" priority="498">
      <formula>AND(D134="Show",D136="")</formula>
    </cfRule>
  </conditionalFormatting>
  <conditionalFormatting sqref="Q136:Z136">
    <cfRule type="expression" dxfId="508" priority="497">
      <formula>AND(Q134="Show",Q136="")</formula>
    </cfRule>
  </conditionalFormatting>
  <conditionalFormatting sqref="D133:N133 Q133:Z133">
    <cfRule type="cellIs" dxfId="507" priority="491" operator="equal">
      <formula>"Show"</formula>
    </cfRule>
    <cfRule type="cellIs" dxfId="506" priority="493" operator="equal">
      <formula>"Hide"</formula>
    </cfRule>
    <cfRule type="containsBlanks" dxfId="505" priority="495">
      <formula>LEN(TRIM(D133))=0</formula>
    </cfRule>
  </conditionalFormatting>
  <conditionalFormatting sqref="D135:N135">
    <cfRule type="expression" dxfId="504" priority="494">
      <formula>AND(D133="Show",D135="")</formula>
    </cfRule>
  </conditionalFormatting>
  <conditionalFormatting sqref="Q135:Z135">
    <cfRule type="expression" dxfId="503" priority="492">
      <formula>AND(Q133="Show",Q135="")</formula>
    </cfRule>
  </conditionalFormatting>
  <conditionalFormatting sqref="D133:N133">
    <cfRule type="expression" dxfId="502" priority="490">
      <formula>OR(D133="Show",D133="Hide")</formula>
    </cfRule>
  </conditionalFormatting>
  <conditionalFormatting sqref="D134:N134">
    <cfRule type="expression" dxfId="501" priority="489">
      <formula>OR(D133="Show",D133="Hide")</formula>
    </cfRule>
  </conditionalFormatting>
  <conditionalFormatting sqref="D135:N135">
    <cfRule type="expression" dxfId="500" priority="488">
      <formula>OR(D133="Show",D133="Hide")</formula>
    </cfRule>
  </conditionalFormatting>
  <conditionalFormatting sqref="Q133:Z133">
    <cfRule type="expression" dxfId="499" priority="487">
      <formula>OR(Q133="Show",Q133="Hide")</formula>
    </cfRule>
  </conditionalFormatting>
  <conditionalFormatting sqref="Q134:Z134">
    <cfRule type="expression" dxfId="498" priority="486">
      <formula>OR(Q133="Show",Q133="Hide")</formula>
    </cfRule>
  </conditionalFormatting>
  <conditionalFormatting sqref="Q135:Z135">
    <cfRule type="expression" dxfId="497" priority="485">
      <formula>OR(Q133="Show",Q133="Hide")</formula>
    </cfRule>
  </conditionalFormatting>
  <conditionalFormatting sqref="D143:N143">
    <cfRule type="expression" dxfId="496" priority="484">
      <formula>AND(D141="Show",D143="")</formula>
    </cfRule>
  </conditionalFormatting>
  <conditionalFormatting sqref="Q143:Z143">
    <cfRule type="expression" dxfId="495" priority="483">
      <formula>AND(Q141="Show",Q143="")</formula>
    </cfRule>
  </conditionalFormatting>
  <conditionalFormatting sqref="D140:N140 Q140:Z140">
    <cfRule type="cellIs" dxfId="494" priority="477" operator="equal">
      <formula>"Show"</formula>
    </cfRule>
    <cfRule type="cellIs" dxfId="493" priority="479" operator="equal">
      <formula>"Hide"</formula>
    </cfRule>
    <cfRule type="containsBlanks" dxfId="492" priority="481">
      <formula>LEN(TRIM(D140))=0</formula>
    </cfRule>
  </conditionalFormatting>
  <conditionalFormatting sqref="D142:N142">
    <cfRule type="expression" dxfId="491" priority="480">
      <formula>AND(D140="Show",D142="")</formula>
    </cfRule>
  </conditionalFormatting>
  <conditionalFormatting sqref="Q142:Z142">
    <cfRule type="expression" dxfId="490" priority="478">
      <formula>AND(Q140="Show",Q142="")</formula>
    </cfRule>
  </conditionalFormatting>
  <conditionalFormatting sqref="D140:N140">
    <cfRule type="expression" dxfId="489" priority="476">
      <formula>OR(D140="Show",D140="Hide")</formula>
    </cfRule>
  </conditionalFormatting>
  <conditionalFormatting sqref="D141:N141">
    <cfRule type="expression" dxfId="488" priority="475">
      <formula>OR(D140="Show",D140="Hide")</formula>
    </cfRule>
  </conditionalFormatting>
  <conditionalFormatting sqref="D142:N142">
    <cfRule type="expression" dxfId="487" priority="474">
      <formula>OR(D140="Show",D140="Hide")</formula>
    </cfRule>
  </conditionalFormatting>
  <conditionalFormatting sqref="Q140:Z140">
    <cfRule type="expression" dxfId="486" priority="473">
      <formula>OR(Q140="Show",Q140="Hide")</formula>
    </cfRule>
  </conditionalFormatting>
  <conditionalFormatting sqref="Q141:Z141">
    <cfRule type="expression" dxfId="485" priority="472">
      <formula>OR(Q140="Show",Q140="Hide")</formula>
    </cfRule>
  </conditionalFormatting>
  <conditionalFormatting sqref="Q142:Z142">
    <cfRule type="expression" dxfId="484" priority="471">
      <formula>OR(Q140="Show",Q140="Hide")</formula>
    </cfRule>
  </conditionalFormatting>
  <conditionalFormatting sqref="D150:N150">
    <cfRule type="expression" dxfId="483" priority="470">
      <formula>AND(D148="Show",D150="")</formula>
    </cfRule>
  </conditionalFormatting>
  <conditionalFormatting sqref="Q150:Z150">
    <cfRule type="expression" dxfId="482" priority="469">
      <formula>AND(Q148="Show",Q150="")</formula>
    </cfRule>
  </conditionalFormatting>
  <conditionalFormatting sqref="D147:N147 Q147:Z147">
    <cfRule type="cellIs" dxfId="481" priority="463" operator="equal">
      <formula>"Show"</formula>
    </cfRule>
    <cfRule type="cellIs" dxfId="480" priority="465" operator="equal">
      <formula>"Hide"</formula>
    </cfRule>
    <cfRule type="containsBlanks" dxfId="479" priority="467">
      <formula>LEN(TRIM(D147))=0</formula>
    </cfRule>
  </conditionalFormatting>
  <conditionalFormatting sqref="D149:N149">
    <cfRule type="expression" dxfId="478" priority="466">
      <formula>AND(D147="Show",D149="")</formula>
    </cfRule>
  </conditionalFormatting>
  <conditionalFormatting sqref="Q149:Z149">
    <cfRule type="expression" dxfId="477" priority="464">
      <formula>AND(Q147="Show",Q149="")</formula>
    </cfRule>
  </conditionalFormatting>
  <conditionalFormatting sqref="D147:N147">
    <cfRule type="expression" dxfId="476" priority="462">
      <formula>OR(D147="Show",D147="Hide")</formula>
    </cfRule>
  </conditionalFormatting>
  <conditionalFormatting sqref="D148:N148">
    <cfRule type="expression" dxfId="475" priority="461">
      <formula>OR(D147="Show",D147="Hide")</formula>
    </cfRule>
  </conditionalFormatting>
  <conditionalFormatting sqref="D149:N149">
    <cfRule type="expression" dxfId="474" priority="460">
      <formula>OR(D147="Show",D147="Hide")</formula>
    </cfRule>
  </conditionalFormatting>
  <conditionalFormatting sqref="Q147:Z147">
    <cfRule type="expression" dxfId="473" priority="459">
      <formula>OR(Q147="Show",Q147="Hide")</formula>
    </cfRule>
  </conditionalFormatting>
  <conditionalFormatting sqref="Q148:Z148">
    <cfRule type="expression" dxfId="472" priority="458">
      <formula>OR(Q147="Show",Q147="Hide")</formula>
    </cfRule>
  </conditionalFormatting>
  <conditionalFormatting sqref="Q149:Z149">
    <cfRule type="expression" dxfId="471" priority="457">
      <formula>OR(Q147="Show",Q147="Hide")</formula>
    </cfRule>
  </conditionalFormatting>
  <conditionalFormatting sqref="D165:N165">
    <cfRule type="expression" dxfId="470" priority="456">
      <formula>AND(D163="Show",D165="")</formula>
    </cfRule>
  </conditionalFormatting>
  <conditionalFormatting sqref="Q165:Z165">
    <cfRule type="expression" dxfId="469" priority="455">
      <formula>AND(Q163="Show",Q165="")</formula>
    </cfRule>
  </conditionalFormatting>
  <conditionalFormatting sqref="D162:N162 Q162:Z162">
    <cfRule type="cellIs" dxfId="468" priority="449" operator="equal">
      <formula>"Show"</formula>
    </cfRule>
    <cfRule type="cellIs" dxfId="467" priority="451" operator="equal">
      <formula>"Hide"</formula>
    </cfRule>
    <cfRule type="containsBlanks" dxfId="466" priority="453">
      <formula>LEN(TRIM(D162))=0</formula>
    </cfRule>
  </conditionalFormatting>
  <conditionalFormatting sqref="D164:N164">
    <cfRule type="expression" dxfId="465" priority="452">
      <formula>AND(D162="Show",D164="")</formula>
    </cfRule>
  </conditionalFormatting>
  <conditionalFormatting sqref="Q164:Z164">
    <cfRule type="expression" dxfId="464" priority="450">
      <formula>AND(Q162="Show",Q164="")</formula>
    </cfRule>
  </conditionalFormatting>
  <conditionalFormatting sqref="D162:N162">
    <cfRule type="expression" dxfId="463" priority="448">
      <formula>OR(D162="Show",D162="Hide")</formula>
    </cfRule>
  </conditionalFormatting>
  <conditionalFormatting sqref="D163:N163">
    <cfRule type="expression" dxfId="462" priority="447">
      <formula>OR(D162="Show",D162="Hide")</formula>
    </cfRule>
  </conditionalFormatting>
  <conditionalFormatting sqref="D164:N164">
    <cfRule type="expression" dxfId="461" priority="446">
      <formula>OR(D162="Show",D162="Hide")</formula>
    </cfRule>
  </conditionalFormatting>
  <conditionalFormatting sqref="Q162:Z162">
    <cfRule type="expression" dxfId="460" priority="445">
      <formula>OR(Q162="Show",Q162="Hide")</formula>
    </cfRule>
  </conditionalFormatting>
  <conditionalFormatting sqref="Q163:Z163">
    <cfRule type="expression" dxfId="459" priority="444">
      <formula>OR(Q162="Show",Q162="Hide")</formula>
    </cfRule>
  </conditionalFormatting>
  <conditionalFormatting sqref="Q164:Z164">
    <cfRule type="expression" dxfId="458" priority="443">
      <formula>OR(Q162="Show",Q162="Hide")</formula>
    </cfRule>
  </conditionalFormatting>
  <conditionalFormatting sqref="D172:N172">
    <cfRule type="expression" dxfId="457" priority="442">
      <formula>AND(D170="Show",D172="")</formula>
    </cfRule>
  </conditionalFormatting>
  <conditionalFormatting sqref="Q172:Z172">
    <cfRule type="expression" dxfId="456" priority="441">
      <formula>AND(Q170="Show",Q172="")</formula>
    </cfRule>
  </conditionalFormatting>
  <conditionalFormatting sqref="D169:N169 Q169:Z169">
    <cfRule type="cellIs" dxfId="455" priority="435" operator="equal">
      <formula>"Show"</formula>
    </cfRule>
    <cfRule type="cellIs" dxfId="454" priority="437" operator="equal">
      <formula>"Hide"</formula>
    </cfRule>
    <cfRule type="containsBlanks" dxfId="453" priority="439">
      <formula>LEN(TRIM(D169))=0</formula>
    </cfRule>
  </conditionalFormatting>
  <conditionalFormatting sqref="D171:N171">
    <cfRule type="expression" dxfId="452" priority="438">
      <formula>AND(D169="Show",D171="")</formula>
    </cfRule>
  </conditionalFormatting>
  <conditionalFormatting sqref="Q171:Z171">
    <cfRule type="expression" dxfId="451" priority="436">
      <formula>AND(Q169="Show",Q171="")</formula>
    </cfRule>
  </conditionalFormatting>
  <conditionalFormatting sqref="D169:N169">
    <cfRule type="expression" dxfId="450" priority="434">
      <formula>OR(D169="Show",D169="Hide")</formula>
    </cfRule>
  </conditionalFormatting>
  <conditionalFormatting sqref="D170:N170">
    <cfRule type="expression" dxfId="449" priority="433">
      <formula>OR(D169="Show",D169="Hide")</formula>
    </cfRule>
  </conditionalFormatting>
  <conditionalFormatting sqref="D171:N171">
    <cfRule type="expression" dxfId="448" priority="432">
      <formula>OR(D169="Show",D169="Hide")</formula>
    </cfRule>
  </conditionalFormatting>
  <conditionalFormatting sqref="Q169:Z169">
    <cfRule type="expression" dxfId="447" priority="431">
      <formula>OR(Q169="Show",Q169="Hide")</formula>
    </cfRule>
  </conditionalFormatting>
  <conditionalFormatting sqref="Q170:Z170">
    <cfRule type="expression" dxfId="446" priority="430">
      <formula>OR(Q169="Show",Q169="Hide")</formula>
    </cfRule>
  </conditionalFormatting>
  <conditionalFormatting sqref="Q171:Z171">
    <cfRule type="expression" dxfId="445" priority="429">
      <formula>OR(Q169="Show",Q169="Hide")</formula>
    </cfRule>
  </conditionalFormatting>
  <conditionalFormatting sqref="D179:N179">
    <cfRule type="expression" dxfId="444" priority="428">
      <formula>AND(D177="Show",D179="")</formula>
    </cfRule>
  </conditionalFormatting>
  <conditionalFormatting sqref="Q179:Z179">
    <cfRule type="expression" dxfId="443" priority="427">
      <formula>AND(Q177="Show",Q179="")</formula>
    </cfRule>
  </conditionalFormatting>
  <conditionalFormatting sqref="D176:N176 Q176:Z176">
    <cfRule type="cellIs" dxfId="442" priority="421" operator="equal">
      <formula>"Show"</formula>
    </cfRule>
    <cfRule type="cellIs" dxfId="441" priority="423" operator="equal">
      <formula>"Hide"</formula>
    </cfRule>
    <cfRule type="containsBlanks" dxfId="440" priority="425">
      <formula>LEN(TRIM(D176))=0</formula>
    </cfRule>
  </conditionalFormatting>
  <conditionalFormatting sqref="D178:N178">
    <cfRule type="expression" dxfId="439" priority="424">
      <formula>AND(D176="Show",D178="")</formula>
    </cfRule>
  </conditionalFormatting>
  <conditionalFormatting sqref="Q178:Z178">
    <cfRule type="expression" dxfId="438" priority="422">
      <formula>AND(Q176="Show",Q178="")</formula>
    </cfRule>
  </conditionalFormatting>
  <conditionalFormatting sqref="D176:N176">
    <cfRule type="expression" dxfId="437" priority="420">
      <formula>OR(D176="Show",D176="Hide")</formula>
    </cfRule>
  </conditionalFormatting>
  <conditionalFormatting sqref="D177:N177">
    <cfRule type="expression" dxfId="436" priority="419">
      <formula>OR(D176="Show",D176="Hide")</formula>
    </cfRule>
  </conditionalFormatting>
  <conditionalFormatting sqref="D178:N178">
    <cfRule type="expression" dxfId="435" priority="418">
      <formula>OR(D176="Show",D176="Hide")</formula>
    </cfRule>
  </conditionalFormatting>
  <conditionalFormatting sqref="Q176:Z176">
    <cfRule type="expression" dxfId="434" priority="417">
      <formula>OR(Q176="Show",Q176="Hide")</formula>
    </cfRule>
  </conditionalFormatting>
  <conditionalFormatting sqref="Q177:Z177">
    <cfRule type="expression" dxfId="433" priority="416">
      <formula>OR(Q176="Show",Q176="Hide")</formula>
    </cfRule>
  </conditionalFormatting>
  <conditionalFormatting sqref="Q178:Z178">
    <cfRule type="expression" dxfId="432" priority="415">
      <formula>OR(Q176="Show",Q176="Hide")</formula>
    </cfRule>
  </conditionalFormatting>
  <conditionalFormatting sqref="D200:N200">
    <cfRule type="expression" dxfId="431" priority="414">
      <formula>AND(D198="Show",D200="")</formula>
    </cfRule>
  </conditionalFormatting>
  <conditionalFormatting sqref="Q200:Z200">
    <cfRule type="expression" dxfId="430" priority="413">
      <formula>AND(Q198="Show",Q200="")</formula>
    </cfRule>
  </conditionalFormatting>
  <conditionalFormatting sqref="D197:N197 Q197:Z197">
    <cfRule type="cellIs" dxfId="429" priority="407" operator="equal">
      <formula>"Show"</formula>
    </cfRule>
    <cfRule type="cellIs" dxfId="428" priority="409" operator="equal">
      <formula>"Hide"</formula>
    </cfRule>
    <cfRule type="containsBlanks" dxfId="427" priority="411">
      <formula>LEN(TRIM(D197))=0</formula>
    </cfRule>
  </conditionalFormatting>
  <conditionalFormatting sqref="D199:N199">
    <cfRule type="expression" dxfId="426" priority="410">
      <formula>AND(D197="Show",D199="")</formula>
    </cfRule>
  </conditionalFormatting>
  <conditionalFormatting sqref="Q199:Z199">
    <cfRule type="expression" dxfId="425" priority="408">
      <formula>AND(Q197="Show",Q199="")</formula>
    </cfRule>
  </conditionalFormatting>
  <conditionalFormatting sqref="D197:N197">
    <cfRule type="expression" dxfId="424" priority="406">
      <formula>OR(D197="Show",D197="Hide")</formula>
    </cfRule>
  </conditionalFormatting>
  <conditionalFormatting sqref="D198:N198">
    <cfRule type="expression" dxfId="423" priority="405">
      <formula>OR(D197="Show",D197="Hide")</formula>
    </cfRule>
  </conditionalFormatting>
  <conditionalFormatting sqref="D199:N199">
    <cfRule type="expression" dxfId="422" priority="404">
      <formula>OR(D197="Show",D197="Hide")</formula>
    </cfRule>
  </conditionalFormatting>
  <conditionalFormatting sqref="Q197:Z197">
    <cfRule type="expression" dxfId="421" priority="403">
      <formula>OR(Q197="Show",Q197="Hide")</formula>
    </cfRule>
  </conditionalFormatting>
  <conditionalFormatting sqref="Q198:Z198">
    <cfRule type="expression" dxfId="420" priority="402">
      <formula>OR(Q197="Show",Q197="Hide")</formula>
    </cfRule>
  </conditionalFormatting>
  <conditionalFormatting sqref="Q199:Z199">
    <cfRule type="expression" dxfId="419" priority="401">
      <formula>OR(Q197="Show",Q197="Hide")</formula>
    </cfRule>
  </conditionalFormatting>
  <conditionalFormatting sqref="D207:N207">
    <cfRule type="expression" dxfId="418" priority="400">
      <formula>AND(D205="Show",D207="")</formula>
    </cfRule>
  </conditionalFormatting>
  <conditionalFormatting sqref="Q207:Z207">
    <cfRule type="expression" dxfId="417" priority="399">
      <formula>AND(Q205="Show",Q207="")</formula>
    </cfRule>
  </conditionalFormatting>
  <conditionalFormatting sqref="D204:N204 Q204:Z204">
    <cfRule type="cellIs" dxfId="416" priority="393" operator="equal">
      <formula>"Show"</formula>
    </cfRule>
    <cfRule type="cellIs" dxfId="415" priority="395" operator="equal">
      <formula>"Hide"</formula>
    </cfRule>
    <cfRule type="containsBlanks" dxfId="414" priority="397">
      <formula>LEN(TRIM(D204))=0</formula>
    </cfRule>
  </conditionalFormatting>
  <conditionalFormatting sqref="D206:N206">
    <cfRule type="expression" dxfId="413" priority="396">
      <formula>AND(D204="Show",D206="")</formula>
    </cfRule>
  </conditionalFormatting>
  <conditionalFormatting sqref="Q206:Z206">
    <cfRule type="expression" dxfId="412" priority="394">
      <formula>AND(Q204="Show",Q206="")</formula>
    </cfRule>
  </conditionalFormatting>
  <conditionalFormatting sqref="D204:N204">
    <cfRule type="expression" dxfId="411" priority="392">
      <formula>OR(D204="Show",D204="Hide")</formula>
    </cfRule>
  </conditionalFormatting>
  <conditionalFormatting sqref="D205:N205">
    <cfRule type="expression" dxfId="410" priority="391">
      <formula>OR(D204="Show",D204="Hide")</formula>
    </cfRule>
  </conditionalFormatting>
  <conditionalFormatting sqref="D206:N206">
    <cfRule type="expression" dxfId="409" priority="390">
      <formula>OR(D204="Show",D204="Hide")</formula>
    </cfRule>
  </conditionalFormatting>
  <conditionalFormatting sqref="Q204:Z204">
    <cfRule type="expression" dxfId="408" priority="389">
      <formula>OR(Q204="Show",Q204="Hide")</formula>
    </cfRule>
  </conditionalFormatting>
  <conditionalFormatting sqref="Q205:Z205">
    <cfRule type="expression" dxfId="407" priority="388">
      <formula>OR(Q204="Show",Q204="Hide")</formula>
    </cfRule>
  </conditionalFormatting>
  <conditionalFormatting sqref="Q206:Z206">
    <cfRule type="expression" dxfId="406" priority="387">
      <formula>OR(Q204="Show",Q204="Hide")</formula>
    </cfRule>
  </conditionalFormatting>
  <conditionalFormatting sqref="D214:N214">
    <cfRule type="expression" dxfId="405" priority="386">
      <formula>AND(D212="Show",D214="")</formula>
    </cfRule>
  </conditionalFormatting>
  <conditionalFormatting sqref="Q214:Z214">
    <cfRule type="expression" dxfId="404" priority="385">
      <formula>AND(Q212="Show",Q214="")</formula>
    </cfRule>
  </conditionalFormatting>
  <conditionalFormatting sqref="D211:N211 Q211:Z211">
    <cfRule type="cellIs" dxfId="403" priority="379" operator="equal">
      <formula>"Show"</formula>
    </cfRule>
    <cfRule type="cellIs" dxfId="402" priority="381" operator="equal">
      <formula>"Hide"</formula>
    </cfRule>
    <cfRule type="containsBlanks" dxfId="401" priority="383">
      <formula>LEN(TRIM(D211))=0</formula>
    </cfRule>
  </conditionalFormatting>
  <conditionalFormatting sqref="D213:N213">
    <cfRule type="expression" dxfId="400" priority="382">
      <formula>AND(D211="Show",D213="")</formula>
    </cfRule>
  </conditionalFormatting>
  <conditionalFormatting sqref="Q213:Z213">
    <cfRule type="expression" dxfId="399" priority="380">
      <formula>AND(Q211="Show",Q213="")</formula>
    </cfRule>
  </conditionalFormatting>
  <conditionalFormatting sqref="D211:N211">
    <cfRule type="expression" dxfId="398" priority="378">
      <formula>OR(D211="Show",D211="Hide")</formula>
    </cfRule>
  </conditionalFormatting>
  <conditionalFormatting sqref="D212:N212">
    <cfRule type="expression" dxfId="397" priority="377">
      <formula>OR(D211="Show",D211="Hide")</formula>
    </cfRule>
  </conditionalFormatting>
  <conditionalFormatting sqref="D213:N213">
    <cfRule type="expression" dxfId="396" priority="376">
      <formula>OR(D211="Show",D211="Hide")</formula>
    </cfRule>
  </conditionalFormatting>
  <conditionalFormatting sqref="Q211:Z211">
    <cfRule type="expression" dxfId="395" priority="375">
      <formula>OR(Q211="Show",Q211="Hide")</formula>
    </cfRule>
  </conditionalFormatting>
  <conditionalFormatting sqref="Q212:Z212">
    <cfRule type="expression" dxfId="394" priority="374">
      <formula>OR(Q211="Show",Q211="Hide")</formula>
    </cfRule>
  </conditionalFormatting>
  <conditionalFormatting sqref="Q213:Z213">
    <cfRule type="expression" dxfId="393" priority="373">
      <formula>OR(Q211="Show",Q211="Hide")</formula>
    </cfRule>
  </conditionalFormatting>
  <conditionalFormatting sqref="D358:N358">
    <cfRule type="expression" dxfId="392" priority="372">
      <formula>AND(D356="Show",D358="")</formula>
    </cfRule>
  </conditionalFormatting>
  <conditionalFormatting sqref="Q358:Z358">
    <cfRule type="expression" dxfId="391" priority="371">
      <formula>AND(Q356="Show",Q358="")</formula>
    </cfRule>
  </conditionalFormatting>
  <conditionalFormatting sqref="D355:N355 Q355:Z355">
    <cfRule type="cellIs" dxfId="390" priority="365" operator="equal">
      <formula>"Show"</formula>
    </cfRule>
    <cfRule type="cellIs" dxfId="389" priority="367" operator="equal">
      <formula>"Hide"</formula>
    </cfRule>
    <cfRule type="containsBlanks" dxfId="388" priority="369">
      <formula>LEN(TRIM(D355))=0</formula>
    </cfRule>
  </conditionalFormatting>
  <conditionalFormatting sqref="D357:N357">
    <cfRule type="expression" dxfId="387" priority="368">
      <formula>AND(D355="Show",D357="")</formula>
    </cfRule>
  </conditionalFormatting>
  <conditionalFormatting sqref="Q357:Z357">
    <cfRule type="expression" dxfId="386" priority="366">
      <formula>AND(Q355="Show",Q357="")</formula>
    </cfRule>
  </conditionalFormatting>
  <conditionalFormatting sqref="D355:N355">
    <cfRule type="expression" dxfId="385" priority="364">
      <formula>OR(D355="Show",D355="Hide")</formula>
    </cfRule>
  </conditionalFormatting>
  <conditionalFormatting sqref="D356:N356">
    <cfRule type="expression" dxfId="384" priority="363">
      <formula>OR(D355="Show",D355="Hide")</formula>
    </cfRule>
  </conditionalFormatting>
  <conditionalFormatting sqref="D357:N357">
    <cfRule type="expression" dxfId="383" priority="362">
      <formula>OR(D355="Show",D355="Hide")</formula>
    </cfRule>
  </conditionalFormatting>
  <conditionalFormatting sqref="Q355:Z355">
    <cfRule type="expression" dxfId="382" priority="361">
      <formula>OR(Q355="Show",Q355="Hide")</formula>
    </cfRule>
  </conditionalFormatting>
  <conditionalFormatting sqref="Q356:Z356">
    <cfRule type="expression" dxfId="381" priority="360">
      <formula>OR(Q355="Show",Q355="Hide")</formula>
    </cfRule>
  </conditionalFormatting>
  <conditionalFormatting sqref="Q357:Z357">
    <cfRule type="expression" dxfId="380" priority="359">
      <formula>OR(Q355="Show",Q355="Hide")</formula>
    </cfRule>
  </conditionalFormatting>
  <conditionalFormatting sqref="D365:N365">
    <cfRule type="expression" dxfId="379" priority="358">
      <formula>AND(D363="Show",D365="")</formula>
    </cfRule>
  </conditionalFormatting>
  <conditionalFormatting sqref="Q365:Z365">
    <cfRule type="expression" dxfId="378" priority="357">
      <formula>AND(Q363="Show",Q365="")</formula>
    </cfRule>
  </conditionalFormatting>
  <conditionalFormatting sqref="D362:N362 Q362:Z362">
    <cfRule type="cellIs" dxfId="377" priority="351" operator="equal">
      <formula>"Show"</formula>
    </cfRule>
    <cfRule type="cellIs" dxfId="376" priority="353" operator="equal">
      <formula>"Hide"</formula>
    </cfRule>
    <cfRule type="containsBlanks" dxfId="375" priority="355">
      <formula>LEN(TRIM(D362))=0</formula>
    </cfRule>
  </conditionalFormatting>
  <conditionalFormatting sqref="D364:N364">
    <cfRule type="expression" dxfId="374" priority="354">
      <formula>AND(D362="Show",D364="")</formula>
    </cfRule>
  </conditionalFormatting>
  <conditionalFormatting sqref="Q364:Z364">
    <cfRule type="expression" dxfId="373" priority="352">
      <formula>AND(Q362="Show",Q364="")</formula>
    </cfRule>
  </conditionalFormatting>
  <conditionalFormatting sqref="D362:N362">
    <cfRule type="expression" dxfId="372" priority="350">
      <formula>OR(D362="Show",D362="Hide")</formula>
    </cfRule>
  </conditionalFormatting>
  <conditionalFormatting sqref="D363:N363">
    <cfRule type="expression" dxfId="371" priority="349">
      <formula>OR(D362="Show",D362="Hide")</formula>
    </cfRule>
  </conditionalFormatting>
  <conditionalFormatting sqref="D364:N364">
    <cfRule type="expression" dxfId="370" priority="348">
      <formula>OR(D362="Show",D362="Hide")</formula>
    </cfRule>
  </conditionalFormatting>
  <conditionalFormatting sqref="Q362:Z362">
    <cfRule type="expression" dxfId="369" priority="347">
      <formula>OR(Q362="Show",Q362="Hide")</formula>
    </cfRule>
  </conditionalFormatting>
  <conditionalFormatting sqref="Q363:Z363">
    <cfRule type="expression" dxfId="368" priority="346">
      <formula>OR(Q362="Show",Q362="Hide")</formula>
    </cfRule>
  </conditionalFormatting>
  <conditionalFormatting sqref="Q364:Z364">
    <cfRule type="expression" dxfId="367" priority="345">
      <formula>OR(Q362="Show",Q362="Hide")</formula>
    </cfRule>
  </conditionalFormatting>
  <conditionalFormatting sqref="D372:N372">
    <cfRule type="expression" dxfId="366" priority="344">
      <formula>AND(D370="Show",D372="")</formula>
    </cfRule>
  </conditionalFormatting>
  <conditionalFormatting sqref="Q372:Z372">
    <cfRule type="expression" dxfId="365" priority="343">
      <formula>AND(Q370="Show",Q372="")</formula>
    </cfRule>
  </conditionalFormatting>
  <conditionalFormatting sqref="D369:N369 Q369:Z369">
    <cfRule type="cellIs" dxfId="364" priority="337" operator="equal">
      <formula>"Show"</formula>
    </cfRule>
    <cfRule type="cellIs" dxfId="363" priority="339" operator="equal">
      <formula>"Hide"</formula>
    </cfRule>
    <cfRule type="containsBlanks" dxfId="362" priority="341">
      <formula>LEN(TRIM(D369))=0</formula>
    </cfRule>
  </conditionalFormatting>
  <conditionalFormatting sqref="D371:N371">
    <cfRule type="expression" dxfId="361" priority="340">
      <formula>AND(D369="Show",D371="")</formula>
    </cfRule>
  </conditionalFormatting>
  <conditionalFormatting sqref="Q371:Z371">
    <cfRule type="expression" dxfId="360" priority="338">
      <formula>AND(Q369="Show",Q371="")</formula>
    </cfRule>
  </conditionalFormatting>
  <conditionalFormatting sqref="D369:N369">
    <cfRule type="expression" dxfId="359" priority="336">
      <formula>OR(D369="Show",D369="Hide")</formula>
    </cfRule>
  </conditionalFormatting>
  <conditionalFormatting sqref="D370:N370">
    <cfRule type="expression" dxfId="358" priority="335">
      <formula>OR(D369="Show",D369="Hide")</formula>
    </cfRule>
  </conditionalFormatting>
  <conditionalFormatting sqref="D371:N371">
    <cfRule type="expression" dxfId="357" priority="334">
      <formula>OR(D369="Show",D369="Hide")</formula>
    </cfRule>
  </conditionalFormatting>
  <conditionalFormatting sqref="Q369:Z369">
    <cfRule type="expression" dxfId="356" priority="333">
      <formula>OR(Q369="Show",Q369="Hide")</formula>
    </cfRule>
  </conditionalFormatting>
  <conditionalFormatting sqref="Q370:Z370">
    <cfRule type="expression" dxfId="355" priority="332">
      <formula>OR(Q369="Show",Q369="Hide")</formula>
    </cfRule>
  </conditionalFormatting>
  <conditionalFormatting sqref="Q371:Z371">
    <cfRule type="expression" dxfId="354" priority="331">
      <formula>OR(Q369="Show",Q369="Hide")</formula>
    </cfRule>
  </conditionalFormatting>
  <conditionalFormatting sqref="B112:B114">
    <cfRule type="containsBlanks" dxfId="353" priority="330">
      <formula>LEN(TRIM(B112))=0</formula>
    </cfRule>
  </conditionalFormatting>
  <conditionalFormatting sqref="B255:B256 B274">
    <cfRule type="containsBlanks" dxfId="352" priority="329">
      <formula>LEN(TRIM(B255))=0</formula>
    </cfRule>
  </conditionalFormatting>
  <conditionalFormatting sqref="B374:B379">
    <cfRule type="containsBlanks" dxfId="351" priority="328">
      <formula>LEN(TRIM(B374))=0</formula>
    </cfRule>
  </conditionalFormatting>
  <conditionalFormatting sqref="B314:B316">
    <cfRule type="containsBlanks" dxfId="350" priority="327">
      <formula>LEN(TRIM(B314))=0</formula>
    </cfRule>
  </conditionalFormatting>
  <conditionalFormatting sqref="D390:N390">
    <cfRule type="expression" dxfId="349" priority="325">
      <formula>AND(D388="Show",D390="")</formula>
    </cfRule>
  </conditionalFormatting>
  <conditionalFormatting sqref="Q390:Z390">
    <cfRule type="expression" dxfId="348" priority="324">
      <formula>AND(Q388="Show",Q390="")</formula>
    </cfRule>
  </conditionalFormatting>
  <conditionalFormatting sqref="D387:N387 Q387:Z387">
    <cfRule type="cellIs" dxfId="347" priority="318" operator="equal">
      <formula>"Show"</formula>
    </cfRule>
    <cfRule type="cellIs" dxfId="346" priority="320" operator="equal">
      <formula>"Hide"</formula>
    </cfRule>
    <cfRule type="containsBlanks" dxfId="345" priority="322">
      <formula>LEN(TRIM(D387))=0</formula>
    </cfRule>
  </conditionalFormatting>
  <conditionalFormatting sqref="D389:N389">
    <cfRule type="expression" dxfId="344" priority="321">
      <formula>AND(D387="Show",D389="")</formula>
    </cfRule>
  </conditionalFormatting>
  <conditionalFormatting sqref="Q389:Z389">
    <cfRule type="expression" dxfId="343" priority="319">
      <formula>AND(Q387="Show",Q389="")</formula>
    </cfRule>
  </conditionalFormatting>
  <conditionalFormatting sqref="D387:N387">
    <cfRule type="expression" dxfId="342" priority="317">
      <formula>OR(D387="Show",D387="Hide")</formula>
    </cfRule>
  </conditionalFormatting>
  <conditionalFormatting sqref="D388:N388">
    <cfRule type="expression" dxfId="341" priority="316">
      <formula>OR(D387="Show",D387="Hide")</formula>
    </cfRule>
  </conditionalFormatting>
  <conditionalFormatting sqref="D389:N389">
    <cfRule type="expression" dxfId="340" priority="315">
      <formula>OR(D387="Show",D387="Hide")</formula>
    </cfRule>
  </conditionalFormatting>
  <conditionalFormatting sqref="Q387:Z387">
    <cfRule type="expression" dxfId="339" priority="314">
      <formula>OR(Q387="Show",Q387="Hide")</formula>
    </cfRule>
  </conditionalFormatting>
  <conditionalFormatting sqref="Q388:Z388">
    <cfRule type="expression" dxfId="338" priority="313">
      <formula>OR(Q387="Show",Q387="Hide")</formula>
    </cfRule>
  </conditionalFormatting>
  <conditionalFormatting sqref="Q389:Z389">
    <cfRule type="expression" dxfId="337" priority="312">
      <formula>OR(Q387="Show",Q387="Hide")</formula>
    </cfRule>
  </conditionalFormatting>
  <conditionalFormatting sqref="D397:N397">
    <cfRule type="expression" dxfId="336" priority="311">
      <formula>AND(D395="Show",D397="")</formula>
    </cfRule>
  </conditionalFormatting>
  <conditionalFormatting sqref="Q397:Z397">
    <cfRule type="expression" dxfId="335" priority="310">
      <formula>AND(Q395="Show",Q397="")</formula>
    </cfRule>
  </conditionalFormatting>
  <conditionalFormatting sqref="D394:N394 Q394:Z394">
    <cfRule type="cellIs" dxfId="334" priority="304" operator="equal">
      <formula>"Show"</formula>
    </cfRule>
    <cfRule type="cellIs" dxfId="333" priority="306" operator="equal">
      <formula>"Hide"</formula>
    </cfRule>
    <cfRule type="containsBlanks" dxfId="332" priority="308">
      <formula>LEN(TRIM(D394))=0</formula>
    </cfRule>
  </conditionalFormatting>
  <conditionalFormatting sqref="D396:N396">
    <cfRule type="expression" dxfId="331" priority="307">
      <formula>AND(D394="Show",D396="")</formula>
    </cfRule>
  </conditionalFormatting>
  <conditionalFormatting sqref="Q396:Z396">
    <cfRule type="expression" dxfId="330" priority="305">
      <formula>AND(Q394="Show",Q396="")</formula>
    </cfRule>
  </conditionalFormatting>
  <conditionalFormatting sqref="D394:N394">
    <cfRule type="expression" dxfId="329" priority="303">
      <formula>OR(D394="Show",D394="Hide")</formula>
    </cfRule>
  </conditionalFormatting>
  <conditionalFormatting sqref="D395:N395">
    <cfRule type="expression" dxfId="328" priority="302">
      <formula>OR(D394="Show",D394="Hide")</formula>
    </cfRule>
  </conditionalFormatting>
  <conditionalFormatting sqref="D396:N396">
    <cfRule type="expression" dxfId="327" priority="301">
      <formula>OR(D394="Show",D394="Hide")</formula>
    </cfRule>
  </conditionalFormatting>
  <conditionalFormatting sqref="Q394:Z394">
    <cfRule type="expression" dxfId="326" priority="300">
      <formula>OR(Q394="Show",Q394="Hide")</formula>
    </cfRule>
  </conditionalFormatting>
  <conditionalFormatting sqref="Q395:Z395">
    <cfRule type="expression" dxfId="325" priority="299">
      <formula>OR(Q394="Show",Q394="Hide")</formula>
    </cfRule>
  </conditionalFormatting>
  <conditionalFormatting sqref="Q396:Z396">
    <cfRule type="expression" dxfId="324" priority="298">
      <formula>OR(Q394="Show",Q394="Hide")</formula>
    </cfRule>
  </conditionalFormatting>
  <conditionalFormatting sqref="D404:N404">
    <cfRule type="expression" dxfId="323" priority="297">
      <formula>AND(D402="Show",D404="")</formula>
    </cfRule>
  </conditionalFormatting>
  <conditionalFormatting sqref="Q404:Z404">
    <cfRule type="expression" dxfId="322" priority="296">
      <formula>AND(Q402="Show",Q404="")</formula>
    </cfRule>
  </conditionalFormatting>
  <conditionalFormatting sqref="D401:N401 Q401:Z401">
    <cfRule type="cellIs" dxfId="321" priority="290" operator="equal">
      <formula>"Show"</formula>
    </cfRule>
    <cfRule type="cellIs" dxfId="320" priority="292" operator="equal">
      <formula>"Hide"</formula>
    </cfRule>
    <cfRule type="containsBlanks" dxfId="319" priority="294">
      <formula>LEN(TRIM(D401))=0</formula>
    </cfRule>
  </conditionalFormatting>
  <conditionalFormatting sqref="D403:N403">
    <cfRule type="expression" dxfId="318" priority="293">
      <formula>AND(D401="Show",D403="")</formula>
    </cfRule>
  </conditionalFormatting>
  <conditionalFormatting sqref="Q403:Z403">
    <cfRule type="expression" dxfId="317" priority="291">
      <formula>AND(Q401="Show",Q403="")</formula>
    </cfRule>
  </conditionalFormatting>
  <conditionalFormatting sqref="D401:N401">
    <cfRule type="expression" dxfId="316" priority="289">
      <formula>OR(D401="Show",D401="Hide")</formula>
    </cfRule>
  </conditionalFormatting>
  <conditionalFormatting sqref="D402:N402">
    <cfRule type="expression" dxfId="315" priority="288">
      <formula>OR(D401="Show",D401="Hide")</formula>
    </cfRule>
  </conditionalFormatting>
  <conditionalFormatting sqref="D403:N403">
    <cfRule type="expression" dxfId="314" priority="287">
      <formula>OR(D401="Show",D401="Hide")</formula>
    </cfRule>
  </conditionalFormatting>
  <conditionalFormatting sqref="Q401:Z401">
    <cfRule type="expression" dxfId="313" priority="286">
      <formula>OR(Q401="Show",Q401="Hide")</formula>
    </cfRule>
  </conditionalFormatting>
  <conditionalFormatting sqref="Q402:Z402">
    <cfRule type="expression" dxfId="312" priority="285">
      <formula>OR(Q401="Show",Q401="Hide")</formula>
    </cfRule>
  </conditionalFormatting>
  <conditionalFormatting sqref="Q403:Z403">
    <cfRule type="expression" dxfId="311" priority="284">
      <formula>OR(Q401="Show",Q401="Hide")</formula>
    </cfRule>
  </conditionalFormatting>
  <conditionalFormatting sqref="D448:N448">
    <cfRule type="expression" dxfId="310" priority="283">
      <formula>AND(D446="Show",D448="")</formula>
    </cfRule>
  </conditionalFormatting>
  <conditionalFormatting sqref="Q448:Z448">
    <cfRule type="expression" dxfId="309" priority="282">
      <formula>AND(Q446="Show",Q448="")</formula>
    </cfRule>
  </conditionalFormatting>
  <conditionalFormatting sqref="D445:N445 Q445:Z445">
    <cfRule type="cellIs" dxfId="308" priority="276" operator="equal">
      <formula>"Show"</formula>
    </cfRule>
    <cfRule type="cellIs" dxfId="307" priority="278" operator="equal">
      <formula>"Hide"</formula>
    </cfRule>
    <cfRule type="containsBlanks" dxfId="306" priority="280">
      <formula>LEN(TRIM(D445))=0</formula>
    </cfRule>
  </conditionalFormatting>
  <conditionalFormatting sqref="D447:N447">
    <cfRule type="expression" dxfId="305" priority="279">
      <formula>AND(D445="Show",D447="")</formula>
    </cfRule>
  </conditionalFormatting>
  <conditionalFormatting sqref="Q447:Z447">
    <cfRule type="expression" dxfId="304" priority="277">
      <formula>AND(Q445="Show",Q447="")</formula>
    </cfRule>
  </conditionalFormatting>
  <conditionalFormatting sqref="D445:N445">
    <cfRule type="expression" dxfId="303" priority="275">
      <formula>OR(D445="Show",D445="Hide")</formula>
    </cfRule>
  </conditionalFormatting>
  <conditionalFormatting sqref="D446:N446">
    <cfRule type="expression" dxfId="302" priority="274">
      <formula>OR(D445="Show",D445="Hide")</formula>
    </cfRule>
  </conditionalFormatting>
  <conditionalFormatting sqref="D447:N447">
    <cfRule type="expression" dxfId="301" priority="273">
      <formula>OR(D445="Show",D445="Hide")</formula>
    </cfRule>
  </conditionalFormatting>
  <conditionalFormatting sqref="Q445:Z445">
    <cfRule type="expression" dxfId="300" priority="272">
      <formula>OR(Q445="Show",Q445="Hide")</formula>
    </cfRule>
  </conditionalFormatting>
  <conditionalFormatting sqref="Q446:Z446">
    <cfRule type="expression" dxfId="299" priority="271">
      <formula>OR(Q445="Show",Q445="Hide")</formula>
    </cfRule>
  </conditionalFormatting>
  <conditionalFormatting sqref="Q447:Z447">
    <cfRule type="expression" dxfId="298" priority="270">
      <formula>OR(Q445="Show",Q445="Hide")</formula>
    </cfRule>
  </conditionalFormatting>
  <conditionalFormatting sqref="D455:N455">
    <cfRule type="expression" dxfId="297" priority="269">
      <formula>AND(D453="Show",D455="")</formula>
    </cfRule>
  </conditionalFormatting>
  <conditionalFormatting sqref="Q455:Z455">
    <cfRule type="expression" dxfId="296" priority="268">
      <formula>AND(Q453="Show",Q455="")</formula>
    </cfRule>
  </conditionalFormatting>
  <conditionalFormatting sqref="D452:N452 Q452:Z452">
    <cfRule type="cellIs" dxfId="295" priority="262" operator="equal">
      <formula>"Show"</formula>
    </cfRule>
    <cfRule type="cellIs" dxfId="294" priority="264" operator="equal">
      <formula>"Hide"</formula>
    </cfRule>
    <cfRule type="containsBlanks" dxfId="293" priority="266">
      <formula>LEN(TRIM(D452))=0</formula>
    </cfRule>
  </conditionalFormatting>
  <conditionalFormatting sqref="D454:N454">
    <cfRule type="expression" dxfId="292" priority="265">
      <formula>AND(D452="Show",D454="")</formula>
    </cfRule>
  </conditionalFormatting>
  <conditionalFormatting sqref="Q454:Z454">
    <cfRule type="expression" dxfId="291" priority="263">
      <formula>AND(Q452="Show",Q454="")</formula>
    </cfRule>
  </conditionalFormatting>
  <conditionalFormatting sqref="D452:N452">
    <cfRule type="expression" dxfId="290" priority="261">
      <formula>OR(D452="Show",D452="Hide")</formula>
    </cfRule>
  </conditionalFormatting>
  <conditionalFormatting sqref="D453:N453">
    <cfRule type="expression" dxfId="289" priority="260">
      <formula>OR(D452="Show",D452="Hide")</formula>
    </cfRule>
  </conditionalFormatting>
  <conditionalFormatting sqref="D454:N454">
    <cfRule type="expression" dxfId="288" priority="259">
      <formula>OR(D452="Show",D452="Hide")</formula>
    </cfRule>
  </conditionalFormatting>
  <conditionalFormatting sqref="Q452:Z452">
    <cfRule type="expression" dxfId="287" priority="258">
      <formula>OR(Q452="Show",Q452="Hide")</formula>
    </cfRule>
  </conditionalFormatting>
  <conditionalFormatting sqref="Q453:Z453">
    <cfRule type="expression" dxfId="286" priority="257">
      <formula>OR(Q452="Show",Q452="Hide")</formula>
    </cfRule>
  </conditionalFormatting>
  <conditionalFormatting sqref="Q454:Z454">
    <cfRule type="expression" dxfId="285" priority="256">
      <formula>OR(Q452="Show",Q452="Hide")</formula>
    </cfRule>
  </conditionalFormatting>
  <conditionalFormatting sqref="D462:N462">
    <cfRule type="expression" dxfId="284" priority="255">
      <formula>AND(D460="Show",D462="")</formula>
    </cfRule>
  </conditionalFormatting>
  <conditionalFormatting sqref="Q462:Z462">
    <cfRule type="expression" dxfId="283" priority="254">
      <formula>AND(Q460="Show",Q462="")</formula>
    </cfRule>
  </conditionalFormatting>
  <conditionalFormatting sqref="D459:N459 Q459:Z459">
    <cfRule type="cellIs" dxfId="282" priority="248" operator="equal">
      <formula>"Show"</formula>
    </cfRule>
    <cfRule type="cellIs" dxfId="281" priority="250" operator="equal">
      <formula>"Hide"</formula>
    </cfRule>
    <cfRule type="containsBlanks" dxfId="280" priority="252">
      <formula>LEN(TRIM(D459))=0</formula>
    </cfRule>
  </conditionalFormatting>
  <conditionalFormatting sqref="D461:N461">
    <cfRule type="expression" dxfId="279" priority="251">
      <formula>AND(D459="Show",D461="")</formula>
    </cfRule>
  </conditionalFormatting>
  <conditionalFormatting sqref="Q461:Z461">
    <cfRule type="expression" dxfId="278" priority="249">
      <formula>AND(Q459="Show",Q461="")</formula>
    </cfRule>
  </conditionalFormatting>
  <conditionalFormatting sqref="D459:N459">
    <cfRule type="expression" dxfId="277" priority="247">
      <formula>OR(D459="Show",D459="Hide")</formula>
    </cfRule>
  </conditionalFormatting>
  <conditionalFormatting sqref="D460:N460">
    <cfRule type="expression" dxfId="276" priority="246">
      <formula>OR(D459="Show",D459="Hide")</formula>
    </cfRule>
  </conditionalFormatting>
  <conditionalFormatting sqref="D461:N461">
    <cfRule type="expression" dxfId="275" priority="245">
      <formula>OR(D459="Show",D459="Hide")</formula>
    </cfRule>
  </conditionalFormatting>
  <conditionalFormatting sqref="Q459:Z459">
    <cfRule type="expression" dxfId="274" priority="244">
      <formula>OR(Q459="Show",Q459="Hide")</formula>
    </cfRule>
  </conditionalFormatting>
  <conditionalFormatting sqref="Q460:Z460">
    <cfRule type="expression" dxfId="273" priority="243">
      <formula>OR(Q459="Show",Q459="Hide")</formula>
    </cfRule>
  </conditionalFormatting>
  <conditionalFormatting sqref="Q461:Z461">
    <cfRule type="expression" dxfId="272" priority="242">
      <formula>OR(Q459="Show",Q459="Hide")</formula>
    </cfRule>
  </conditionalFormatting>
  <conditionalFormatting sqref="B436">
    <cfRule type="containsBlanks" dxfId="271" priority="241">
      <formula>LEN(TRIM(B436))=0</formula>
    </cfRule>
  </conditionalFormatting>
  <conditionalFormatting sqref="D532:Z532">
    <cfRule type="expression" dxfId="270" priority="240">
      <formula>$B$436=0</formula>
    </cfRule>
  </conditionalFormatting>
  <conditionalFormatting sqref="E66:Z68">
    <cfRule type="containsBlanks" dxfId="269" priority="239">
      <formula>LEN(TRIM(E66))=0</formula>
    </cfRule>
  </conditionalFormatting>
  <conditionalFormatting sqref="B72">
    <cfRule type="containsBlanks" dxfId="268" priority="237">
      <formula>LEN(TRIM(B72))=0</formula>
    </cfRule>
  </conditionalFormatting>
  <conditionalFormatting sqref="B48:B64">
    <cfRule type="expression" dxfId="267" priority="232">
      <formula>B48=FALSE</formula>
    </cfRule>
  </conditionalFormatting>
  <conditionalFormatting sqref="B184:B186">
    <cfRule type="containsBlanks" dxfId="266" priority="224">
      <formula>LEN(TRIM(B184))=0</formula>
    </cfRule>
  </conditionalFormatting>
  <conditionalFormatting sqref="E184:Z184">
    <cfRule type="containsBlanks" dxfId="265" priority="223">
      <formula>LEN(TRIM(E184))=0</formula>
    </cfRule>
  </conditionalFormatting>
  <conditionalFormatting sqref="B184:B186">
    <cfRule type="containsBlanks" dxfId="264" priority="222">
      <formula>LEN(TRIM(B184))=0</formula>
    </cfRule>
  </conditionalFormatting>
  <conditionalFormatting sqref="E185:Z186">
    <cfRule type="containsBlanks" dxfId="263" priority="221">
      <formula>LEN(TRIM(E185))=0</formula>
    </cfRule>
  </conditionalFormatting>
  <conditionalFormatting sqref="B79">
    <cfRule type="containsBlanks" dxfId="262" priority="216">
      <formula>LEN(TRIM(B79))=0</formula>
    </cfRule>
  </conditionalFormatting>
  <conditionalFormatting sqref="B86">
    <cfRule type="containsBlanks" dxfId="261" priority="215">
      <formula>LEN(TRIM(B86))=0</formula>
    </cfRule>
  </conditionalFormatting>
  <conditionalFormatting sqref="B120">
    <cfRule type="containsBlanks" dxfId="260" priority="214">
      <formula>LEN(TRIM(B120))=0</formula>
    </cfRule>
  </conditionalFormatting>
  <conditionalFormatting sqref="B133">
    <cfRule type="containsBlanks" dxfId="259" priority="211">
      <formula>LEN(TRIM(B133))=0</formula>
    </cfRule>
  </conditionalFormatting>
  <conditionalFormatting sqref="B140">
    <cfRule type="containsBlanks" dxfId="258" priority="210">
      <formula>LEN(TRIM(B140))=0</formula>
    </cfRule>
  </conditionalFormatting>
  <conditionalFormatting sqref="B147">
    <cfRule type="containsBlanks" dxfId="257" priority="209">
      <formula>LEN(TRIM(B147))=0</formula>
    </cfRule>
  </conditionalFormatting>
  <conditionalFormatting sqref="B162">
    <cfRule type="containsBlanks" dxfId="256" priority="208">
      <formula>LEN(TRIM(B162))=0</formula>
    </cfRule>
  </conditionalFormatting>
  <conditionalFormatting sqref="B169">
    <cfRule type="containsBlanks" dxfId="255" priority="207">
      <formula>LEN(TRIM(B169))=0</formula>
    </cfRule>
  </conditionalFormatting>
  <conditionalFormatting sqref="B176">
    <cfRule type="containsBlanks" dxfId="254" priority="206">
      <formula>LEN(TRIM(B176))=0</formula>
    </cfRule>
  </conditionalFormatting>
  <conditionalFormatting sqref="B197">
    <cfRule type="containsBlanks" dxfId="253" priority="205">
      <formula>LEN(TRIM(B197))=0</formula>
    </cfRule>
  </conditionalFormatting>
  <conditionalFormatting sqref="B204">
    <cfRule type="containsBlanks" dxfId="252" priority="204">
      <formula>LEN(TRIM(B204))=0</formula>
    </cfRule>
  </conditionalFormatting>
  <conditionalFormatting sqref="B211">
    <cfRule type="containsBlanks" dxfId="251" priority="203">
      <formula>LEN(TRIM(B211))=0</formula>
    </cfRule>
  </conditionalFormatting>
  <conditionalFormatting sqref="B355">
    <cfRule type="containsBlanks" dxfId="250" priority="202">
      <formula>LEN(TRIM(B355))=0</formula>
    </cfRule>
  </conditionalFormatting>
  <conditionalFormatting sqref="B362">
    <cfRule type="containsBlanks" dxfId="249" priority="201">
      <formula>LEN(TRIM(B362))=0</formula>
    </cfRule>
  </conditionalFormatting>
  <conditionalFormatting sqref="B369">
    <cfRule type="containsBlanks" dxfId="248" priority="200">
      <formula>LEN(TRIM(B369))=0</formula>
    </cfRule>
  </conditionalFormatting>
  <conditionalFormatting sqref="B387">
    <cfRule type="containsBlanks" dxfId="247" priority="199">
      <formula>LEN(TRIM(B387))=0</formula>
    </cfRule>
  </conditionalFormatting>
  <conditionalFormatting sqref="B394">
    <cfRule type="containsBlanks" dxfId="246" priority="198">
      <formula>LEN(TRIM(B394))=0</formula>
    </cfRule>
  </conditionalFormatting>
  <conditionalFormatting sqref="B401">
    <cfRule type="containsBlanks" dxfId="245" priority="197">
      <formula>LEN(TRIM(B401))=0</formula>
    </cfRule>
  </conditionalFormatting>
  <conditionalFormatting sqref="B445">
    <cfRule type="containsBlanks" dxfId="244" priority="196">
      <formula>LEN(TRIM(B445))=0</formula>
    </cfRule>
  </conditionalFormatting>
  <conditionalFormatting sqref="B452">
    <cfRule type="containsBlanks" dxfId="243" priority="195">
      <formula>LEN(TRIM(B452))=0</formula>
    </cfRule>
  </conditionalFormatting>
  <conditionalFormatting sqref="B459">
    <cfRule type="containsBlanks" dxfId="242" priority="194">
      <formula>LEN(TRIM(B459))=0</formula>
    </cfRule>
  </conditionalFormatting>
  <conditionalFormatting sqref="B312">
    <cfRule type="containsBlanks" dxfId="241" priority="187">
      <formula>LEN(TRIM(B312))=0</formula>
    </cfRule>
  </conditionalFormatting>
  <conditionalFormatting sqref="B312">
    <cfRule type="containsBlanks" dxfId="240" priority="186">
      <formula>LEN(TRIM(B312))=0</formula>
    </cfRule>
  </conditionalFormatting>
  <conditionalFormatting sqref="I187">
    <cfRule type="containsBlanks" dxfId="239" priority="185">
      <formula>LEN(TRIM(I187))=0</formula>
    </cfRule>
  </conditionalFormatting>
  <conditionalFormatting sqref="B222:B226">
    <cfRule type="containsBlanks" dxfId="238" priority="180">
      <formula>LEN(TRIM(B222))=0</formula>
    </cfRule>
  </conditionalFormatting>
  <conditionalFormatting sqref="E224:Z226">
    <cfRule type="containsBlanks" dxfId="237" priority="179">
      <formula>LEN(TRIM(E224))=0</formula>
    </cfRule>
  </conditionalFormatting>
  <conditionalFormatting sqref="B224:B226">
    <cfRule type="containsBlanks" dxfId="236" priority="177">
      <formula>LEN(TRIM(B224))=0</formula>
    </cfRule>
  </conditionalFormatting>
  <conditionalFormatting sqref="D233:N233">
    <cfRule type="expression" dxfId="235" priority="174">
      <formula>AND(D231="Show",D233="")</formula>
    </cfRule>
  </conditionalFormatting>
  <conditionalFormatting sqref="Q233:Z233">
    <cfRule type="expression" dxfId="234" priority="173">
      <formula>AND(Q231="Show",Q233="")</formula>
    </cfRule>
  </conditionalFormatting>
  <conditionalFormatting sqref="D230:N230 Q230:Z230">
    <cfRule type="cellIs" dxfId="233" priority="168" operator="equal">
      <formula>"Show"</formula>
    </cfRule>
    <cfRule type="cellIs" dxfId="232" priority="170" operator="equal">
      <formula>"Hide"</formula>
    </cfRule>
    <cfRule type="containsBlanks" dxfId="231" priority="172">
      <formula>LEN(TRIM(D230))=0</formula>
    </cfRule>
  </conditionalFormatting>
  <conditionalFormatting sqref="D232:N232">
    <cfRule type="expression" dxfId="230" priority="171">
      <formula>AND(D230="Show",D232="")</formula>
    </cfRule>
  </conditionalFormatting>
  <conditionalFormatting sqref="Q232:Z232">
    <cfRule type="expression" dxfId="229" priority="169">
      <formula>AND(Q230="Show",Q232="")</formula>
    </cfRule>
  </conditionalFormatting>
  <conditionalFormatting sqref="D230:N230">
    <cfRule type="expression" dxfId="228" priority="167">
      <formula>OR(D230="Show",D230="Hide")</formula>
    </cfRule>
  </conditionalFormatting>
  <conditionalFormatting sqref="D231:N231">
    <cfRule type="expression" dxfId="227" priority="166">
      <formula>OR(D230="Show",D230="Hide")</formula>
    </cfRule>
  </conditionalFormatting>
  <conditionalFormatting sqref="D232:N232">
    <cfRule type="expression" dxfId="226" priority="165">
      <formula>OR(D230="Show",D230="Hide")</formula>
    </cfRule>
  </conditionalFormatting>
  <conditionalFormatting sqref="Q230:Z230">
    <cfRule type="expression" dxfId="225" priority="164">
      <formula>OR(Q230="Show",Q230="Hide")</formula>
    </cfRule>
  </conditionalFormatting>
  <conditionalFormatting sqref="Q231:Z231">
    <cfRule type="expression" dxfId="224" priority="163">
      <formula>OR(Q230="Show",Q230="Hide")</formula>
    </cfRule>
  </conditionalFormatting>
  <conditionalFormatting sqref="Q232:Z232">
    <cfRule type="expression" dxfId="223" priority="162">
      <formula>OR(Q230="Show",Q230="Hide")</formula>
    </cfRule>
  </conditionalFormatting>
  <conditionalFormatting sqref="D240:N240">
    <cfRule type="expression" dxfId="222" priority="161">
      <formula>AND(D238="Show",D240="")</formula>
    </cfRule>
  </conditionalFormatting>
  <conditionalFormatting sqref="Q240:Z240">
    <cfRule type="expression" dxfId="221" priority="160">
      <formula>AND(Q238="Show",Q240="")</formula>
    </cfRule>
  </conditionalFormatting>
  <conditionalFormatting sqref="D237:N237 Q237:Z237">
    <cfRule type="cellIs" dxfId="220" priority="155" operator="equal">
      <formula>"Show"</formula>
    </cfRule>
    <cfRule type="cellIs" dxfId="219" priority="157" operator="equal">
      <formula>"Hide"</formula>
    </cfRule>
    <cfRule type="containsBlanks" dxfId="218" priority="159">
      <formula>LEN(TRIM(D237))=0</formula>
    </cfRule>
  </conditionalFormatting>
  <conditionalFormatting sqref="D239:N239">
    <cfRule type="expression" dxfId="217" priority="158">
      <formula>AND(D237="Show",D239="")</formula>
    </cfRule>
  </conditionalFormatting>
  <conditionalFormatting sqref="Q239:Z239">
    <cfRule type="expression" dxfId="216" priority="156">
      <formula>AND(Q237="Show",Q239="")</formula>
    </cfRule>
  </conditionalFormatting>
  <conditionalFormatting sqref="D237:N237">
    <cfRule type="expression" dxfId="215" priority="154">
      <formula>OR(D237="Show",D237="Hide")</formula>
    </cfRule>
  </conditionalFormatting>
  <conditionalFormatting sqref="D238:N238">
    <cfRule type="expression" dxfId="214" priority="153">
      <formula>OR(D237="Show",D237="Hide")</formula>
    </cfRule>
  </conditionalFormatting>
  <conditionalFormatting sqref="D239:N239">
    <cfRule type="expression" dxfId="213" priority="152">
      <formula>OR(D237="Show",D237="Hide")</formula>
    </cfRule>
  </conditionalFormatting>
  <conditionalFormatting sqref="Q237:Z237">
    <cfRule type="expression" dxfId="212" priority="151">
      <formula>OR(Q237="Show",Q237="Hide")</formula>
    </cfRule>
  </conditionalFormatting>
  <conditionalFormatting sqref="Q238:Z238">
    <cfRule type="expression" dxfId="211" priority="150">
      <formula>OR(Q237="Show",Q237="Hide")</formula>
    </cfRule>
  </conditionalFormatting>
  <conditionalFormatting sqref="Q239:Z239">
    <cfRule type="expression" dxfId="210" priority="149">
      <formula>OR(Q237="Show",Q237="Hide")</formula>
    </cfRule>
  </conditionalFormatting>
  <conditionalFormatting sqref="D247:N247">
    <cfRule type="expression" dxfId="209" priority="148">
      <formula>AND(D245="Show",D247="")</formula>
    </cfRule>
  </conditionalFormatting>
  <conditionalFormatting sqref="Q247:Z247">
    <cfRule type="expression" dxfId="208" priority="147">
      <formula>AND(Q245="Show",Q247="")</formula>
    </cfRule>
  </conditionalFormatting>
  <conditionalFormatting sqref="D244:N244 Q244:Z244">
    <cfRule type="cellIs" dxfId="207" priority="142" operator="equal">
      <formula>"Show"</formula>
    </cfRule>
    <cfRule type="cellIs" dxfId="206" priority="144" operator="equal">
      <formula>"Hide"</formula>
    </cfRule>
    <cfRule type="containsBlanks" dxfId="205" priority="146">
      <formula>LEN(TRIM(D244))=0</formula>
    </cfRule>
  </conditionalFormatting>
  <conditionalFormatting sqref="D246:N246">
    <cfRule type="expression" dxfId="204" priority="145">
      <formula>AND(D244="Show",D246="")</formula>
    </cfRule>
  </conditionalFormatting>
  <conditionalFormatting sqref="Q246:Z246">
    <cfRule type="expression" dxfId="203" priority="143">
      <formula>AND(Q244="Show",Q246="")</formula>
    </cfRule>
  </conditionalFormatting>
  <conditionalFormatting sqref="D244:N244">
    <cfRule type="expression" dxfId="202" priority="141">
      <formula>OR(D244="Show",D244="Hide")</formula>
    </cfRule>
  </conditionalFormatting>
  <conditionalFormatting sqref="D245:N245">
    <cfRule type="expression" dxfId="201" priority="140">
      <formula>OR(D244="Show",D244="Hide")</formula>
    </cfRule>
  </conditionalFormatting>
  <conditionalFormatting sqref="D246:N246">
    <cfRule type="expression" dxfId="200" priority="139">
      <formula>OR(D244="Show",D244="Hide")</formula>
    </cfRule>
  </conditionalFormatting>
  <conditionalFormatting sqref="Q244:Z244">
    <cfRule type="expression" dxfId="199" priority="138">
      <formula>OR(Q244="Show",Q244="Hide")</formula>
    </cfRule>
  </conditionalFormatting>
  <conditionalFormatting sqref="Q245:Z245">
    <cfRule type="expression" dxfId="198" priority="137">
      <formula>OR(Q244="Show",Q244="Hide")</formula>
    </cfRule>
  </conditionalFormatting>
  <conditionalFormatting sqref="Q246:Z246">
    <cfRule type="expression" dxfId="197" priority="136">
      <formula>OR(Q244="Show",Q244="Hide")</formula>
    </cfRule>
  </conditionalFormatting>
  <conditionalFormatting sqref="B230">
    <cfRule type="containsBlanks" dxfId="196" priority="135">
      <formula>LEN(TRIM(B230))=0</formula>
    </cfRule>
  </conditionalFormatting>
  <conditionalFormatting sqref="B237">
    <cfRule type="containsBlanks" dxfId="195" priority="134">
      <formula>LEN(TRIM(B237))=0</formula>
    </cfRule>
  </conditionalFormatting>
  <conditionalFormatting sqref="B244">
    <cfRule type="containsBlanks" dxfId="194" priority="133">
      <formula>LEN(TRIM(B244))=0</formula>
    </cfRule>
  </conditionalFormatting>
  <conditionalFormatting sqref="B66:B68">
    <cfRule type="containsBlanks" dxfId="193" priority="130">
      <formula>LEN(TRIM(B66))=0</formula>
    </cfRule>
  </conditionalFormatting>
  <conditionalFormatting sqref="B66:B68">
    <cfRule type="expression" dxfId="192" priority="129">
      <formula>B66=FALSE</formula>
    </cfRule>
  </conditionalFormatting>
  <conditionalFormatting sqref="B482">
    <cfRule type="containsBlanks" dxfId="191" priority="128">
      <formula>LEN(TRIM(B482))=0</formula>
    </cfRule>
  </conditionalFormatting>
  <conditionalFormatting sqref="B126:B127">
    <cfRule type="containsBlanks" dxfId="190" priority="127">
      <formula>LEN(TRIM(B126))=0</formula>
    </cfRule>
  </conditionalFormatting>
  <conditionalFormatting sqref="B156">
    <cfRule type="containsBlanks" dxfId="189" priority="126">
      <formula>LEN(TRIM(B156))=0</formula>
    </cfRule>
  </conditionalFormatting>
  <conditionalFormatting sqref="B157:B158">
    <cfRule type="containsBlanks" dxfId="188" priority="125">
      <formula>LEN(TRIM(B157))=0</formula>
    </cfRule>
  </conditionalFormatting>
  <conditionalFormatting sqref="B157:B158">
    <cfRule type="expression" dxfId="187" priority="124">
      <formula>B157=FALSE</formula>
    </cfRule>
  </conditionalFormatting>
  <conditionalFormatting sqref="B216:B217">
    <cfRule type="containsBlanks" dxfId="186" priority="122">
      <formula>LEN(TRIM(B216))=0</formula>
    </cfRule>
  </conditionalFormatting>
  <conditionalFormatting sqref="B216:B217">
    <cfRule type="expression" dxfId="185" priority="121">
      <formula>B216=FALSE</formula>
    </cfRule>
  </conditionalFormatting>
  <conditionalFormatting sqref="D26:N26">
    <cfRule type="expression" dxfId="184" priority="120">
      <formula>AND(D24="Show",D26="")</formula>
    </cfRule>
  </conditionalFormatting>
  <conditionalFormatting sqref="Q26:Z26">
    <cfRule type="expression" dxfId="183" priority="119">
      <formula>AND(Q24="Show",Q26="")</formula>
    </cfRule>
  </conditionalFormatting>
  <conditionalFormatting sqref="D23:N23 Q23:Z23">
    <cfRule type="cellIs" dxfId="182" priority="114" operator="equal">
      <formula>"Show"</formula>
    </cfRule>
    <cfRule type="cellIs" dxfId="181" priority="116" operator="equal">
      <formula>"Hide"</formula>
    </cfRule>
    <cfRule type="containsBlanks" dxfId="180" priority="118">
      <formula>LEN(TRIM(D23))=0</formula>
    </cfRule>
  </conditionalFormatting>
  <conditionalFormatting sqref="D25:N25">
    <cfRule type="expression" dxfId="179" priority="117">
      <formula>AND(D23="Show",D25="")</formula>
    </cfRule>
  </conditionalFormatting>
  <conditionalFormatting sqref="Q25:Z25">
    <cfRule type="expression" dxfId="178" priority="115">
      <formula>AND(Q23="Show",Q25="")</formula>
    </cfRule>
  </conditionalFormatting>
  <conditionalFormatting sqref="D23:N23">
    <cfRule type="expression" dxfId="177" priority="113">
      <formula>OR(D23="Show",D23="Hide")</formula>
    </cfRule>
  </conditionalFormatting>
  <conditionalFormatting sqref="D24:N24">
    <cfRule type="expression" dxfId="176" priority="112">
      <formula>OR(D23="Show",D23="Hide")</formula>
    </cfRule>
  </conditionalFormatting>
  <conditionalFormatting sqref="D25:N25">
    <cfRule type="expression" dxfId="175" priority="111">
      <formula>OR(D23="Show",D23="Hide")</formula>
    </cfRule>
  </conditionalFormatting>
  <conditionalFormatting sqref="Q23:Z23">
    <cfRule type="expression" dxfId="174" priority="110">
      <formula>OR(Q23="Show",Q23="Hide")</formula>
    </cfRule>
  </conditionalFormatting>
  <conditionalFormatting sqref="Q24:Z24">
    <cfRule type="expression" dxfId="173" priority="109">
      <formula>OR(Q23="Show",Q23="Hide")</formula>
    </cfRule>
  </conditionalFormatting>
  <conditionalFormatting sqref="Q25:Z25">
    <cfRule type="expression" dxfId="172" priority="108">
      <formula>OR(Q23="Show",Q23="Hide")</formula>
    </cfRule>
  </conditionalFormatting>
  <conditionalFormatting sqref="B23">
    <cfRule type="containsBlanks" dxfId="171" priority="107">
      <formula>LEN(TRIM(B23))=0</formula>
    </cfRule>
  </conditionalFormatting>
  <conditionalFormatting sqref="E263:Z265">
    <cfRule type="containsBlanks" dxfId="170" priority="106">
      <formula>LEN(TRIM(E263))=0</formula>
    </cfRule>
  </conditionalFormatting>
  <conditionalFormatting sqref="B257:B260">
    <cfRule type="containsBlanks" dxfId="169" priority="105">
      <formula>LEN(TRIM(B257))=0</formula>
    </cfRule>
  </conditionalFormatting>
  <conditionalFormatting sqref="D272:N272">
    <cfRule type="expression" dxfId="168" priority="104">
      <formula>AND(D270="Show",D272="")</formula>
    </cfRule>
  </conditionalFormatting>
  <conditionalFormatting sqref="Q272:Z272">
    <cfRule type="expression" dxfId="167" priority="103">
      <formula>AND(Q270="Show",Q272="")</formula>
    </cfRule>
  </conditionalFormatting>
  <conditionalFormatting sqref="D269:N269 Q269:Z269">
    <cfRule type="cellIs" dxfId="166" priority="98" operator="equal">
      <formula>"Show"</formula>
    </cfRule>
    <cfRule type="cellIs" dxfId="165" priority="100" operator="equal">
      <formula>"Hide"</formula>
    </cfRule>
    <cfRule type="containsBlanks" dxfId="164" priority="102">
      <formula>LEN(TRIM(D269))=0</formula>
    </cfRule>
  </conditionalFormatting>
  <conditionalFormatting sqref="D271:N271">
    <cfRule type="expression" dxfId="163" priority="101">
      <formula>AND(D269="Show",D271="")</formula>
    </cfRule>
  </conditionalFormatting>
  <conditionalFormatting sqref="Q271:Z271">
    <cfRule type="expression" dxfId="162" priority="99">
      <formula>AND(Q269="Show",Q271="")</formula>
    </cfRule>
  </conditionalFormatting>
  <conditionalFormatting sqref="D269:N269">
    <cfRule type="expression" dxfId="161" priority="97">
      <formula>OR(D269="Show",D269="Hide")</formula>
    </cfRule>
  </conditionalFormatting>
  <conditionalFormatting sqref="D270:N270">
    <cfRule type="expression" dxfId="160" priority="96">
      <formula>OR(D269="Show",D269="Hide")</formula>
    </cfRule>
  </conditionalFormatting>
  <conditionalFormatting sqref="D271:N271">
    <cfRule type="expression" dxfId="159" priority="95">
      <formula>OR(D269="Show",D269="Hide")</formula>
    </cfRule>
  </conditionalFormatting>
  <conditionalFormatting sqref="Q269:Z269">
    <cfRule type="expression" dxfId="158" priority="94">
      <formula>OR(Q269="Show",Q269="Hide")</formula>
    </cfRule>
  </conditionalFormatting>
  <conditionalFormatting sqref="Q270:Z270">
    <cfRule type="expression" dxfId="157" priority="93">
      <formula>OR(Q269="Show",Q269="Hide")</formula>
    </cfRule>
  </conditionalFormatting>
  <conditionalFormatting sqref="Q271:Z271">
    <cfRule type="expression" dxfId="156" priority="92">
      <formula>OR(Q269="Show",Q269="Hide")</formula>
    </cfRule>
  </conditionalFormatting>
  <conditionalFormatting sqref="B263:B265">
    <cfRule type="containsBlanks" dxfId="155" priority="91">
      <formula>LEN(TRIM(B263))=0</formula>
    </cfRule>
  </conditionalFormatting>
  <conditionalFormatting sqref="B269">
    <cfRule type="containsBlanks" dxfId="154" priority="90">
      <formula>LEN(TRIM(B269))=0</formula>
    </cfRule>
  </conditionalFormatting>
  <conditionalFormatting sqref="B261">
    <cfRule type="containsBlanks" dxfId="153" priority="89">
      <formula>LEN(TRIM(B261))=0</formula>
    </cfRule>
  </conditionalFormatting>
  <conditionalFormatting sqref="B261">
    <cfRule type="containsBlanks" dxfId="152" priority="88">
      <formula>LEN(TRIM(B261))=0</formula>
    </cfRule>
  </conditionalFormatting>
  <conditionalFormatting sqref="B467">
    <cfRule type="containsBlanks" dxfId="151" priority="87">
      <formula>LEN(TRIM(B467))=0</formula>
    </cfRule>
  </conditionalFormatting>
  <conditionalFormatting sqref="D469">
    <cfRule type="containsBlanks" dxfId="150" priority="86">
      <formula>LEN(TRIM(D469))=0</formula>
    </cfRule>
  </conditionalFormatting>
  <conditionalFormatting sqref="B469">
    <cfRule type="containsBlanks" dxfId="149" priority="85">
      <formula>LEN(TRIM(B469))=0</formula>
    </cfRule>
  </conditionalFormatting>
  <conditionalFormatting sqref="E325:Z329">
    <cfRule type="containsBlanks" dxfId="148" priority="84">
      <formula>LEN(TRIM(E325))=0</formula>
    </cfRule>
  </conditionalFormatting>
  <conditionalFormatting sqref="B325:B329">
    <cfRule type="containsBlanks" dxfId="147" priority="83">
      <formula>LEN(TRIM(B325))=0</formula>
    </cfRule>
  </conditionalFormatting>
  <conditionalFormatting sqref="B324 B318">
    <cfRule type="containsBlanks" dxfId="146" priority="82">
      <formula>LEN(TRIM(B318))=0</formula>
    </cfRule>
  </conditionalFormatting>
  <conditionalFormatting sqref="E322:Z323">
    <cfRule type="containsBlanks" dxfId="145" priority="81">
      <formula>LEN(TRIM(E322))=0</formula>
    </cfRule>
  </conditionalFormatting>
  <conditionalFormatting sqref="B320:B323">
    <cfRule type="containsBlanks" dxfId="144" priority="80">
      <formula>LEN(TRIM(B320))=0</formula>
    </cfRule>
  </conditionalFormatting>
  <conditionalFormatting sqref="E320:Z321">
    <cfRule type="containsBlanks" dxfId="143" priority="79">
      <formula>LEN(TRIM(E320))=0</formula>
    </cfRule>
  </conditionalFormatting>
  <conditionalFormatting sqref="B336">
    <cfRule type="containsBlanks" dxfId="142" priority="78">
      <formula>LEN(TRIM(B336))=0</formula>
    </cfRule>
  </conditionalFormatting>
  <conditionalFormatting sqref="B337:B351">
    <cfRule type="containsBlanks" dxfId="141" priority="77">
      <formula>LEN(TRIM(B337))=0</formula>
    </cfRule>
  </conditionalFormatting>
  <conditionalFormatting sqref="D96:N96">
    <cfRule type="expression" dxfId="140" priority="75">
      <formula>AND(D94="Show",D96="")</formula>
    </cfRule>
  </conditionalFormatting>
  <conditionalFormatting sqref="Q96:Z96">
    <cfRule type="expression" dxfId="139" priority="74">
      <formula>AND(Q94="Show",Q96="")</formula>
    </cfRule>
  </conditionalFormatting>
  <conditionalFormatting sqref="D93:N93 Q93:Z93">
    <cfRule type="cellIs" dxfId="138" priority="69" operator="equal">
      <formula>"Show"</formula>
    </cfRule>
    <cfRule type="cellIs" dxfId="137" priority="71" operator="equal">
      <formula>"Hide"</formula>
    </cfRule>
    <cfRule type="containsBlanks" dxfId="136" priority="73">
      <formula>LEN(TRIM(D93))=0</formula>
    </cfRule>
  </conditionalFormatting>
  <conditionalFormatting sqref="D95:N95">
    <cfRule type="expression" dxfId="135" priority="72">
      <formula>AND(D93="Show",D95="")</formula>
    </cfRule>
  </conditionalFormatting>
  <conditionalFormatting sqref="Q95:Z95">
    <cfRule type="expression" dxfId="134" priority="70">
      <formula>AND(Q93="Show",Q95="")</formula>
    </cfRule>
  </conditionalFormatting>
  <conditionalFormatting sqref="D93:N93">
    <cfRule type="expression" dxfId="133" priority="68">
      <formula>OR(D93="Show",D93="Hide")</formula>
    </cfRule>
  </conditionalFormatting>
  <conditionalFormatting sqref="D94:N94">
    <cfRule type="expression" dxfId="132" priority="67">
      <formula>OR(D93="Show",D93="Hide")</formula>
    </cfRule>
  </conditionalFormatting>
  <conditionalFormatting sqref="D95:N95">
    <cfRule type="expression" dxfId="131" priority="66">
      <formula>OR(D93="Show",D93="Hide")</formula>
    </cfRule>
  </conditionalFormatting>
  <conditionalFormatting sqref="Q93:Z93">
    <cfRule type="expression" dxfId="130" priority="65">
      <formula>OR(Q93="Show",Q93="Hide")</formula>
    </cfRule>
  </conditionalFormatting>
  <conditionalFormatting sqref="Q94:Z94">
    <cfRule type="expression" dxfId="129" priority="64">
      <formula>OR(Q93="Show",Q93="Hide")</formula>
    </cfRule>
  </conditionalFormatting>
  <conditionalFormatting sqref="Q95:Z95">
    <cfRule type="expression" dxfId="128" priority="63">
      <formula>OR(Q93="Show",Q93="Hide")</formula>
    </cfRule>
  </conditionalFormatting>
  <conditionalFormatting sqref="B93">
    <cfRule type="containsBlanks" dxfId="127" priority="62">
      <formula>LEN(TRIM(B93))=0</formula>
    </cfRule>
  </conditionalFormatting>
  <conditionalFormatting sqref="D103:N103">
    <cfRule type="expression" dxfId="126" priority="61">
      <formula>AND(D101="Show",D103="")</formula>
    </cfRule>
  </conditionalFormatting>
  <conditionalFormatting sqref="Q103:Z103">
    <cfRule type="expression" dxfId="125" priority="60">
      <formula>AND(Q101="Show",Q103="")</formula>
    </cfRule>
  </conditionalFormatting>
  <conditionalFormatting sqref="D100:N100 Q100:Z100">
    <cfRule type="cellIs" dxfId="124" priority="55" operator="equal">
      <formula>"Show"</formula>
    </cfRule>
    <cfRule type="cellIs" dxfId="123" priority="57" operator="equal">
      <formula>"Hide"</formula>
    </cfRule>
    <cfRule type="containsBlanks" dxfId="122" priority="59">
      <formula>LEN(TRIM(D100))=0</formula>
    </cfRule>
  </conditionalFormatting>
  <conditionalFormatting sqref="D102:N102">
    <cfRule type="expression" dxfId="121" priority="58">
      <formula>AND(D100="Show",D102="")</formula>
    </cfRule>
  </conditionalFormatting>
  <conditionalFormatting sqref="Q102:Z102">
    <cfRule type="expression" dxfId="120" priority="56">
      <formula>AND(Q100="Show",Q102="")</formula>
    </cfRule>
  </conditionalFormatting>
  <conditionalFormatting sqref="D100:N100">
    <cfRule type="expression" dxfId="119" priority="54">
      <formula>OR(D100="Show",D100="Hide")</formula>
    </cfRule>
  </conditionalFormatting>
  <conditionalFormatting sqref="D101:N101">
    <cfRule type="expression" dxfId="118" priority="53">
      <formula>OR(D100="Show",D100="Hide")</formula>
    </cfRule>
  </conditionalFormatting>
  <conditionalFormatting sqref="D102:N102">
    <cfRule type="expression" dxfId="117" priority="52">
      <formula>OR(D100="Show",D100="Hide")</formula>
    </cfRule>
  </conditionalFormatting>
  <conditionalFormatting sqref="Q100:Z100">
    <cfRule type="expression" dxfId="116" priority="51">
      <formula>OR(Q100="Show",Q100="Hide")</formula>
    </cfRule>
  </conditionalFormatting>
  <conditionalFormatting sqref="Q101:Z101">
    <cfRule type="expression" dxfId="115" priority="50">
      <formula>OR(Q100="Show",Q100="Hide")</formula>
    </cfRule>
  </conditionalFormatting>
  <conditionalFormatting sqref="Q102:Z102">
    <cfRule type="expression" dxfId="114" priority="49">
      <formula>OR(Q100="Show",Q100="Hide")</formula>
    </cfRule>
  </conditionalFormatting>
  <conditionalFormatting sqref="B100">
    <cfRule type="containsBlanks" dxfId="113" priority="48">
      <formula>LEN(TRIM(B100))=0</formula>
    </cfRule>
  </conditionalFormatting>
  <conditionalFormatting sqref="D110:N110">
    <cfRule type="expression" dxfId="112" priority="47">
      <formula>AND(D108="Show",D110="")</formula>
    </cfRule>
  </conditionalFormatting>
  <conditionalFormatting sqref="Q110:Z110">
    <cfRule type="expression" dxfId="111" priority="46">
      <formula>AND(Q108="Show",Q110="")</formula>
    </cfRule>
  </conditionalFormatting>
  <conditionalFormatting sqref="D107:N107 Q107:Z107">
    <cfRule type="cellIs" dxfId="110" priority="41" operator="equal">
      <formula>"Show"</formula>
    </cfRule>
    <cfRule type="cellIs" dxfId="109" priority="43" operator="equal">
      <formula>"Hide"</formula>
    </cfRule>
    <cfRule type="containsBlanks" dxfId="108" priority="45">
      <formula>LEN(TRIM(D107))=0</formula>
    </cfRule>
  </conditionalFormatting>
  <conditionalFormatting sqref="D109:N109">
    <cfRule type="expression" dxfId="107" priority="44">
      <formula>AND(D107="Show",D109="")</formula>
    </cfRule>
  </conditionalFormatting>
  <conditionalFormatting sqref="Q109:Z109">
    <cfRule type="expression" dxfId="106" priority="42">
      <formula>AND(Q107="Show",Q109="")</formula>
    </cfRule>
  </conditionalFormatting>
  <conditionalFormatting sqref="D107:N107">
    <cfRule type="expression" dxfId="105" priority="40">
      <formula>OR(D107="Show",D107="Hide")</formula>
    </cfRule>
  </conditionalFormatting>
  <conditionalFormatting sqref="D108:N108">
    <cfRule type="expression" dxfId="104" priority="39">
      <formula>OR(D107="Show",D107="Hide")</formula>
    </cfRule>
  </conditionalFormatting>
  <conditionalFormatting sqref="D109:N109">
    <cfRule type="expression" dxfId="103" priority="38">
      <formula>OR(D107="Show",D107="Hide")</formula>
    </cfRule>
  </conditionalFormatting>
  <conditionalFormatting sqref="Q107:Z107">
    <cfRule type="expression" dxfId="102" priority="37">
      <formula>OR(Q107="Show",Q107="Hide")</formula>
    </cfRule>
  </conditionalFormatting>
  <conditionalFormatting sqref="Q108:Z108">
    <cfRule type="expression" dxfId="101" priority="36">
      <formula>OR(Q107="Show",Q107="Hide")</formula>
    </cfRule>
  </conditionalFormatting>
  <conditionalFormatting sqref="Q109:Z109">
    <cfRule type="expression" dxfId="100" priority="35">
      <formula>OR(Q107="Show",Q107="Hide")</formula>
    </cfRule>
  </conditionalFormatting>
  <conditionalFormatting sqref="B107">
    <cfRule type="containsBlanks" dxfId="99" priority="34">
      <formula>LEN(TRIM(B107))=0</formula>
    </cfRule>
  </conditionalFormatting>
  <conditionalFormatting sqref="D282:N282 Q282:Z282">
    <cfRule type="cellIs" dxfId="98" priority="29" operator="equal">
      <formula>"Show"</formula>
    </cfRule>
    <cfRule type="cellIs" dxfId="97" priority="31" operator="equal">
      <formula>"Hide"</formula>
    </cfRule>
    <cfRule type="containsBlanks" dxfId="96" priority="33">
      <formula>LEN(TRIM(D282))=0</formula>
    </cfRule>
  </conditionalFormatting>
  <conditionalFormatting sqref="D284:N285">
    <cfRule type="expression" dxfId="95" priority="32">
      <formula>AND(D282="Show",D284="")</formula>
    </cfRule>
  </conditionalFormatting>
  <conditionalFormatting sqref="Q284:Z285">
    <cfRule type="expression" dxfId="94" priority="30">
      <formula>AND(Q282="Show",Q284="")</formula>
    </cfRule>
  </conditionalFormatting>
  <conditionalFormatting sqref="D282:N282">
    <cfRule type="expression" dxfId="93" priority="28">
      <formula>OR(D282="Show",D282="Hide")</formula>
    </cfRule>
  </conditionalFormatting>
  <conditionalFormatting sqref="D283:N283">
    <cfRule type="expression" dxfId="92" priority="27">
      <formula>OR(D282="Show",D282="Hide")</formula>
    </cfRule>
  </conditionalFormatting>
  <conditionalFormatting sqref="D284:N284">
    <cfRule type="expression" dxfId="91" priority="26">
      <formula>OR(D282="Show",D282="Hide")</formula>
    </cfRule>
  </conditionalFormatting>
  <conditionalFormatting sqref="Q282:Z282">
    <cfRule type="expression" dxfId="90" priority="25">
      <formula>OR(Q282="Show",Q282="Hide")</formula>
    </cfRule>
  </conditionalFormatting>
  <conditionalFormatting sqref="Q283:Z283">
    <cfRule type="expression" dxfId="89" priority="24">
      <formula>OR(Q282="Show",Q282="Hide")</formula>
    </cfRule>
  </conditionalFormatting>
  <conditionalFormatting sqref="Q284:Z284">
    <cfRule type="expression" dxfId="88" priority="23">
      <formula>OR(Q282="Show",Q282="Hide")</formula>
    </cfRule>
  </conditionalFormatting>
  <conditionalFormatting sqref="B282">
    <cfRule type="containsBlanks" dxfId="87" priority="22">
      <formula>LEN(TRIM(B282))=0</formula>
    </cfRule>
  </conditionalFormatting>
  <conditionalFormatting sqref="B418:B419">
    <cfRule type="containsBlanks" dxfId="86" priority="21">
      <formula>LEN(TRIM(B418))=0</formula>
    </cfRule>
  </conditionalFormatting>
  <conditionalFormatting sqref="E423:Z425">
    <cfRule type="containsBlanks" dxfId="85" priority="20">
      <formula>LEN(TRIM(E423))=0</formula>
    </cfRule>
  </conditionalFormatting>
  <conditionalFormatting sqref="D432:N432">
    <cfRule type="expression" dxfId="84" priority="18">
      <formula>AND(D430="Show",D432="")</formula>
    </cfRule>
  </conditionalFormatting>
  <conditionalFormatting sqref="Q432:Z432">
    <cfRule type="expression" dxfId="83" priority="17">
      <formula>AND(Q430="Show",Q432="")</formula>
    </cfRule>
  </conditionalFormatting>
  <conditionalFormatting sqref="D429:N429 Q429:Z429">
    <cfRule type="cellIs" dxfId="82" priority="12" operator="equal">
      <formula>"Show"</formula>
    </cfRule>
    <cfRule type="cellIs" dxfId="81" priority="14" operator="equal">
      <formula>"Hide"</formula>
    </cfRule>
    <cfRule type="containsBlanks" dxfId="80" priority="16">
      <formula>LEN(TRIM(D429))=0</formula>
    </cfRule>
  </conditionalFormatting>
  <conditionalFormatting sqref="D431:N431">
    <cfRule type="expression" dxfId="79" priority="15">
      <formula>AND(D429="Show",D431="")</formula>
    </cfRule>
  </conditionalFormatting>
  <conditionalFormatting sqref="Q431:Z431">
    <cfRule type="expression" dxfId="78" priority="13">
      <formula>AND(Q429="Show",Q431="")</formula>
    </cfRule>
  </conditionalFormatting>
  <conditionalFormatting sqref="D429:N429">
    <cfRule type="expression" dxfId="77" priority="11">
      <formula>OR(D429="Show",D429="Hide")</formula>
    </cfRule>
  </conditionalFormatting>
  <conditionalFormatting sqref="D430:N430">
    <cfRule type="expression" dxfId="76" priority="10">
      <formula>OR(D429="Show",D429="Hide")</formula>
    </cfRule>
  </conditionalFormatting>
  <conditionalFormatting sqref="D431:N431">
    <cfRule type="expression" dxfId="75" priority="9">
      <formula>OR(D429="Show",D429="Hide")</formula>
    </cfRule>
  </conditionalFormatting>
  <conditionalFormatting sqref="Q429:Z429">
    <cfRule type="expression" dxfId="74" priority="8">
      <formula>OR(Q429="Show",Q429="Hide")</formula>
    </cfRule>
  </conditionalFormatting>
  <conditionalFormatting sqref="Q430:Z430">
    <cfRule type="expression" dxfId="73" priority="7">
      <formula>OR(Q429="Show",Q429="Hide")</formula>
    </cfRule>
  </conditionalFormatting>
  <conditionalFormatting sqref="Q431:Z431">
    <cfRule type="expression" dxfId="72" priority="6">
      <formula>OR(Q429="Show",Q429="Hide")</formula>
    </cfRule>
  </conditionalFormatting>
  <conditionalFormatting sqref="B423:B425">
    <cfRule type="containsBlanks" dxfId="71" priority="5">
      <formula>LEN(TRIM(B423))=0</formula>
    </cfRule>
  </conditionalFormatting>
  <conditionalFormatting sqref="B429">
    <cfRule type="containsBlanks" dxfId="70" priority="4">
      <formula>LEN(TRIM(B429))=0</formula>
    </cfRule>
  </conditionalFormatting>
  <conditionalFormatting sqref="B421">
    <cfRule type="containsBlanks" dxfId="69" priority="3">
      <formula>LEN(TRIM(B421))=0</formula>
    </cfRule>
  </conditionalFormatting>
  <conditionalFormatting sqref="B421">
    <cfRule type="containsBlanks" dxfId="68" priority="2">
      <formula>LEN(TRIM(B421))=0</formula>
    </cfRule>
  </conditionalFormatting>
  <conditionalFormatting sqref="B416">
    <cfRule type="containsBlanks" dxfId="67" priority="1">
      <formula>LEN(TRIM(B416))=0</formula>
    </cfRule>
  </conditionalFormatting>
  <dataValidations count="1">
    <dataValidation type="list" allowBlank="1" showInputMessage="1" showErrorMessage="1" sqref="D72:N72 Q72:Z72 D211:N211 Q211:Z211 D79:N79 Q79:Z79 D362:N362 Q362:Z362 D86:N86 Q86:Z86 D120:N120 Q120:Z120 D133:N133 Q133:Z133 D140:N140 Q140:Z140 D147:N147 Q147:Z147 D355:N355 Q355:Z355 D162:N162 Q162:Z162 D169:N169 Q169:Z169 D176:N176 Q176:Z176 D197:N197 Q197:Z197 D204:N204 Q204:Z204 D369:N369 Q369:Z369 D401:N401 Q401:Z401 D387:N387 Q387:Z387 D394:N394 Q394:Z394 D459:N459 Q459:Z459 D445:N445 Q445:Z445 D452:N452 Q452:Z452 D230:N230 Q230:Z230 D237:N237 Q237:Z237 D244:N244 Q244:Z244 D23:N23 Q23:Z23 D269:N269 Q269:Z269 D93:N93 Q93:Z93 D100:N100 Q100:Z100 D107:N107 Q107:Z107 D282:N282 Q282:Z282 D429:N429 Q429:Z429" xr:uid="{8CBDEB2D-0E9D-4230-ABF3-E15E7E1610E5}">
      <formula1>"Hide,Show"</formula1>
    </dataValidation>
  </dataValidations>
  <hyperlinks>
    <hyperlink ref="D538" r:id="rId1" xr:uid="{821CB71A-C986-49D7-8D22-D5D19F447E99}"/>
  </hyperlinks>
  <pageMargins left="0.23622047244094491" right="0.23622047244094491" top="0.74803149606299213" bottom="0.74803149606299213" header="0.31496062992125984" footer="0.31496062992125984"/>
  <pageSetup paperSize="9" fitToHeight="0" orientation="portrait" r:id="rId2"/>
  <headerFooter>
    <oddHeader>&amp;CSpecific Defects Inspection&amp;R&amp;G</oddHeader>
    <oddFooter>&amp;C&amp;P of &amp;N</oddFooter>
  </headerFooter>
  <rowBreaks count="1" manualBreakCount="1">
    <brk id="481" min="3" max="25" man="1"/>
  </rowBreaks>
  <drawing r:id="rId3"/>
  <legacyDrawingHF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A88D5-01A8-4C5C-B803-A71E7DF4039D}">
  <sheetPr codeName="Sheet1">
    <tabColor rgb="FFFFFF00"/>
  </sheetPr>
  <dimension ref="A1:AU229"/>
  <sheetViews>
    <sheetView zoomScale="110" zoomScaleNormal="110" workbookViewId="0">
      <pane xSplit="1" ySplit="19" topLeftCell="B96" activePane="bottomRight" state="frozen"/>
      <selection pane="topRight" activeCell="B1" sqref="B1"/>
      <selection pane="bottomLeft" activeCell="A20" sqref="A20"/>
      <selection pane="bottomRight" activeCell="M104" sqref="M104"/>
    </sheetView>
  </sheetViews>
  <sheetFormatPr baseColWidth="10" defaultColWidth="9.1640625" defaultRowHeight="15" outlineLevelRow="1" outlineLevelCol="1" x14ac:dyDescent="0.2"/>
  <cols>
    <col min="1" max="1" width="2.33203125" style="183" customWidth="1"/>
    <col min="2" max="2" width="16.6640625" style="183" customWidth="1"/>
    <col min="3" max="3" width="7.1640625" style="183" customWidth="1"/>
    <col min="4" max="4" width="8.83203125" style="183" customWidth="1"/>
    <col min="5" max="5" width="9.33203125" style="183" customWidth="1"/>
    <col min="6" max="6" width="9.1640625" style="187" customWidth="1"/>
    <col min="7" max="7" width="7.6640625" style="187" customWidth="1"/>
    <col min="8" max="9" width="9.33203125" style="188" customWidth="1"/>
    <col min="10" max="10" width="8.5" style="188" customWidth="1"/>
    <col min="11" max="11" width="12.1640625" style="188" customWidth="1"/>
    <col min="12" max="12" width="1.5" style="183" customWidth="1"/>
    <col min="13" max="13" width="35" style="183" customWidth="1"/>
    <col min="14" max="14" width="6.5" style="397" customWidth="1"/>
    <col min="15" max="15" width="5.5" style="382" customWidth="1"/>
    <col min="16" max="17" width="7.6640625" style="382" customWidth="1"/>
    <col min="18" max="18" width="4.83203125" style="381" customWidth="1"/>
    <col min="19" max="19" width="8.5" style="381" customWidth="1"/>
    <col min="20" max="21" width="9.1640625" style="188"/>
    <col min="22" max="22" width="9.1640625" style="189"/>
    <col min="23" max="23" width="27.5" style="183" customWidth="1"/>
    <col min="24" max="25" width="11.1640625" style="183" customWidth="1"/>
    <col min="26" max="27" width="9.1640625" style="183" customWidth="1"/>
    <col min="28" max="28" width="2.83203125" style="183" customWidth="1"/>
    <col min="29" max="30" width="11.1640625" style="183" customWidth="1"/>
    <col min="31" max="32" width="9.1640625" style="183"/>
    <col min="35" max="44" width="9.1640625" style="183"/>
    <col min="45" max="45" width="17" style="190" customWidth="1" outlineLevel="1"/>
    <col min="46" max="46" width="20.83203125" style="14" customWidth="1" outlineLevel="1"/>
    <col min="47" max="47" width="24.1640625" style="14" customWidth="1" outlineLevel="1"/>
    <col min="48" max="16384" width="9.1640625" style="183"/>
  </cols>
  <sheetData>
    <row r="1" spans="1:47" ht="36" customHeight="1" thickBot="1" x14ac:dyDescent="0.25">
      <c r="B1" s="573" t="s">
        <v>111</v>
      </c>
      <c r="C1" s="574"/>
      <c r="D1" s="574"/>
      <c r="E1" s="455" t="str">
        <f>IF(SUM(AT:AT)=0,"SHEET NOT YET STARTED",IF(SUM(AU:AU)&gt;0,"SHEET NOT COMPLETE","SHEET COMPLETE"))</f>
        <v>SHEET NOT COMPLETE</v>
      </c>
      <c r="F1" s="456"/>
      <c r="G1" s="456"/>
      <c r="H1" s="456"/>
      <c r="I1" s="456"/>
      <c r="J1" s="456"/>
      <c r="K1" s="456"/>
      <c r="L1" s="456"/>
      <c r="M1" s="456"/>
      <c r="N1" s="456"/>
      <c r="O1" s="456"/>
      <c r="P1" s="456"/>
      <c r="Q1" s="456"/>
      <c r="R1" s="456"/>
      <c r="S1" s="456"/>
      <c r="T1" s="456"/>
      <c r="U1" s="456"/>
      <c r="V1" s="457"/>
      <c r="W1" s="184"/>
      <c r="AS1" s="185" t="s">
        <v>126</v>
      </c>
      <c r="AT1" s="186" t="s">
        <v>127</v>
      </c>
      <c r="AU1" s="186" t="s">
        <v>128</v>
      </c>
    </row>
    <row r="2" spans="1:47" ht="9" customHeight="1" thickBot="1" x14ac:dyDescent="0.25">
      <c r="H2" s="187"/>
      <c r="I2" s="187"/>
      <c r="J2" s="187"/>
      <c r="K2" s="187"/>
      <c r="L2" s="187"/>
      <c r="M2" s="187"/>
      <c r="N2" s="187"/>
      <c r="O2" s="187"/>
      <c r="P2" s="187"/>
      <c r="Q2" s="187"/>
      <c r="R2" s="187"/>
      <c r="S2" s="187"/>
      <c r="T2" s="187"/>
      <c r="AT2" s="13"/>
      <c r="AU2" s="13"/>
    </row>
    <row r="3" spans="1:47" s="190" customFormat="1" ht="18" hidden="1" outlineLevel="1" x14ac:dyDescent="0.2">
      <c r="A3" s="191" t="str">
        <f t="shared" ref="A3:A53" si="0">IF(AU3=1,"X","")</f>
        <v/>
      </c>
      <c r="B3" s="551" t="s">
        <v>134</v>
      </c>
      <c r="C3" s="552"/>
      <c r="D3" s="552"/>
      <c r="E3" s="552"/>
      <c r="F3" s="552"/>
      <c r="G3" s="552"/>
      <c r="H3" s="552"/>
      <c r="I3" s="552"/>
      <c r="J3" s="552"/>
      <c r="K3" s="552"/>
      <c r="L3" s="552"/>
      <c r="M3" s="553"/>
      <c r="O3" s="14"/>
      <c r="P3" s="14"/>
      <c r="Q3" s="14"/>
      <c r="R3" s="14"/>
      <c r="S3" s="14"/>
      <c r="T3" s="14"/>
      <c r="U3" s="192"/>
      <c r="V3" s="192"/>
      <c r="W3" s="24"/>
      <c r="X3" s="24"/>
      <c r="Y3" s="24"/>
      <c r="AC3" s="24"/>
      <c r="AD3" s="24"/>
      <c r="AT3" s="13"/>
      <c r="AU3" s="13"/>
    </row>
    <row r="4" spans="1:47" s="190" customFormat="1" ht="14" hidden="1" outlineLevel="1" x14ac:dyDescent="0.15">
      <c r="A4" s="191" t="str">
        <f t="shared" si="0"/>
        <v>X</v>
      </c>
      <c r="B4" s="570" t="s">
        <v>135</v>
      </c>
      <c r="C4" s="568"/>
      <c r="D4" s="571"/>
      <c r="E4" s="544" t="str">
        <f>IF([1]Details!$C$4=0,"",UPPER([1]Details!$C$4))</f>
        <v/>
      </c>
      <c r="F4" s="544"/>
      <c r="G4" s="544"/>
      <c r="H4" s="544"/>
      <c r="I4" s="544"/>
      <c r="J4" s="544"/>
      <c r="K4" s="544"/>
      <c r="L4" s="544"/>
      <c r="M4" s="545"/>
      <c r="O4" s="14"/>
      <c r="P4" s="14"/>
      <c r="Q4" s="14"/>
      <c r="R4" s="14"/>
      <c r="S4" s="14"/>
      <c r="T4" s="14"/>
      <c r="U4" s="192"/>
      <c r="V4" s="192"/>
      <c r="W4" s="24"/>
      <c r="X4" s="24"/>
      <c r="Y4" s="24"/>
      <c r="AC4" s="24"/>
      <c r="AD4" s="24"/>
      <c r="AT4" s="12">
        <f>IF(E4&lt;&gt;"",1,0)</f>
        <v>0</v>
      </c>
      <c r="AU4" s="12">
        <f>IF(AND(SUM(AT:AT)&gt;0,E4=""),1,0)</f>
        <v>1</v>
      </c>
    </row>
    <row r="5" spans="1:47" s="190" customFormat="1" hidden="1" outlineLevel="1" thickBot="1" x14ac:dyDescent="0.2">
      <c r="A5" s="191" t="str">
        <f t="shared" si="0"/>
        <v/>
      </c>
      <c r="O5" s="14"/>
      <c r="P5" s="14"/>
      <c r="Q5" s="14"/>
      <c r="R5" s="14"/>
      <c r="S5" s="14"/>
      <c r="T5" s="14"/>
      <c r="U5" s="192"/>
      <c r="V5" s="192"/>
      <c r="W5" s="24"/>
      <c r="X5" s="24"/>
      <c r="Y5" s="24"/>
      <c r="AC5" s="24"/>
      <c r="AD5" s="24"/>
      <c r="AT5" s="13"/>
      <c r="AU5" s="13"/>
    </row>
    <row r="6" spans="1:47" s="190" customFormat="1" ht="18" hidden="1" outlineLevel="1" x14ac:dyDescent="0.2">
      <c r="A6" s="191" t="str">
        <f t="shared" si="0"/>
        <v/>
      </c>
      <c r="B6" s="551" t="s">
        <v>136</v>
      </c>
      <c r="C6" s="552"/>
      <c r="D6" s="552"/>
      <c r="E6" s="552"/>
      <c r="F6" s="552"/>
      <c r="G6" s="552"/>
      <c r="H6" s="552"/>
      <c r="I6" s="552"/>
      <c r="J6" s="552"/>
      <c r="K6" s="552"/>
      <c r="L6" s="552"/>
      <c r="M6" s="553"/>
      <c r="O6" s="14"/>
      <c r="P6" s="14"/>
      <c r="Q6" s="14"/>
      <c r="R6" s="14"/>
      <c r="S6" s="14"/>
      <c r="T6" s="14"/>
      <c r="U6" s="192"/>
      <c r="V6" s="192"/>
      <c r="W6" s="24"/>
      <c r="X6" s="24"/>
      <c r="Y6" s="24"/>
      <c r="AC6" s="24"/>
      <c r="AD6" s="24"/>
      <c r="AT6" s="13"/>
      <c r="AU6" s="13"/>
    </row>
    <row r="7" spans="1:47" s="190" customFormat="1" ht="14" hidden="1" outlineLevel="1" x14ac:dyDescent="0.15">
      <c r="A7" s="191" t="str">
        <f t="shared" si="0"/>
        <v>X</v>
      </c>
      <c r="B7" s="570" t="str">
        <f>[1]Details!$B$7</f>
        <v>Client Name</v>
      </c>
      <c r="C7" s="568"/>
      <c r="D7" s="571"/>
      <c r="E7" s="544" t="str">
        <f>IF([1]Details!$C$7=0,"",PROPER([1]Details!$C$7))</f>
        <v/>
      </c>
      <c r="F7" s="544"/>
      <c r="G7" s="544"/>
      <c r="H7" s="544"/>
      <c r="I7" s="544"/>
      <c r="J7" s="544"/>
      <c r="K7" s="544"/>
      <c r="L7" s="544"/>
      <c r="M7" s="545"/>
      <c r="O7" s="14"/>
      <c r="P7" s="14"/>
      <c r="Q7" s="14"/>
      <c r="R7" s="14"/>
      <c r="S7" s="14"/>
      <c r="T7" s="14"/>
      <c r="U7" s="192"/>
      <c r="V7" s="192"/>
      <c r="W7" s="24"/>
      <c r="X7" s="24"/>
      <c r="Y7" s="24"/>
      <c r="AC7" s="24"/>
      <c r="AD7" s="24"/>
      <c r="AT7" s="12">
        <f>IF(E7&lt;&gt;"",1,0)</f>
        <v>0</v>
      </c>
      <c r="AU7" s="12">
        <f>IF(AND(SUM(AT:AT)&gt;0,E7=""),1,0)</f>
        <v>1</v>
      </c>
    </row>
    <row r="8" spans="1:47" s="190" customFormat="1" ht="14" hidden="1" outlineLevel="1" x14ac:dyDescent="0.15">
      <c r="A8" s="191" t="str">
        <f t="shared" si="0"/>
        <v>X</v>
      </c>
      <c r="B8" s="570" t="str">
        <f>[1]Details!$B$8</f>
        <v>First Line of site address</v>
      </c>
      <c r="C8" s="568"/>
      <c r="D8" s="571"/>
      <c r="E8" s="567" t="str">
        <f>IF([1]Details!$C$8=0,"",PROPER([1]Details!$C$8))</f>
        <v/>
      </c>
      <c r="F8" s="568"/>
      <c r="G8" s="568"/>
      <c r="H8" s="568"/>
      <c r="I8" s="568"/>
      <c r="J8" s="568"/>
      <c r="K8" s="568"/>
      <c r="L8" s="568"/>
      <c r="M8" s="569"/>
      <c r="O8" s="14"/>
      <c r="P8" s="14"/>
      <c r="Q8" s="14"/>
      <c r="R8" s="14"/>
      <c r="S8" s="14"/>
      <c r="T8" s="14"/>
      <c r="U8" s="192"/>
      <c r="V8" s="192"/>
      <c r="W8" s="24"/>
      <c r="X8" s="24"/>
      <c r="Y8" s="24"/>
      <c r="AC8" s="24"/>
      <c r="AD8" s="24"/>
      <c r="AT8" s="12">
        <f>IF(E8&lt;&gt;"",1,0)</f>
        <v>0</v>
      </c>
      <c r="AU8" s="12">
        <f>IF(AND(SUM(AT:AT)&gt;0,E8=""),1,0)</f>
        <v>1</v>
      </c>
    </row>
    <row r="9" spans="1:47" s="190" customFormat="1" ht="14" hidden="1" outlineLevel="1" x14ac:dyDescent="0.15">
      <c r="A9" s="191" t="str">
        <f t="shared" si="0"/>
        <v>X</v>
      </c>
      <c r="B9" s="570" t="str">
        <f>[1]Details!$B$9</f>
        <v>Town / City</v>
      </c>
      <c r="C9" s="568"/>
      <c r="D9" s="571"/>
      <c r="E9" s="567" t="str">
        <f>IF([1]Details!$C$9=0,"",PROPER([1]Details!$C$9))</f>
        <v/>
      </c>
      <c r="F9" s="568"/>
      <c r="G9" s="568"/>
      <c r="H9" s="568"/>
      <c r="I9" s="568"/>
      <c r="J9" s="568"/>
      <c r="K9" s="568"/>
      <c r="L9" s="568"/>
      <c r="M9" s="569"/>
      <c r="O9" s="14"/>
      <c r="P9" s="14"/>
      <c r="Q9" s="14"/>
      <c r="R9" s="14"/>
      <c r="S9" s="14"/>
      <c r="T9" s="14"/>
      <c r="U9" s="192"/>
      <c r="V9" s="192"/>
      <c r="W9" s="24"/>
      <c r="X9" s="24"/>
      <c r="Y9" s="24"/>
      <c r="AC9" s="24"/>
      <c r="AD9" s="24"/>
      <c r="AT9" s="12">
        <f>IF(E9&lt;&gt;"",1,0)</f>
        <v>0</v>
      </c>
      <c r="AU9" s="12">
        <f>IF(AND(SUM(AT:AT)&gt;0,E9=""),1,0)</f>
        <v>1</v>
      </c>
    </row>
    <row r="10" spans="1:47" s="190" customFormat="1" ht="14" hidden="1" outlineLevel="1" x14ac:dyDescent="0.15">
      <c r="A10" s="191" t="str">
        <f t="shared" si="0"/>
        <v>X</v>
      </c>
      <c r="B10" s="570" t="str">
        <f>[1]Details!$B$10</f>
        <v>County</v>
      </c>
      <c r="C10" s="568"/>
      <c r="D10" s="571"/>
      <c r="E10" s="567" t="str">
        <f>IF([1]Details!$C$10=0,"",PROPER([1]Details!$C$10))</f>
        <v/>
      </c>
      <c r="F10" s="568"/>
      <c r="G10" s="568"/>
      <c r="H10" s="568"/>
      <c r="I10" s="568"/>
      <c r="J10" s="568"/>
      <c r="K10" s="568"/>
      <c r="L10" s="568"/>
      <c r="M10" s="569"/>
      <c r="O10" s="14"/>
      <c r="P10" s="14"/>
      <c r="Q10" s="14"/>
      <c r="R10" s="14"/>
      <c r="S10" s="14"/>
      <c r="T10" s="14"/>
      <c r="U10" s="192"/>
      <c r="V10" s="192"/>
      <c r="W10" s="24"/>
      <c r="X10" s="24"/>
      <c r="Y10" s="24"/>
      <c r="AC10" s="24"/>
      <c r="AD10" s="24"/>
      <c r="AT10" s="12">
        <f>IF(E10&lt;&gt;"",1,0)</f>
        <v>0</v>
      </c>
      <c r="AU10" s="12">
        <f>IF(AND(SUM(AT:AT)&gt;0,E10=""),1,0)</f>
        <v>1</v>
      </c>
    </row>
    <row r="11" spans="1:47" s="190" customFormat="1" hidden="1" outlineLevel="1" thickBot="1" x14ac:dyDescent="0.2">
      <c r="A11" s="191" t="str">
        <f t="shared" si="0"/>
        <v>X</v>
      </c>
      <c r="B11" s="546" t="str">
        <f>[1]Details!$B$11</f>
        <v>Site Post Code</v>
      </c>
      <c r="C11" s="547"/>
      <c r="D11" s="548"/>
      <c r="E11" s="549" t="str">
        <f>IF([1]Details!$C$11=0,"",UPPER([1]Details!$C$11))</f>
        <v/>
      </c>
      <c r="F11" s="549"/>
      <c r="G11" s="549"/>
      <c r="H11" s="549"/>
      <c r="I11" s="549"/>
      <c r="J11" s="549"/>
      <c r="K11" s="549"/>
      <c r="L11" s="549"/>
      <c r="M11" s="550"/>
      <c r="O11" s="14"/>
      <c r="P11" s="14"/>
      <c r="Q11" s="14"/>
      <c r="R11" s="14"/>
      <c r="S11" s="14"/>
      <c r="T11" s="14"/>
      <c r="U11" s="192"/>
      <c r="V11" s="192"/>
      <c r="W11" s="24"/>
      <c r="X11" s="24"/>
      <c r="Y11" s="24"/>
      <c r="AC11" s="24"/>
      <c r="AD11" s="24"/>
      <c r="AT11" s="12">
        <f>IF(E11&lt;&gt;"",1,0)</f>
        <v>0</v>
      </c>
      <c r="AU11" s="12">
        <f>IF(AND(SUM(AT:AT)&gt;0,E11=""),1,0)</f>
        <v>1</v>
      </c>
    </row>
    <row r="12" spans="1:47" s="190" customFormat="1" hidden="1" outlineLevel="1" thickBot="1" x14ac:dyDescent="0.2">
      <c r="A12" s="191" t="str">
        <f t="shared" si="0"/>
        <v/>
      </c>
      <c r="O12" s="14"/>
      <c r="P12" s="14"/>
      <c r="Q12" s="14"/>
      <c r="R12" s="14"/>
      <c r="S12" s="14"/>
      <c r="T12" s="14"/>
      <c r="U12" s="192"/>
      <c r="V12" s="192"/>
      <c r="W12" s="24"/>
      <c r="X12" s="24"/>
      <c r="Y12" s="24"/>
      <c r="AC12" s="24"/>
      <c r="AD12" s="24"/>
      <c r="AT12" s="13"/>
      <c r="AU12" s="13"/>
    </row>
    <row r="13" spans="1:47" s="190" customFormat="1" ht="18" hidden="1" outlineLevel="1" x14ac:dyDescent="0.2">
      <c r="A13" s="191" t="str">
        <f t="shared" si="0"/>
        <v/>
      </c>
      <c r="B13" s="551" t="s">
        <v>137</v>
      </c>
      <c r="C13" s="552"/>
      <c r="D13" s="552"/>
      <c r="E13" s="552"/>
      <c r="F13" s="552"/>
      <c r="G13" s="552"/>
      <c r="H13" s="552"/>
      <c r="I13" s="552"/>
      <c r="J13" s="552"/>
      <c r="K13" s="552"/>
      <c r="L13" s="552"/>
      <c r="M13" s="553"/>
      <c r="O13" s="14"/>
      <c r="P13" s="14"/>
      <c r="Q13" s="14"/>
      <c r="R13" s="14"/>
      <c r="S13" s="14"/>
      <c r="T13" s="14"/>
      <c r="U13" s="192"/>
      <c r="V13" s="192"/>
      <c r="W13" s="24"/>
      <c r="X13" s="24"/>
      <c r="Y13" s="24"/>
      <c r="AC13" s="24"/>
      <c r="AD13" s="24"/>
      <c r="AT13" s="13"/>
      <c r="AU13" s="13"/>
    </row>
    <row r="14" spans="1:47" s="190" customFormat="1" hidden="1" outlineLevel="1" thickBot="1" x14ac:dyDescent="0.2">
      <c r="A14" s="191" t="str">
        <f t="shared" si="0"/>
        <v>X</v>
      </c>
      <c r="B14" s="546" t="s">
        <v>138</v>
      </c>
      <c r="C14" s="547"/>
      <c r="D14" s="548"/>
      <c r="E14" s="549" t="str">
        <f>IF([1]Details!$C$16=0,"",[1]Details!$C$16)</f>
        <v/>
      </c>
      <c r="F14" s="549"/>
      <c r="G14" s="549"/>
      <c r="H14" s="549"/>
      <c r="I14" s="549"/>
      <c r="J14" s="549"/>
      <c r="K14" s="549"/>
      <c r="L14" s="549"/>
      <c r="M14" s="550"/>
      <c r="O14" s="14"/>
      <c r="P14" s="14"/>
      <c r="Q14" s="14"/>
      <c r="R14" s="14"/>
      <c r="S14" s="14"/>
      <c r="T14" s="14"/>
      <c r="U14" s="192"/>
      <c r="V14" s="192"/>
      <c r="W14" s="24"/>
      <c r="X14" s="24"/>
      <c r="Y14" s="24"/>
      <c r="AC14" s="24"/>
      <c r="AD14" s="24"/>
      <c r="AT14" s="12">
        <f>IF(E14&lt;&gt;"",1,0)</f>
        <v>0</v>
      </c>
      <c r="AU14" s="12">
        <f>IF(AND(SUM(AT:AT)&gt;0,E14=""),1,0)</f>
        <v>1</v>
      </c>
    </row>
    <row r="15" spans="1:47" s="190" customFormat="1" ht="15" hidden="1" customHeight="1" outlineLevel="1" thickBot="1" x14ac:dyDescent="0.2">
      <c r="A15" s="191" t="str">
        <f t="shared" si="0"/>
        <v/>
      </c>
      <c r="J15" s="193"/>
      <c r="O15" s="14"/>
      <c r="P15" s="14"/>
      <c r="Q15" s="14"/>
      <c r="R15" s="14"/>
      <c r="S15" s="14"/>
      <c r="T15" s="14"/>
      <c r="U15" s="192"/>
      <c r="V15" s="192"/>
      <c r="W15" s="24"/>
      <c r="X15" s="24"/>
      <c r="Y15" s="24"/>
      <c r="AC15" s="24"/>
      <c r="AD15" s="24"/>
      <c r="AT15" s="13"/>
      <c r="AU15" s="13"/>
    </row>
    <row r="16" spans="1:47" s="194" customFormat="1" ht="18.75" customHeight="1" collapsed="1" thickBot="1" x14ac:dyDescent="0.2">
      <c r="A16" s="191" t="str">
        <f t="shared" si="0"/>
        <v/>
      </c>
      <c r="B16" s="596" t="s">
        <v>139</v>
      </c>
      <c r="C16" s="597"/>
      <c r="D16" s="597"/>
      <c r="E16" s="597"/>
      <c r="F16" s="597"/>
      <c r="G16" s="597"/>
      <c r="H16" s="597"/>
      <c r="I16" s="597"/>
      <c r="J16" s="597"/>
      <c r="K16" s="597"/>
      <c r="L16" s="597"/>
      <c r="M16" s="597"/>
      <c r="N16" s="597"/>
      <c r="O16" s="597"/>
      <c r="P16" s="597"/>
      <c r="Q16" s="597"/>
      <c r="R16" s="597"/>
      <c r="S16" s="597"/>
      <c r="T16" s="597"/>
      <c r="U16" s="597"/>
      <c r="V16" s="598"/>
      <c r="X16" s="24"/>
      <c r="Y16" s="24"/>
      <c r="Z16" s="190"/>
      <c r="AA16" s="190"/>
      <c r="AB16" s="190"/>
      <c r="AC16" s="24"/>
      <c r="AD16" s="24"/>
      <c r="AE16" s="190"/>
      <c r="AF16" s="190"/>
      <c r="AS16" s="190"/>
      <c r="AT16" s="13"/>
      <c r="AU16" s="13"/>
    </row>
    <row r="17" spans="1:47" ht="17.5" customHeight="1" x14ac:dyDescent="0.2">
      <c r="A17" s="195" t="str">
        <f t="shared" si="0"/>
        <v/>
      </c>
      <c r="B17" s="475" t="s">
        <v>1</v>
      </c>
      <c r="C17" s="476"/>
      <c r="D17" s="476"/>
      <c r="E17" s="476"/>
      <c r="F17" s="556" t="s">
        <v>17</v>
      </c>
      <c r="G17" s="556" t="s">
        <v>122</v>
      </c>
      <c r="H17" s="572" t="s">
        <v>467</v>
      </c>
      <c r="I17" s="572" t="s">
        <v>468</v>
      </c>
      <c r="J17" s="556" t="s">
        <v>18</v>
      </c>
      <c r="K17" s="586" t="s">
        <v>2</v>
      </c>
      <c r="L17" s="196"/>
      <c r="M17" s="475" t="s">
        <v>154</v>
      </c>
      <c r="N17" s="572" t="s">
        <v>155</v>
      </c>
      <c r="O17" s="554" t="s">
        <v>153</v>
      </c>
      <c r="P17" s="572" t="s">
        <v>475</v>
      </c>
      <c r="Q17" s="572" t="s">
        <v>476</v>
      </c>
      <c r="R17" s="572" t="s">
        <v>23</v>
      </c>
      <c r="S17" s="572" t="s">
        <v>149</v>
      </c>
      <c r="T17" s="615" t="s">
        <v>150</v>
      </c>
      <c r="U17" s="613" t="s">
        <v>40</v>
      </c>
      <c r="V17" s="611" t="s">
        <v>38</v>
      </c>
      <c r="X17" s="24"/>
      <c r="Y17" s="24"/>
      <c r="Z17" s="190"/>
      <c r="AA17" s="190"/>
      <c r="AB17" s="190"/>
      <c r="AC17" s="24"/>
      <c r="AD17" s="24"/>
      <c r="AE17" s="190"/>
      <c r="AF17" s="190"/>
      <c r="AT17" s="13"/>
      <c r="AU17" s="13"/>
    </row>
    <row r="18" spans="1:47" ht="13.5" customHeight="1" x14ac:dyDescent="0.2">
      <c r="A18" s="195" t="str">
        <f t="shared" si="0"/>
        <v/>
      </c>
      <c r="B18" s="588"/>
      <c r="C18" s="600"/>
      <c r="D18" s="600"/>
      <c r="E18" s="600"/>
      <c r="F18" s="557"/>
      <c r="G18" s="557"/>
      <c r="H18" s="557"/>
      <c r="I18" s="557"/>
      <c r="J18" s="557"/>
      <c r="K18" s="587"/>
      <c r="L18" s="198"/>
      <c r="M18" s="588"/>
      <c r="N18" s="589"/>
      <c r="O18" s="555"/>
      <c r="P18" s="557"/>
      <c r="Q18" s="557"/>
      <c r="R18" s="589"/>
      <c r="S18" s="589"/>
      <c r="T18" s="616"/>
      <c r="U18" s="614"/>
      <c r="V18" s="612"/>
      <c r="X18" s="24"/>
      <c r="Y18" s="24"/>
      <c r="Z18" s="190"/>
      <c r="AA18" s="190"/>
      <c r="AB18" s="190"/>
      <c r="AC18" s="24"/>
      <c r="AD18" s="24"/>
      <c r="AE18" s="190"/>
      <c r="AF18" s="190"/>
      <c r="AT18" s="13"/>
      <c r="AU18" s="13"/>
    </row>
    <row r="19" spans="1:47" s="184" customFormat="1" ht="4.5" customHeight="1" x14ac:dyDescent="0.2">
      <c r="A19" s="195"/>
      <c r="B19" s="199"/>
      <c r="C19" s="199"/>
      <c r="D19" s="199"/>
      <c r="E19" s="199"/>
      <c r="F19" s="200"/>
      <c r="G19" s="201"/>
      <c r="H19" s="202"/>
      <c r="I19" s="202"/>
      <c r="J19" s="203"/>
      <c r="K19" s="204"/>
      <c r="L19" s="205"/>
      <c r="M19" s="203"/>
      <c r="N19" s="203"/>
      <c r="O19" s="206"/>
      <c r="P19" s="206"/>
      <c r="Q19" s="206"/>
      <c r="R19" s="207"/>
      <c r="S19" s="208"/>
      <c r="T19" s="209"/>
      <c r="U19" s="204"/>
      <c r="V19" s="210"/>
      <c r="W19" s="211"/>
      <c r="X19" s="124"/>
      <c r="Y19" s="124"/>
      <c r="Z19" s="124"/>
      <c r="AA19" s="124"/>
      <c r="AB19" s="212"/>
      <c r="AC19" s="124"/>
      <c r="AD19" s="124"/>
      <c r="AE19" s="124"/>
      <c r="AF19" s="124"/>
      <c r="AG19" s="41"/>
      <c r="AH19" s="41"/>
      <c r="AS19" s="213"/>
      <c r="AT19" s="13"/>
      <c r="AU19" s="13"/>
    </row>
    <row r="20" spans="1:47" ht="24" customHeight="1" thickBot="1" x14ac:dyDescent="0.25">
      <c r="A20" s="195" t="str">
        <f t="shared" si="0"/>
        <v/>
      </c>
      <c r="B20" s="588" t="s">
        <v>7</v>
      </c>
      <c r="C20" s="600"/>
      <c r="D20" s="600"/>
      <c r="E20" s="600"/>
      <c r="F20" s="600"/>
      <c r="G20" s="600"/>
      <c r="H20" s="600"/>
      <c r="I20" s="600"/>
      <c r="J20" s="600"/>
      <c r="K20" s="601"/>
      <c r="L20" s="214"/>
      <c r="M20" s="602" t="str">
        <f t="shared" ref="M20:M25" si="1">B20</f>
        <v>Preparatory work</v>
      </c>
      <c r="N20" s="603"/>
      <c r="O20" s="603"/>
      <c r="P20" s="603"/>
      <c r="Q20" s="603"/>
      <c r="R20" s="603"/>
      <c r="S20" s="603"/>
      <c r="T20" s="604"/>
      <c r="U20" s="605" t="str">
        <f>B20</f>
        <v>Preparatory work</v>
      </c>
      <c r="V20" s="606"/>
      <c r="X20" s="24"/>
      <c r="Y20" s="24"/>
      <c r="Z20" s="190"/>
      <c r="AA20" s="190"/>
      <c r="AB20" s="190"/>
      <c r="AC20" s="24"/>
      <c r="AD20" s="24"/>
      <c r="AE20" s="190"/>
      <c r="AF20" s="190"/>
      <c r="AT20" s="13"/>
      <c r="AU20" s="13"/>
    </row>
    <row r="21" spans="1:47" ht="15" customHeight="1" thickBot="1" x14ac:dyDescent="0.25">
      <c r="A21" s="195" t="str">
        <f t="shared" si="0"/>
        <v>X</v>
      </c>
      <c r="B21" s="583" t="s">
        <v>415</v>
      </c>
      <c r="C21" s="584"/>
      <c r="D21" s="584"/>
      <c r="E21" s="585"/>
      <c r="F21" s="398"/>
      <c r="G21" s="217" t="s">
        <v>119</v>
      </c>
      <c r="H21" s="218">
        <v>7</v>
      </c>
      <c r="I21" s="218">
        <f>(H21/100)*(100+$F$26)</f>
        <v>7.0000000000000009</v>
      </c>
      <c r="J21" s="219">
        <v>0.3</v>
      </c>
      <c r="K21" s="220">
        <f>F21*I21*(1+J21)</f>
        <v>0</v>
      </c>
      <c r="L21" s="221"/>
      <c r="M21" s="216" t="str">
        <f t="shared" si="1"/>
        <v>Remove radiators &amp; cap valves</v>
      </c>
      <c r="N21" s="222">
        <f>(1/60)*20</f>
        <v>0.33333333333333331</v>
      </c>
      <c r="O21" s="222">
        <f>F21*N21</f>
        <v>0</v>
      </c>
      <c r="P21" s="218">
        <f>$D$155</f>
        <v>30.63</v>
      </c>
      <c r="Q21" s="218">
        <f>(P21/100)*(100+$F$26)</f>
        <v>30.630000000000003</v>
      </c>
      <c r="R21" s="223">
        <v>1</v>
      </c>
      <c r="S21" s="224">
        <f>(O21*Q21*(1+R21))</f>
        <v>0</v>
      </c>
      <c r="T21" s="225">
        <f>K21+S21</f>
        <v>0</v>
      </c>
      <c r="U21" s="226">
        <f>F21*H21*1.1</f>
        <v>0</v>
      </c>
      <c r="V21" s="227">
        <f>O21*$E$155</f>
        <v>0</v>
      </c>
      <c r="W21" s="191"/>
      <c r="X21" s="24"/>
      <c r="Y21" s="24"/>
      <c r="Z21" s="190"/>
      <c r="AA21" s="190"/>
      <c r="AB21" s="190"/>
      <c r="AC21" s="24"/>
      <c r="AD21" s="24"/>
      <c r="AE21" s="190"/>
      <c r="AF21" s="190"/>
      <c r="AI21" s="228"/>
      <c r="AT21" s="12">
        <f>IF(F21&lt;&gt;"",1,0)</f>
        <v>0</v>
      </c>
      <c r="AU21" s="12">
        <f>IF(AND(SUM(AT:AT)&gt;0,F21=""),1,0)</f>
        <v>1</v>
      </c>
    </row>
    <row r="22" spans="1:47" ht="24.75" customHeight="1" thickBot="1" x14ac:dyDescent="0.25">
      <c r="A22" s="195" t="str">
        <f t="shared" si="0"/>
        <v>X</v>
      </c>
      <c r="B22" s="575" t="s">
        <v>43</v>
      </c>
      <c r="C22" s="576"/>
      <c r="D22" s="576"/>
      <c r="E22" s="577"/>
      <c r="F22" s="399"/>
      <c r="G22" s="217" t="s">
        <v>119</v>
      </c>
      <c r="H22" s="218">
        <v>2</v>
      </c>
      <c r="I22" s="218">
        <f>(H22/100)*(100+$F$26)</f>
        <v>2</v>
      </c>
      <c r="J22" s="219">
        <v>0.3</v>
      </c>
      <c r="K22" s="220">
        <f t="shared" ref="K22:K24" si="2">F22*I22*(1+J22)</f>
        <v>0</v>
      </c>
      <c r="L22" s="221"/>
      <c r="M22" s="216" t="str">
        <f t="shared" si="1"/>
        <v>Remove socket fronts and isolate</v>
      </c>
      <c r="N22" s="229">
        <f>(1/60)*12</f>
        <v>0.2</v>
      </c>
      <c r="O22" s="222">
        <f>F22*N22</f>
        <v>0</v>
      </c>
      <c r="P22" s="218">
        <f>$D$155</f>
        <v>30.63</v>
      </c>
      <c r="Q22" s="218">
        <f>(P22/100)*(100+$F$26)</f>
        <v>30.630000000000003</v>
      </c>
      <c r="R22" s="223">
        <v>1</v>
      </c>
      <c r="S22" s="224">
        <f t="shared" ref="S22:S24" si="3">(O22*Q22*(1+R22))</f>
        <v>0</v>
      </c>
      <c r="T22" s="225">
        <f>K22+S22</f>
        <v>0</v>
      </c>
      <c r="U22" s="226">
        <f>F22*H22*1.1</f>
        <v>0</v>
      </c>
      <c r="V22" s="227">
        <f>O22*$E$155</f>
        <v>0</v>
      </c>
      <c r="W22" s="191"/>
      <c r="X22" s="24"/>
      <c r="Y22" s="24"/>
      <c r="Z22" s="190"/>
      <c r="AA22" s="190"/>
      <c r="AB22" s="190"/>
      <c r="AC22" s="24"/>
      <c r="AD22" s="24"/>
      <c r="AE22" s="190"/>
      <c r="AF22" s="190"/>
      <c r="AT22" s="12">
        <f>IF(F22&lt;&gt;"",1,0)</f>
        <v>0</v>
      </c>
      <c r="AU22" s="12">
        <f>IF(AND(SUM(AT:AT)&gt;0,F22=""),1,0)</f>
        <v>1</v>
      </c>
    </row>
    <row r="23" spans="1:47" ht="15" customHeight="1" thickBot="1" x14ac:dyDescent="0.25">
      <c r="A23" s="195" t="str">
        <f t="shared" si="0"/>
        <v>X</v>
      </c>
      <c r="B23" s="482" t="s">
        <v>47</v>
      </c>
      <c r="C23" s="483"/>
      <c r="D23" s="483"/>
      <c r="E23" s="563"/>
      <c r="F23" s="16"/>
      <c r="G23" s="217" t="s">
        <v>121</v>
      </c>
      <c r="H23" s="231">
        <v>0.1</v>
      </c>
      <c r="I23" s="218">
        <f>(H23/100)*(100+$F$26)</f>
        <v>0.1</v>
      </c>
      <c r="J23" s="219">
        <v>0.3</v>
      </c>
      <c r="K23" s="220">
        <f t="shared" si="2"/>
        <v>0</v>
      </c>
      <c r="L23" s="214"/>
      <c r="M23" s="230" t="str">
        <f t="shared" si="1"/>
        <v>Skirting board removal &amp; set aside</v>
      </c>
      <c r="N23" s="229">
        <v>7.0000000000000007E-2</v>
      </c>
      <c r="O23" s="222">
        <f>F23*N23</f>
        <v>0</v>
      </c>
      <c r="P23" s="218">
        <f>$D$155</f>
        <v>30.63</v>
      </c>
      <c r="Q23" s="218">
        <f>(P23/100)*(100+$F$26)</f>
        <v>30.630000000000003</v>
      </c>
      <c r="R23" s="223">
        <v>1</v>
      </c>
      <c r="S23" s="224">
        <f t="shared" si="3"/>
        <v>0</v>
      </c>
      <c r="T23" s="225">
        <f>K23+S23</f>
        <v>0</v>
      </c>
      <c r="U23" s="226">
        <f>F23*H23*1.1</f>
        <v>0</v>
      </c>
      <c r="V23" s="227">
        <f>O23*$E$155</f>
        <v>0</v>
      </c>
      <c r="X23" s="24"/>
      <c r="Y23" s="24"/>
      <c r="Z23" s="190"/>
      <c r="AA23" s="190"/>
      <c r="AB23" s="190"/>
      <c r="AC23" s="24"/>
      <c r="AD23" s="24"/>
      <c r="AE23" s="190"/>
      <c r="AF23" s="190"/>
      <c r="AT23" s="12">
        <f>IF(F23&lt;&gt;"",1,0)</f>
        <v>0</v>
      </c>
      <c r="AU23" s="12">
        <f>IF(AND(SUM(AT:AT)&gt;0,F23=""),1,0)</f>
        <v>1</v>
      </c>
    </row>
    <row r="24" spans="1:47" ht="15" customHeight="1" thickBot="1" x14ac:dyDescent="0.25">
      <c r="A24" s="195" t="str">
        <f t="shared" ref="A24" si="4">IF(AU24=1,"X","")</f>
        <v>X</v>
      </c>
      <c r="B24" s="482" t="s">
        <v>421</v>
      </c>
      <c r="C24" s="483"/>
      <c r="D24" s="483"/>
      <c r="E24" s="563"/>
      <c r="F24" s="16"/>
      <c r="G24" s="217" t="s">
        <v>116</v>
      </c>
      <c r="H24" s="231">
        <v>0.5</v>
      </c>
      <c r="I24" s="218">
        <f>(H24/100)*(100+$F$26)</f>
        <v>0.5</v>
      </c>
      <c r="J24" s="219">
        <v>0.3</v>
      </c>
      <c r="K24" s="232">
        <f t="shared" si="2"/>
        <v>0</v>
      </c>
      <c r="L24" s="214"/>
      <c r="M24" s="230" t="str">
        <f t="shared" si="1"/>
        <v>Strip Wall Paper</v>
      </c>
      <c r="N24" s="229">
        <v>0.5</v>
      </c>
      <c r="O24" s="222">
        <f>F24*N24</f>
        <v>0</v>
      </c>
      <c r="P24" s="218">
        <f>$D$155</f>
        <v>30.63</v>
      </c>
      <c r="Q24" s="218">
        <f>(P24/100)*(100+$F$26)</f>
        <v>30.630000000000003</v>
      </c>
      <c r="R24" s="223">
        <v>1</v>
      </c>
      <c r="S24" s="224">
        <f t="shared" si="3"/>
        <v>0</v>
      </c>
      <c r="T24" s="225">
        <f>K24+S24</f>
        <v>0</v>
      </c>
      <c r="U24" s="226">
        <f>F24*H24*1.1</f>
        <v>0</v>
      </c>
      <c r="V24" s="227">
        <f>O24*$E$155</f>
        <v>0</v>
      </c>
      <c r="X24" s="24"/>
      <c r="Y24" s="24"/>
      <c r="Z24" s="190"/>
      <c r="AA24" s="190"/>
      <c r="AB24" s="190"/>
      <c r="AC24" s="24"/>
      <c r="AD24" s="24"/>
      <c r="AE24" s="190"/>
      <c r="AF24" s="190"/>
      <c r="AT24" s="12">
        <f>IF(F24&lt;&gt;"",1,0)</f>
        <v>0</v>
      </c>
      <c r="AU24" s="12">
        <f>IF(AND(SUM(AT:AT)&gt;0,F24=""),1,0)</f>
        <v>1</v>
      </c>
    </row>
    <row r="25" spans="1:47" ht="16" thickBot="1" x14ac:dyDescent="0.25">
      <c r="A25" s="195" t="str">
        <f t="shared" ref="A25" si="5">IF(AU25=1,"X","")</f>
        <v>X</v>
      </c>
      <c r="B25" s="482" t="s">
        <v>596</v>
      </c>
      <c r="C25" s="483"/>
      <c r="D25" s="483"/>
      <c r="E25" s="563"/>
      <c r="F25" s="399"/>
      <c r="G25" s="217" t="s">
        <v>119</v>
      </c>
      <c r="H25" s="231">
        <f>4.16*1.1</f>
        <v>4.5760000000000005</v>
      </c>
      <c r="I25" s="218">
        <f>(H25/100)*(100+$F$26)</f>
        <v>4.5760000000000005</v>
      </c>
      <c r="J25" s="219">
        <v>0.3</v>
      </c>
      <c r="K25" s="232">
        <f t="shared" ref="K25" si="6">F25*I25*(1+J25)</f>
        <v>0</v>
      </c>
      <c r="L25" s="214"/>
      <c r="M25" s="233" t="str">
        <f t="shared" si="1"/>
        <v>Antinox HD Floor Protection Boards – 2.4m x 1.2m</v>
      </c>
      <c r="N25" s="222">
        <f>(1/60)*2</f>
        <v>3.3333333333333333E-2</v>
      </c>
      <c r="O25" s="222">
        <f>F25*N25</f>
        <v>0</v>
      </c>
      <c r="P25" s="218">
        <f>$D$155</f>
        <v>30.63</v>
      </c>
      <c r="Q25" s="218">
        <f>(P25/100)*(100+$F$26)</f>
        <v>30.630000000000003</v>
      </c>
      <c r="R25" s="223">
        <v>1</v>
      </c>
      <c r="S25" s="224">
        <f t="shared" ref="S25" si="7">(O25*Q25*(1+R25))</f>
        <v>0</v>
      </c>
      <c r="T25" s="225">
        <f>K25+S25</f>
        <v>0</v>
      </c>
      <c r="U25" s="226">
        <f>F25*H25*1.1</f>
        <v>0</v>
      </c>
      <c r="V25" s="227">
        <f>O25*$E$155</f>
        <v>0</v>
      </c>
      <c r="X25" s="24"/>
      <c r="Y25" s="24"/>
      <c r="Z25" s="190"/>
      <c r="AA25" s="190"/>
      <c r="AB25" s="190"/>
      <c r="AC25" s="24"/>
      <c r="AD25" s="24"/>
      <c r="AE25" s="190"/>
      <c r="AF25" s="190"/>
      <c r="AT25" s="12">
        <f>IF(F25&lt;&gt;"",1,0)</f>
        <v>0</v>
      </c>
      <c r="AU25" s="12">
        <f>IF(AND(SUM(AT:AT)&gt;0,F25=""),1,0)</f>
        <v>1</v>
      </c>
    </row>
    <row r="26" spans="1:47" ht="16" thickBot="1" x14ac:dyDescent="0.25">
      <c r="A26" s="195" t="str">
        <f t="shared" si="0"/>
        <v/>
      </c>
      <c r="B26" s="484" t="s">
        <v>473</v>
      </c>
      <c r="C26" s="485"/>
      <c r="D26" s="485"/>
      <c r="E26" s="485"/>
      <c r="F26" s="123">
        <v>0</v>
      </c>
      <c r="G26" s="234"/>
      <c r="H26" s="235"/>
      <c r="I26" s="235"/>
      <c r="J26" s="236" t="s">
        <v>152</v>
      </c>
      <c r="K26" s="237">
        <f>SUM(K21:K25)</f>
        <v>0</v>
      </c>
      <c r="L26" s="214"/>
      <c r="M26" s="486" t="s">
        <v>152</v>
      </c>
      <c r="N26" s="487"/>
      <c r="O26" s="238">
        <f>SUM(O21:O25)</f>
        <v>0</v>
      </c>
      <c r="P26" s="239"/>
      <c r="Q26" s="239"/>
      <c r="R26" s="240"/>
      <c r="S26" s="241">
        <f>SUM(S21:S25)</f>
        <v>0</v>
      </c>
      <c r="T26" s="242">
        <f>SUM(T21:T25)</f>
        <v>0</v>
      </c>
      <c r="U26" s="243">
        <f>SUM(U21:U25)</f>
        <v>0</v>
      </c>
      <c r="V26" s="244">
        <f>SUM(V21:V25)</f>
        <v>0</v>
      </c>
      <c r="W26" s="245"/>
      <c r="X26" s="24"/>
      <c r="Y26" s="24"/>
      <c r="Z26" s="190"/>
      <c r="AA26" s="190"/>
      <c r="AB26" s="190"/>
      <c r="AC26" s="24"/>
      <c r="AD26" s="24"/>
      <c r="AE26" s="190"/>
      <c r="AF26" s="190"/>
      <c r="AT26" s="13"/>
      <c r="AU26" s="13"/>
    </row>
    <row r="27" spans="1:47" s="184" customFormat="1" ht="5" customHeight="1" thickBot="1" x14ac:dyDescent="0.25">
      <c r="A27" s="195"/>
      <c r="B27" s="199"/>
      <c r="C27" s="199"/>
      <c r="D27" s="199"/>
      <c r="E27" s="199"/>
      <c r="F27" s="200"/>
      <c r="G27" s="201"/>
      <c r="H27" s="202"/>
      <c r="I27" s="202"/>
      <c r="J27" s="203"/>
      <c r="K27" s="204"/>
      <c r="L27" s="205"/>
      <c r="M27" s="203"/>
      <c r="N27" s="203"/>
      <c r="O27" s="206"/>
      <c r="P27" s="206"/>
      <c r="Q27" s="206"/>
      <c r="R27" s="207"/>
      <c r="S27" s="208"/>
      <c r="T27" s="209"/>
      <c r="U27" s="204"/>
      <c r="V27" s="210"/>
      <c r="W27" s="211"/>
      <c r="X27" s="124"/>
      <c r="Y27" s="124"/>
      <c r="Z27" s="124"/>
      <c r="AA27" s="124"/>
      <c r="AB27" s="212"/>
      <c r="AC27" s="124"/>
      <c r="AD27" s="124"/>
      <c r="AE27" s="124"/>
      <c r="AF27" s="124"/>
      <c r="AG27" s="41"/>
      <c r="AH27" s="41"/>
      <c r="AS27" s="213"/>
      <c r="AT27" s="13"/>
      <c r="AU27" s="13"/>
    </row>
    <row r="28" spans="1:47" ht="25" customHeight="1" thickBot="1" x14ac:dyDescent="0.25">
      <c r="A28" s="195" t="str">
        <f t="shared" si="0"/>
        <v/>
      </c>
      <c r="B28" s="564" t="s">
        <v>4</v>
      </c>
      <c r="C28" s="565"/>
      <c r="D28" s="565"/>
      <c r="E28" s="565"/>
      <c r="F28" s="599"/>
      <c r="G28" s="565"/>
      <c r="H28" s="565"/>
      <c r="I28" s="565"/>
      <c r="J28" s="565"/>
      <c r="K28" s="565"/>
      <c r="L28" s="246"/>
      <c r="M28" s="477" t="str">
        <f t="shared" ref="M28:M35" si="8">B28</f>
        <v>Strip out</v>
      </c>
      <c r="N28" s="478"/>
      <c r="O28" s="478"/>
      <c r="P28" s="478"/>
      <c r="Q28" s="478"/>
      <c r="R28" s="478"/>
      <c r="S28" s="478"/>
      <c r="T28" s="479"/>
      <c r="U28" s="607" t="str">
        <f>B28</f>
        <v>Strip out</v>
      </c>
      <c r="V28" s="595"/>
      <c r="X28" s="24"/>
      <c r="Y28" s="24"/>
      <c r="Z28" s="190"/>
      <c r="AA28" s="190"/>
      <c r="AB28" s="190"/>
      <c r="AC28" s="24"/>
      <c r="AD28" s="24"/>
      <c r="AE28" s="190"/>
      <c r="AF28" s="190"/>
      <c r="AT28" s="13"/>
      <c r="AU28" s="13"/>
    </row>
    <row r="29" spans="1:47" ht="15" customHeight="1" thickBot="1" x14ac:dyDescent="0.25">
      <c r="A29" s="195" t="str">
        <f t="shared" si="0"/>
        <v>X</v>
      </c>
      <c r="B29" s="482" t="s">
        <v>44</v>
      </c>
      <c r="C29" s="483"/>
      <c r="D29" s="483"/>
      <c r="E29" s="563"/>
      <c r="F29" s="18"/>
      <c r="G29" s="217" t="s">
        <v>116</v>
      </c>
      <c r="H29" s="247">
        <v>0</v>
      </c>
      <c r="I29" s="218">
        <f t="shared" ref="I29:I35" si="9">(H29/100)*(100+$F$36)</f>
        <v>0</v>
      </c>
      <c r="J29" s="219">
        <v>0</v>
      </c>
      <c r="K29" s="220">
        <f t="shared" ref="K29:K34" si="10">F29*I29*(1+J29)</f>
        <v>0</v>
      </c>
      <c r="L29" s="248"/>
      <c r="M29" s="230" t="str">
        <f t="shared" si="8"/>
        <v>Remove plaster/render (Walls)</v>
      </c>
      <c r="N29" s="229">
        <v>0.3</v>
      </c>
      <c r="O29" s="222">
        <f t="shared" ref="O29:O34" si="11">F29*N29</f>
        <v>0</v>
      </c>
      <c r="P29" s="218">
        <f t="shared" ref="P29:P35" si="12">$D$155</f>
        <v>30.63</v>
      </c>
      <c r="Q29" s="218">
        <f t="shared" ref="Q29:Q35" si="13">(P29/100)*(100+$F$36)</f>
        <v>30.630000000000003</v>
      </c>
      <c r="R29" s="223">
        <v>1</v>
      </c>
      <c r="S29" s="224">
        <f t="shared" ref="S29:S35" si="14">(O29*Q29*(1+R29))</f>
        <v>0</v>
      </c>
      <c r="T29" s="225">
        <f t="shared" ref="T29:T35" si="15">K29+S29</f>
        <v>0</v>
      </c>
      <c r="U29" s="226">
        <f t="shared" ref="U29:U34" si="16">F29*H29*1.1</f>
        <v>0</v>
      </c>
      <c r="V29" s="227">
        <f t="shared" ref="V29:V35" si="17">O29*$E$155</f>
        <v>0</v>
      </c>
      <c r="X29" s="24"/>
      <c r="Y29" s="24"/>
      <c r="Z29" s="190"/>
      <c r="AA29" s="190"/>
      <c r="AB29" s="190"/>
      <c r="AC29" s="24"/>
      <c r="AD29" s="24"/>
      <c r="AE29" s="190"/>
      <c r="AF29" s="190"/>
      <c r="AT29" s="12">
        <f>IF(F29&lt;&gt;"",1,0)</f>
        <v>0</v>
      </c>
      <c r="AU29" s="12">
        <f>IF(AND(SUM(AT:AT)&gt;0,F29=""),1,0)</f>
        <v>1</v>
      </c>
    </row>
    <row r="30" spans="1:47" ht="15" customHeight="1" thickBot="1" x14ac:dyDescent="0.25">
      <c r="A30" s="195" t="str">
        <f t="shared" si="0"/>
        <v>X</v>
      </c>
      <c r="B30" s="482" t="s">
        <v>6</v>
      </c>
      <c r="C30" s="483"/>
      <c r="D30" s="483"/>
      <c r="E30" s="563"/>
      <c r="F30" s="17"/>
      <c r="G30" s="217" t="s">
        <v>116</v>
      </c>
      <c r="H30" s="247">
        <v>0</v>
      </c>
      <c r="I30" s="218">
        <f t="shared" si="9"/>
        <v>0</v>
      </c>
      <c r="J30" s="219">
        <v>0</v>
      </c>
      <c r="K30" s="220">
        <f t="shared" si="10"/>
        <v>0</v>
      </c>
      <c r="L30" s="248"/>
      <c r="M30" s="230" t="str">
        <f t="shared" si="8"/>
        <v>Removal of stud walls etc (Bag &amp; cart away)</v>
      </c>
      <c r="N30" s="229">
        <v>0.4</v>
      </c>
      <c r="O30" s="222">
        <f t="shared" si="11"/>
        <v>0</v>
      </c>
      <c r="P30" s="218">
        <f t="shared" si="12"/>
        <v>30.63</v>
      </c>
      <c r="Q30" s="218">
        <f t="shared" si="13"/>
        <v>30.630000000000003</v>
      </c>
      <c r="R30" s="223">
        <v>1</v>
      </c>
      <c r="S30" s="224">
        <f t="shared" si="14"/>
        <v>0</v>
      </c>
      <c r="T30" s="225">
        <f t="shared" si="15"/>
        <v>0</v>
      </c>
      <c r="U30" s="226">
        <f t="shared" si="16"/>
        <v>0</v>
      </c>
      <c r="V30" s="227">
        <f t="shared" si="17"/>
        <v>0</v>
      </c>
      <c r="X30" s="24"/>
      <c r="Y30" s="24"/>
      <c r="Z30" s="190"/>
      <c r="AA30" s="190"/>
      <c r="AB30" s="190"/>
      <c r="AC30" s="24"/>
      <c r="AD30" s="24"/>
      <c r="AE30" s="190"/>
      <c r="AF30" s="190"/>
      <c r="AT30" s="12">
        <f>IF(F30&lt;&gt;"",1,0)</f>
        <v>0</v>
      </c>
      <c r="AU30" s="12">
        <f>IF(AND(SUM(AT:AT)&gt;0,F30=""),1,0)</f>
        <v>1</v>
      </c>
    </row>
    <row r="31" spans="1:47" ht="15" customHeight="1" thickBot="1" x14ac:dyDescent="0.25">
      <c r="A31" s="195" t="str">
        <f t="shared" si="0"/>
        <v>X</v>
      </c>
      <c r="B31" s="482" t="s">
        <v>5</v>
      </c>
      <c r="C31" s="483"/>
      <c r="D31" s="483"/>
      <c r="E31" s="563"/>
      <c r="F31" s="18"/>
      <c r="G31" s="217" t="s">
        <v>116</v>
      </c>
      <c r="H31" s="247">
        <v>0</v>
      </c>
      <c r="I31" s="218">
        <f t="shared" si="9"/>
        <v>0</v>
      </c>
      <c r="J31" s="219">
        <v>0</v>
      </c>
      <c r="K31" s="220">
        <f t="shared" si="10"/>
        <v>0</v>
      </c>
      <c r="L31" s="248"/>
      <c r="M31" s="230" t="str">
        <f t="shared" si="8"/>
        <v>Plaster &amp; stud Removal (Ceilings)</v>
      </c>
      <c r="N31" s="229">
        <v>0.8</v>
      </c>
      <c r="O31" s="222">
        <f t="shared" si="11"/>
        <v>0</v>
      </c>
      <c r="P31" s="218">
        <f t="shared" si="12"/>
        <v>30.63</v>
      </c>
      <c r="Q31" s="218">
        <f t="shared" si="13"/>
        <v>30.630000000000003</v>
      </c>
      <c r="R31" s="223">
        <v>1</v>
      </c>
      <c r="S31" s="224">
        <f t="shared" si="14"/>
        <v>0</v>
      </c>
      <c r="T31" s="225">
        <f t="shared" si="15"/>
        <v>0</v>
      </c>
      <c r="U31" s="226">
        <f t="shared" si="16"/>
        <v>0</v>
      </c>
      <c r="V31" s="227">
        <f t="shared" si="17"/>
        <v>0</v>
      </c>
      <c r="X31" s="24"/>
      <c r="Y31" s="24"/>
      <c r="Z31" s="190"/>
      <c r="AA31" s="190"/>
      <c r="AB31" s="190"/>
      <c r="AC31" s="24"/>
      <c r="AD31" s="24"/>
      <c r="AE31" s="190"/>
      <c r="AF31" s="190"/>
      <c r="AT31" s="12">
        <f>IF(F31&lt;&gt;"",1,0)</f>
        <v>0</v>
      </c>
      <c r="AU31" s="12">
        <f>IF(AND(SUM(AT:AT)&gt;0,F31=""),1,0)</f>
        <v>1</v>
      </c>
    </row>
    <row r="32" spans="1:47" ht="15" customHeight="1" thickBot="1" x14ac:dyDescent="0.25">
      <c r="A32" s="195" t="str">
        <f t="shared" si="0"/>
        <v>X</v>
      </c>
      <c r="B32" s="482" t="s">
        <v>42</v>
      </c>
      <c r="C32" s="483"/>
      <c r="D32" s="483"/>
      <c r="E32" s="563"/>
      <c r="F32" s="18"/>
      <c r="G32" s="217" t="s">
        <v>116</v>
      </c>
      <c r="H32" s="247">
        <v>0</v>
      </c>
      <c r="I32" s="218">
        <f t="shared" si="9"/>
        <v>0</v>
      </c>
      <c r="J32" s="219">
        <v>0</v>
      </c>
      <c r="K32" s="220">
        <f t="shared" si="10"/>
        <v>0</v>
      </c>
      <c r="L32" s="248"/>
      <c r="M32" s="230" t="str">
        <f t="shared" si="8"/>
        <v>Strip out existing timber floor (GF)</v>
      </c>
      <c r="N32" s="229">
        <v>0.5</v>
      </c>
      <c r="O32" s="222">
        <f t="shared" si="11"/>
        <v>0</v>
      </c>
      <c r="P32" s="218">
        <f t="shared" si="12"/>
        <v>30.63</v>
      </c>
      <c r="Q32" s="218">
        <f t="shared" si="13"/>
        <v>30.630000000000003</v>
      </c>
      <c r="R32" s="223">
        <v>1</v>
      </c>
      <c r="S32" s="224">
        <f t="shared" si="14"/>
        <v>0</v>
      </c>
      <c r="T32" s="225">
        <f t="shared" si="15"/>
        <v>0</v>
      </c>
      <c r="U32" s="226">
        <f t="shared" si="16"/>
        <v>0</v>
      </c>
      <c r="V32" s="227">
        <f t="shared" si="17"/>
        <v>0</v>
      </c>
      <c r="X32" s="24"/>
      <c r="Y32" s="24"/>
      <c r="Z32" s="190"/>
      <c r="AA32" s="190"/>
      <c r="AB32" s="190"/>
      <c r="AC32" s="24"/>
      <c r="AD32" s="24"/>
      <c r="AE32" s="190"/>
      <c r="AF32" s="190"/>
      <c r="AT32" s="12">
        <f>IF(F32&lt;&gt;"",1,0)</f>
        <v>0</v>
      </c>
      <c r="AU32" s="12">
        <f>IF(AND(SUM(AT:AT)&gt;0,F32=""),1,0)</f>
        <v>1</v>
      </c>
    </row>
    <row r="33" spans="1:47" ht="15" customHeight="1" thickBot="1" x14ac:dyDescent="0.25">
      <c r="A33" s="195" t="str">
        <f t="shared" si="0"/>
        <v>X</v>
      </c>
      <c r="B33" s="482" t="s">
        <v>41</v>
      </c>
      <c r="C33" s="483"/>
      <c r="D33" s="483"/>
      <c r="E33" s="563"/>
      <c r="F33" s="17"/>
      <c r="G33" s="217" t="s">
        <v>116</v>
      </c>
      <c r="H33" s="247">
        <v>0</v>
      </c>
      <c r="I33" s="218">
        <f t="shared" si="9"/>
        <v>0</v>
      </c>
      <c r="J33" s="219">
        <v>0</v>
      </c>
      <c r="K33" s="220">
        <f t="shared" si="10"/>
        <v>0</v>
      </c>
      <c r="L33" s="248"/>
      <c r="M33" s="230" t="str">
        <f t="shared" si="8"/>
        <v>Scrape back/clear sub floors</v>
      </c>
      <c r="N33" s="229">
        <v>0.25</v>
      </c>
      <c r="O33" s="222">
        <f t="shared" si="11"/>
        <v>0</v>
      </c>
      <c r="P33" s="218">
        <f t="shared" si="12"/>
        <v>30.63</v>
      </c>
      <c r="Q33" s="218">
        <f t="shared" si="13"/>
        <v>30.630000000000003</v>
      </c>
      <c r="R33" s="223">
        <v>1</v>
      </c>
      <c r="S33" s="224">
        <f t="shared" si="14"/>
        <v>0</v>
      </c>
      <c r="T33" s="225">
        <f t="shared" si="15"/>
        <v>0</v>
      </c>
      <c r="U33" s="226">
        <f t="shared" si="16"/>
        <v>0</v>
      </c>
      <c r="V33" s="227">
        <f t="shared" si="17"/>
        <v>0</v>
      </c>
      <c r="X33" s="24"/>
      <c r="Y33" s="24"/>
      <c r="Z33" s="190"/>
      <c r="AA33" s="190"/>
      <c r="AB33" s="190"/>
      <c r="AC33" s="24"/>
      <c r="AD33" s="24"/>
      <c r="AE33" s="190"/>
      <c r="AF33" s="190"/>
      <c r="AT33" s="12">
        <f>IF(F33&lt;&gt;"",1,0)</f>
        <v>0</v>
      </c>
      <c r="AU33" s="12">
        <f>IF(AND(SUM(AT:AT)&gt;0,F33=""),1,0)</f>
        <v>1</v>
      </c>
    </row>
    <row r="34" spans="1:47" ht="14.5" customHeight="1" x14ac:dyDescent="0.2">
      <c r="A34" s="195" t="str">
        <f t="shared" si="0"/>
        <v/>
      </c>
      <c r="B34" s="493" t="s">
        <v>36</v>
      </c>
      <c r="C34" s="494"/>
      <c r="D34" s="494"/>
      <c r="E34" s="494"/>
      <c r="F34" s="249">
        <f>SUM(F29:F33)*2</f>
        <v>0</v>
      </c>
      <c r="G34" s="250" t="s">
        <v>129</v>
      </c>
      <c r="H34" s="247">
        <v>1</v>
      </c>
      <c r="I34" s="218">
        <f t="shared" si="9"/>
        <v>1</v>
      </c>
      <c r="J34" s="219">
        <v>0.3</v>
      </c>
      <c r="K34" s="220">
        <f t="shared" si="10"/>
        <v>0</v>
      </c>
      <c r="L34" s="248"/>
      <c r="M34" s="230" t="str">
        <f t="shared" si="8"/>
        <v xml:space="preserve">Bag up debris &amp; cart outside </v>
      </c>
      <c r="N34" s="229">
        <v>0.01</v>
      </c>
      <c r="O34" s="222">
        <f t="shared" si="11"/>
        <v>0</v>
      </c>
      <c r="P34" s="218">
        <f t="shared" si="12"/>
        <v>30.63</v>
      </c>
      <c r="Q34" s="218">
        <f t="shared" si="13"/>
        <v>30.630000000000003</v>
      </c>
      <c r="R34" s="223">
        <v>1</v>
      </c>
      <c r="S34" s="224">
        <f t="shared" si="14"/>
        <v>0</v>
      </c>
      <c r="T34" s="225">
        <f t="shared" si="15"/>
        <v>0</v>
      </c>
      <c r="U34" s="226">
        <f t="shared" si="16"/>
        <v>0</v>
      </c>
      <c r="V34" s="227">
        <f t="shared" si="17"/>
        <v>0</v>
      </c>
      <c r="X34" s="24"/>
      <c r="Y34" s="24"/>
      <c r="Z34" s="190"/>
      <c r="AA34" s="190"/>
      <c r="AB34" s="190"/>
      <c r="AC34" s="24"/>
      <c r="AD34" s="24"/>
      <c r="AE34" s="190"/>
      <c r="AF34" s="190"/>
      <c r="AT34" s="13"/>
      <c r="AU34" s="13"/>
    </row>
    <row r="35" spans="1:47" ht="30.75" customHeight="1" thickBot="1" x14ac:dyDescent="0.25">
      <c r="A35" s="195" t="str">
        <f t="shared" si="0"/>
        <v/>
      </c>
      <c r="B35" s="493" t="s">
        <v>37</v>
      </c>
      <c r="C35" s="494"/>
      <c r="D35" s="494"/>
      <c r="E35" s="494"/>
      <c r="F35" s="222">
        <f>F34</f>
        <v>0</v>
      </c>
      <c r="G35" s="250" t="s">
        <v>129</v>
      </c>
      <c r="H35" s="247">
        <f>IF(F35=0,0,IF(F35&lt;=20,40/F35,2))</f>
        <v>0</v>
      </c>
      <c r="I35" s="218">
        <f t="shared" si="9"/>
        <v>0</v>
      </c>
      <c r="J35" s="219">
        <v>0.3</v>
      </c>
      <c r="K35" s="232">
        <f>F35*I35*(1+J35)</f>
        <v>0</v>
      </c>
      <c r="L35" s="248"/>
      <c r="M35" s="230" t="str">
        <f t="shared" si="8"/>
        <v>Disposal via licensed transfer agent</v>
      </c>
      <c r="N35" s="229">
        <v>0</v>
      </c>
      <c r="O35" s="222">
        <v>0</v>
      </c>
      <c r="P35" s="218">
        <f t="shared" si="12"/>
        <v>30.63</v>
      </c>
      <c r="Q35" s="218">
        <f t="shared" si="13"/>
        <v>30.630000000000003</v>
      </c>
      <c r="R35" s="223">
        <v>1</v>
      </c>
      <c r="S35" s="224">
        <f t="shared" si="14"/>
        <v>0</v>
      </c>
      <c r="T35" s="225">
        <f t="shared" si="15"/>
        <v>0</v>
      </c>
      <c r="U35" s="226">
        <v>0</v>
      </c>
      <c r="V35" s="227">
        <f t="shared" si="17"/>
        <v>0</v>
      </c>
      <c r="X35" s="24"/>
      <c r="Y35" s="24"/>
      <c r="Z35" s="190"/>
      <c r="AA35" s="190"/>
      <c r="AB35" s="190"/>
      <c r="AC35" s="24"/>
      <c r="AD35" s="24"/>
      <c r="AE35" s="190"/>
      <c r="AF35" s="190"/>
      <c r="AT35" s="13"/>
      <c r="AU35" s="13"/>
    </row>
    <row r="36" spans="1:47" ht="16" thickBot="1" x14ac:dyDescent="0.25">
      <c r="A36" s="195" t="str">
        <f t="shared" si="0"/>
        <v/>
      </c>
      <c r="B36" s="484" t="s">
        <v>473</v>
      </c>
      <c r="C36" s="485"/>
      <c r="D36" s="485"/>
      <c r="E36" s="485"/>
      <c r="F36" s="123">
        <v>0</v>
      </c>
      <c r="G36" s="234"/>
      <c r="H36" s="235"/>
      <c r="I36" s="235"/>
      <c r="J36" s="236" t="s">
        <v>152</v>
      </c>
      <c r="K36" s="251">
        <f>SUM(K29:K35)</f>
        <v>0</v>
      </c>
      <c r="L36" s="252"/>
      <c r="M36" s="486" t="s">
        <v>152</v>
      </c>
      <c r="N36" s="487"/>
      <c r="O36" s="238">
        <f>SUM(O29:O35)</f>
        <v>0</v>
      </c>
      <c r="P36" s="239"/>
      <c r="Q36" s="239"/>
      <c r="R36" s="240"/>
      <c r="S36" s="241">
        <f>SUM(S29:S35)</f>
        <v>0</v>
      </c>
      <c r="T36" s="242">
        <f>SUM(T29:T35)</f>
        <v>0</v>
      </c>
      <c r="U36" s="243">
        <f>SUM(U29:U35)</f>
        <v>0</v>
      </c>
      <c r="V36" s="244">
        <f>SUM(V29:V35)</f>
        <v>0</v>
      </c>
      <c r="X36" s="24"/>
      <c r="Y36" s="24"/>
      <c r="Z36" s="190"/>
      <c r="AA36" s="190"/>
      <c r="AB36" s="190"/>
      <c r="AC36" s="24"/>
      <c r="AD36" s="24"/>
      <c r="AE36" s="190"/>
      <c r="AF36" s="190"/>
      <c r="AT36" s="13"/>
      <c r="AU36" s="13"/>
    </row>
    <row r="37" spans="1:47" s="184" customFormat="1" ht="5" customHeight="1" thickBot="1" x14ac:dyDescent="0.25">
      <c r="A37" s="195"/>
      <c r="B37" s="403"/>
      <c r="C37" s="403"/>
      <c r="D37" s="403"/>
      <c r="E37" s="403"/>
      <c r="F37" s="404"/>
      <c r="G37" s="405"/>
      <c r="H37" s="406"/>
      <c r="I37" s="406"/>
      <c r="J37" s="407"/>
      <c r="K37" s="408"/>
      <c r="L37" s="205"/>
      <c r="M37" s="203"/>
      <c r="N37" s="203"/>
      <c r="O37" s="206"/>
      <c r="P37" s="206"/>
      <c r="Q37" s="206"/>
      <c r="R37" s="207"/>
      <c r="S37" s="208"/>
      <c r="T37" s="209"/>
      <c r="U37" s="204"/>
      <c r="V37" s="210"/>
      <c r="W37" s="211"/>
      <c r="X37" s="124"/>
      <c r="Y37" s="124"/>
      <c r="Z37" s="124"/>
      <c r="AA37" s="124"/>
      <c r="AB37" s="212"/>
      <c r="AC37" s="124"/>
      <c r="AD37" s="124"/>
      <c r="AE37" s="124"/>
      <c r="AF37" s="124"/>
      <c r="AG37" s="41"/>
      <c r="AH37" s="41"/>
      <c r="AS37" s="213"/>
      <c r="AT37" s="13"/>
      <c r="AU37" s="13"/>
    </row>
    <row r="38" spans="1:47" ht="25" customHeight="1" x14ac:dyDescent="0.2">
      <c r="A38" s="195" t="str">
        <f t="shared" si="0"/>
        <v/>
      </c>
      <c r="B38" s="564" t="s">
        <v>0</v>
      </c>
      <c r="C38" s="565"/>
      <c r="D38" s="565"/>
      <c r="E38" s="565"/>
      <c r="F38" s="565"/>
      <c r="G38" s="565"/>
      <c r="H38" s="565"/>
      <c r="I38" s="565"/>
      <c r="J38" s="565"/>
      <c r="K38" s="566"/>
      <c r="L38" s="253"/>
      <c r="M38" s="477" t="str">
        <f>B38</f>
        <v>Walls</v>
      </c>
      <c r="N38" s="478"/>
      <c r="O38" s="478"/>
      <c r="P38" s="478"/>
      <c r="Q38" s="478"/>
      <c r="R38" s="478"/>
      <c r="S38" s="478"/>
      <c r="T38" s="479"/>
      <c r="U38" s="594" t="str">
        <f>B38</f>
        <v>Walls</v>
      </c>
      <c r="V38" s="595"/>
      <c r="X38" s="24"/>
      <c r="Y38" s="24"/>
      <c r="Z38" s="190"/>
      <c r="AA38" s="190"/>
      <c r="AB38" s="190"/>
      <c r="AC38" s="24"/>
      <c r="AD38" s="24"/>
      <c r="AE38" s="190"/>
      <c r="AF38" s="190"/>
      <c r="AT38" s="13"/>
      <c r="AU38" s="13"/>
    </row>
    <row r="39" spans="1:47" ht="15" customHeight="1" thickBot="1" x14ac:dyDescent="0.25">
      <c r="A39" s="195" t="str">
        <f t="shared" si="0"/>
        <v/>
      </c>
      <c r="B39" s="590" t="s">
        <v>662</v>
      </c>
      <c r="C39" s="591"/>
      <c r="D39" s="254" t="s">
        <v>58</v>
      </c>
      <c r="E39" s="254" t="s">
        <v>147</v>
      </c>
      <c r="F39" s="409"/>
      <c r="G39" s="409"/>
      <c r="H39" s="410"/>
      <c r="I39" s="410"/>
      <c r="J39" s="255"/>
      <c r="K39" s="256"/>
      <c r="L39" s="214"/>
      <c r="M39" s="257"/>
      <c r="N39" s="255"/>
      <c r="O39" s="258"/>
      <c r="P39" s="258"/>
      <c r="Q39" s="258"/>
      <c r="R39" s="259"/>
      <c r="S39" s="259"/>
      <c r="T39" s="256"/>
      <c r="U39" s="27"/>
      <c r="V39" s="260"/>
      <c r="X39" s="24"/>
      <c r="Y39" s="24"/>
      <c r="Z39" s="190"/>
      <c r="AA39" s="190"/>
      <c r="AB39" s="190"/>
      <c r="AC39" s="24"/>
      <c r="AD39" s="24"/>
      <c r="AE39" s="190"/>
      <c r="AF39" s="190"/>
      <c r="AT39" s="13"/>
      <c r="AU39" s="13"/>
    </row>
    <row r="40" spans="1:47" s="265" customFormat="1" ht="15" customHeight="1" thickBot="1" x14ac:dyDescent="0.2">
      <c r="A40" s="195" t="str">
        <f t="shared" si="0"/>
        <v>X</v>
      </c>
      <c r="B40" s="515" t="s">
        <v>432</v>
      </c>
      <c r="C40" s="582"/>
      <c r="D40" s="19"/>
      <c r="E40" s="28"/>
      <c r="F40" s="261">
        <f>D40*E40</f>
        <v>0</v>
      </c>
      <c r="G40" s="217" t="s">
        <v>121</v>
      </c>
      <c r="H40" s="262">
        <f>IF(D40+E40=0,0,(13.93/1.15)+(6/D40*4.29))</f>
        <v>0</v>
      </c>
      <c r="I40" s="218">
        <f>(H40/100)*(100+$F$58)</f>
        <v>0</v>
      </c>
      <c r="J40" s="219">
        <v>0.3</v>
      </c>
      <c r="K40" s="220">
        <f>F40*I40*(1+J40)</f>
        <v>0</v>
      </c>
      <c r="L40" s="263"/>
      <c r="M40" s="230" t="str">
        <f>B40</f>
        <v>DPC Installation - Traditional</v>
      </c>
      <c r="N40" s="229">
        <v>0.35</v>
      </c>
      <c r="O40" s="222">
        <f>D40*N40</f>
        <v>0</v>
      </c>
      <c r="P40" s="218">
        <f>$D$155</f>
        <v>30.63</v>
      </c>
      <c r="Q40" s="218">
        <f>(P40/100)*(100+$F$58)</f>
        <v>30.630000000000003</v>
      </c>
      <c r="R40" s="223">
        <v>1</v>
      </c>
      <c r="S40" s="224">
        <f>(O40*Q40*(1+R40))</f>
        <v>0</v>
      </c>
      <c r="T40" s="225">
        <f t="shared" ref="T40:T51" si="18">K40+S40</f>
        <v>0</v>
      </c>
      <c r="U40" s="264">
        <f>F40*H40*1.1</f>
        <v>0</v>
      </c>
      <c r="V40" s="227">
        <f>O40*$E$155</f>
        <v>0</v>
      </c>
      <c r="W40" s="183"/>
      <c r="X40" s="24"/>
      <c r="Y40" s="24"/>
      <c r="Z40" s="190"/>
      <c r="AA40" s="190"/>
      <c r="AB40" s="190"/>
      <c r="AC40" s="24"/>
      <c r="AD40" s="24"/>
      <c r="AE40" s="190"/>
      <c r="AF40" s="190"/>
      <c r="AS40" s="190"/>
      <c r="AT40" s="12">
        <f>IF(OR(D40&lt;&gt;"",E40&lt;&gt;""),1,0)</f>
        <v>0</v>
      </c>
      <c r="AU40" s="12">
        <f>IF(AND(SUM(AT:AT)&gt;0,OR(D40="",E40="")),1,0)</f>
        <v>1</v>
      </c>
    </row>
    <row r="41" spans="1:47" ht="46.5" customHeight="1" thickBot="1" x14ac:dyDescent="0.25">
      <c r="A41" s="195" t="str">
        <f t="shared" ref="A41" si="19">IF(AU41=1,"X","")</f>
        <v/>
      </c>
      <c r="B41" s="592" t="s">
        <v>663</v>
      </c>
      <c r="C41" s="593"/>
      <c r="D41" s="254" t="s">
        <v>431</v>
      </c>
      <c r="E41" s="254" t="s">
        <v>430</v>
      </c>
      <c r="F41" s="558" t="s">
        <v>666</v>
      </c>
      <c r="G41" s="559"/>
      <c r="H41" s="559"/>
      <c r="I41" s="559"/>
      <c r="J41" s="559"/>
      <c r="K41" s="560"/>
      <c r="L41" s="214"/>
      <c r="M41" s="257"/>
      <c r="N41" s="255"/>
      <c r="O41" s="258"/>
      <c r="P41" s="258"/>
      <c r="Q41" s="258"/>
      <c r="R41" s="259"/>
      <c r="S41" s="259"/>
      <c r="T41" s="256"/>
      <c r="U41" s="27"/>
      <c r="V41" s="260"/>
      <c r="X41" s="24"/>
      <c r="Y41" s="24"/>
      <c r="Z41" s="190"/>
      <c r="AA41" s="190"/>
      <c r="AB41" s="190"/>
      <c r="AC41" s="24"/>
      <c r="AD41" s="24"/>
      <c r="AE41" s="190"/>
      <c r="AF41" s="190"/>
      <c r="AT41" s="13"/>
      <c r="AU41" s="13"/>
    </row>
    <row r="42" spans="1:47" ht="15" customHeight="1" thickBot="1" x14ac:dyDescent="0.25">
      <c r="A42" s="195" t="str">
        <f t="shared" ref="A42" si="20">IF(AU42=1,"X","")</f>
        <v>X</v>
      </c>
      <c r="B42" s="515" t="s">
        <v>433</v>
      </c>
      <c r="C42" s="582"/>
      <c r="D42" s="112"/>
      <c r="E42" s="19"/>
      <c r="F42" s="266">
        <f>IF(OR(AND(D42="N/A",E42="N/A"),AND(D42=0,E42=0)),0,1)</f>
        <v>0</v>
      </c>
      <c r="G42" s="217" t="s">
        <v>119</v>
      </c>
      <c r="H42" s="267">
        <f>IF(OR(AND(D42="N/A",E42="N/A"),AND(D42=0,E42=0)),0,650)</f>
        <v>0</v>
      </c>
      <c r="I42" s="417">
        <f>(H42/100)*(100+$F$58)</f>
        <v>0</v>
      </c>
      <c r="J42" s="419">
        <v>0.154</v>
      </c>
      <c r="K42" s="418">
        <f t="shared" ref="K42:K53" si="21">F42*I42*(1+J42)</f>
        <v>0</v>
      </c>
      <c r="L42" s="268"/>
      <c r="M42" s="230" t="str">
        <f t="shared" ref="M42:M53" si="22">B42</f>
        <v>DPC Installation - Digital</v>
      </c>
      <c r="N42" s="229">
        <v>1</v>
      </c>
      <c r="O42" s="222">
        <f t="shared" ref="O42:O53" si="23">F42*N42</f>
        <v>0</v>
      </c>
      <c r="P42" s="218">
        <f>$D$155</f>
        <v>30.63</v>
      </c>
      <c r="Q42" s="218">
        <f>(P42/100)*(100+$F$58)</f>
        <v>30.630000000000003</v>
      </c>
      <c r="R42" s="223">
        <v>1</v>
      </c>
      <c r="S42" s="224">
        <f t="shared" ref="S42:S53" si="24">(O42*Q42*(1+R42))</f>
        <v>0</v>
      </c>
      <c r="T42" s="225">
        <f t="shared" ref="T42" si="25">K42+S42</f>
        <v>0</v>
      </c>
      <c r="U42" s="264">
        <f t="shared" ref="U42:U53" si="26">F42*H42*1.1</f>
        <v>0</v>
      </c>
      <c r="V42" s="227">
        <f>O42*$E$155</f>
        <v>0</v>
      </c>
      <c r="X42" s="24"/>
      <c r="Y42" s="24"/>
      <c r="Z42" s="190"/>
      <c r="AA42" s="190"/>
      <c r="AB42" s="190"/>
      <c r="AC42" s="24"/>
      <c r="AD42" s="24"/>
      <c r="AE42" s="190"/>
      <c r="AF42" s="190"/>
      <c r="AT42" s="12">
        <f>IF(OR(D42&lt;&gt;"",E42&lt;&gt;""),1,0)</f>
        <v>0</v>
      </c>
      <c r="AU42" s="12">
        <f>IF(AND(SUM(AT:AT)&gt;0,OR(D42="",E42="",IFERROR(H42,1)=1)),1,0)</f>
        <v>1</v>
      </c>
    </row>
    <row r="43" spans="1:47" ht="15" customHeight="1" thickBot="1" x14ac:dyDescent="0.25">
      <c r="A43" s="195"/>
      <c r="B43" s="257"/>
      <c r="C43" s="269"/>
      <c r="D43" s="254" t="s">
        <v>58</v>
      </c>
      <c r="E43" s="254" t="s">
        <v>148</v>
      </c>
      <c r="F43" s="270"/>
      <c r="G43" s="271"/>
      <c r="H43" s="271"/>
      <c r="I43" s="271"/>
      <c r="J43" s="272"/>
      <c r="K43" s="273"/>
      <c r="L43" s="214"/>
      <c r="M43" s="257"/>
      <c r="N43" s="255"/>
      <c r="O43" s="258"/>
      <c r="P43" s="258"/>
      <c r="Q43" s="258"/>
      <c r="R43" s="274"/>
      <c r="S43" s="274"/>
      <c r="T43" s="256"/>
      <c r="U43" s="27"/>
      <c r="V43" s="275"/>
      <c r="X43" s="24"/>
      <c r="Y43" s="24"/>
      <c r="Z43" s="190"/>
      <c r="AA43" s="190"/>
      <c r="AB43" s="190"/>
      <c r="AC43" s="24"/>
      <c r="AD43" s="24"/>
      <c r="AE43" s="190"/>
      <c r="AF43" s="190"/>
      <c r="AT43" s="13"/>
      <c r="AU43" s="13"/>
    </row>
    <row r="44" spans="1:47" ht="15" customHeight="1" thickBot="1" x14ac:dyDescent="0.25">
      <c r="A44" s="195" t="str">
        <f t="shared" si="0"/>
        <v>X</v>
      </c>
      <c r="B44" s="561" t="s">
        <v>622</v>
      </c>
      <c r="C44" s="562"/>
      <c r="D44" s="15"/>
      <c r="E44" s="217">
        <v>1</v>
      </c>
      <c r="F44" s="222">
        <f>D44*E44</f>
        <v>0</v>
      </c>
      <c r="G44" s="217" t="s">
        <v>116</v>
      </c>
      <c r="H44" s="267">
        <f>IF(F44=0,0,(_xlfn.CEILING.MATH(F44,5)*((20.83/5)*1.1))/F44)</f>
        <v>0</v>
      </c>
      <c r="I44" s="218">
        <f t="shared" ref="I44:I53" si="27">(H44/100)*(100+$F$58)</f>
        <v>0</v>
      </c>
      <c r="J44" s="219">
        <v>0.3</v>
      </c>
      <c r="K44" s="220">
        <f t="shared" ref="K44:K49" si="28">F44*I44*(1+J44)</f>
        <v>0</v>
      </c>
      <c r="L44" s="268"/>
      <c r="M44" s="230" t="str">
        <f t="shared" si="22"/>
        <v>Wall membrane CM3  - 1mtr</v>
      </c>
      <c r="N44" s="229">
        <v>0.3</v>
      </c>
      <c r="O44" s="222">
        <f t="shared" si="23"/>
        <v>0</v>
      </c>
      <c r="P44" s="218">
        <f t="shared" ref="P44:P53" si="29">$D$155</f>
        <v>30.63</v>
      </c>
      <c r="Q44" s="218">
        <f t="shared" ref="Q44:Q53" si="30">(P44/100)*(100+$F$58)</f>
        <v>30.630000000000003</v>
      </c>
      <c r="R44" s="223">
        <v>1</v>
      </c>
      <c r="S44" s="224">
        <f t="shared" si="24"/>
        <v>0</v>
      </c>
      <c r="T44" s="225">
        <f t="shared" si="18"/>
        <v>0</v>
      </c>
      <c r="U44" s="264">
        <f t="shared" si="26"/>
        <v>0</v>
      </c>
      <c r="V44" s="227">
        <f t="shared" ref="V44:V53" si="31">O44*$E$155</f>
        <v>0</v>
      </c>
      <c r="X44" s="24"/>
      <c r="Y44" s="24"/>
      <c r="Z44" s="190"/>
      <c r="AA44" s="190"/>
      <c r="AB44" s="190"/>
      <c r="AC44" s="24"/>
      <c r="AD44" s="24"/>
      <c r="AE44" s="190"/>
      <c r="AF44" s="190"/>
      <c r="AT44" s="12">
        <f>IF(D44&lt;&gt;"",1,0)</f>
        <v>0</v>
      </c>
      <c r="AU44" s="12">
        <f>IF(AND(SUM(AT:AT)&gt;0,D44=""),1,0)</f>
        <v>1</v>
      </c>
    </row>
    <row r="45" spans="1:47" ht="15" customHeight="1" thickBot="1" x14ac:dyDescent="0.25">
      <c r="A45" s="195" t="str">
        <f t="shared" ref="A45" si="32">IF(AU45=1,"X","")</f>
        <v>X</v>
      </c>
      <c r="B45" s="561" t="s">
        <v>623</v>
      </c>
      <c r="C45" s="562"/>
      <c r="D45" s="15"/>
      <c r="E45" s="217">
        <v>1.2</v>
      </c>
      <c r="F45" s="222">
        <f t="shared" ref="F45:F46" si="33">D45*E45</f>
        <v>0</v>
      </c>
      <c r="G45" s="217" t="s">
        <v>116</v>
      </c>
      <c r="H45" s="267">
        <f>IF(F45=0,0,(_xlfn.CEILING.MATH(F45,5)*((26.67/6)*1.1))/F45)</f>
        <v>0</v>
      </c>
      <c r="I45" s="218">
        <f t="shared" si="27"/>
        <v>0</v>
      </c>
      <c r="J45" s="219">
        <v>0.3</v>
      </c>
      <c r="K45" s="220">
        <f t="shared" si="28"/>
        <v>0</v>
      </c>
      <c r="L45" s="268"/>
      <c r="M45" s="230" t="str">
        <f t="shared" ref="M45" si="34">B45</f>
        <v>Wall membrane CM3  - 1.2mtr</v>
      </c>
      <c r="N45" s="229">
        <v>0.3</v>
      </c>
      <c r="O45" s="222">
        <f t="shared" ref="O45" si="35">F45*N45</f>
        <v>0</v>
      </c>
      <c r="P45" s="218">
        <f t="shared" si="29"/>
        <v>30.63</v>
      </c>
      <c r="Q45" s="218">
        <f t="shared" si="30"/>
        <v>30.630000000000003</v>
      </c>
      <c r="R45" s="223">
        <v>1</v>
      </c>
      <c r="S45" s="224">
        <f t="shared" ref="S45" si="36">(O45*Q45*(1+R45))</f>
        <v>0</v>
      </c>
      <c r="T45" s="225">
        <f t="shared" ref="T45" si="37">K45+S45</f>
        <v>0</v>
      </c>
      <c r="U45" s="264">
        <f t="shared" ref="U45" si="38">F45*H45*1.1</f>
        <v>0</v>
      </c>
      <c r="V45" s="227">
        <f t="shared" si="31"/>
        <v>0</v>
      </c>
      <c r="X45" s="24"/>
      <c r="Y45" s="24"/>
      <c r="Z45" s="190"/>
      <c r="AA45" s="190"/>
      <c r="AB45" s="190"/>
      <c r="AC45" s="24"/>
      <c r="AD45" s="24"/>
      <c r="AE45" s="190"/>
      <c r="AF45" s="190"/>
      <c r="AT45" s="12">
        <f t="shared" ref="AT45" si="39">IF(D45&lt;&gt;"",1,0)</f>
        <v>0</v>
      </c>
      <c r="AU45" s="12">
        <f>IF(AND(SUM(AT:AT)&gt;0,D45=""),1,0)</f>
        <v>1</v>
      </c>
    </row>
    <row r="46" spans="1:47" ht="15" customHeight="1" thickBot="1" x14ac:dyDescent="0.25">
      <c r="A46" s="195" t="str">
        <f t="shared" ref="A46" si="40">IF(AU46=1,"X","")</f>
        <v>X</v>
      </c>
      <c r="B46" s="561" t="s">
        <v>643</v>
      </c>
      <c r="C46" s="562"/>
      <c r="D46" s="15"/>
      <c r="E46" s="15"/>
      <c r="F46" s="222">
        <f t="shared" si="33"/>
        <v>0</v>
      </c>
      <c r="G46" s="217" t="s">
        <v>116</v>
      </c>
      <c r="H46" s="267">
        <v>0</v>
      </c>
      <c r="I46" s="218">
        <f t="shared" si="27"/>
        <v>0</v>
      </c>
      <c r="J46" s="219">
        <v>0.3</v>
      </c>
      <c r="K46" s="220">
        <f t="shared" si="28"/>
        <v>0</v>
      </c>
      <c r="L46" s="268"/>
      <c r="M46" s="230" t="str">
        <f t="shared" ref="M46" si="41">B46</f>
        <v>Wall membrane CM3  - 2mtr #1</v>
      </c>
      <c r="N46" s="229">
        <v>0</v>
      </c>
      <c r="O46" s="222">
        <f t="shared" ref="O46" si="42">F46*N46</f>
        <v>0</v>
      </c>
      <c r="P46" s="218">
        <f t="shared" si="29"/>
        <v>30.63</v>
      </c>
      <c r="Q46" s="218">
        <f t="shared" si="30"/>
        <v>30.630000000000003</v>
      </c>
      <c r="R46" s="223">
        <v>1</v>
      </c>
      <c r="S46" s="224">
        <f t="shared" ref="S46" si="43">(O46*Q46*(1+R46))</f>
        <v>0</v>
      </c>
      <c r="T46" s="225">
        <f t="shared" ref="T46" si="44">K46+S46</f>
        <v>0</v>
      </c>
      <c r="U46" s="264">
        <f t="shared" ref="U46" si="45">F46*H46*1.1</f>
        <v>0</v>
      </c>
      <c r="V46" s="227">
        <f t="shared" si="31"/>
        <v>0</v>
      </c>
      <c r="X46" s="24"/>
      <c r="Y46" s="24"/>
      <c r="Z46" s="190"/>
      <c r="AA46" s="190"/>
      <c r="AB46" s="190"/>
      <c r="AC46" s="24"/>
      <c r="AD46" s="24"/>
      <c r="AE46" s="190"/>
      <c r="AF46" s="190"/>
      <c r="AT46" s="12">
        <f>IF(OR(D46&lt;&gt;"",E46&lt;&gt;""),1,0)</f>
        <v>0</v>
      </c>
      <c r="AU46" s="12">
        <f>IF(AND(SUM(AT:AT)&gt;0,OR(D46="",E46="")),1,0)</f>
        <v>1</v>
      </c>
    </row>
    <row r="47" spans="1:47" ht="15" customHeight="1" thickBot="1" x14ac:dyDescent="0.25">
      <c r="A47" s="195" t="str">
        <f t="shared" ref="A47" si="46">IF(AU47=1,"X","")</f>
        <v>X</v>
      </c>
      <c r="B47" s="561" t="s">
        <v>644</v>
      </c>
      <c r="C47" s="562"/>
      <c r="D47" s="15"/>
      <c r="E47" s="15"/>
      <c r="F47" s="222">
        <f t="shared" ref="F47" si="47">D47*E47</f>
        <v>0</v>
      </c>
      <c r="G47" s="217" t="s">
        <v>116</v>
      </c>
      <c r="H47" s="267">
        <v>0</v>
      </c>
      <c r="I47" s="218">
        <f t="shared" si="27"/>
        <v>0</v>
      </c>
      <c r="J47" s="219">
        <v>0.3</v>
      </c>
      <c r="K47" s="220">
        <f t="shared" si="28"/>
        <v>0</v>
      </c>
      <c r="L47" s="268"/>
      <c r="M47" s="230" t="str">
        <f t="shared" ref="M47" si="48">B47</f>
        <v>Wall membrane CM3  - 2mtr #2</v>
      </c>
      <c r="N47" s="229">
        <v>0</v>
      </c>
      <c r="O47" s="222">
        <f t="shared" ref="O47" si="49">F47*N47</f>
        <v>0</v>
      </c>
      <c r="P47" s="218">
        <f t="shared" si="29"/>
        <v>30.63</v>
      </c>
      <c r="Q47" s="218">
        <f t="shared" si="30"/>
        <v>30.630000000000003</v>
      </c>
      <c r="R47" s="223">
        <v>1</v>
      </c>
      <c r="S47" s="224">
        <f t="shared" ref="S47" si="50">(O47*Q47*(1+R47))</f>
        <v>0</v>
      </c>
      <c r="T47" s="225">
        <f t="shared" ref="T47" si="51">K47+S47</f>
        <v>0</v>
      </c>
      <c r="U47" s="264">
        <f t="shared" ref="U47" si="52">F47*H47*1.1</f>
        <v>0</v>
      </c>
      <c r="V47" s="227">
        <f t="shared" si="31"/>
        <v>0</v>
      </c>
      <c r="X47" s="24"/>
      <c r="Y47" s="24"/>
      <c r="Z47" s="190"/>
      <c r="AA47" s="190"/>
      <c r="AB47" s="190"/>
      <c r="AC47" s="24"/>
      <c r="AD47" s="24"/>
      <c r="AE47" s="190"/>
      <c r="AF47" s="190"/>
      <c r="AT47" s="12">
        <f>IF(OR(D47&lt;&gt;"",E47&lt;&gt;""),1,0)</f>
        <v>0</v>
      </c>
      <c r="AU47" s="12">
        <f>IF(AND(SUM(AT:AT)&gt;0,OR(D47="",E47="")),1,0)</f>
        <v>1</v>
      </c>
    </row>
    <row r="48" spans="1:47" ht="15" customHeight="1" thickBot="1" x14ac:dyDescent="0.25">
      <c r="A48" s="195" t="str">
        <f t="shared" ref="A48" si="53">IF(AU48=1,"X","")</f>
        <v>X</v>
      </c>
      <c r="B48" s="629" t="s">
        <v>645</v>
      </c>
      <c r="C48" s="630"/>
      <c r="D48" s="15"/>
      <c r="E48" s="15"/>
      <c r="F48" s="222">
        <f t="shared" ref="F48" si="54">D48*E48</f>
        <v>0</v>
      </c>
      <c r="G48" s="217" t="s">
        <v>116</v>
      </c>
      <c r="H48" s="267">
        <v>0</v>
      </c>
      <c r="I48" s="218">
        <f t="shared" si="27"/>
        <v>0</v>
      </c>
      <c r="J48" s="219">
        <v>0.3</v>
      </c>
      <c r="K48" s="220">
        <f t="shared" si="28"/>
        <v>0</v>
      </c>
      <c r="L48" s="268"/>
      <c r="M48" s="230" t="str">
        <f t="shared" ref="M48" si="55">B48</f>
        <v>Wall membrane CM3  - 2mtr #3</v>
      </c>
      <c r="N48" s="229">
        <v>0</v>
      </c>
      <c r="O48" s="222">
        <f t="shared" ref="O48" si="56">F48*N48</f>
        <v>0</v>
      </c>
      <c r="P48" s="218">
        <f t="shared" si="29"/>
        <v>30.63</v>
      </c>
      <c r="Q48" s="218">
        <f t="shared" si="30"/>
        <v>30.630000000000003</v>
      </c>
      <c r="R48" s="223">
        <v>1</v>
      </c>
      <c r="S48" s="224">
        <f t="shared" ref="S48" si="57">(O48*Q48*(1+R48))</f>
        <v>0</v>
      </c>
      <c r="T48" s="225">
        <f t="shared" ref="T48" si="58">K48+S48</f>
        <v>0</v>
      </c>
      <c r="U48" s="264">
        <f t="shared" ref="U48" si="59">F48*H48*1.1</f>
        <v>0</v>
      </c>
      <c r="V48" s="227">
        <f t="shared" si="31"/>
        <v>0</v>
      </c>
      <c r="X48" s="24"/>
      <c r="Y48" s="24"/>
      <c r="Z48" s="190"/>
      <c r="AA48" s="190"/>
      <c r="AB48" s="190"/>
      <c r="AC48" s="24"/>
      <c r="AD48" s="24"/>
      <c r="AE48" s="190"/>
      <c r="AF48" s="190"/>
      <c r="AT48" s="12">
        <f>IF(OR(D48&lt;&gt;"",E48&lt;&gt;""),1,0)</f>
        <v>0</v>
      </c>
      <c r="AU48" s="12">
        <f>IF(AND(SUM(AT:AT)&gt;0,OR(D48="",E48="")),1,0)</f>
        <v>1</v>
      </c>
    </row>
    <row r="49" spans="1:47" ht="15" customHeight="1" x14ac:dyDescent="0.2">
      <c r="A49" s="195" t="str">
        <f t="shared" ref="A49" si="60">IF(AU49=1,"X","")</f>
        <v/>
      </c>
      <c r="B49" s="631" t="s">
        <v>642</v>
      </c>
      <c r="C49" s="632"/>
      <c r="D49" s="633"/>
      <c r="E49" s="633"/>
      <c r="F49" s="266">
        <f>SUM(F46:F48)</f>
        <v>0</v>
      </c>
      <c r="G49" s="217" t="s">
        <v>116</v>
      </c>
      <c r="H49" s="267">
        <f>IF(F49=0,0,(_xlfn.CEILING.MATH(F49,5)*((44.17/10)*1.1))/F49)</f>
        <v>0</v>
      </c>
      <c r="I49" s="218">
        <f t="shared" si="27"/>
        <v>0</v>
      </c>
      <c r="J49" s="219">
        <v>0.3</v>
      </c>
      <c r="K49" s="220">
        <f t="shared" si="28"/>
        <v>0</v>
      </c>
      <c r="L49" s="268"/>
      <c r="M49" s="230" t="str">
        <f t="shared" ref="M49" si="61">B49</f>
        <v>Wall membrane CM3 - Subtotals for above 3 lines</v>
      </c>
      <c r="N49" s="229">
        <v>0.3</v>
      </c>
      <c r="O49" s="222">
        <f t="shared" ref="O49" si="62">F49*N49</f>
        <v>0</v>
      </c>
      <c r="P49" s="218">
        <f t="shared" si="29"/>
        <v>30.63</v>
      </c>
      <c r="Q49" s="218">
        <f t="shared" si="30"/>
        <v>30.630000000000003</v>
      </c>
      <c r="R49" s="223">
        <v>1</v>
      </c>
      <c r="S49" s="224">
        <f t="shared" ref="S49" si="63">(O49*Q49*(1+R49))</f>
        <v>0</v>
      </c>
      <c r="T49" s="225">
        <f t="shared" ref="T49" si="64">K49+S49</f>
        <v>0</v>
      </c>
      <c r="U49" s="264">
        <f t="shared" ref="U49" si="65">F49*H49*1.1</f>
        <v>0</v>
      </c>
      <c r="V49" s="227">
        <f t="shared" si="31"/>
        <v>0</v>
      </c>
      <c r="X49" s="24"/>
      <c r="Y49" s="24"/>
      <c r="Z49" s="190"/>
      <c r="AA49" s="190"/>
      <c r="AB49" s="190"/>
      <c r="AC49" s="24"/>
      <c r="AD49" s="24"/>
      <c r="AE49" s="190"/>
      <c r="AF49" s="190"/>
      <c r="AT49" s="12">
        <f>IF(F49&lt;&gt;"",1,0)</f>
        <v>1</v>
      </c>
      <c r="AU49" s="12">
        <f>IF(AND(SUM(AT:AT)&gt;0,F49=""),1,0)</f>
        <v>0</v>
      </c>
    </row>
    <row r="50" spans="1:47" ht="15" customHeight="1" x14ac:dyDescent="0.2">
      <c r="A50" s="195" t="str">
        <f t="shared" si="0"/>
        <v/>
      </c>
      <c r="B50" s="579" t="s">
        <v>32</v>
      </c>
      <c r="C50" s="580"/>
      <c r="D50" s="580"/>
      <c r="E50" s="581"/>
      <c r="F50" s="222">
        <f>SUM(F44:F48)</f>
        <v>0</v>
      </c>
      <c r="G50" s="276" t="s">
        <v>116</v>
      </c>
      <c r="H50" s="277">
        <f>IF(F50=0,0,(_xlfn.CEILING.MATH(F50,2)*((9.33/10)*1.1))/F50)</f>
        <v>0</v>
      </c>
      <c r="I50" s="218">
        <f t="shared" si="27"/>
        <v>0</v>
      </c>
      <c r="J50" s="278">
        <v>0.3</v>
      </c>
      <c r="K50" s="220">
        <f t="shared" si="21"/>
        <v>0</v>
      </c>
      <c r="L50" s="279"/>
      <c r="M50" s="230" t="str">
        <f t="shared" si="22"/>
        <v>Membrane plugs for m2 listed</v>
      </c>
      <c r="N50" s="229">
        <v>0.25</v>
      </c>
      <c r="O50" s="222">
        <f t="shared" si="23"/>
        <v>0</v>
      </c>
      <c r="P50" s="218">
        <f t="shared" si="29"/>
        <v>30.63</v>
      </c>
      <c r="Q50" s="218">
        <f t="shared" si="30"/>
        <v>30.630000000000003</v>
      </c>
      <c r="R50" s="223">
        <v>1</v>
      </c>
      <c r="S50" s="224">
        <f t="shared" si="24"/>
        <v>0</v>
      </c>
      <c r="T50" s="225">
        <f>K50+S50</f>
        <v>0</v>
      </c>
      <c r="U50" s="264">
        <f t="shared" si="26"/>
        <v>0</v>
      </c>
      <c r="V50" s="227">
        <f t="shared" si="31"/>
        <v>0</v>
      </c>
      <c r="X50" s="24"/>
      <c r="Y50" s="24"/>
      <c r="Z50" s="190"/>
      <c r="AA50" s="190"/>
      <c r="AB50" s="190"/>
      <c r="AC50" s="24"/>
      <c r="AD50" s="24"/>
      <c r="AE50" s="190"/>
      <c r="AF50" s="190"/>
      <c r="AT50" s="13"/>
      <c r="AU50" s="13"/>
    </row>
    <row r="51" spans="1:47" ht="15" customHeight="1" x14ac:dyDescent="0.2">
      <c r="A51" s="195" t="str">
        <f t="shared" si="0"/>
        <v/>
      </c>
      <c r="B51" s="482" t="s">
        <v>33</v>
      </c>
      <c r="C51" s="483"/>
      <c r="D51" s="483"/>
      <c r="E51" s="563"/>
      <c r="F51" s="400">
        <f>SUM(F44:F48)/2.5</f>
        <v>0</v>
      </c>
      <c r="G51" s="217" t="s">
        <v>121</v>
      </c>
      <c r="H51" s="267">
        <f>IF(F51=0,0,(_xlfn.CEILING.MATH(F51,22)*((19.16/22)*1.1))/F51)</f>
        <v>0</v>
      </c>
      <c r="I51" s="218">
        <f t="shared" si="27"/>
        <v>0</v>
      </c>
      <c r="J51" s="219">
        <v>0.3</v>
      </c>
      <c r="K51" s="220">
        <f t="shared" si="21"/>
        <v>0</v>
      </c>
      <c r="L51" s="214"/>
      <c r="M51" s="230" t="str">
        <f t="shared" si="22"/>
        <v>Sealing Tape Lm</v>
      </c>
      <c r="N51" s="229">
        <v>0.1</v>
      </c>
      <c r="O51" s="222">
        <f t="shared" si="23"/>
        <v>0</v>
      </c>
      <c r="P51" s="218">
        <f t="shared" si="29"/>
        <v>30.63</v>
      </c>
      <c r="Q51" s="218">
        <f t="shared" si="30"/>
        <v>30.630000000000003</v>
      </c>
      <c r="R51" s="223">
        <v>1</v>
      </c>
      <c r="S51" s="224">
        <f t="shared" si="24"/>
        <v>0</v>
      </c>
      <c r="T51" s="225">
        <f t="shared" si="18"/>
        <v>0</v>
      </c>
      <c r="U51" s="264">
        <f t="shared" si="26"/>
        <v>0</v>
      </c>
      <c r="V51" s="227">
        <f t="shared" si="31"/>
        <v>0</v>
      </c>
      <c r="X51" s="24"/>
      <c r="Y51" s="24"/>
      <c r="Z51" s="190"/>
      <c r="AA51" s="190"/>
      <c r="AB51" s="190"/>
      <c r="AC51" s="24"/>
      <c r="AD51" s="24"/>
      <c r="AE51" s="190"/>
      <c r="AF51" s="190"/>
      <c r="AT51" s="13"/>
      <c r="AU51" s="13"/>
    </row>
    <row r="52" spans="1:47" ht="15" customHeight="1" thickBot="1" x14ac:dyDescent="0.25">
      <c r="A52" s="195" t="str">
        <f t="shared" si="0"/>
        <v/>
      </c>
      <c r="B52" s="482" t="s">
        <v>156</v>
      </c>
      <c r="C52" s="483"/>
      <c r="D52" s="483"/>
      <c r="E52" s="563"/>
      <c r="F52" s="400">
        <f>F55</f>
        <v>0</v>
      </c>
      <c r="G52" s="217" t="s">
        <v>121</v>
      </c>
      <c r="H52" s="247">
        <f>80/80</f>
        <v>1</v>
      </c>
      <c r="I52" s="218">
        <f t="shared" si="27"/>
        <v>1</v>
      </c>
      <c r="J52" s="219">
        <v>0.3</v>
      </c>
      <c r="K52" s="220">
        <f t="shared" si="21"/>
        <v>0</v>
      </c>
      <c r="L52" s="214"/>
      <c r="M52" s="230" t="str">
        <f t="shared" si="22"/>
        <v>Technoseal Lm</v>
      </c>
      <c r="N52" s="280">
        <f>1/60</f>
        <v>1.6666666666666666E-2</v>
      </c>
      <c r="O52" s="222">
        <f t="shared" si="23"/>
        <v>0</v>
      </c>
      <c r="P52" s="218">
        <f t="shared" si="29"/>
        <v>30.63</v>
      </c>
      <c r="Q52" s="218">
        <f t="shared" si="30"/>
        <v>30.630000000000003</v>
      </c>
      <c r="R52" s="223">
        <v>1</v>
      </c>
      <c r="S52" s="224">
        <f t="shared" si="24"/>
        <v>0</v>
      </c>
      <c r="T52" s="225">
        <f>K52+S52</f>
        <v>0</v>
      </c>
      <c r="U52" s="264">
        <f t="shared" si="26"/>
        <v>0</v>
      </c>
      <c r="V52" s="227">
        <f t="shared" si="31"/>
        <v>0</v>
      </c>
      <c r="X52" s="24"/>
      <c r="Y52" s="24"/>
      <c r="Z52" s="190"/>
      <c r="AA52" s="190"/>
      <c r="AB52" s="190"/>
      <c r="AC52" s="24"/>
      <c r="AD52" s="24"/>
      <c r="AE52" s="190"/>
      <c r="AF52" s="190"/>
      <c r="AT52" s="13"/>
      <c r="AU52" s="13"/>
    </row>
    <row r="53" spans="1:47" ht="15" customHeight="1" thickBot="1" x14ac:dyDescent="0.25">
      <c r="A53" s="195" t="str">
        <f t="shared" si="0"/>
        <v>X</v>
      </c>
      <c r="B53" s="482" t="s">
        <v>9</v>
      </c>
      <c r="C53" s="483"/>
      <c r="D53" s="483"/>
      <c r="E53" s="563"/>
      <c r="F53" s="19"/>
      <c r="G53" s="217" t="s">
        <v>121</v>
      </c>
      <c r="H53" s="267">
        <f>IF(F53=0,0,(_xlfn.CEILING.MATH(F53,12)*((24.51/12)*1.1))/F53)</f>
        <v>0</v>
      </c>
      <c r="I53" s="218">
        <f t="shared" si="27"/>
        <v>0</v>
      </c>
      <c r="J53" s="219">
        <v>0.3</v>
      </c>
      <c r="K53" s="220">
        <f t="shared" si="21"/>
        <v>0</v>
      </c>
      <c r="L53" s="281"/>
      <c r="M53" s="230" t="str">
        <f t="shared" si="22"/>
        <v>Wall/floor fillet joint</v>
      </c>
      <c r="N53" s="229">
        <v>0.3</v>
      </c>
      <c r="O53" s="222">
        <f t="shared" si="23"/>
        <v>0</v>
      </c>
      <c r="P53" s="218">
        <f t="shared" si="29"/>
        <v>30.63</v>
      </c>
      <c r="Q53" s="218">
        <f t="shared" si="30"/>
        <v>30.630000000000003</v>
      </c>
      <c r="R53" s="223">
        <v>1</v>
      </c>
      <c r="S53" s="224">
        <f t="shared" si="24"/>
        <v>0</v>
      </c>
      <c r="T53" s="225">
        <f t="shared" ref="T53" si="66">K53+S53</f>
        <v>0</v>
      </c>
      <c r="U53" s="264">
        <f t="shared" si="26"/>
        <v>0</v>
      </c>
      <c r="V53" s="227">
        <f t="shared" si="31"/>
        <v>0</v>
      </c>
      <c r="X53" s="24"/>
      <c r="Y53" s="24"/>
      <c r="Z53" s="190"/>
      <c r="AA53" s="190"/>
      <c r="AB53" s="190"/>
      <c r="AC53" s="24"/>
      <c r="AD53" s="24"/>
      <c r="AE53" s="190"/>
      <c r="AF53" s="190"/>
      <c r="AT53" s="12">
        <f>IF(F53&lt;&gt;"",1,0)</f>
        <v>0</v>
      </c>
      <c r="AU53" s="12">
        <f>IF(AND(SUM(AT:AT)&gt;0,F53=""),1,0)</f>
        <v>1</v>
      </c>
    </row>
    <row r="54" spans="1:47" ht="15" customHeight="1" thickBot="1" x14ac:dyDescent="0.25">
      <c r="A54" s="195"/>
      <c r="B54" s="257"/>
      <c r="C54" s="269"/>
      <c r="D54" s="254" t="s">
        <v>58</v>
      </c>
      <c r="E54" s="254" t="s">
        <v>148</v>
      </c>
      <c r="F54" s="270"/>
      <c r="G54" s="271"/>
      <c r="H54" s="271"/>
      <c r="I54" s="271"/>
      <c r="J54" s="272"/>
      <c r="K54" s="273"/>
      <c r="L54" s="214"/>
      <c r="M54" s="257"/>
      <c r="N54" s="255"/>
      <c r="O54" s="258"/>
      <c r="P54" s="258"/>
      <c r="Q54" s="258"/>
      <c r="R54" s="274"/>
      <c r="S54" s="274"/>
      <c r="T54" s="256"/>
      <c r="U54" s="27"/>
      <c r="V54" s="275"/>
      <c r="X54" s="24"/>
      <c r="Y54" s="24"/>
      <c r="Z54" s="190"/>
      <c r="AA54" s="190"/>
      <c r="AB54" s="190"/>
      <c r="AC54" s="24"/>
      <c r="AD54" s="24"/>
      <c r="AE54" s="190"/>
      <c r="AF54" s="190"/>
      <c r="AT54" s="13"/>
      <c r="AU54" s="13"/>
    </row>
    <row r="55" spans="1:47" ht="15" customHeight="1" thickBot="1" x14ac:dyDescent="0.25">
      <c r="A55" s="195" t="str">
        <f t="shared" ref="A55:A93" si="67">IF(AU55=1,"X","")</f>
        <v>X</v>
      </c>
      <c r="B55" s="511" t="s">
        <v>34</v>
      </c>
      <c r="C55" s="578"/>
      <c r="D55" s="19"/>
      <c r="E55" s="28"/>
      <c r="F55" s="282">
        <f>D55+(E55*2)</f>
        <v>0</v>
      </c>
      <c r="G55" s="217" t="s">
        <v>121</v>
      </c>
      <c r="H55" s="267">
        <f>IF(F55=0,0,(_xlfn.CEILING.MATH(F55,5)*((10.83/5)*1.1))/F55)</f>
        <v>0</v>
      </c>
      <c r="I55" s="218">
        <f>(H55/100)*(100+$F$58)</f>
        <v>0</v>
      </c>
      <c r="J55" s="219">
        <v>0.3</v>
      </c>
      <c r="K55" s="220">
        <f t="shared" ref="K55:K57" si="68">F55*I55*(1+J55)</f>
        <v>0</v>
      </c>
      <c r="L55" s="214"/>
      <c r="M55" s="230" t="str">
        <f>B55</f>
        <v>Overtape Lm</v>
      </c>
      <c r="N55" s="229">
        <v>0.1</v>
      </c>
      <c r="O55" s="222">
        <f>F55*N55</f>
        <v>0</v>
      </c>
      <c r="P55" s="218">
        <f>$D$155</f>
        <v>30.63</v>
      </c>
      <c r="Q55" s="218">
        <f>(P55/100)*(100+$F$58)</f>
        <v>30.630000000000003</v>
      </c>
      <c r="R55" s="223">
        <v>1</v>
      </c>
      <c r="S55" s="224">
        <f t="shared" ref="S55:S57" si="69">(O55*Q55*(1+R55))</f>
        <v>0</v>
      </c>
      <c r="T55" s="225">
        <f t="shared" ref="T55:T57" si="70">K55+S55</f>
        <v>0</v>
      </c>
      <c r="U55" s="264">
        <f>F55*H55*1.1</f>
        <v>0</v>
      </c>
      <c r="V55" s="227">
        <f>O55*$E$155</f>
        <v>0</v>
      </c>
      <c r="X55" s="24"/>
      <c r="Y55" s="24"/>
      <c r="Z55" s="190"/>
      <c r="AA55" s="190"/>
      <c r="AB55" s="190"/>
      <c r="AC55" s="24"/>
      <c r="AD55" s="24"/>
      <c r="AE55" s="190"/>
      <c r="AF55" s="190"/>
      <c r="AT55" s="12">
        <f>IF(OR(D55&lt;&gt;"",E55&lt;&gt;""),1,0)</f>
        <v>0</v>
      </c>
      <c r="AU55" s="12">
        <f>IF(AND(SUM(AT:AT)&gt;0,OR(D55="",E55="")),1,0)</f>
        <v>1</v>
      </c>
    </row>
    <row r="56" spans="1:47" ht="15" customHeight="1" thickBot="1" x14ac:dyDescent="0.25">
      <c r="A56" s="195" t="str">
        <f t="shared" si="67"/>
        <v/>
      </c>
      <c r="B56" s="608" t="s">
        <v>35</v>
      </c>
      <c r="C56" s="609"/>
      <c r="D56" s="609"/>
      <c r="E56" s="610"/>
      <c r="F56" s="400">
        <f>SUM(F44:F48)*0.2</f>
        <v>0</v>
      </c>
      <c r="G56" s="283" t="s">
        <v>121</v>
      </c>
      <c r="H56" s="267">
        <f>IF(F56=0,0,(_xlfn.CEILING.MATH(F56,5)*((10.33/5)*1.1))/F56)</f>
        <v>0</v>
      </c>
      <c r="I56" s="218">
        <f>(H56/100)*(100+$F$58)</f>
        <v>0</v>
      </c>
      <c r="J56" s="284">
        <v>0.3</v>
      </c>
      <c r="K56" s="220">
        <f t="shared" si="68"/>
        <v>0</v>
      </c>
      <c r="L56" s="214"/>
      <c r="M56" s="230" t="str">
        <f>B56</f>
        <v>Fixing Rope Lm</v>
      </c>
      <c r="N56" s="229">
        <v>0.1</v>
      </c>
      <c r="O56" s="222">
        <f>F56*N56</f>
        <v>0</v>
      </c>
      <c r="P56" s="218">
        <f>$D$155</f>
        <v>30.63</v>
      </c>
      <c r="Q56" s="218">
        <f>(P56/100)*(100+$F$58)</f>
        <v>30.630000000000003</v>
      </c>
      <c r="R56" s="223">
        <v>1</v>
      </c>
      <c r="S56" s="224">
        <f t="shared" si="69"/>
        <v>0</v>
      </c>
      <c r="T56" s="225">
        <f t="shared" si="70"/>
        <v>0</v>
      </c>
      <c r="U56" s="264">
        <f>F56*H56*1.1</f>
        <v>0</v>
      </c>
      <c r="V56" s="227">
        <f>O56*$E$155</f>
        <v>0</v>
      </c>
      <c r="X56" s="24"/>
      <c r="Y56" s="24"/>
      <c r="Z56" s="190"/>
      <c r="AA56" s="190"/>
      <c r="AB56" s="190"/>
      <c r="AC56" s="24"/>
      <c r="AD56" s="24"/>
      <c r="AE56" s="190"/>
      <c r="AF56" s="190"/>
      <c r="AT56" s="13"/>
      <c r="AU56" s="13"/>
    </row>
    <row r="57" spans="1:47" ht="15" customHeight="1" thickBot="1" x14ac:dyDescent="0.25">
      <c r="A57" s="195" t="str">
        <f t="shared" si="67"/>
        <v>X</v>
      </c>
      <c r="B57" s="482" t="s">
        <v>410</v>
      </c>
      <c r="C57" s="483"/>
      <c r="D57" s="483"/>
      <c r="E57" s="483"/>
      <c r="F57" s="19"/>
      <c r="G57" s="217" t="s">
        <v>3</v>
      </c>
      <c r="H57" s="267">
        <v>0</v>
      </c>
      <c r="I57" s="218">
        <f>(H57/100)*(100+$F$58)</f>
        <v>0</v>
      </c>
      <c r="J57" s="219">
        <v>0</v>
      </c>
      <c r="K57" s="220">
        <f t="shared" si="68"/>
        <v>0</v>
      </c>
      <c r="L57" s="248"/>
      <c r="M57" s="230" t="str">
        <f>B57</f>
        <v>Difficulty hours (additional hours if required)</v>
      </c>
      <c r="N57" s="222">
        <v>1</v>
      </c>
      <c r="O57" s="222">
        <f>F57*N57</f>
        <v>0</v>
      </c>
      <c r="P57" s="218">
        <f>$D$155</f>
        <v>30.63</v>
      </c>
      <c r="Q57" s="218">
        <f>(P57/100)*(100+$F$58)</f>
        <v>30.630000000000003</v>
      </c>
      <c r="R57" s="223">
        <v>1</v>
      </c>
      <c r="S57" s="224">
        <f t="shared" si="69"/>
        <v>0</v>
      </c>
      <c r="T57" s="225">
        <f t="shared" si="70"/>
        <v>0</v>
      </c>
      <c r="U57" s="264">
        <f>F57*H57*1.1</f>
        <v>0</v>
      </c>
      <c r="V57" s="227">
        <f>O57*$E$155</f>
        <v>0</v>
      </c>
      <c r="X57" s="24"/>
      <c r="Y57" s="24"/>
      <c r="Z57" s="190"/>
      <c r="AA57" s="190"/>
      <c r="AB57" s="190"/>
      <c r="AC57" s="24"/>
      <c r="AD57" s="24"/>
      <c r="AE57" s="190"/>
      <c r="AF57" s="190"/>
      <c r="AT57" s="12">
        <f>IF(F57&lt;&gt;"",1,0)</f>
        <v>0</v>
      </c>
      <c r="AU57" s="12">
        <f>IF(AND(SUM(AT:AT)&gt;0,F57=""),1,0)</f>
        <v>1</v>
      </c>
    </row>
    <row r="58" spans="1:47" ht="16" thickBot="1" x14ac:dyDescent="0.25">
      <c r="A58" s="195" t="str">
        <f t="shared" si="67"/>
        <v/>
      </c>
      <c r="B58" s="484" t="s">
        <v>473</v>
      </c>
      <c r="C58" s="485"/>
      <c r="D58" s="485"/>
      <c r="E58" s="485"/>
      <c r="F58" s="123">
        <v>0</v>
      </c>
      <c r="G58" s="234"/>
      <c r="H58" s="235"/>
      <c r="I58" s="235"/>
      <c r="J58" s="236" t="s">
        <v>152</v>
      </c>
      <c r="K58" s="285">
        <f>SUM(K40:K57)</f>
        <v>0</v>
      </c>
      <c r="L58" s="286"/>
      <c r="M58" s="486" t="s">
        <v>152</v>
      </c>
      <c r="N58" s="487"/>
      <c r="O58" s="238">
        <f>SUM(O40:O57)</f>
        <v>0</v>
      </c>
      <c r="P58" s="239"/>
      <c r="Q58" s="239"/>
      <c r="R58" s="240"/>
      <c r="S58" s="287">
        <f>SUM(S40:S57)</f>
        <v>0</v>
      </c>
      <c r="T58" s="242">
        <f>SUM(T40:T57)</f>
        <v>0</v>
      </c>
      <c r="U58" s="288">
        <f>SUM(U40:U57)</f>
        <v>0</v>
      </c>
      <c r="V58" s="244">
        <f>SUM(V40:V57)</f>
        <v>0</v>
      </c>
      <c r="W58" s="245"/>
      <c r="X58" s="24"/>
      <c r="Y58" s="24"/>
      <c r="Z58" s="190"/>
      <c r="AA58" s="190"/>
      <c r="AB58" s="190"/>
      <c r="AC58" s="24"/>
      <c r="AD58" s="24"/>
      <c r="AE58" s="190"/>
      <c r="AF58" s="190"/>
      <c r="AT58" s="13"/>
      <c r="AU58" s="13"/>
    </row>
    <row r="59" spans="1:47" s="184" customFormat="1" ht="5" customHeight="1" thickBot="1" x14ac:dyDescent="0.25">
      <c r="A59" s="195"/>
      <c r="B59" s="199"/>
      <c r="C59" s="199"/>
      <c r="D59" s="199"/>
      <c r="E59" s="199"/>
      <c r="F59" s="200"/>
      <c r="G59" s="201"/>
      <c r="H59" s="202"/>
      <c r="I59" s="202"/>
      <c r="J59" s="203"/>
      <c r="K59" s="204"/>
      <c r="L59" s="205"/>
      <c r="M59" s="203"/>
      <c r="N59" s="203"/>
      <c r="O59" s="206"/>
      <c r="P59" s="206"/>
      <c r="Q59" s="206"/>
      <c r="R59" s="207"/>
      <c r="S59" s="208"/>
      <c r="T59" s="209"/>
      <c r="U59" s="204"/>
      <c r="V59" s="210"/>
      <c r="W59" s="211"/>
      <c r="X59" s="124"/>
      <c r="Y59" s="124"/>
      <c r="Z59" s="124"/>
      <c r="AA59" s="124"/>
      <c r="AB59" s="212"/>
      <c r="AC59" s="124"/>
      <c r="AD59" s="124"/>
      <c r="AE59" s="124"/>
      <c r="AF59" s="124"/>
      <c r="AG59" s="41"/>
      <c r="AH59" s="41"/>
      <c r="AS59" s="213"/>
      <c r="AT59" s="13"/>
      <c r="AU59" s="13"/>
    </row>
    <row r="60" spans="1:47" ht="25" customHeight="1" thickBot="1" x14ac:dyDescent="0.25">
      <c r="A60" s="195" t="str">
        <f t="shared" si="67"/>
        <v/>
      </c>
      <c r="B60" s="564" t="s">
        <v>19</v>
      </c>
      <c r="C60" s="565"/>
      <c r="D60" s="565"/>
      <c r="E60" s="565"/>
      <c r="F60" s="565"/>
      <c r="G60" s="565"/>
      <c r="H60" s="565"/>
      <c r="I60" s="565"/>
      <c r="J60" s="565"/>
      <c r="K60" s="566"/>
      <c r="L60" s="246"/>
      <c r="M60" s="477" t="str">
        <f t="shared" ref="M60:M65" si="71">B60</f>
        <v>Cementitious tanking system</v>
      </c>
      <c r="N60" s="478"/>
      <c r="O60" s="478"/>
      <c r="P60" s="478"/>
      <c r="Q60" s="478"/>
      <c r="R60" s="478"/>
      <c r="S60" s="478"/>
      <c r="T60" s="479"/>
      <c r="U60" s="480" t="str">
        <f>B60</f>
        <v>Cementitious tanking system</v>
      </c>
      <c r="V60" s="481"/>
      <c r="X60" s="24"/>
      <c r="Y60" s="24"/>
      <c r="Z60" s="190"/>
      <c r="AA60" s="190"/>
      <c r="AB60" s="190"/>
      <c r="AC60" s="24"/>
      <c r="AD60" s="24"/>
      <c r="AE60" s="190"/>
      <c r="AF60" s="190"/>
      <c r="AT60" s="13"/>
      <c r="AU60" s="13"/>
    </row>
    <row r="61" spans="1:47" ht="14.5" customHeight="1" thickBot="1" x14ac:dyDescent="0.25">
      <c r="A61" s="195" t="str">
        <f t="shared" si="67"/>
        <v>X</v>
      </c>
      <c r="B61" s="482" t="s">
        <v>20</v>
      </c>
      <c r="C61" s="483"/>
      <c r="D61" s="483"/>
      <c r="E61" s="563"/>
      <c r="F61" s="20"/>
      <c r="G61" s="217" t="s">
        <v>116</v>
      </c>
      <c r="H61" s="267">
        <f>IF(F61=0,0,_xlfn.CEILING.MATH(F61,2)*(((1*16.66/8)+(4*2.79/4)+(1*7.69/4))*1.1)/F61)</f>
        <v>0</v>
      </c>
      <c r="I61" s="218">
        <f>(H61/100)*(100+$F$66)</f>
        <v>0</v>
      </c>
      <c r="J61" s="219">
        <v>0.3</v>
      </c>
      <c r="K61" s="220">
        <f t="shared" ref="K61:K65" si="72">F61*I61*(1+J61)</f>
        <v>0</v>
      </c>
      <c r="L61" s="281"/>
      <c r="M61" s="230" t="str">
        <f t="shared" si="71"/>
        <v>Dubbing out coat (sand/cement/SBR)</v>
      </c>
      <c r="N61" s="229">
        <v>0.3</v>
      </c>
      <c r="O61" s="222">
        <f>F61*N61</f>
        <v>0</v>
      </c>
      <c r="P61" s="218">
        <f>$D$155</f>
        <v>30.63</v>
      </c>
      <c r="Q61" s="218">
        <f>(P61/100)*(100+$F$66)</f>
        <v>30.630000000000003</v>
      </c>
      <c r="R61" s="223">
        <v>1</v>
      </c>
      <c r="S61" s="224">
        <f t="shared" ref="S61:S65" si="73">(O61*Q61*(1+R61))</f>
        <v>0</v>
      </c>
      <c r="T61" s="225">
        <f t="shared" ref="T61:T65" si="74">K61+S61</f>
        <v>0</v>
      </c>
      <c r="U61" s="264">
        <f>F61*H61*1.1</f>
        <v>0</v>
      </c>
      <c r="V61" s="227">
        <f>O61*$E$155</f>
        <v>0</v>
      </c>
      <c r="X61" s="24"/>
      <c r="Y61" s="24"/>
      <c r="Z61" s="190"/>
      <c r="AA61" s="190"/>
      <c r="AB61" s="190"/>
      <c r="AC61" s="24"/>
      <c r="AD61" s="24"/>
      <c r="AE61" s="190"/>
      <c r="AF61" s="190"/>
      <c r="AT61" s="12">
        <f>IF(F61&lt;&gt;"",1,0)</f>
        <v>0</v>
      </c>
      <c r="AU61" s="12">
        <f>IF(AND(SUM(AT:AT)&gt;0,F61=""),1,0)</f>
        <v>1</v>
      </c>
    </row>
    <row r="62" spans="1:47" ht="14.5" customHeight="1" thickBot="1" x14ac:dyDescent="0.25">
      <c r="A62" s="195" t="str">
        <f t="shared" si="67"/>
        <v>X</v>
      </c>
      <c r="B62" s="482" t="s">
        <v>8</v>
      </c>
      <c r="C62" s="483"/>
      <c r="D62" s="483"/>
      <c r="E62" s="563"/>
      <c r="F62" s="19"/>
      <c r="G62" s="217" t="s">
        <v>116</v>
      </c>
      <c r="H62" s="267">
        <f>IF(F62=0,0,(_xlfn.CEILING.MATH(F62,7)*((21.7/7)*1.1))/F62)</f>
        <v>0</v>
      </c>
      <c r="I62" s="218">
        <f>(H62/100)*(100+$F$66)</f>
        <v>0</v>
      </c>
      <c r="J62" s="219">
        <v>0.3</v>
      </c>
      <c r="K62" s="220">
        <f t="shared" si="72"/>
        <v>0</v>
      </c>
      <c r="L62" s="281"/>
      <c r="M62" s="230" t="str">
        <f t="shared" si="71"/>
        <v>2 coat tanking slurry</v>
      </c>
      <c r="N62" s="229">
        <v>0.35</v>
      </c>
      <c r="O62" s="222">
        <f>F62*N62</f>
        <v>0</v>
      </c>
      <c r="P62" s="218">
        <f>$D$155</f>
        <v>30.63</v>
      </c>
      <c r="Q62" s="218">
        <f>(P62/100)*(100+$F$66)</f>
        <v>30.630000000000003</v>
      </c>
      <c r="R62" s="223">
        <v>1</v>
      </c>
      <c r="S62" s="224">
        <f t="shared" si="73"/>
        <v>0</v>
      </c>
      <c r="T62" s="225">
        <f t="shared" si="74"/>
        <v>0</v>
      </c>
      <c r="U62" s="264">
        <f>F62*H62*1.1</f>
        <v>0</v>
      </c>
      <c r="V62" s="227">
        <f>O62*$E$155</f>
        <v>0</v>
      </c>
      <c r="X62" s="24"/>
      <c r="Y62" s="24"/>
      <c r="Z62" s="190"/>
      <c r="AA62" s="190"/>
      <c r="AB62" s="190"/>
      <c r="AC62" s="24"/>
      <c r="AD62" s="24"/>
      <c r="AE62" s="190"/>
      <c r="AF62" s="190"/>
      <c r="AT62" s="12">
        <f>IF(F62&lt;&gt;"",1,0)</f>
        <v>0</v>
      </c>
      <c r="AU62" s="12">
        <f>IF(AND(SUM(AT:AT)&gt;0,F62=""),1,0)</f>
        <v>1</v>
      </c>
    </row>
    <row r="63" spans="1:47" ht="14.5" customHeight="1" thickBot="1" x14ac:dyDescent="0.25">
      <c r="A63" s="195" t="str">
        <f t="shared" si="67"/>
        <v>X</v>
      </c>
      <c r="B63" s="482" t="s">
        <v>21</v>
      </c>
      <c r="C63" s="483"/>
      <c r="D63" s="483"/>
      <c r="E63" s="563"/>
      <c r="F63" s="19"/>
      <c r="G63" s="217" t="s">
        <v>116</v>
      </c>
      <c r="H63" s="267">
        <f>IF(F63=0,0,(_xlfn.CEILING.MATH(F63,3)*((16.25/3)*1.1))/F63)</f>
        <v>0</v>
      </c>
      <c r="I63" s="218">
        <f>(H63/100)*(100+$F$66)</f>
        <v>0</v>
      </c>
      <c r="J63" s="219">
        <v>0.3</v>
      </c>
      <c r="K63" s="220">
        <f t="shared" si="72"/>
        <v>0</v>
      </c>
      <c r="L63" s="281"/>
      <c r="M63" s="230" t="str">
        <f t="shared" si="71"/>
        <v>Renovating plaster</v>
      </c>
      <c r="N63" s="229">
        <v>0.3</v>
      </c>
      <c r="O63" s="222">
        <f>F63*N63</f>
        <v>0</v>
      </c>
      <c r="P63" s="218">
        <f>$D$155</f>
        <v>30.63</v>
      </c>
      <c r="Q63" s="218">
        <f>(P63/100)*(100+$F$66)</f>
        <v>30.630000000000003</v>
      </c>
      <c r="R63" s="223">
        <v>1</v>
      </c>
      <c r="S63" s="224">
        <f t="shared" si="73"/>
        <v>0</v>
      </c>
      <c r="T63" s="225">
        <f t="shared" si="74"/>
        <v>0</v>
      </c>
      <c r="U63" s="264">
        <f>F63*H63*1.1</f>
        <v>0</v>
      </c>
      <c r="V63" s="227">
        <f>O63*$E$155</f>
        <v>0</v>
      </c>
      <c r="X63" s="24"/>
      <c r="Y63" s="24"/>
      <c r="Z63" s="190"/>
      <c r="AA63" s="190"/>
      <c r="AB63" s="190"/>
      <c r="AC63" s="24"/>
      <c r="AD63" s="24"/>
      <c r="AE63" s="190"/>
      <c r="AF63" s="190"/>
      <c r="AT63" s="12">
        <f>IF(F63&lt;&gt;"",1,0)</f>
        <v>0</v>
      </c>
      <c r="AU63" s="12">
        <f>IF(AND(SUM(AT:AT)&gt;0,F63=""),1,0)</f>
        <v>1</v>
      </c>
    </row>
    <row r="64" spans="1:47" ht="15" customHeight="1" thickBot="1" x14ac:dyDescent="0.25">
      <c r="A64" s="195" t="str">
        <f t="shared" si="67"/>
        <v>X</v>
      </c>
      <c r="B64" s="482" t="s">
        <v>9</v>
      </c>
      <c r="C64" s="483"/>
      <c r="D64" s="483"/>
      <c r="E64" s="563"/>
      <c r="F64" s="21"/>
      <c r="G64" s="217" t="s">
        <v>121</v>
      </c>
      <c r="H64" s="267">
        <f>IF(F64=0,0,(_xlfn.CEILING.MATH(F64,12)*((24.51/12)*1.1))/F64)</f>
        <v>0</v>
      </c>
      <c r="I64" s="218">
        <f>(H64/100)*(100+$F$66)</f>
        <v>0</v>
      </c>
      <c r="J64" s="219">
        <v>0.3</v>
      </c>
      <c r="K64" s="220">
        <f t="shared" si="72"/>
        <v>0</v>
      </c>
      <c r="L64" s="281"/>
      <c r="M64" s="230" t="str">
        <f t="shared" si="71"/>
        <v>Wall/floor fillet joint</v>
      </c>
      <c r="N64" s="229">
        <v>0.3</v>
      </c>
      <c r="O64" s="222">
        <f>F64*N64</f>
        <v>0</v>
      </c>
      <c r="P64" s="218">
        <f>$D$155</f>
        <v>30.63</v>
      </c>
      <c r="Q64" s="218">
        <f>(P64/100)*(100+$F$66)</f>
        <v>30.630000000000003</v>
      </c>
      <c r="R64" s="223">
        <v>1</v>
      </c>
      <c r="S64" s="224">
        <f t="shared" si="73"/>
        <v>0</v>
      </c>
      <c r="T64" s="225">
        <f t="shared" si="74"/>
        <v>0</v>
      </c>
      <c r="U64" s="264">
        <f>F64*H64*1.1</f>
        <v>0</v>
      </c>
      <c r="V64" s="227">
        <f>O64*$E$155</f>
        <v>0</v>
      </c>
      <c r="X64" s="24"/>
      <c r="Y64" s="24"/>
      <c r="Z64" s="190"/>
      <c r="AA64" s="190"/>
      <c r="AB64" s="190"/>
      <c r="AC64" s="24"/>
      <c r="AD64" s="24"/>
      <c r="AE64" s="190"/>
      <c r="AF64" s="190"/>
      <c r="AT64" s="12">
        <f>IF(F64&lt;&gt;"",1,0)</f>
        <v>0</v>
      </c>
      <c r="AU64" s="12">
        <f>IF(AND(SUM(AT:AT)&gt;0,F64=""),1,0)</f>
        <v>1</v>
      </c>
    </row>
    <row r="65" spans="1:47" ht="15" customHeight="1" thickBot="1" x14ac:dyDescent="0.25">
      <c r="A65" s="195" t="str">
        <f t="shared" si="67"/>
        <v>X</v>
      </c>
      <c r="B65" s="482" t="s">
        <v>410</v>
      </c>
      <c r="C65" s="483"/>
      <c r="D65" s="483"/>
      <c r="E65" s="483"/>
      <c r="F65" s="21"/>
      <c r="G65" s="217" t="s">
        <v>3</v>
      </c>
      <c r="H65" s="267">
        <v>0</v>
      </c>
      <c r="I65" s="218">
        <f>(H65/100)*(100+$F$66)</f>
        <v>0</v>
      </c>
      <c r="J65" s="219">
        <v>0</v>
      </c>
      <c r="K65" s="220">
        <f t="shared" si="72"/>
        <v>0</v>
      </c>
      <c r="L65" s="248"/>
      <c r="M65" s="230" t="str">
        <f t="shared" si="71"/>
        <v>Difficulty hours (additional hours if required)</v>
      </c>
      <c r="N65" s="222">
        <v>1</v>
      </c>
      <c r="O65" s="222">
        <f>F65*N65</f>
        <v>0</v>
      </c>
      <c r="P65" s="218">
        <f>$D$155</f>
        <v>30.63</v>
      </c>
      <c r="Q65" s="218">
        <f>(P65/100)*(100+$F$66)</f>
        <v>30.630000000000003</v>
      </c>
      <c r="R65" s="223">
        <v>1</v>
      </c>
      <c r="S65" s="224">
        <f t="shared" si="73"/>
        <v>0</v>
      </c>
      <c r="T65" s="225">
        <f t="shared" si="74"/>
        <v>0</v>
      </c>
      <c r="U65" s="264">
        <f>F65*H65*1.1</f>
        <v>0</v>
      </c>
      <c r="V65" s="227">
        <f>O65*$E$155</f>
        <v>0</v>
      </c>
      <c r="X65" s="24"/>
      <c r="Y65" s="24"/>
      <c r="Z65" s="190"/>
      <c r="AA65" s="190"/>
      <c r="AB65" s="190"/>
      <c r="AC65" s="24"/>
      <c r="AD65" s="24"/>
      <c r="AE65" s="190"/>
      <c r="AF65" s="190"/>
      <c r="AT65" s="12">
        <f>IF(F65&lt;&gt;"",1,0)</f>
        <v>0</v>
      </c>
      <c r="AU65" s="12">
        <f>IF(AND(SUM(AT:AT)&gt;0,F65=""),1,0)</f>
        <v>1</v>
      </c>
    </row>
    <row r="66" spans="1:47" ht="16" thickBot="1" x14ac:dyDescent="0.25">
      <c r="A66" s="195" t="str">
        <f t="shared" si="67"/>
        <v/>
      </c>
      <c r="B66" s="484" t="s">
        <v>473</v>
      </c>
      <c r="C66" s="485"/>
      <c r="D66" s="485"/>
      <c r="E66" s="485"/>
      <c r="F66" s="123">
        <v>0</v>
      </c>
      <c r="G66" s="234"/>
      <c r="H66" s="235"/>
      <c r="I66" s="235"/>
      <c r="J66" s="236" t="s">
        <v>152</v>
      </c>
      <c r="K66" s="285">
        <f>SUM(K61:K65)</f>
        <v>0</v>
      </c>
      <c r="L66" s="289"/>
      <c r="M66" s="486" t="s">
        <v>152</v>
      </c>
      <c r="N66" s="487"/>
      <c r="O66" s="238">
        <f>SUM(O61:O65)</f>
        <v>0</v>
      </c>
      <c r="P66" s="239"/>
      <c r="Q66" s="239"/>
      <c r="R66" s="240"/>
      <c r="S66" s="287">
        <f>SUM(S61:S65)</f>
        <v>0</v>
      </c>
      <c r="T66" s="242">
        <f>SUM(T61:T65)</f>
        <v>0</v>
      </c>
      <c r="U66" s="290">
        <f>SUM(U61:U65)</f>
        <v>0</v>
      </c>
      <c r="V66" s="244">
        <f>SUM(V61:V65)</f>
        <v>0</v>
      </c>
      <c r="X66" s="24"/>
      <c r="Y66" s="24"/>
      <c r="Z66" s="190"/>
      <c r="AA66" s="190"/>
      <c r="AB66" s="190"/>
      <c r="AC66" s="24"/>
      <c r="AD66" s="24"/>
      <c r="AE66" s="190"/>
      <c r="AF66" s="190"/>
      <c r="AT66" s="13"/>
      <c r="AU66" s="13"/>
    </row>
    <row r="67" spans="1:47" s="184" customFormat="1" ht="5" customHeight="1" thickBot="1" x14ac:dyDescent="0.25">
      <c r="A67" s="195"/>
      <c r="B67" s="199"/>
      <c r="C67" s="199"/>
      <c r="D67" s="199"/>
      <c r="E67" s="199"/>
      <c r="F67" s="200"/>
      <c r="G67" s="201"/>
      <c r="H67" s="202"/>
      <c r="I67" s="202"/>
      <c r="J67" s="203"/>
      <c r="K67" s="204"/>
      <c r="L67" s="205"/>
      <c r="M67" s="203"/>
      <c r="N67" s="203"/>
      <c r="O67" s="206"/>
      <c r="P67" s="206"/>
      <c r="Q67" s="206"/>
      <c r="R67" s="207"/>
      <c r="S67" s="208"/>
      <c r="T67" s="209"/>
      <c r="U67" s="204"/>
      <c r="V67" s="210"/>
      <c r="W67" s="211"/>
      <c r="X67" s="124"/>
      <c r="Y67" s="124"/>
      <c r="Z67" s="124"/>
      <c r="AA67" s="124"/>
      <c r="AB67" s="212"/>
      <c r="AC67" s="124"/>
      <c r="AD67" s="124"/>
      <c r="AE67" s="124"/>
      <c r="AF67" s="124"/>
      <c r="AG67" s="41"/>
      <c r="AH67" s="41"/>
      <c r="AS67" s="213"/>
      <c r="AT67" s="13"/>
      <c r="AU67" s="13"/>
    </row>
    <row r="68" spans="1:47" ht="25" customHeight="1" thickBot="1" x14ac:dyDescent="0.25">
      <c r="A68" s="195" t="str">
        <f t="shared" si="67"/>
        <v/>
      </c>
      <c r="B68" s="588" t="s">
        <v>477</v>
      </c>
      <c r="C68" s="600"/>
      <c r="D68" s="600"/>
      <c r="E68" s="600"/>
      <c r="F68" s="291"/>
      <c r="G68" s="291"/>
      <c r="H68" s="215"/>
      <c r="I68" s="215"/>
      <c r="J68" s="215"/>
      <c r="K68" s="215"/>
      <c r="L68" s="292"/>
      <c r="M68" s="477" t="str">
        <f t="shared" ref="M68:M73" si="75">B68</f>
        <v xml:space="preserve">Floor - Liquid Resin Floor Membranes </v>
      </c>
      <c r="N68" s="478"/>
      <c r="O68" s="478"/>
      <c r="P68" s="478"/>
      <c r="Q68" s="478"/>
      <c r="R68" s="478"/>
      <c r="S68" s="478"/>
      <c r="T68" s="479"/>
      <c r="U68" s="480" t="str">
        <f>B68</f>
        <v xml:space="preserve">Floor - Liquid Resin Floor Membranes </v>
      </c>
      <c r="V68" s="481"/>
      <c r="X68" s="24"/>
      <c r="Y68" s="24"/>
      <c r="Z68" s="190"/>
      <c r="AA68" s="190"/>
      <c r="AB68" s="190"/>
      <c r="AC68" s="24"/>
      <c r="AD68" s="24"/>
      <c r="AE68" s="190"/>
      <c r="AF68" s="190"/>
      <c r="AT68" s="13"/>
      <c r="AU68" s="13"/>
    </row>
    <row r="69" spans="1:47" ht="15" customHeight="1" thickBot="1" x14ac:dyDescent="0.25">
      <c r="A69" s="195" t="str">
        <f t="shared" si="67"/>
        <v>X</v>
      </c>
      <c r="B69" s="482" t="s">
        <v>24</v>
      </c>
      <c r="C69" s="483"/>
      <c r="D69" s="483"/>
      <c r="E69" s="483"/>
      <c r="F69" s="22"/>
      <c r="G69" s="217" t="s">
        <v>116</v>
      </c>
      <c r="H69" s="267">
        <f>IF(F69=0,0,(_xlfn.CEILING.MATH(F69,30)*((56.7/30)*1.1))/F69)</f>
        <v>0</v>
      </c>
      <c r="I69" s="218">
        <f>(H69/100)*(100+$F$74)</f>
        <v>0</v>
      </c>
      <c r="J69" s="278">
        <v>0.3</v>
      </c>
      <c r="K69" s="220">
        <f t="shared" ref="K69:K72" si="76">F69*I69*(1+J69)</f>
        <v>0</v>
      </c>
      <c r="L69" s="281"/>
      <c r="M69" s="230" t="str">
        <f t="shared" si="75"/>
        <v>EP40 2 Pack resin Primer</v>
      </c>
      <c r="N69" s="229">
        <v>0.04</v>
      </c>
      <c r="O69" s="222">
        <f>F69*N69</f>
        <v>0</v>
      </c>
      <c r="P69" s="218">
        <f>$D$155</f>
        <v>30.63</v>
      </c>
      <c r="Q69" s="218">
        <f>(P69/100)*(100+$F$74)</f>
        <v>30.630000000000003</v>
      </c>
      <c r="R69" s="223">
        <v>1</v>
      </c>
      <c r="S69" s="224">
        <f t="shared" ref="S69:S73" si="77">(O69*Q69*(1+R69))</f>
        <v>0</v>
      </c>
      <c r="T69" s="225">
        <f t="shared" ref="T69:T73" si="78">K69+S69</f>
        <v>0</v>
      </c>
      <c r="U69" s="264">
        <f>(ROUNDUP(F69/30,0))*H69*1.1</f>
        <v>0</v>
      </c>
      <c r="V69" s="227">
        <f>O69*$E$155</f>
        <v>0</v>
      </c>
      <c r="X69" s="24"/>
      <c r="Y69" s="24"/>
      <c r="Z69" s="190"/>
      <c r="AA69" s="190"/>
      <c r="AB69" s="190"/>
      <c r="AC69" s="24"/>
      <c r="AD69" s="24"/>
      <c r="AE69" s="190"/>
      <c r="AF69" s="190"/>
      <c r="AT69" s="12">
        <f>IF(F69&lt;&gt;"",1,0)</f>
        <v>0</v>
      </c>
      <c r="AU69" s="12">
        <f>IF(AND(SUM(AT:AT)&gt;0,F69=""),1,0)</f>
        <v>1</v>
      </c>
    </row>
    <row r="70" spans="1:47" ht="15" customHeight="1" thickBot="1" x14ac:dyDescent="0.25">
      <c r="A70" s="195" t="str">
        <f t="shared" si="67"/>
        <v>X</v>
      </c>
      <c r="B70" s="482" t="s">
        <v>25</v>
      </c>
      <c r="C70" s="483"/>
      <c r="D70" s="483"/>
      <c r="E70" s="483"/>
      <c r="F70" s="19"/>
      <c r="G70" s="217" t="s">
        <v>116</v>
      </c>
      <c r="H70" s="267">
        <f>IF(F70=0,0,(_xlfn.CEILING.MATH(F70,30)*((63.7/30)*1.1))/F70)</f>
        <v>0</v>
      </c>
      <c r="I70" s="218">
        <f>(H70/100)*(100+$F$74)</f>
        <v>0</v>
      </c>
      <c r="J70" s="293">
        <v>0.3</v>
      </c>
      <c r="K70" s="220">
        <f t="shared" si="76"/>
        <v>0</v>
      </c>
      <c r="L70" s="281"/>
      <c r="M70" s="230" t="str">
        <f t="shared" si="75"/>
        <v>EP40 2 Pack resin top coat</v>
      </c>
      <c r="N70" s="229">
        <v>0.04</v>
      </c>
      <c r="O70" s="222">
        <f>F70*N70</f>
        <v>0</v>
      </c>
      <c r="P70" s="218">
        <f>$D$155</f>
        <v>30.63</v>
      </c>
      <c r="Q70" s="218">
        <f>(P70/100)*(100+$F$74)</f>
        <v>30.630000000000003</v>
      </c>
      <c r="R70" s="223">
        <v>1</v>
      </c>
      <c r="S70" s="224">
        <f t="shared" si="77"/>
        <v>0</v>
      </c>
      <c r="T70" s="225">
        <f t="shared" si="78"/>
        <v>0</v>
      </c>
      <c r="U70" s="264">
        <f>(ROUNDUP(F70/30,0))*H70*1.1</f>
        <v>0</v>
      </c>
      <c r="V70" s="227">
        <f>O70*$E$155</f>
        <v>0</v>
      </c>
      <c r="X70" s="24"/>
      <c r="Y70" s="24"/>
      <c r="Z70" s="190"/>
      <c r="AA70" s="190"/>
      <c r="AB70" s="190"/>
      <c r="AC70" s="24"/>
      <c r="AD70" s="24"/>
      <c r="AE70" s="190"/>
      <c r="AF70" s="190"/>
      <c r="AT70" s="12">
        <f>IF(F70&lt;&gt;"",1,0)</f>
        <v>0</v>
      </c>
      <c r="AU70" s="12">
        <f>IF(AND(SUM(AT:AT)&gt;0,F70=""),1,0)</f>
        <v>1</v>
      </c>
    </row>
    <row r="71" spans="1:47" ht="15" customHeight="1" thickBot="1" x14ac:dyDescent="0.25">
      <c r="A71" s="195" t="str">
        <f t="shared" si="67"/>
        <v>X</v>
      </c>
      <c r="B71" s="482" t="s">
        <v>9</v>
      </c>
      <c r="C71" s="483"/>
      <c r="D71" s="483"/>
      <c r="E71" s="563"/>
      <c r="F71" s="21"/>
      <c r="G71" s="217" t="s">
        <v>121</v>
      </c>
      <c r="H71" s="267">
        <f>IF(F71=0,0,(_xlfn.CEILING.MATH(F71,12)*((24.51/12)*1.1))/F71)</f>
        <v>0</v>
      </c>
      <c r="I71" s="218">
        <f>(H71/100)*(100+$F$74)</f>
        <v>0</v>
      </c>
      <c r="J71" s="219">
        <v>0.3</v>
      </c>
      <c r="K71" s="220">
        <f>F71*I71*(1+J71)</f>
        <v>0</v>
      </c>
      <c r="L71" s="281"/>
      <c r="M71" s="230" t="str">
        <f t="shared" si="75"/>
        <v>Wall/floor fillet joint</v>
      </c>
      <c r="N71" s="229">
        <v>0.3</v>
      </c>
      <c r="O71" s="222">
        <f>F71*N71</f>
        <v>0</v>
      </c>
      <c r="P71" s="218">
        <f>$D$155</f>
        <v>30.63</v>
      </c>
      <c r="Q71" s="218">
        <f>(P71/100)*(100+$F$74)</f>
        <v>30.630000000000003</v>
      </c>
      <c r="R71" s="223">
        <v>1</v>
      </c>
      <c r="S71" s="224">
        <f t="shared" si="77"/>
        <v>0</v>
      </c>
      <c r="T71" s="225">
        <f t="shared" si="78"/>
        <v>0</v>
      </c>
      <c r="U71" s="264">
        <f>F71*H71*1.1</f>
        <v>0</v>
      </c>
      <c r="V71" s="227">
        <f>O71*$E$155</f>
        <v>0</v>
      </c>
      <c r="X71" s="24"/>
      <c r="Y71" s="24"/>
      <c r="Z71" s="190"/>
      <c r="AA71" s="190"/>
      <c r="AB71" s="190"/>
      <c r="AC71" s="24"/>
      <c r="AD71" s="24"/>
      <c r="AE71" s="190"/>
      <c r="AF71" s="190"/>
      <c r="AT71" s="12">
        <f>IF(F71&lt;&gt;"",1,0)</f>
        <v>0</v>
      </c>
      <c r="AU71" s="12">
        <f>IF(AND(SUM(AT:AT)&gt;0,F71=""),1,0)</f>
        <v>1</v>
      </c>
    </row>
    <row r="72" spans="1:47" ht="15" customHeight="1" thickBot="1" x14ac:dyDescent="0.25">
      <c r="A72" s="195" t="str">
        <f t="shared" si="67"/>
        <v>X</v>
      </c>
      <c r="B72" s="482" t="s">
        <v>22</v>
      </c>
      <c r="C72" s="483"/>
      <c r="D72" s="483"/>
      <c r="E72" s="483"/>
      <c r="F72" s="21"/>
      <c r="G72" s="217" t="s">
        <v>116</v>
      </c>
      <c r="H72" s="267">
        <f>IF(F72=0,0,(_xlfn.CEILING.MATH(F72,25)*((2.08/25)*1.1))/F72)</f>
        <v>0</v>
      </c>
      <c r="I72" s="218">
        <f>(H72/100)*(100+$F$74)</f>
        <v>0</v>
      </c>
      <c r="J72" s="293">
        <v>0.3</v>
      </c>
      <c r="K72" s="220">
        <f t="shared" si="76"/>
        <v>0</v>
      </c>
      <c r="L72" s="281"/>
      <c r="M72" s="230" t="str">
        <f t="shared" si="75"/>
        <v>Grip grit</v>
      </c>
      <c r="N72" s="222">
        <v>0.01</v>
      </c>
      <c r="O72" s="222">
        <f>F72*N72</f>
        <v>0</v>
      </c>
      <c r="P72" s="218">
        <f>$D$155</f>
        <v>30.63</v>
      </c>
      <c r="Q72" s="218">
        <f>(P72/100)*(100+$F$74)</f>
        <v>30.630000000000003</v>
      </c>
      <c r="R72" s="223">
        <v>1</v>
      </c>
      <c r="S72" s="224">
        <f t="shared" si="77"/>
        <v>0</v>
      </c>
      <c r="T72" s="225">
        <f t="shared" si="78"/>
        <v>0</v>
      </c>
      <c r="U72" s="264">
        <f>F72*H72*1.1</f>
        <v>0</v>
      </c>
      <c r="V72" s="227">
        <f>O72*$E$155</f>
        <v>0</v>
      </c>
      <c r="X72" s="24"/>
      <c r="Y72" s="24"/>
      <c r="Z72" s="190"/>
      <c r="AA72" s="190"/>
      <c r="AB72" s="190"/>
      <c r="AC72" s="24"/>
      <c r="AD72" s="24"/>
      <c r="AE72" s="190"/>
      <c r="AF72" s="190"/>
      <c r="AT72" s="12">
        <f>IF(F72&lt;&gt;"",1,0)</f>
        <v>0</v>
      </c>
      <c r="AU72" s="12">
        <f>IF(AND(SUM(AT:AT)&gt;0,F72=""),1,0)</f>
        <v>1</v>
      </c>
    </row>
    <row r="73" spans="1:47" ht="15" customHeight="1" thickBot="1" x14ac:dyDescent="0.25">
      <c r="A73" s="195" t="str">
        <f t="shared" si="67"/>
        <v>X</v>
      </c>
      <c r="B73" s="482" t="s">
        <v>410</v>
      </c>
      <c r="C73" s="483"/>
      <c r="D73" s="483"/>
      <c r="E73" s="483"/>
      <c r="F73" s="21"/>
      <c r="G73" s="217" t="s">
        <v>3</v>
      </c>
      <c r="H73" s="267">
        <v>0</v>
      </c>
      <c r="I73" s="218">
        <f>(H73/100)*(100+$F$74)</f>
        <v>0</v>
      </c>
      <c r="J73" s="219">
        <v>0</v>
      </c>
      <c r="K73" s="220">
        <f>F73*I73*(1+J73)</f>
        <v>0</v>
      </c>
      <c r="L73" s="248"/>
      <c r="M73" s="230" t="str">
        <f t="shared" si="75"/>
        <v>Difficulty hours (additional hours if required)</v>
      </c>
      <c r="N73" s="222">
        <v>1</v>
      </c>
      <c r="O73" s="222">
        <f>F73*N73</f>
        <v>0</v>
      </c>
      <c r="P73" s="218">
        <f>$D$155</f>
        <v>30.63</v>
      </c>
      <c r="Q73" s="218">
        <f>(P73/100)*(100+$F$74)</f>
        <v>30.630000000000003</v>
      </c>
      <c r="R73" s="223">
        <v>1</v>
      </c>
      <c r="S73" s="224">
        <f t="shared" si="77"/>
        <v>0</v>
      </c>
      <c r="T73" s="225">
        <f t="shared" si="78"/>
        <v>0</v>
      </c>
      <c r="U73" s="264">
        <f>F73*H73*1.1</f>
        <v>0</v>
      </c>
      <c r="V73" s="227">
        <f>O73*$E$155</f>
        <v>0</v>
      </c>
      <c r="X73" s="24"/>
      <c r="Y73" s="24"/>
      <c r="Z73" s="190"/>
      <c r="AA73" s="190"/>
      <c r="AB73" s="190"/>
      <c r="AC73" s="24"/>
      <c r="AD73" s="24"/>
      <c r="AE73" s="190"/>
      <c r="AF73" s="190"/>
      <c r="AT73" s="12">
        <f>IF(F73&lt;&gt;"",1,0)</f>
        <v>0</v>
      </c>
      <c r="AU73" s="12">
        <f>IF(AND(SUM(AT:AT)&gt;0,F73=""),1,0)</f>
        <v>1</v>
      </c>
    </row>
    <row r="74" spans="1:47" ht="16" thickBot="1" x14ac:dyDescent="0.25">
      <c r="A74" s="195" t="str">
        <f t="shared" si="67"/>
        <v/>
      </c>
      <c r="B74" s="484" t="s">
        <v>473</v>
      </c>
      <c r="C74" s="485"/>
      <c r="D74" s="485"/>
      <c r="E74" s="485"/>
      <c r="F74" s="123">
        <v>0</v>
      </c>
      <c r="G74" s="234"/>
      <c r="H74" s="235"/>
      <c r="I74" s="235"/>
      <c r="J74" s="236" t="s">
        <v>152</v>
      </c>
      <c r="K74" s="294">
        <f>SUM(K69:K73)</f>
        <v>0</v>
      </c>
      <c r="L74" s="289"/>
      <c r="M74" s="486" t="s">
        <v>152</v>
      </c>
      <c r="N74" s="487"/>
      <c r="O74" s="238">
        <f>SUM(O69:O73)</f>
        <v>0</v>
      </c>
      <c r="P74" s="239"/>
      <c r="Q74" s="239"/>
      <c r="R74" s="240"/>
      <c r="S74" s="241">
        <f>SUM(S69:S73)</f>
        <v>0</v>
      </c>
      <c r="T74" s="242">
        <f>SUM(T69:T73)</f>
        <v>0</v>
      </c>
      <c r="U74" s="290">
        <f>SUM(U69:U73)</f>
        <v>0</v>
      </c>
      <c r="V74" s="244">
        <f>SUM(V69:V73)</f>
        <v>0</v>
      </c>
      <c r="X74" s="24"/>
      <c r="Y74" s="24"/>
      <c r="Z74" s="190"/>
      <c r="AA74" s="190"/>
      <c r="AB74" s="190"/>
      <c r="AC74" s="24"/>
      <c r="AD74" s="24"/>
      <c r="AE74" s="190"/>
      <c r="AF74" s="190"/>
      <c r="AT74" s="13"/>
      <c r="AU74" s="13"/>
    </row>
    <row r="75" spans="1:47" s="184" customFormat="1" ht="5" customHeight="1" thickBot="1" x14ac:dyDescent="0.25">
      <c r="A75" s="195"/>
      <c r="B75" s="199"/>
      <c r="C75" s="199"/>
      <c r="D75" s="199"/>
      <c r="E75" s="199"/>
      <c r="F75" s="200"/>
      <c r="G75" s="201"/>
      <c r="H75" s="202"/>
      <c r="I75" s="202"/>
      <c r="J75" s="203"/>
      <c r="K75" s="204"/>
      <c r="L75" s="205"/>
      <c r="M75" s="203"/>
      <c r="N75" s="203"/>
      <c r="O75" s="206"/>
      <c r="P75" s="206"/>
      <c r="Q75" s="206"/>
      <c r="R75" s="207"/>
      <c r="S75" s="208"/>
      <c r="T75" s="209"/>
      <c r="U75" s="204"/>
      <c r="V75" s="210"/>
      <c r="W75" s="211"/>
      <c r="X75" s="124"/>
      <c r="Y75" s="124"/>
      <c r="Z75" s="124"/>
      <c r="AA75" s="124"/>
      <c r="AB75" s="212"/>
      <c r="AC75" s="124"/>
      <c r="AD75" s="124"/>
      <c r="AE75" s="124"/>
      <c r="AF75" s="124"/>
      <c r="AG75" s="41"/>
      <c r="AH75" s="41"/>
      <c r="AS75" s="213"/>
      <c r="AT75" s="13"/>
      <c r="AU75" s="13"/>
    </row>
    <row r="76" spans="1:47" ht="25" customHeight="1" thickBot="1" x14ac:dyDescent="0.25">
      <c r="A76" s="195" t="str">
        <f t="shared" si="67"/>
        <v/>
      </c>
      <c r="B76" s="588" t="s">
        <v>379</v>
      </c>
      <c r="C76" s="600"/>
      <c r="D76" s="600"/>
      <c r="E76" s="600"/>
      <c r="F76" s="295"/>
      <c r="G76" s="295"/>
      <c r="H76" s="296"/>
      <c r="I76" s="296"/>
      <c r="J76" s="296"/>
      <c r="K76" s="296"/>
      <c r="L76" s="292"/>
      <c r="M76" s="477" t="str">
        <f t="shared" ref="M76:M84" si="79">B76</f>
        <v>Plastering &amp; finishing</v>
      </c>
      <c r="N76" s="478"/>
      <c r="O76" s="478"/>
      <c r="P76" s="478"/>
      <c r="Q76" s="478"/>
      <c r="R76" s="478"/>
      <c r="S76" s="478"/>
      <c r="T76" s="479"/>
      <c r="U76" s="480" t="str">
        <f>B76</f>
        <v>Plastering &amp; finishing</v>
      </c>
      <c r="V76" s="481"/>
      <c r="X76" s="24"/>
      <c r="Y76" s="24"/>
      <c r="Z76" s="190"/>
      <c r="AA76" s="190"/>
      <c r="AB76" s="190"/>
      <c r="AC76" s="24"/>
      <c r="AD76" s="24"/>
      <c r="AE76" s="190"/>
      <c r="AF76" s="190"/>
      <c r="AT76" s="13"/>
      <c r="AU76" s="13"/>
    </row>
    <row r="77" spans="1:47" ht="15" customHeight="1" thickBot="1" x14ac:dyDescent="0.25">
      <c r="A77" s="195" t="str">
        <f t="shared" si="67"/>
        <v>X</v>
      </c>
      <c r="B77" s="482" t="s">
        <v>411</v>
      </c>
      <c r="C77" s="483"/>
      <c r="D77" s="483"/>
      <c r="E77" s="483"/>
      <c r="F77" s="22"/>
      <c r="G77" s="217" t="s">
        <v>116</v>
      </c>
      <c r="H77" s="267">
        <v>14</v>
      </c>
      <c r="I77" s="218">
        <f t="shared" ref="I77:I84" si="80">(H77/100)*(100+$F$85)</f>
        <v>14.000000000000002</v>
      </c>
      <c r="J77" s="219">
        <v>0.3</v>
      </c>
      <c r="K77" s="297">
        <f t="shared" ref="K77:K84" si="81">F77*I77*(1+J77)</f>
        <v>0</v>
      </c>
      <c r="L77" s="281"/>
      <c r="M77" s="230" t="str">
        <f t="shared" si="79"/>
        <v>Construct stud wall to perimeter</v>
      </c>
      <c r="N77" s="229">
        <v>0.4</v>
      </c>
      <c r="O77" s="222">
        <f>F77*N77</f>
        <v>0</v>
      </c>
      <c r="P77" s="218">
        <f t="shared" ref="P77:P84" si="82">$D$155</f>
        <v>30.63</v>
      </c>
      <c r="Q77" s="218">
        <f t="shared" ref="Q77:Q84" si="83">(P77/100)*(100+$F$85)</f>
        <v>30.630000000000003</v>
      </c>
      <c r="R77" s="223">
        <v>1</v>
      </c>
      <c r="S77" s="224">
        <f t="shared" ref="S77:S84" si="84">(O77*Q77*(1+R77))</f>
        <v>0</v>
      </c>
      <c r="T77" s="225">
        <f t="shared" ref="T77:T84" si="85">K77+S77</f>
        <v>0</v>
      </c>
      <c r="U77" s="264">
        <f t="shared" ref="U77:U84" si="86">F77*H77*1.1</f>
        <v>0</v>
      </c>
      <c r="V77" s="227">
        <f t="shared" ref="V77:V84" si="87">O77*$E$155</f>
        <v>0</v>
      </c>
      <c r="X77" s="24"/>
      <c r="Y77" s="24"/>
      <c r="Z77" s="190"/>
      <c r="AA77" s="190"/>
      <c r="AB77" s="190"/>
      <c r="AC77" s="24"/>
      <c r="AD77" s="24"/>
      <c r="AE77" s="190"/>
      <c r="AF77" s="190"/>
      <c r="AT77" s="12">
        <f t="shared" ref="AT77:AT84" si="88">IF(F77&lt;&gt;"",1,0)</f>
        <v>0</v>
      </c>
      <c r="AU77" s="12">
        <f t="shared" ref="AU77:AU84" si="89">IF(AND(SUM(AT:AT)&gt;0,F77=""),1,0)</f>
        <v>1</v>
      </c>
    </row>
    <row r="78" spans="1:47" ht="15" customHeight="1" thickBot="1" x14ac:dyDescent="0.25">
      <c r="A78" s="195" t="str">
        <f t="shared" si="67"/>
        <v>X</v>
      </c>
      <c r="B78" s="493" t="s">
        <v>412</v>
      </c>
      <c r="C78" s="494"/>
      <c r="D78" s="494"/>
      <c r="E78" s="494"/>
      <c r="F78" s="19"/>
      <c r="G78" s="217" t="s">
        <v>116</v>
      </c>
      <c r="H78" s="267">
        <f>(8.24/1.098)*1.3</f>
        <v>9.7559198542805099</v>
      </c>
      <c r="I78" s="218">
        <f t="shared" si="80"/>
        <v>9.7559198542805099</v>
      </c>
      <c r="J78" s="278">
        <v>0.3</v>
      </c>
      <c r="K78" s="297">
        <f t="shared" si="81"/>
        <v>0</v>
      </c>
      <c r="L78" s="281"/>
      <c r="M78" s="230" t="str">
        <f t="shared" si="79"/>
        <v>Plaster boarding (inc dab/screws)</v>
      </c>
      <c r="N78" s="229">
        <v>0.4</v>
      </c>
      <c r="O78" s="222">
        <f>F78*N78</f>
        <v>0</v>
      </c>
      <c r="P78" s="218">
        <f t="shared" si="82"/>
        <v>30.63</v>
      </c>
      <c r="Q78" s="218">
        <f t="shared" si="83"/>
        <v>30.630000000000003</v>
      </c>
      <c r="R78" s="223">
        <v>1</v>
      </c>
      <c r="S78" s="224">
        <f t="shared" si="84"/>
        <v>0</v>
      </c>
      <c r="T78" s="225">
        <f t="shared" si="85"/>
        <v>0</v>
      </c>
      <c r="U78" s="264">
        <f t="shared" si="86"/>
        <v>0</v>
      </c>
      <c r="V78" s="227">
        <f t="shared" si="87"/>
        <v>0</v>
      </c>
      <c r="X78" s="24"/>
      <c r="Y78" s="24"/>
      <c r="Z78" s="190"/>
      <c r="AA78" s="190"/>
      <c r="AB78" s="190"/>
      <c r="AC78" s="24"/>
      <c r="AD78" s="24"/>
      <c r="AE78" s="190"/>
      <c r="AF78" s="190"/>
      <c r="AT78" s="12">
        <f t="shared" si="88"/>
        <v>0</v>
      </c>
      <c r="AU78" s="12">
        <f t="shared" si="89"/>
        <v>1</v>
      </c>
    </row>
    <row r="79" spans="1:47" ht="15" customHeight="1" thickBot="1" x14ac:dyDescent="0.25">
      <c r="A79" s="195" t="str">
        <f t="shared" si="67"/>
        <v>X</v>
      </c>
      <c r="B79" s="482" t="s">
        <v>660</v>
      </c>
      <c r="C79" s="483"/>
      <c r="D79" s="483"/>
      <c r="E79" s="483"/>
      <c r="F79" s="21"/>
      <c r="G79" s="217" t="s">
        <v>116</v>
      </c>
      <c r="H79" s="267">
        <f>IF(F79=0,0,((_xlfn.CEILING.MATH(F79,3.5625)*((196.67/7.125)*1.1))/F79)+((_xlfn.CEILING.MATH(F79,7.125)*((38.5/7.125)*1.1))/F79))</f>
        <v>0</v>
      </c>
      <c r="I79" s="218">
        <f t="shared" si="80"/>
        <v>0</v>
      </c>
      <c r="J79" s="219">
        <v>0.3</v>
      </c>
      <c r="K79" s="298">
        <f t="shared" si="81"/>
        <v>0</v>
      </c>
      <c r="L79" s="248"/>
      <c r="M79" s="230" t="str">
        <f t="shared" si="79"/>
        <v>Warmline Internal Wall Insulation</v>
      </c>
      <c r="N79" s="222">
        <f>IF(OR(F79="",F79=0),0,IF(F79&lt;7,2.5/F79,(20/60)))</f>
        <v>0</v>
      </c>
      <c r="O79" s="222">
        <f>F79*N79</f>
        <v>0</v>
      </c>
      <c r="P79" s="218">
        <f t="shared" si="82"/>
        <v>30.63</v>
      </c>
      <c r="Q79" s="218">
        <f t="shared" si="83"/>
        <v>30.630000000000003</v>
      </c>
      <c r="R79" s="223">
        <v>1</v>
      </c>
      <c r="S79" s="224">
        <f t="shared" si="84"/>
        <v>0</v>
      </c>
      <c r="T79" s="225">
        <f t="shared" ref="T79" si="90">K79+S79</f>
        <v>0</v>
      </c>
      <c r="U79" s="264">
        <f t="shared" si="86"/>
        <v>0</v>
      </c>
      <c r="V79" s="227">
        <f t="shared" si="87"/>
        <v>0</v>
      </c>
      <c r="X79" s="24"/>
      <c r="Y79" s="24"/>
      <c r="Z79" s="190"/>
      <c r="AA79" s="190"/>
      <c r="AB79" s="190"/>
      <c r="AC79" s="24"/>
      <c r="AD79" s="24"/>
      <c r="AE79" s="190"/>
      <c r="AF79" s="190"/>
      <c r="AT79" s="12">
        <f t="shared" si="88"/>
        <v>0</v>
      </c>
      <c r="AU79" s="12">
        <f t="shared" si="89"/>
        <v>1</v>
      </c>
    </row>
    <row r="80" spans="1:47" ht="15" customHeight="1" thickBot="1" x14ac:dyDescent="0.25">
      <c r="A80" s="195" t="str">
        <f t="shared" si="67"/>
        <v>X</v>
      </c>
      <c r="B80" s="482" t="s">
        <v>10</v>
      </c>
      <c r="C80" s="483"/>
      <c r="D80" s="483"/>
      <c r="E80" s="483"/>
      <c r="F80" s="21"/>
      <c r="G80" s="217" t="s">
        <v>116</v>
      </c>
      <c r="H80" s="267">
        <f>IF(F80=0,0,(_xlfn.CEILING.MATH(F80,10)*((12.08/10)*1.1))/F80)</f>
        <v>0</v>
      </c>
      <c r="I80" s="218">
        <f t="shared" si="80"/>
        <v>0</v>
      </c>
      <c r="J80" s="219">
        <v>0.3</v>
      </c>
      <c r="K80" s="298">
        <f t="shared" si="81"/>
        <v>0</v>
      </c>
      <c r="L80" s="248"/>
      <c r="M80" s="230" t="str">
        <f t="shared" si="79"/>
        <v>Skimming walls (multi finish plaster)</v>
      </c>
      <c r="N80" s="222">
        <f>4/15</f>
        <v>0.26666666666666666</v>
      </c>
      <c r="O80" s="222">
        <f>ROUNDUP(F80/15,0)*4</f>
        <v>0</v>
      </c>
      <c r="P80" s="218">
        <f t="shared" si="82"/>
        <v>30.63</v>
      </c>
      <c r="Q80" s="218">
        <f t="shared" si="83"/>
        <v>30.630000000000003</v>
      </c>
      <c r="R80" s="223">
        <v>1</v>
      </c>
      <c r="S80" s="224">
        <f t="shared" si="84"/>
        <v>0</v>
      </c>
      <c r="T80" s="225">
        <f t="shared" si="85"/>
        <v>0</v>
      </c>
      <c r="U80" s="264">
        <f t="shared" si="86"/>
        <v>0</v>
      </c>
      <c r="V80" s="227">
        <f t="shared" si="87"/>
        <v>0</v>
      </c>
      <c r="X80" s="24"/>
      <c r="Y80" s="24"/>
      <c r="Z80" s="190"/>
      <c r="AA80" s="190"/>
      <c r="AB80" s="190"/>
      <c r="AC80" s="24"/>
      <c r="AD80" s="24"/>
      <c r="AE80" s="190"/>
      <c r="AF80" s="190"/>
      <c r="AT80" s="12">
        <f t="shared" si="88"/>
        <v>0</v>
      </c>
      <c r="AU80" s="12">
        <f t="shared" si="89"/>
        <v>1</v>
      </c>
    </row>
    <row r="81" spans="1:47" ht="15" customHeight="1" thickBot="1" x14ac:dyDescent="0.25">
      <c r="A81" s="195" t="str">
        <f t="shared" ref="A81" si="91">IF(AU81=1,"X","")</f>
        <v>X</v>
      </c>
      <c r="B81" s="482" t="s">
        <v>616</v>
      </c>
      <c r="C81" s="483"/>
      <c r="D81" s="483"/>
      <c r="E81" s="483"/>
      <c r="F81" s="22"/>
      <c r="G81" s="217" t="s">
        <v>119</v>
      </c>
      <c r="H81" s="267">
        <f>1*1.1</f>
        <v>1.1000000000000001</v>
      </c>
      <c r="I81" s="218">
        <f t="shared" si="80"/>
        <v>1.1000000000000001</v>
      </c>
      <c r="J81" s="219">
        <v>0.3</v>
      </c>
      <c r="K81" s="297">
        <f t="shared" ref="K81" si="92">F81*I81*(1+J81)</f>
        <v>0</v>
      </c>
      <c r="L81" s="281"/>
      <c r="M81" s="230" t="str">
        <f t="shared" ref="M81" si="93">B81</f>
        <v>Plastering Stop Bead - 3m length</v>
      </c>
      <c r="N81" s="229">
        <v>0</v>
      </c>
      <c r="O81" s="222">
        <f>F81*N81</f>
        <v>0</v>
      </c>
      <c r="P81" s="218">
        <f t="shared" si="82"/>
        <v>30.63</v>
      </c>
      <c r="Q81" s="218">
        <f t="shared" si="83"/>
        <v>30.630000000000003</v>
      </c>
      <c r="R81" s="223">
        <v>1</v>
      </c>
      <c r="S81" s="224">
        <f t="shared" ref="S81" si="94">(O81*Q81*(1+R81))</f>
        <v>0</v>
      </c>
      <c r="T81" s="225">
        <f t="shared" ref="T81" si="95">K81+S81</f>
        <v>0</v>
      </c>
      <c r="U81" s="264">
        <f t="shared" si="86"/>
        <v>0</v>
      </c>
      <c r="V81" s="227">
        <f t="shared" si="87"/>
        <v>0</v>
      </c>
      <c r="X81" s="24"/>
      <c r="Y81" s="24"/>
      <c r="Z81" s="190"/>
      <c r="AA81" s="190"/>
      <c r="AB81" s="190"/>
      <c r="AC81" s="24"/>
      <c r="AD81" s="24"/>
      <c r="AE81" s="190"/>
      <c r="AF81" s="190"/>
      <c r="AT81" s="12">
        <f t="shared" si="88"/>
        <v>0</v>
      </c>
      <c r="AU81" s="12">
        <f t="shared" si="89"/>
        <v>1</v>
      </c>
    </row>
    <row r="82" spans="1:47" ht="15" customHeight="1" thickBot="1" x14ac:dyDescent="0.25">
      <c r="A82" s="195" t="str">
        <f>IF(AU82=1,"X","")</f>
        <v>X</v>
      </c>
      <c r="B82" s="482" t="s">
        <v>617</v>
      </c>
      <c r="C82" s="483"/>
      <c r="D82" s="483"/>
      <c r="E82" s="483"/>
      <c r="F82" s="22"/>
      <c r="G82" s="217" t="s">
        <v>119</v>
      </c>
      <c r="H82" s="267">
        <f>1.66*1.1</f>
        <v>1.8260000000000001</v>
      </c>
      <c r="I82" s="218">
        <f t="shared" si="80"/>
        <v>1.8260000000000003</v>
      </c>
      <c r="J82" s="219">
        <v>0.3</v>
      </c>
      <c r="K82" s="297">
        <f>F82*I82*(1+J82)</f>
        <v>0</v>
      </c>
      <c r="L82" s="281"/>
      <c r="M82" s="230" t="str">
        <f>B82</f>
        <v>Plastering Thin Coat Angle/Corner Bead - 2.4m length</v>
      </c>
      <c r="N82" s="229">
        <v>0</v>
      </c>
      <c r="O82" s="222">
        <f>F82*N82</f>
        <v>0</v>
      </c>
      <c r="P82" s="218">
        <f t="shared" si="82"/>
        <v>30.63</v>
      </c>
      <c r="Q82" s="218">
        <f t="shared" si="83"/>
        <v>30.630000000000003</v>
      </c>
      <c r="R82" s="223">
        <v>1</v>
      </c>
      <c r="S82" s="224">
        <f>(O82*Q82*(1+R82))</f>
        <v>0</v>
      </c>
      <c r="T82" s="225">
        <f>K82+S82</f>
        <v>0</v>
      </c>
      <c r="U82" s="264">
        <f t="shared" si="86"/>
        <v>0</v>
      </c>
      <c r="V82" s="227">
        <f t="shared" si="87"/>
        <v>0</v>
      </c>
      <c r="X82" s="24"/>
      <c r="Y82" s="24"/>
      <c r="Z82" s="190"/>
      <c r="AA82" s="190"/>
      <c r="AB82" s="190"/>
      <c r="AC82" s="24"/>
      <c r="AD82" s="24"/>
      <c r="AE82" s="190"/>
      <c r="AF82" s="190"/>
      <c r="AT82" s="12">
        <f t="shared" si="88"/>
        <v>0</v>
      </c>
      <c r="AU82" s="12">
        <f t="shared" si="89"/>
        <v>1</v>
      </c>
    </row>
    <row r="83" spans="1:47" ht="15" customHeight="1" thickBot="1" x14ac:dyDescent="0.25">
      <c r="A83" s="195" t="str">
        <f t="shared" ref="A83" si="96">IF(AU83=1,"X","")</f>
        <v>X</v>
      </c>
      <c r="B83" s="482" t="s">
        <v>618</v>
      </c>
      <c r="C83" s="483"/>
      <c r="D83" s="483"/>
      <c r="E83" s="483"/>
      <c r="F83" s="19"/>
      <c r="G83" s="217" t="s">
        <v>119</v>
      </c>
      <c r="H83" s="267">
        <f>2.5*1.1</f>
        <v>2.75</v>
      </c>
      <c r="I83" s="218">
        <f t="shared" si="80"/>
        <v>2.75</v>
      </c>
      <c r="J83" s="219">
        <v>0.3</v>
      </c>
      <c r="K83" s="297">
        <f t="shared" ref="K83" si="97">F83*I83*(1+J83)</f>
        <v>0</v>
      </c>
      <c r="L83" s="281"/>
      <c r="M83" s="230" t="str">
        <f t="shared" ref="M83" si="98">B83</f>
        <v>Plastering Thin Coat Angle/Corner Bead - 3m length</v>
      </c>
      <c r="N83" s="229">
        <v>0</v>
      </c>
      <c r="O83" s="222">
        <f>F83*N83</f>
        <v>0</v>
      </c>
      <c r="P83" s="218">
        <f t="shared" si="82"/>
        <v>30.63</v>
      </c>
      <c r="Q83" s="218">
        <f t="shared" si="83"/>
        <v>30.630000000000003</v>
      </c>
      <c r="R83" s="223">
        <v>1</v>
      </c>
      <c r="S83" s="224">
        <f t="shared" ref="S83" si="99">(O83*Q83*(1+R83))</f>
        <v>0</v>
      </c>
      <c r="T83" s="225">
        <f t="shared" ref="T83" si="100">K83+S83</f>
        <v>0</v>
      </c>
      <c r="U83" s="264">
        <f t="shared" si="86"/>
        <v>0</v>
      </c>
      <c r="V83" s="227">
        <f t="shared" si="87"/>
        <v>0</v>
      </c>
      <c r="X83" s="24"/>
      <c r="Y83" s="24"/>
      <c r="Z83" s="190"/>
      <c r="AA83" s="190"/>
      <c r="AB83" s="190"/>
      <c r="AC83" s="24"/>
      <c r="AD83" s="24"/>
      <c r="AE83" s="190"/>
      <c r="AF83" s="190"/>
      <c r="AT83" s="12">
        <f t="shared" si="88"/>
        <v>0</v>
      </c>
      <c r="AU83" s="12">
        <f t="shared" si="89"/>
        <v>1</v>
      </c>
    </row>
    <row r="84" spans="1:47" ht="15" customHeight="1" thickBot="1" x14ac:dyDescent="0.25">
      <c r="A84" s="195" t="str">
        <f t="shared" si="67"/>
        <v>X</v>
      </c>
      <c r="B84" s="482" t="s">
        <v>146</v>
      </c>
      <c r="C84" s="483"/>
      <c r="D84" s="483"/>
      <c r="E84" s="483"/>
      <c r="F84" s="21"/>
      <c r="G84" s="217" t="s">
        <v>3</v>
      </c>
      <c r="H84" s="267">
        <v>0</v>
      </c>
      <c r="I84" s="218">
        <f t="shared" si="80"/>
        <v>0</v>
      </c>
      <c r="J84" s="219">
        <v>0</v>
      </c>
      <c r="K84" s="298">
        <f t="shared" si="81"/>
        <v>0</v>
      </c>
      <c r="L84" s="248"/>
      <c r="M84" s="230" t="str">
        <f t="shared" si="79"/>
        <v>Difficulty hours (fireplace, corners etc)</v>
      </c>
      <c r="N84" s="222">
        <v>1</v>
      </c>
      <c r="O84" s="222">
        <f>F84*N84</f>
        <v>0</v>
      </c>
      <c r="P84" s="218">
        <f t="shared" si="82"/>
        <v>30.63</v>
      </c>
      <c r="Q84" s="218">
        <f t="shared" si="83"/>
        <v>30.630000000000003</v>
      </c>
      <c r="R84" s="223">
        <v>1</v>
      </c>
      <c r="S84" s="224">
        <f t="shared" si="84"/>
        <v>0</v>
      </c>
      <c r="T84" s="225">
        <f t="shared" si="85"/>
        <v>0</v>
      </c>
      <c r="U84" s="264">
        <f t="shared" si="86"/>
        <v>0</v>
      </c>
      <c r="V84" s="227">
        <f t="shared" si="87"/>
        <v>0</v>
      </c>
      <c r="W84" s="245"/>
      <c r="X84" s="24"/>
      <c r="Y84" s="24"/>
      <c r="Z84" s="190"/>
      <c r="AA84" s="190"/>
      <c r="AB84" s="190"/>
      <c r="AC84" s="24"/>
      <c r="AD84" s="24"/>
      <c r="AE84" s="190"/>
      <c r="AF84" s="190"/>
      <c r="AT84" s="12">
        <f t="shared" si="88"/>
        <v>0</v>
      </c>
      <c r="AU84" s="12">
        <f t="shared" si="89"/>
        <v>1</v>
      </c>
    </row>
    <row r="85" spans="1:47" ht="16" thickBot="1" x14ac:dyDescent="0.25">
      <c r="A85" s="195" t="str">
        <f t="shared" si="67"/>
        <v/>
      </c>
      <c r="B85" s="484" t="s">
        <v>473</v>
      </c>
      <c r="C85" s="485"/>
      <c r="D85" s="485"/>
      <c r="E85" s="485"/>
      <c r="F85" s="123">
        <v>0</v>
      </c>
      <c r="G85" s="234"/>
      <c r="H85" s="235"/>
      <c r="I85" s="235"/>
      <c r="J85" s="236" t="s">
        <v>152</v>
      </c>
      <c r="K85" s="299">
        <f>SUM(K77:K84)</f>
        <v>0</v>
      </c>
      <c r="L85" s="252"/>
      <c r="M85" s="486" t="s">
        <v>152</v>
      </c>
      <c r="N85" s="487"/>
      <c r="O85" s="238">
        <f>SUM(O77:O84)</f>
        <v>0</v>
      </c>
      <c r="P85" s="239"/>
      <c r="Q85" s="239"/>
      <c r="R85" s="240"/>
      <c r="S85" s="241">
        <f>SUM(S77:S84)</f>
        <v>0</v>
      </c>
      <c r="T85" s="242">
        <f>SUM(T77:T84)</f>
        <v>0</v>
      </c>
      <c r="U85" s="290">
        <f>SUM(U77:U84)</f>
        <v>0</v>
      </c>
      <c r="V85" s="244">
        <f>SUM(V77:V84)</f>
        <v>0</v>
      </c>
      <c r="W85" s="245"/>
      <c r="X85" s="24"/>
      <c r="Y85" s="24"/>
      <c r="Z85" s="190"/>
      <c r="AA85" s="190"/>
      <c r="AB85" s="190"/>
      <c r="AC85" s="24"/>
      <c r="AD85" s="24"/>
      <c r="AE85" s="190"/>
      <c r="AF85" s="190"/>
      <c r="AT85" s="13"/>
      <c r="AU85" s="13"/>
    </row>
    <row r="86" spans="1:47" s="184" customFormat="1" ht="5" customHeight="1" thickBot="1" x14ac:dyDescent="0.25">
      <c r="A86" s="195"/>
      <c r="B86" s="199"/>
      <c r="C86" s="199"/>
      <c r="D86" s="199"/>
      <c r="E86" s="199"/>
      <c r="F86" s="200"/>
      <c r="G86" s="201"/>
      <c r="H86" s="202"/>
      <c r="I86" s="202"/>
      <c r="J86" s="203"/>
      <c r="K86" s="204"/>
      <c r="L86" s="205"/>
      <c r="M86" s="203"/>
      <c r="N86" s="203"/>
      <c r="O86" s="206"/>
      <c r="P86" s="206"/>
      <c r="Q86" s="206"/>
      <c r="R86" s="207"/>
      <c r="S86" s="208"/>
      <c r="T86" s="209"/>
      <c r="U86" s="204"/>
      <c r="V86" s="210"/>
      <c r="W86" s="211"/>
      <c r="X86" s="124"/>
      <c r="Y86" s="124"/>
      <c r="Z86" s="124"/>
      <c r="AA86" s="124"/>
      <c r="AB86" s="212"/>
      <c r="AC86" s="124"/>
      <c r="AD86" s="124"/>
      <c r="AE86" s="124"/>
      <c r="AF86" s="124"/>
      <c r="AG86" s="41"/>
      <c r="AH86" s="41"/>
      <c r="AS86" s="213"/>
      <c r="AT86" s="13"/>
      <c r="AU86" s="13"/>
    </row>
    <row r="87" spans="1:47" ht="25" customHeight="1" x14ac:dyDescent="0.2">
      <c r="A87" s="195" t="str">
        <f t="shared" si="67"/>
        <v/>
      </c>
      <c r="B87" s="517" t="s">
        <v>63</v>
      </c>
      <c r="C87" s="518"/>
      <c r="D87" s="518"/>
      <c r="E87" s="518"/>
      <c r="F87" s="508" t="s">
        <v>628</v>
      </c>
      <c r="G87" s="508"/>
      <c r="H87" s="508"/>
      <c r="I87" s="508"/>
      <c r="J87" s="508"/>
      <c r="K87" s="301"/>
      <c r="L87" s="292"/>
      <c r="M87" s="477" t="str">
        <f>B87</f>
        <v>Floor Joists LM @ 400mm centres</v>
      </c>
      <c r="N87" s="478"/>
      <c r="O87" s="478"/>
      <c r="P87" s="478"/>
      <c r="Q87" s="478"/>
      <c r="R87" s="478"/>
      <c r="S87" s="478"/>
      <c r="T87" s="479"/>
      <c r="U87" s="480" t="str">
        <f>B87</f>
        <v>Floor Joists LM @ 400mm centres</v>
      </c>
      <c r="V87" s="481"/>
      <c r="X87" s="24"/>
      <c r="Y87" s="24"/>
      <c r="Z87" s="190"/>
      <c r="AA87" s="190"/>
      <c r="AB87" s="190"/>
      <c r="AC87" s="24"/>
      <c r="AD87" s="24"/>
      <c r="AE87" s="190"/>
      <c r="AF87" s="190"/>
      <c r="AT87" s="13"/>
      <c r="AU87" s="13"/>
    </row>
    <row r="88" spans="1:47" s="188" customFormat="1" ht="15.5" customHeight="1" thickBot="1" x14ac:dyDescent="0.2">
      <c r="A88" s="195" t="str">
        <f t="shared" si="67"/>
        <v/>
      </c>
      <c r="B88" s="619" t="s">
        <v>64</v>
      </c>
      <c r="C88" s="620"/>
      <c r="D88" s="302" t="s">
        <v>70</v>
      </c>
      <c r="E88" s="303" t="s">
        <v>58</v>
      </c>
      <c r="F88" s="509"/>
      <c r="G88" s="510"/>
      <c r="H88" s="510"/>
      <c r="I88" s="510"/>
      <c r="J88" s="510"/>
      <c r="K88" s="510"/>
      <c r="L88" s="304"/>
      <c r="M88" s="517"/>
      <c r="N88" s="518"/>
      <c r="O88" s="518"/>
      <c r="P88" s="518"/>
      <c r="Q88" s="518"/>
      <c r="R88" s="518"/>
      <c r="S88" s="300"/>
      <c r="T88" s="305"/>
      <c r="U88" s="306"/>
      <c r="V88" s="307"/>
      <c r="W88" s="308"/>
      <c r="X88" s="24"/>
      <c r="Y88" s="24"/>
      <c r="Z88" s="190"/>
      <c r="AA88" s="190"/>
      <c r="AB88" s="190"/>
      <c r="AC88" s="24"/>
      <c r="AD88" s="24"/>
      <c r="AE88" s="190"/>
      <c r="AF88" s="190"/>
      <c r="AS88" s="190"/>
      <c r="AT88" s="13"/>
      <c r="AU88" s="13"/>
    </row>
    <row r="89" spans="1:47" s="265" customFormat="1" ht="15" customHeight="1" thickBot="1" x14ac:dyDescent="0.2">
      <c r="A89" s="195" t="str">
        <f t="shared" si="67"/>
        <v>X</v>
      </c>
      <c r="B89" s="515" t="s">
        <v>52</v>
      </c>
      <c r="C89" s="516"/>
      <c r="D89" s="22"/>
      <c r="E89" s="22"/>
      <c r="F89" s="309">
        <f>D89*E89</f>
        <v>0</v>
      </c>
      <c r="G89" s="217" t="s">
        <v>121</v>
      </c>
      <c r="H89" s="262">
        <v>5.46</v>
      </c>
      <c r="I89" s="218">
        <f t="shared" ref="I89:I99" si="101">(H89/100)*(100+$F$109)</f>
        <v>5.46</v>
      </c>
      <c r="J89" s="219">
        <v>0.3</v>
      </c>
      <c r="K89" s="310">
        <f t="shared" ref="K89:K99" si="102">F89*I89*(1+J89)</f>
        <v>0</v>
      </c>
      <c r="L89" s="311"/>
      <c r="M89" s="230" t="str">
        <f t="shared" ref="M89:M108" si="103">B89</f>
        <v>Joists, 100 x 50</v>
      </c>
      <c r="N89" s="312">
        <v>0.25</v>
      </c>
      <c r="O89" s="222">
        <f t="shared" ref="O89:O99" si="104">F89*N89</f>
        <v>0</v>
      </c>
      <c r="P89" s="218">
        <f t="shared" ref="P89:P99" si="105">$D$155</f>
        <v>30.63</v>
      </c>
      <c r="Q89" s="218">
        <f t="shared" ref="Q89:Q99" si="106">(P89/100)*(100+$F$109)</f>
        <v>30.630000000000003</v>
      </c>
      <c r="R89" s="223">
        <v>1</v>
      </c>
      <c r="S89" s="224">
        <f t="shared" ref="S89:S99" si="107">(O89*Q89*(1+R89))</f>
        <v>0</v>
      </c>
      <c r="T89" s="225">
        <f t="shared" ref="T89:T99" si="108">K89+S89</f>
        <v>0</v>
      </c>
      <c r="U89" s="313">
        <f t="shared" ref="U89:U99" si="109">F89*H89*1.1</f>
        <v>0</v>
      </c>
      <c r="V89" s="314">
        <f t="shared" ref="V89:V99" si="110">O89*$E$155</f>
        <v>0</v>
      </c>
      <c r="W89" s="315"/>
      <c r="X89" s="24"/>
      <c r="Y89" s="24"/>
      <c r="Z89" s="190"/>
      <c r="AA89" s="190"/>
      <c r="AB89" s="190"/>
      <c r="AC89" s="24"/>
      <c r="AD89" s="24"/>
      <c r="AE89" s="190"/>
      <c r="AF89" s="190"/>
      <c r="AS89" s="190"/>
      <c r="AT89" s="12">
        <f t="shared" ref="AT89:AT94" si="111">IF(OR(D89&lt;&gt;"",E89&lt;&gt;""),1,0)</f>
        <v>0</v>
      </c>
      <c r="AU89" s="12">
        <f t="shared" ref="AU89:AU95" si="112">IF(AND(SUM(AT:AT)&gt;0,OR(D89="",E89="")),1,0)</f>
        <v>1</v>
      </c>
    </row>
    <row r="90" spans="1:47" s="265" customFormat="1" ht="15" customHeight="1" thickBot="1" x14ac:dyDescent="0.2">
      <c r="A90" s="195" t="str">
        <f t="shared" si="67"/>
        <v>X</v>
      </c>
      <c r="B90" s="515" t="s">
        <v>53</v>
      </c>
      <c r="C90" s="516"/>
      <c r="D90" s="19"/>
      <c r="E90" s="19"/>
      <c r="F90" s="309">
        <f t="shared" ref="F90:F98" si="113">D90*E90</f>
        <v>0</v>
      </c>
      <c r="G90" s="217" t="s">
        <v>121</v>
      </c>
      <c r="H90" s="262">
        <v>6.5</v>
      </c>
      <c r="I90" s="218">
        <f t="shared" si="101"/>
        <v>6.5</v>
      </c>
      <c r="J90" s="278">
        <v>0.3</v>
      </c>
      <c r="K90" s="310">
        <f t="shared" si="102"/>
        <v>0</v>
      </c>
      <c r="L90" s="311"/>
      <c r="M90" s="230" t="str">
        <f t="shared" si="103"/>
        <v>Joists, 125 x 50</v>
      </c>
      <c r="N90" s="312">
        <v>0.25</v>
      </c>
      <c r="O90" s="222">
        <f t="shared" si="104"/>
        <v>0</v>
      </c>
      <c r="P90" s="218">
        <f t="shared" si="105"/>
        <v>30.63</v>
      </c>
      <c r="Q90" s="218">
        <f t="shared" si="106"/>
        <v>30.630000000000003</v>
      </c>
      <c r="R90" s="223">
        <v>1</v>
      </c>
      <c r="S90" s="224">
        <f t="shared" si="107"/>
        <v>0</v>
      </c>
      <c r="T90" s="225">
        <f t="shared" si="108"/>
        <v>0</v>
      </c>
      <c r="U90" s="313">
        <f t="shared" si="109"/>
        <v>0</v>
      </c>
      <c r="V90" s="314">
        <f t="shared" si="110"/>
        <v>0</v>
      </c>
      <c r="W90" s="315"/>
      <c r="X90" s="24"/>
      <c r="Y90" s="24"/>
      <c r="Z90" s="190"/>
      <c r="AA90" s="190"/>
      <c r="AB90" s="190"/>
      <c r="AC90" s="24"/>
      <c r="AD90" s="24"/>
      <c r="AE90" s="190"/>
      <c r="AF90" s="190"/>
      <c r="AS90" s="190"/>
      <c r="AT90" s="12">
        <f t="shared" si="111"/>
        <v>0</v>
      </c>
      <c r="AU90" s="12">
        <f t="shared" si="112"/>
        <v>1</v>
      </c>
    </row>
    <row r="91" spans="1:47" s="265" customFormat="1" ht="15" customHeight="1" thickBot="1" x14ac:dyDescent="0.2">
      <c r="A91" s="195" t="str">
        <f t="shared" si="67"/>
        <v>X</v>
      </c>
      <c r="B91" s="515" t="s">
        <v>54</v>
      </c>
      <c r="C91" s="516"/>
      <c r="D91" s="21"/>
      <c r="E91" s="21"/>
      <c r="F91" s="309">
        <f t="shared" si="113"/>
        <v>0</v>
      </c>
      <c r="G91" s="217" t="s">
        <v>121</v>
      </c>
      <c r="H91" s="262">
        <v>7.7</v>
      </c>
      <c r="I91" s="218">
        <f t="shared" si="101"/>
        <v>7.7</v>
      </c>
      <c r="J91" s="219">
        <v>0.3</v>
      </c>
      <c r="K91" s="310">
        <f t="shared" si="102"/>
        <v>0</v>
      </c>
      <c r="L91" s="311"/>
      <c r="M91" s="230" t="str">
        <f t="shared" si="103"/>
        <v>Joists, 150 x 50</v>
      </c>
      <c r="N91" s="312">
        <v>0.25</v>
      </c>
      <c r="O91" s="222">
        <f t="shared" si="104"/>
        <v>0</v>
      </c>
      <c r="P91" s="218">
        <f t="shared" si="105"/>
        <v>30.63</v>
      </c>
      <c r="Q91" s="218">
        <f t="shared" si="106"/>
        <v>30.630000000000003</v>
      </c>
      <c r="R91" s="223">
        <v>1</v>
      </c>
      <c r="S91" s="224">
        <f t="shared" si="107"/>
        <v>0</v>
      </c>
      <c r="T91" s="225">
        <f t="shared" si="108"/>
        <v>0</v>
      </c>
      <c r="U91" s="313">
        <f t="shared" si="109"/>
        <v>0</v>
      </c>
      <c r="V91" s="314">
        <f t="shared" si="110"/>
        <v>0</v>
      </c>
      <c r="W91" s="315"/>
      <c r="X91" s="24"/>
      <c r="Y91" s="24"/>
      <c r="Z91" s="190"/>
      <c r="AA91" s="190"/>
      <c r="AB91" s="190"/>
      <c r="AC91" s="24"/>
      <c r="AD91" s="24"/>
      <c r="AE91" s="190"/>
      <c r="AF91" s="190"/>
      <c r="AS91" s="190"/>
      <c r="AT91" s="12">
        <f t="shared" si="111"/>
        <v>0</v>
      </c>
      <c r="AU91" s="12">
        <f t="shared" si="112"/>
        <v>1</v>
      </c>
    </row>
    <row r="92" spans="1:47" s="265" customFormat="1" ht="15" customHeight="1" thickBot="1" x14ac:dyDescent="0.2">
      <c r="A92" s="195" t="str">
        <f t="shared" si="67"/>
        <v>X</v>
      </c>
      <c r="B92" s="515" t="s">
        <v>55</v>
      </c>
      <c r="C92" s="516"/>
      <c r="D92" s="22"/>
      <c r="E92" s="22"/>
      <c r="F92" s="309">
        <f t="shared" si="113"/>
        <v>0</v>
      </c>
      <c r="G92" s="217" t="s">
        <v>121</v>
      </c>
      <c r="H92" s="262">
        <v>8</v>
      </c>
      <c r="I92" s="218">
        <f t="shared" si="101"/>
        <v>8</v>
      </c>
      <c r="J92" s="219">
        <v>0.3</v>
      </c>
      <c r="K92" s="310">
        <f t="shared" si="102"/>
        <v>0</v>
      </c>
      <c r="L92" s="311"/>
      <c r="M92" s="230" t="str">
        <f t="shared" si="103"/>
        <v>Joists, 175 x 50</v>
      </c>
      <c r="N92" s="312">
        <v>0.3</v>
      </c>
      <c r="O92" s="222">
        <f t="shared" si="104"/>
        <v>0</v>
      </c>
      <c r="P92" s="218">
        <f t="shared" si="105"/>
        <v>30.63</v>
      </c>
      <c r="Q92" s="218">
        <f t="shared" si="106"/>
        <v>30.630000000000003</v>
      </c>
      <c r="R92" s="223">
        <v>1</v>
      </c>
      <c r="S92" s="224">
        <f t="shared" si="107"/>
        <v>0</v>
      </c>
      <c r="T92" s="225">
        <f t="shared" si="108"/>
        <v>0</v>
      </c>
      <c r="U92" s="313">
        <f t="shared" si="109"/>
        <v>0</v>
      </c>
      <c r="V92" s="314">
        <f t="shared" si="110"/>
        <v>0</v>
      </c>
      <c r="W92" s="315"/>
      <c r="X92" s="24"/>
      <c r="Y92" s="24"/>
      <c r="Z92" s="190"/>
      <c r="AA92" s="190"/>
      <c r="AB92" s="190"/>
      <c r="AC92" s="24"/>
      <c r="AD92" s="24"/>
      <c r="AE92" s="190"/>
      <c r="AF92" s="190"/>
      <c r="AS92" s="190"/>
      <c r="AT92" s="12">
        <f t="shared" si="111"/>
        <v>0</v>
      </c>
      <c r="AU92" s="12">
        <f t="shared" si="112"/>
        <v>1</v>
      </c>
    </row>
    <row r="93" spans="1:47" s="265" customFormat="1" ht="15" customHeight="1" thickBot="1" x14ac:dyDescent="0.2">
      <c r="A93" s="195" t="str">
        <f t="shared" si="67"/>
        <v>X</v>
      </c>
      <c r="B93" s="515" t="s">
        <v>56</v>
      </c>
      <c r="C93" s="516"/>
      <c r="D93" s="19"/>
      <c r="E93" s="19"/>
      <c r="F93" s="309">
        <f t="shared" si="113"/>
        <v>0</v>
      </c>
      <c r="G93" s="217" t="s">
        <v>121</v>
      </c>
      <c r="H93" s="262">
        <v>8.9</v>
      </c>
      <c r="I93" s="218">
        <f t="shared" si="101"/>
        <v>8.9</v>
      </c>
      <c r="J93" s="278">
        <v>0.3</v>
      </c>
      <c r="K93" s="310">
        <f t="shared" si="102"/>
        <v>0</v>
      </c>
      <c r="L93" s="311"/>
      <c r="M93" s="230" t="str">
        <f t="shared" si="103"/>
        <v>Joists, 200 x 50</v>
      </c>
      <c r="N93" s="312">
        <v>0.3</v>
      </c>
      <c r="O93" s="222">
        <f t="shared" si="104"/>
        <v>0</v>
      </c>
      <c r="P93" s="218">
        <f t="shared" si="105"/>
        <v>30.63</v>
      </c>
      <c r="Q93" s="218">
        <f t="shared" si="106"/>
        <v>30.630000000000003</v>
      </c>
      <c r="R93" s="223">
        <v>1</v>
      </c>
      <c r="S93" s="224">
        <f t="shared" si="107"/>
        <v>0</v>
      </c>
      <c r="T93" s="225">
        <f t="shared" si="108"/>
        <v>0</v>
      </c>
      <c r="U93" s="313">
        <f t="shared" si="109"/>
        <v>0</v>
      </c>
      <c r="V93" s="314">
        <f t="shared" si="110"/>
        <v>0</v>
      </c>
      <c r="W93" s="315"/>
      <c r="X93" s="24"/>
      <c r="Y93" s="24"/>
      <c r="Z93" s="190"/>
      <c r="AA93" s="190"/>
      <c r="AB93" s="190"/>
      <c r="AC93" s="24"/>
      <c r="AD93" s="24"/>
      <c r="AE93" s="190"/>
      <c r="AF93" s="190"/>
      <c r="AS93" s="190"/>
      <c r="AT93" s="12">
        <f t="shared" si="111"/>
        <v>0</v>
      </c>
      <c r="AU93" s="12">
        <f t="shared" si="112"/>
        <v>1</v>
      </c>
    </row>
    <row r="94" spans="1:47" s="265" customFormat="1" ht="15" customHeight="1" thickBot="1" x14ac:dyDescent="0.2">
      <c r="A94" s="195" t="str">
        <f t="shared" ref="A94:A129" si="114">IF(AU94=1,"X","")</f>
        <v>X</v>
      </c>
      <c r="B94" s="515" t="s">
        <v>57</v>
      </c>
      <c r="C94" s="516"/>
      <c r="D94" s="21"/>
      <c r="E94" s="21"/>
      <c r="F94" s="309">
        <f t="shared" si="113"/>
        <v>0</v>
      </c>
      <c r="G94" s="217" t="s">
        <v>121</v>
      </c>
      <c r="H94" s="262">
        <v>9.5</v>
      </c>
      <c r="I94" s="218">
        <f t="shared" si="101"/>
        <v>9.5</v>
      </c>
      <c r="J94" s="219">
        <v>0.3</v>
      </c>
      <c r="K94" s="310">
        <f t="shared" si="102"/>
        <v>0</v>
      </c>
      <c r="L94" s="311"/>
      <c r="M94" s="230" t="str">
        <f t="shared" si="103"/>
        <v>Joists, 225 x 50</v>
      </c>
      <c r="N94" s="312">
        <v>0.4</v>
      </c>
      <c r="O94" s="222">
        <f t="shared" si="104"/>
        <v>0</v>
      </c>
      <c r="P94" s="218">
        <f t="shared" si="105"/>
        <v>30.63</v>
      </c>
      <c r="Q94" s="218">
        <f t="shared" si="106"/>
        <v>30.630000000000003</v>
      </c>
      <c r="R94" s="223">
        <v>1</v>
      </c>
      <c r="S94" s="224">
        <f t="shared" si="107"/>
        <v>0</v>
      </c>
      <c r="T94" s="225">
        <f t="shared" si="108"/>
        <v>0</v>
      </c>
      <c r="U94" s="313">
        <f t="shared" si="109"/>
        <v>0</v>
      </c>
      <c r="V94" s="314">
        <f t="shared" si="110"/>
        <v>0</v>
      </c>
      <c r="W94" s="315"/>
      <c r="X94" s="24"/>
      <c r="Y94" s="24"/>
      <c r="Z94" s="190"/>
      <c r="AA94" s="190"/>
      <c r="AB94" s="190"/>
      <c r="AC94" s="24"/>
      <c r="AD94" s="24"/>
      <c r="AE94" s="190"/>
      <c r="AF94" s="190"/>
      <c r="AS94" s="190"/>
      <c r="AT94" s="12">
        <f t="shared" si="111"/>
        <v>0</v>
      </c>
      <c r="AU94" s="12">
        <f t="shared" si="112"/>
        <v>1</v>
      </c>
    </row>
    <row r="95" spans="1:47" s="188" customFormat="1" ht="14.5" customHeight="1" thickBot="1" x14ac:dyDescent="0.2">
      <c r="A95" s="195" t="str">
        <f t="shared" si="114"/>
        <v>X</v>
      </c>
      <c r="B95" s="511" t="s">
        <v>76</v>
      </c>
      <c r="C95" s="512"/>
      <c r="D95" s="22"/>
      <c r="E95" s="229">
        <v>1</v>
      </c>
      <c r="F95" s="309">
        <f t="shared" si="113"/>
        <v>0</v>
      </c>
      <c r="G95" s="217" t="s">
        <v>119</v>
      </c>
      <c r="H95" s="247">
        <v>3</v>
      </c>
      <c r="I95" s="218">
        <f t="shared" si="101"/>
        <v>3</v>
      </c>
      <c r="J95" s="219">
        <v>0.3</v>
      </c>
      <c r="K95" s="310">
        <f t="shared" si="102"/>
        <v>0</v>
      </c>
      <c r="L95" s="316"/>
      <c r="M95" s="230" t="str">
        <f t="shared" si="103"/>
        <v>Treat and endwrap joist</v>
      </c>
      <c r="N95" s="229">
        <v>0.15</v>
      </c>
      <c r="O95" s="222">
        <f t="shared" si="104"/>
        <v>0</v>
      </c>
      <c r="P95" s="218">
        <f t="shared" si="105"/>
        <v>30.63</v>
      </c>
      <c r="Q95" s="218">
        <f t="shared" si="106"/>
        <v>30.630000000000003</v>
      </c>
      <c r="R95" s="223">
        <v>1</v>
      </c>
      <c r="S95" s="224">
        <f t="shared" si="107"/>
        <v>0</v>
      </c>
      <c r="T95" s="225">
        <f t="shared" si="108"/>
        <v>0</v>
      </c>
      <c r="U95" s="313">
        <f t="shared" si="109"/>
        <v>0</v>
      </c>
      <c r="V95" s="314">
        <f t="shared" si="110"/>
        <v>0</v>
      </c>
      <c r="X95" s="24"/>
      <c r="Y95" s="24"/>
      <c r="Z95" s="190"/>
      <c r="AA95" s="190"/>
      <c r="AB95" s="190"/>
      <c r="AC95" s="24"/>
      <c r="AD95" s="24"/>
      <c r="AE95" s="190"/>
      <c r="AF95" s="190"/>
      <c r="AS95" s="190"/>
      <c r="AT95" s="12">
        <f>IF(D95&lt;&gt;"",1,0)</f>
        <v>0</v>
      </c>
      <c r="AU95" s="12">
        <f t="shared" si="112"/>
        <v>1</v>
      </c>
    </row>
    <row r="96" spans="1:47" s="188" customFormat="1" ht="14.5" customHeight="1" thickBot="1" x14ac:dyDescent="0.2">
      <c r="A96" s="195" t="str">
        <f t="shared" si="114"/>
        <v>X</v>
      </c>
      <c r="B96" s="511" t="s">
        <v>59</v>
      </c>
      <c r="C96" s="512"/>
      <c r="D96" s="19"/>
      <c r="E96" s="229">
        <v>1</v>
      </c>
      <c r="F96" s="309">
        <f t="shared" ref="F96" si="115">D96*E96</f>
        <v>0</v>
      </c>
      <c r="G96" s="217" t="s">
        <v>119</v>
      </c>
      <c r="H96" s="247">
        <v>4.84</v>
      </c>
      <c r="I96" s="218">
        <f t="shared" si="101"/>
        <v>4.84</v>
      </c>
      <c r="J96" s="219">
        <v>0.3</v>
      </c>
      <c r="K96" s="310">
        <f t="shared" si="102"/>
        <v>0</v>
      </c>
      <c r="L96" s="316"/>
      <c r="M96" s="230" t="str">
        <f t="shared" si="103"/>
        <v>Wall plate 100x25</v>
      </c>
      <c r="N96" s="229">
        <v>0.4</v>
      </c>
      <c r="O96" s="222">
        <f t="shared" si="104"/>
        <v>0</v>
      </c>
      <c r="P96" s="218">
        <f t="shared" si="105"/>
        <v>30.63</v>
      </c>
      <c r="Q96" s="218">
        <f t="shared" si="106"/>
        <v>30.630000000000003</v>
      </c>
      <c r="R96" s="223">
        <v>1</v>
      </c>
      <c r="S96" s="224">
        <f t="shared" si="107"/>
        <v>0</v>
      </c>
      <c r="T96" s="225">
        <f t="shared" si="108"/>
        <v>0</v>
      </c>
      <c r="U96" s="313">
        <f t="shared" si="109"/>
        <v>0</v>
      </c>
      <c r="V96" s="314">
        <f t="shared" si="110"/>
        <v>0</v>
      </c>
      <c r="X96" s="24"/>
      <c r="Y96" s="24"/>
      <c r="Z96" s="190"/>
      <c r="AA96" s="190"/>
      <c r="AB96" s="190"/>
      <c r="AC96" s="24"/>
      <c r="AD96" s="24"/>
      <c r="AE96" s="190"/>
      <c r="AF96" s="190"/>
      <c r="AS96" s="190"/>
      <c r="AT96" s="12">
        <f>IF(D96&lt;&gt;"",1,0)</f>
        <v>0</v>
      </c>
      <c r="AU96" s="12">
        <f>IF(AND(SUM(AT:AT)&gt;0,D96=""),1,0)</f>
        <v>1</v>
      </c>
    </row>
    <row r="97" spans="1:47" s="188" customFormat="1" ht="14.5" customHeight="1" thickBot="1" x14ac:dyDescent="0.2">
      <c r="A97" s="195" t="str">
        <f t="shared" si="114"/>
        <v>X</v>
      </c>
      <c r="B97" s="511" t="s">
        <v>74</v>
      </c>
      <c r="C97" s="512"/>
      <c r="D97" s="21"/>
      <c r="E97" s="229">
        <v>1</v>
      </c>
      <c r="F97" s="309">
        <f t="shared" si="113"/>
        <v>0</v>
      </c>
      <c r="G97" s="217" t="s">
        <v>130</v>
      </c>
      <c r="H97" s="247">
        <v>36</v>
      </c>
      <c r="I97" s="218">
        <f t="shared" si="101"/>
        <v>36</v>
      </c>
      <c r="J97" s="219">
        <v>0.3</v>
      </c>
      <c r="K97" s="310">
        <f t="shared" si="102"/>
        <v>0</v>
      </c>
      <c r="L97" s="316"/>
      <c r="M97" s="230" t="str">
        <f t="shared" si="103"/>
        <v>Bower beams (pair)</v>
      </c>
      <c r="N97" s="229">
        <v>1.5</v>
      </c>
      <c r="O97" s="222">
        <f t="shared" si="104"/>
        <v>0</v>
      </c>
      <c r="P97" s="218">
        <f t="shared" si="105"/>
        <v>30.63</v>
      </c>
      <c r="Q97" s="218">
        <f t="shared" si="106"/>
        <v>30.630000000000003</v>
      </c>
      <c r="R97" s="223">
        <v>1</v>
      </c>
      <c r="S97" s="224">
        <f t="shared" si="107"/>
        <v>0</v>
      </c>
      <c r="T97" s="225">
        <f t="shared" si="108"/>
        <v>0</v>
      </c>
      <c r="U97" s="313">
        <f t="shared" si="109"/>
        <v>0</v>
      </c>
      <c r="V97" s="314">
        <f t="shared" si="110"/>
        <v>0</v>
      </c>
      <c r="X97" s="24"/>
      <c r="Y97" s="24"/>
      <c r="Z97" s="190"/>
      <c r="AA97" s="190"/>
      <c r="AB97" s="190"/>
      <c r="AC97" s="24"/>
      <c r="AD97" s="24"/>
      <c r="AE97" s="190"/>
      <c r="AF97" s="190"/>
      <c r="AS97" s="190"/>
      <c r="AT97" s="12">
        <f>IF(D97&lt;&gt;"",1,0)</f>
        <v>0</v>
      </c>
      <c r="AU97" s="12">
        <f>IF(AND(SUM(AT:AT)&gt;0,D97=""),1,0)</f>
        <v>1</v>
      </c>
    </row>
    <row r="98" spans="1:47" s="188" customFormat="1" ht="14.5" customHeight="1" thickBot="1" x14ac:dyDescent="0.2">
      <c r="A98" s="195" t="str">
        <f t="shared" si="114"/>
        <v>X</v>
      </c>
      <c r="B98" s="511" t="s">
        <v>75</v>
      </c>
      <c r="C98" s="512"/>
      <c r="D98" s="21"/>
      <c r="E98" s="229">
        <v>1</v>
      </c>
      <c r="F98" s="317">
        <f t="shared" si="113"/>
        <v>0</v>
      </c>
      <c r="G98" s="217" t="s">
        <v>130</v>
      </c>
      <c r="H98" s="247">
        <v>42</v>
      </c>
      <c r="I98" s="218">
        <f t="shared" si="101"/>
        <v>42</v>
      </c>
      <c r="J98" s="219">
        <v>0.3</v>
      </c>
      <c r="K98" s="310">
        <f t="shared" si="102"/>
        <v>0</v>
      </c>
      <c r="L98" s="316"/>
      <c r="M98" s="230" t="str">
        <f t="shared" si="103"/>
        <v>Flitch plates (pair)</v>
      </c>
      <c r="N98" s="229">
        <v>1.5</v>
      </c>
      <c r="O98" s="222">
        <f t="shared" si="104"/>
        <v>0</v>
      </c>
      <c r="P98" s="218">
        <f t="shared" si="105"/>
        <v>30.63</v>
      </c>
      <c r="Q98" s="218">
        <f t="shared" si="106"/>
        <v>30.630000000000003</v>
      </c>
      <c r="R98" s="223">
        <v>1</v>
      </c>
      <c r="S98" s="224">
        <f t="shared" si="107"/>
        <v>0</v>
      </c>
      <c r="T98" s="225">
        <f t="shared" si="108"/>
        <v>0</v>
      </c>
      <c r="U98" s="313">
        <f t="shared" si="109"/>
        <v>0</v>
      </c>
      <c r="V98" s="314">
        <f t="shared" si="110"/>
        <v>0</v>
      </c>
      <c r="X98" s="24"/>
      <c r="Y98" s="24"/>
      <c r="Z98" s="190"/>
      <c r="AA98" s="190"/>
      <c r="AB98" s="190"/>
      <c r="AC98" s="24"/>
      <c r="AD98" s="24"/>
      <c r="AE98" s="190"/>
      <c r="AF98" s="190"/>
      <c r="AS98" s="190"/>
      <c r="AT98" s="12">
        <f>IF(D98&lt;&gt;"",1,0)</f>
        <v>0</v>
      </c>
      <c r="AU98" s="12">
        <f>IF(AND(SUM(AT:AT)&gt;0,D98=""),1,0)</f>
        <v>1</v>
      </c>
    </row>
    <row r="99" spans="1:47" ht="15" customHeight="1" thickBot="1" x14ac:dyDescent="0.25">
      <c r="A99" s="195" t="str">
        <f t="shared" si="114"/>
        <v>X</v>
      </c>
      <c r="B99" s="482" t="s">
        <v>410</v>
      </c>
      <c r="C99" s="483"/>
      <c r="D99" s="483"/>
      <c r="E99" s="483"/>
      <c r="F99" s="19"/>
      <c r="G99" s="217" t="s">
        <v>3</v>
      </c>
      <c r="H99" s="267">
        <v>0</v>
      </c>
      <c r="I99" s="218">
        <f t="shared" si="101"/>
        <v>0</v>
      </c>
      <c r="J99" s="219">
        <v>0</v>
      </c>
      <c r="K99" s="298">
        <f t="shared" si="102"/>
        <v>0</v>
      </c>
      <c r="L99" s="248"/>
      <c r="M99" s="230" t="str">
        <f t="shared" si="103"/>
        <v>Difficulty hours (additional hours if required)</v>
      </c>
      <c r="N99" s="222">
        <v>1</v>
      </c>
      <c r="O99" s="222">
        <f t="shared" si="104"/>
        <v>0</v>
      </c>
      <c r="P99" s="218">
        <f t="shared" si="105"/>
        <v>30.63</v>
      </c>
      <c r="Q99" s="218">
        <f t="shared" si="106"/>
        <v>30.630000000000003</v>
      </c>
      <c r="R99" s="223">
        <v>1</v>
      </c>
      <c r="S99" s="224">
        <f t="shared" si="107"/>
        <v>0</v>
      </c>
      <c r="T99" s="225">
        <f t="shared" si="108"/>
        <v>0</v>
      </c>
      <c r="U99" s="264">
        <f t="shared" si="109"/>
        <v>0</v>
      </c>
      <c r="V99" s="227">
        <f t="shared" si="110"/>
        <v>0</v>
      </c>
      <c r="X99" s="24"/>
      <c r="Y99" s="24"/>
      <c r="Z99" s="190"/>
      <c r="AA99" s="190"/>
      <c r="AB99" s="190"/>
      <c r="AC99" s="24"/>
      <c r="AD99" s="24"/>
      <c r="AE99" s="190"/>
      <c r="AF99" s="190"/>
      <c r="AT99" s="12">
        <f>IF(F99&lt;&gt;"",1,0)</f>
        <v>0</v>
      </c>
      <c r="AU99" s="12">
        <f>IF(AND(SUM(AT:AT)&gt;0,F99=""),1,0)</f>
        <v>1</v>
      </c>
    </row>
    <row r="100" spans="1:47" s="188" customFormat="1" ht="25" customHeight="1" thickBot="1" x14ac:dyDescent="0.2">
      <c r="A100" s="195" t="str">
        <f t="shared" si="114"/>
        <v/>
      </c>
      <c r="B100" s="621" t="s">
        <v>65</v>
      </c>
      <c r="C100" s="622"/>
      <c r="D100" s="622"/>
      <c r="E100" s="622"/>
      <c r="F100" s="622"/>
      <c r="G100" s="622"/>
      <c r="H100" s="622"/>
      <c r="I100" s="622"/>
      <c r="J100" s="622"/>
      <c r="K100" s="622"/>
      <c r="L100" s="316"/>
      <c r="M100" s="602" t="str">
        <f t="shared" si="103"/>
        <v>Flooring deck type (M2)</v>
      </c>
      <c r="N100" s="603"/>
      <c r="O100" s="603"/>
      <c r="P100" s="603"/>
      <c r="Q100" s="603"/>
      <c r="R100" s="603"/>
      <c r="S100" s="603"/>
      <c r="T100" s="604"/>
      <c r="U100" s="617" t="str">
        <f>B100</f>
        <v>Flooring deck type (M2)</v>
      </c>
      <c r="V100" s="618"/>
      <c r="X100" s="24"/>
      <c r="Y100" s="24"/>
      <c r="Z100" s="190"/>
      <c r="AA100" s="190"/>
      <c r="AB100" s="190"/>
      <c r="AC100" s="24"/>
      <c r="AD100" s="24"/>
      <c r="AE100" s="190"/>
      <c r="AF100" s="190"/>
      <c r="AS100" s="190"/>
      <c r="AT100" s="13"/>
      <c r="AU100" s="13"/>
    </row>
    <row r="101" spans="1:47" s="188" customFormat="1" ht="15" customHeight="1" thickBot="1" x14ac:dyDescent="0.2">
      <c r="A101" s="195" t="str">
        <f t="shared" si="114"/>
        <v/>
      </c>
      <c r="B101" s="524" t="s">
        <v>60</v>
      </c>
      <c r="C101" s="525"/>
      <c r="D101" s="525"/>
      <c r="E101" s="526"/>
      <c r="F101" s="22">
        <v>1</v>
      </c>
      <c r="G101" s="217" t="s">
        <v>116</v>
      </c>
      <c r="H101" s="247">
        <v>18</v>
      </c>
      <c r="I101" s="218">
        <f>(H101/100)*(100+$F$109)</f>
        <v>18</v>
      </c>
      <c r="J101" s="219">
        <v>0.3</v>
      </c>
      <c r="K101" s="297">
        <f>F101*I101*(1+J101)</f>
        <v>23.400000000000002</v>
      </c>
      <c r="L101" s="318"/>
      <c r="M101" s="230" t="str">
        <f t="shared" si="103"/>
        <v>Install Weyrock flooring 18mm (M2)</v>
      </c>
      <c r="N101" s="229">
        <v>0.4</v>
      </c>
      <c r="O101" s="222">
        <f t="shared" ref="O101:O108" si="116">F101*N101</f>
        <v>0.4</v>
      </c>
      <c r="P101" s="218">
        <f t="shared" ref="P101:P108" si="117">$D$155</f>
        <v>30.63</v>
      </c>
      <c r="Q101" s="218">
        <f>(P101/100)*(100+$F$109)</f>
        <v>30.630000000000003</v>
      </c>
      <c r="R101" s="223">
        <v>1</v>
      </c>
      <c r="S101" s="224">
        <f t="shared" ref="S101:S108" si="118">(O101*Q101*(1+R101))</f>
        <v>24.504000000000005</v>
      </c>
      <c r="T101" s="225">
        <f t="shared" ref="T101:T108" si="119">K101+S101</f>
        <v>47.904000000000011</v>
      </c>
      <c r="U101" s="313">
        <f t="shared" ref="U101:U108" si="120">F101*H101*1.1</f>
        <v>19.8</v>
      </c>
      <c r="V101" s="314">
        <f t="shared" ref="V101:V108" si="121">O101*$E$155</f>
        <v>11.200000000000001</v>
      </c>
      <c r="X101" s="24"/>
      <c r="Y101" s="24"/>
      <c r="Z101" s="190"/>
      <c r="AA101" s="190"/>
      <c r="AB101" s="190"/>
      <c r="AC101" s="24"/>
      <c r="AD101" s="24"/>
      <c r="AE101" s="190"/>
      <c r="AF101" s="190"/>
      <c r="AS101" s="190"/>
      <c r="AT101" s="12">
        <f t="shared" ref="AT101:AT108" si="122">IF(F101&lt;&gt;"",1,0)</f>
        <v>1</v>
      </c>
      <c r="AU101" s="12">
        <f t="shared" ref="AU101:AU108" si="123">IF(AND(SUM(AT:AT)&gt;0,F101=""),1,0)</f>
        <v>0</v>
      </c>
    </row>
    <row r="102" spans="1:47" s="188" customFormat="1" ht="15" customHeight="1" thickBot="1" x14ac:dyDescent="0.2">
      <c r="A102" s="195" t="str">
        <f t="shared" si="114"/>
        <v/>
      </c>
      <c r="B102" s="524" t="s">
        <v>61</v>
      </c>
      <c r="C102" s="525"/>
      <c r="D102" s="525"/>
      <c r="E102" s="526"/>
      <c r="F102" s="19">
        <v>1</v>
      </c>
      <c r="G102" s="217" t="s">
        <v>116</v>
      </c>
      <c r="H102" s="231">
        <v>22</v>
      </c>
      <c r="I102" s="218">
        <f>(H102/100)*(100+$F$109)</f>
        <v>22</v>
      </c>
      <c r="J102" s="219">
        <v>0.3</v>
      </c>
      <c r="K102" s="297">
        <f t="shared" ref="K102:K108" si="124">F102*I102*(1+J102)</f>
        <v>28.6</v>
      </c>
      <c r="L102" s="318"/>
      <c r="M102" s="230" t="str">
        <f t="shared" si="103"/>
        <v>Install Weyrock flooring 22mm (M2)</v>
      </c>
      <c r="N102" s="229">
        <v>0.42499999999999999</v>
      </c>
      <c r="O102" s="222">
        <f t="shared" si="116"/>
        <v>0.42499999999999999</v>
      </c>
      <c r="P102" s="218">
        <f t="shared" si="117"/>
        <v>30.63</v>
      </c>
      <c r="Q102" s="218">
        <f>(P102/100)*(100+$F$109)</f>
        <v>30.630000000000003</v>
      </c>
      <c r="R102" s="223">
        <v>1</v>
      </c>
      <c r="S102" s="224">
        <f t="shared" si="118"/>
        <v>26.035500000000003</v>
      </c>
      <c r="T102" s="225">
        <f t="shared" si="119"/>
        <v>54.635500000000008</v>
      </c>
      <c r="U102" s="313">
        <f t="shared" si="120"/>
        <v>24.200000000000003</v>
      </c>
      <c r="V102" s="314">
        <f t="shared" si="121"/>
        <v>11.9</v>
      </c>
      <c r="X102" s="24"/>
      <c r="Y102" s="24"/>
      <c r="Z102" s="190"/>
      <c r="AA102" s="190"/>
      <c r="AB102" s="190"/>
      <c r="AC102" s="24"/>
      <c r="AD102" s="24"/>
      <c r="AE102" s="190"/>
      <c r="AF102" s="190"/>
      <c r="AS102" s="190"/>
      <c r="AT102" s="12">
        <f t="shared" si="122"/>
        <v>1</v>
      </c>
      <c r="AU102" s="12">
        <f t="shared" si="123"/>
        <v>0</v>
      </c>
    </row>
    <row r="103" spans="1:47" s="188" customFormat="1" ht="14.5" customHeight="1" thickBot="1" x14ac:dyDescent="0.2">
      <c r="A103" s="195" t="str">
        <f t="shared" si="114"/>
        <v/>
      </c>
      <c r="B103" s="524" t="s">
        <v>62</v>
      </c>
      <c r="C103" s="525"/>
      <c r="D103" s="525"/>
      <c r="E103" s="526"/>
      <c r="F103" s="21">
        <v>1</v>
      </c>
      <c r="G103" s="217" t="s">
        <v>116</v>
      </c>
      <c r="H103" s="231">
        <v>46.3</v>
      </c>
      <c r="I103" s="218">
        <f>(H103/100)*(100+$F$109)</f>
        <v>46.3</v>
      </c>
      <c r="J103" s="219">
        <v>0.3</v>
      </c>
      <c r="K103" s="297">
        <f t="shared" si="124"/>
        <v>60.19</v>
      </c>
      <c r="L103" s="318"/>
      <c r="M103" s="230" t="str">
        <f t="shared" si="103"/>
        <v>Install std T&amp;G Floorboards (M2)</v>
      </c>
      <c r="N103" s="229">
        <v>0.6</v>
      </c>
      <c r="O103" s="222">
        <f t="shared" si="116"/>
        <v>0.6</v>
      </c>
      <c r="P103" s="218">
        <f t="shared" si="117"/>
        <v>30.63</v>
      </c>
      <c r="Q103" s="218">
        <f>(P103/100)*(100+$F$109)</f>
        <v>30.630000000000003</v>
      </c>
      <c r="R103" s="223">
        <v>1</v>
      </c>
      <c r="S103" s="224">
        <f t="shared" si="118"/>
        <v>36.756</v>
      </c>
      <c r="T103" s="225">
        <f t="shared" si="119"/>
        <v>96.945999999999998</v>
      </c>
      <c r="U103" s="313">
        <f t="shared" si="120"/>
        <v>50.93</v>
      </c>
      <c r="V103" s="314">
        <f t="shared" si="121"/>
        <v>16.8</v>
      </c>
      <c r="X103" s="24"/>
      <c r="Y103" s="24"/>
      <c r="Z103" s="190"/>
      <c r="AA103" s="190"/>
      <c r="AB103" s="190"/>
      <c r="AC103" s="24"/>
      <c r="AD103" s="24"/>
      <c r="AE103" s="190"/>
      <c r="AF103" s="190"/>
      <c r="AS103" s="190"/>
      <c r="AT103" s="12">
        <f t="shared" si="122"/>
        <v>1</v>
      </c>
      <c r="AU103" s="12">
        <f t="shared" si="123"/>
        <v>0</v>
      </c>
    </row>
    <row r="104" spans="1:47" s="188" customFormat="1" ht="15" customHeight="1" thickBot="1" x14ac:dyDescent="0.2">
      <c r="A104" s="195" t="str">
        <f t="shared" ref="A104" si="125">IF(AU104=1,"X","")</f>
        <v/>
      </c>
      <c r="B104" s="524" t="s">
        <v>413</v>
      </c>
      <c r="C104" s="525"/>
      <c r="D104" s="525"/>
      <c r="E104" s="526"/>
      <c r="F104" s="21">
        <v>1</v>
      </c>
      <c r="G104" s="217" t="s">
        <v>116</v>
      </c>
      <c r="H104" s="231">
        <v>52.8</v>
      </c>
      <c r="I104" s="218">
        <f t="shared" ref="I104" si="126">(H104/100)*(100+$F$109)</f>
        <v>52.800000000000004</v>
      </c>
      <c r="J104" s="219">
        <v>0.3</v>
      </c>
      <c r="K104" s="297">
        <f t="shared" ref="K104" si="127">F104*I104*(1+J104)</f>
        <v>68.640000000000015</v>
      </c>
      <c r="L104" s="318"/>
      <c r="M104" s="230" t="str">
        <f t="shared" ref="M104" si="128">B104</f>
        <v>Install Victorian T&amp;G Floorboards (M2)</v>
      </c>
      <c r="N104" s="229">
        <v>0.6</v>
      </c>
      <c r="O104" s="222">
        <f t="shared" si="116"/>
        <v>0.6</v>
      </c>
      <c r="P104" s="218">
        <f t="shared" si="117"/>
        <v>30.63</v>
      </c>
      <c r="Q104" s="218">
        <f t="shared" ref="Q104" si="129">(P104/100)*(100+$F$109)</f>
        <v>30.630000000000003</v>
      </c>
      <c r="R104" s="223">
        <v>1</v>
      </c>
      <c r="S104" s="224">
        <f t="shared" ref="S104" si="130">(O104*Q104*(1+R104))</f>
        <v>36.756</v>
      </c>
      <c r="T104" s="225">
        <f t="shared" ref="T104" si="131">K104+S104</f>
        <v>105.39600000000002</v>
      </c>
      <c r="U104" s="313">
        <f t="shared" si="120"/>
        <v>58.08</v>
      </c>
      <c r="V104" s="314">
        <f t="shared" si="121"/>
        <v>16.8</v>
      </c>
      <c r="X104" s="24"/>
      <c r="Y104" s="24"/>
      <c r="Z104" s="190"/>
      <c r="AA104" s="190"/>
      <c r="AB104" s="190"/>
      <c r="AC104" s="24"/>
      <c r="AD104" s="24"/>
      <c r="AE104" s="190"/>
      <c r="AF104" s="190"/>
      <c r="AS104" s="319"/>
      <c r="AT104" s="12">
        <f t="shared" si="122"/>
        <v>1</v>
      </c>
      <c r="AU104" s="12">
        <f t="shared" si="123"/>
        <v>0</v>
      </c>
    </row>
    <row r="105" spans="1:47" s="188" customFormat="1" ht="15" customHeight="1" thickBot="1" x14ac:dyDescent="0.2">
      <c r="A105" s="195" t="str">
        <f t="shared" ref="A105" si="132">IF(AU105=1,"X","")</f>
        <v/>
      </c>
      <c r="B105" s="524" t="s">
        <v>670</v>
      </c>
      <c r="C105" s="525"/>
      <c r="D105" s="525"/>
      <c r="E105" s="526"/>
      <c r="F105" s="21">
        <v>1</v>
      </c>
      <c r="G105" s="217" t="s">
        <v>116</v>
      </c>
      <c r="H105" s="231">
        <v>49.99</v>
      </c>
      <c r="I105" s="218">
        <f>(H105/100)*(100+$F$109)</f>
        <v>49.99</v>
      </c>
      <c r="J105" s="219">
        <v>0.3</v>
      </c>
      <c r="K105" s="297">
        <f t="shared" ref="K105" si="133">F105*I105*(1+J105)</f>
        <v>64.987000000000009</v>
      </c>
      <c r="L105" s="318"/>
      <c r="M105" s="230" t="str">
        <f t="shared" ref="M105" si="134">B105</f>
        <v>Install Engineered Flooring sheet (M2)</v>
      </c>
      <c r="N105" s="229">
        <v>0.4</v>
      </c>
      <c r="O105" s="222">
        <f t="shared" ref="O105" si="135">F105*N105</f>
        <v>0.4</v>
      </c>
      <c r="P105" s="218">
        <f t="shared" si="117"/>
        <v>30.63</v>
      </c>
      <c r="Q105" s="218">
        <f t="shared" ref="Q105" si="136">(P105/100)*(100+$F$109)</f>
        <v>30.630000000000003</v>
      </c>
      <c r="R105" s="223">
        <v>1</v>
      </c>
      <c r="S105" s="224">
        <f t="shared" ref="S105" si="137">(O105*Q105*(1+R105))</f>
        <v>24.504000000000005</v>
      </c>
      <c r="T105" s="225">
        <f t="shared" ref="T105" si="138">K105+S105</f>
        <v>89.491000000000014</v>
      </c>
      <c r="U105" s="313">
        <f t="shared" ref="U105" si="139">F105*H105*1.1</f>
        <v>54.989000000000004</v>
      </c>
      <c r="V105" s="314">
        <f t="shared" si="121"/>
        <v>11.200000000000001</v>
      </c>
      <c r="X105" s="24"/>
      <c r="Y105" s="24"/>
      <c r="Z105" s="190"/>
      <c r="AA105" s="190"/>
      <c r="AB105" s="190"/>
      <c r="AC105" s="24"/>
      <c r="AD105" s="24"/>
      <c r="AE105" s="190"/>
      <c r="AF105" s="190"/>
      <c r="AS105" s="319"/>
      <c r="AT105" s="12">
        <f t="shared" ref="AT105" si="140">IF(F105&lt;&gt;"",1,0)</f>
        <v>1</v>
      </c>
      <c r="AU105" s="12">
        <f t="shared" si="123"/>
        <v>0</v>
      </c>
    </row>
    <row r="106" spans="1:47" s="188" customFormat="1" ht="31.5" customHeight="1" thickBot="1" x14ac:dyDescent="0.2">
      <c r="A106" s="195" t="str">
        <f t="shared" ref="A106" si="141">IF(AU106=1,"X","")</f>
        <v/>
      </c>
      <c r="B106" s="623" t="s">
        <v>681</v>
      </c>
      <c r="C106" s="624"/>
      <c r="D106" s="624"/>
      <c r="E106" s="625"/>
      <c r="F106" s="21">
        <v>1</v>
      </c>
      <c r="G106" s="217" t="s">
        <v>116</v>
      </c>
      <c r="H106" s="231">
        <v>52.8</v>
      </c>
      <c r="I106" s="218">
        <f>(H106/100)*(100+$F$109)</f>
        <v>52.800000000000004</v>
      </c>
      <c r="J106" s="219">
        <v>0.3</v>
      </c>
      <c r="K106" s="297">
        <f t="shared" ref="K106" si="142">F106*I106*(1+J106)</f>
        <v>68.640000000000015</v>
      </c>
      <c r="L106" s="318"/>
      <c r="M106" s="233" t="str">
        <f t="shared" ref="M106" si="143">B106</f>
        <v>Install Structural Engineered Flooring sheet (M2) onto joists</v>
      </c>
      <c r="N106" s="229">
        <v>0.9</v>
      </c>
      <c r="O106" s="222">
        <f t="shared" ref="O106" si="144">F106*N106</f>
        <v>0.9</v>
      </c>
      <c r="P106" s="218">
        <f t="shared" si="117"/>
        <v>30.63</v>
      </c>
      <c r="Q106" s="218">
        <f t="shared" ref="Q106" si="145">(P106/100)*(100+$F$109)</f>
        <v>30.630000000000003</v>
      </c>
      <c r="R106" s="223">
        <v>1</v>
      </c>
      <c r="S106" s="224">
        <f t="shared" ref="S106" si="146">(O106*Q106*(1+R106))</f>
        <v>55.134000000000007</v>
      </c>
      <c r="T106" s="225">
        <f t="shared" ref="T106" si="147">K106+S106</f>
        <v>123.77400000000003</v>
      </c>
      <c r="U106" s="313">
        <f t="shared" ref="U106" si="148">F106*H106*1.1</f>
        <v>58.08</v>
      </c>
      <c r="V106" s="314">
        <f t="shared" si="121"/>
        <v>25.2</v>
      </c>
      <c r="X106" s="24"/>
      <c r="Y106" s="24"/>
      <c r="Z106" s="190"/>
      <c r="AA106" s="190"/>
      <c r="AB106" s="190"/>
      <c r="AC106" s="24"/>
      <c r="AD106" s="24"/>
      <c r="AE106" s="190"/>
      <c r="AF106" s="190"/>
      <c r="AS106" s="319"/>
      <c r="AT106" s="12">
        <f t="shared" ref="AT106" si="149">IF(F106&lt;&gt;"",1,0)</f>
        <v>1</v>
      </c>
      <c r="AU106" s="12">
        <f t="shared" si="123"/>
        <v>0</v>
      </c>
    </row>
    <row r="107" spans="1:47" s="188" customFormat="1" ht="15" customHeight="1" thickBot="1" x14ac:dyDescent="0.2">
      <c r="A107" s="195" t="str">
        <f t="shared" si="114"/>
        <v>X</v>
      </c>
      <c r="B107" s="524" t="s">
        <v>668</v>
      </c>
      <c r="C107" s="525"/>
      <c r="D107" s="525"/>
      <c r="E107" s="526"/>
      <c r="F107" s="21"/>
      <c r="G107" s="217" t="s">
        <v>116</v>
      </c>
      <c r="H107" s="247">
        <v>6.8</v>
      </c>
      <c r="I107" s="218">
        <f>(H107/100)*(100+$F$109)</f>
        <v>6.8000000000000007</v>
      </c>
      <c r="J107" s="219">
        <v>0.3</v>
      </c>
      <c r="K107" s="297">
        <f t="shared" si="124"/>
        <v>0</v>
      </c>
      <c r="L107" s="318"/>
      <c r="M107" s="230" t="str">
        <f t="shared" si="103"/>
        <v>Provide insulation to suspended flooring</v>
      </c>
      <c r="N107" s="229">
        <v>0.2</v>
      </c>
      <c r="O107" s="222">
        <f t="shared" si="116"/>
        <v>0</v>
      </c>
      <c r="P107" s="218">
        <f t="shared" si="117"/>
        <v>30.63</v>
      </c>
      <c r="Q107" s="218">
        <f>(P107/100)*(100+$F$109)</f>
        <v>30.630000000000003</v>
      </c>
      <c r="R107" s="223">
        <v>1</v>
      </c>
      <c r="S107" s="224">
        <f t="shared" si="118"/>
        <v>0</v>
      </c>
      <c r="T107" s="225">
        <f t="shared" si="119"/>
        <v>0</v>
      </c>
      <c r="U107" s="313">
        <f t="shared" si="120"/>
        <v>0</v>
      </c>
      <c r="V107" s="314">
        <f t="shared" si="121"/>
        <v>0</v>
      </c>
      <c r="X107" s="24"/>
      <c r="Y107" s="24"/>
      <c r="Z107" s="190"/>
      <c r="AA107" s="190"/>
      <c r="AB107" s="190"/>
      <c r="AC107" s="24"/>
      <c r="AD107" s="24"/>
      <c r="AE107" s="190"/>
      <c r="AF107" s="190"/>
      <c r="AS107" s="319"/>
      <c r="AT107" s="12">
        <f t="shared" si="122"/>
        <v>0</v>
      </c>
      <c r="AU107" s="12">
        <f t="shared" si="123"/>
        <v>1</v>
      </c>
    </row>
    <row r="108" spans="1:47" ht="15" customHeight="1" thickBot="1" x14ac:dyDescent="0.25">
      <c r="A108" s="195" t="str">
        <f t="shared" si="114"/>
        <v>X</v>
      </c>
      <c r="B108" s="482" t="s">
        <v>410</v>
      </c>
      <c r="C108" s="483"/>
      <c r="D108" s="483"/>
      <c r="E108" s="483"/>
      <c r="F108" s="19"/>
      <c r="G108" s="217" t="s">
        <v>3</v>
      </c>
      <c r="H108" s="267">
        <v>0</v>
      </c>
      <c r="I108" s="218">
        <f>(H108/100)*(100+$F$109)</f>
        <v>0</v>
      </c>
      <c r="J108" s="219">
        <v>0</v>
      </c>
      <c r="K108" s="298">
        <f t="shared" si="124"/>
        <v>0</v>
      </c>
      <c r="L108" s="248"/>
      <c r="M108" s="230" t="str">
        <f t="shared" si="103"/>
        <v>Difficulty hours (additional hours if required)</v>
      </c>
      <c r="N108" s="222">
        <v>1</v>
      </c>
      <c r="O108" s="222">
        <f t="shared" si="116"/>
        <v>0</v>
      </c>
      <c r="P108" s="218">
        <f t="shared" si="117"/>
        <v>30.63</v>
      </c>
      <c r="Q108" s="218">
        <f>(P108/100)*(100+$F$109)</f>
        <v>30.630000000000003</v>
      </c>
      <c r="R108" s="223">
        <v>1</v>
      </c>
      <c r="S108" s="224">
        <f t="shared" si="118"/>
        <v>0</v>
      </c>
      <c r="T108" s="225">
        <f t="shared" si="119"/>
        <v>0</v>
      </c>
      <c r="U108" s="264">
        <f t="shared" si="120"/>
        <v>0</v>
      </c>
      <c r="V108" s="227">
        <f t="shared" si="121"/>
        <v>0</v>
      </c>
      <c r="X108" s="24"/>
      <c r="Y108" s="24"/>
      <c r="Z108" s="190"/>
      <c r="AA108" s="190"/>
      <c r="AB108" s="190"/>
      <c r="AC108" s="24"/>
      <c r="AD108" s="24"/>
      <c r="AE108" s="190"/>
      <c r="AF108" s="190"/>
      <c r="AT108" s="12">
        <f t="shared" si="122"/>
        <v>0</v>
      </c>
      <c r="AU108" s="12">
        <f t="shared" si="123"/>
        <v>1</v>
      </c>
    </row>
    <row r="109" spans="1:47" ht="16" thickBot="1" x14ac:dyDescent="0.25">
      <c r="A109" s="195" t="str">
        <f t="shared" si="114"/>
        <v/>
      </c>
      <c r="B109" s="484" t="s">
        <v>473</v>
      </c>
      <c r="C109" s="485"/>
      <c r="D109" s="485"/>
      <c r="E109" s="485"/>
      <c r="F109" s="123">
        <v>0</v>
      </c>
      <c r="G109" s="234"/>
      <c r="H109" s="235"/>
      <c r="I109" s="235"/>
      <c r="J109" s="236" t="s">
        <v>152</v>
      </c>
      <c r="K109" s="299">
        <f>SUM(K89:K108)</f>
        <v>314.45699999999999</v>
      </c>
      <c r="L109" s="289"/>
      <c r="M109" s="486" t="s">
        <v>152</v>
      </c>
      <c r="N109" s="487"/>
      <c r="O109" s="238">
        <f>SUM(O89:O108)</f>
        <v>3.3249999999999997</v>
      </c>
      <c r="P109" s="239"/>
      <c r="Q109" s="239"/>
      <c r="R109" s="240"/>
      <c r="S109" s="241">
        <f>SUM(S89:S108)</f>
        <v>203.68950000000001</v>
      </c>
      <c r="T109" s="242">
        <f>SUM(T89:T108)</f>
        <v>518.14650000000006</v>
      </c>
      <c r="U109" s="290">
        <f>SUM(U89:U108)</f>
        <v>266.07900000000001</v>
      </c>
      <c r="V109" s="244">
        <f>SUM(V89:V108)</f>
        <v>93.100000000000009</v>
      </c>
      <c r="W109" s="245"/>
      <c r="X109" s="24"/>
      <c r="Y109" s="24"/>
      <c r="Z109" s="190"/>
      <c r="AA109" s="190"/>
      <c r="AB109" s="190"/>
      <c r="AC109" s="24"/>
      <c r="AD109" s="24"/>
      <c r="AE109" s="190"/>
      <c r="AF109" s="190"/>
      <c r="AT109" s="13"/>
      <c r="AU109" s="13"/>
    </row>
    <row r="110" spans="1:47" s="184" customFormat="1" ht="5" customHeight="1" thickBot="1" x14ac:dyDescent="0.25">
      <c r="A110" s="195"/>
      <c r="B110" s="199"/>
      <c r="C110" s="199"/>
      <c r="D110" s="199"/>
      <c r="E110" s="199"/>
      <c r="F110" s="200"/>
      <c r="G110" s="201"/>
      <c r="H110" s="202"/>
      <c r="I110" s="202"/>
      <c r="J110" s="203"/>
      <c r="K110" s="204"/>
      <c r="L110" s="205"/>
      <c r="M110" s="203"/>
      <c r="N110" s="203"/>
      <c r="O110" s="206"/>
      <c r="P110" s="206"/>
      <c r="Q110" s="206"/>
      <c r="R110" s="207"/>
      <c r="S110" s="208"/>
      <c r="T110" s="209"/>
      <c r="U110" s="204"/>
      <c r="V110" s="210"/>
      <c r="W110" s="211"/>
      <c r="X110" s="124"/>
      <c r="Y110" s="124"/>
      <c r="Z110" s="124"/>
      <c r="AA110" s="124"/>
      <c r="AB110" s="212"/>
      <c r="AC110" s="124"/>
      <c r="AD110" s="124"/>
      <c r="AE110" s="124"/>
      <c r="AF110" s="124"/>
      <c r="AG110" s="41"/>
      <c r="AH110" s="41"/>
      <c r="AS110" s="213"/>
      <c r="AT110" s="13"/>
      <c r="AU110" s="13"/>
    </row>
    <row r="111" spans="1:47" ht="25" customHeight="1" thickBot="1" x14ac:dyDescent="0.25">
      <c r="A111" s="195" t="str">
        <f t="shared" si="114"/>
        <v/>
      </c>
      <c r="B111" s="517" t="s">
        <v>372</v>
      </c>
      <c r="C111" s="518"/>
      <c r="D111" s="518"/>
      <c r="E111" s="518"/>
      <c r="F111" s="269"/>
      <c r="G111" s="269"/>
      <c r="H111" s="271"/>
      <c r="I111" s="271"/>
      <c r="J111" s="320"/>
      <c r="K111" s="321"/>
      <c r="L111" s="322"/>
      <c r="M111" s="477" t="str">
        <f>B111</f>
        <v>Airbricks</v>
      </c>
      <c r="N111" s="478"/>
      <c r="O111" s="478"/>
      <c r="P111" s="478"/>
      <c r="Q111" s="478"/>
      <c r="R111" s="478"/>
      <c r="S111" s="478"/>
      <c r="T111" s="479"/>
      <c r="U111" s="480" t="str">
        <f>B111</f>
        <v>Airbricks</v>
      </c>
      <c r="V111" s="481"/>
      <c r="X111" s="24"/>
      <c r="Y111" s="24"/>
      <c r="Z111" s="190"/>
      <c r="AA111" s="190"/>
      <c r="AB111" s="190"/>
      <c r="AC111" s="24"/>
      <c r="AD111" s="24"/>
      <c r="AE111" s="190"/>
      <c r="AF111" s="190"/>
      <c r="AT111" s="13"/>
      <c r="AU111" s="13"/>
    </row>
    <row r="112" spans="1:47" ht="16" thickBot="1" x14ac:dyDescent="0.25">
      <c r="A112" s="195" t="str">
        <f t="shared" si="114"/>
        <v>X</v>
      </c>
      <c r="B112" s="482" t="s">
        <v>71</v>
      </c>
      <c r="C112" s="483"/>
      <c r="D112" s="483"/>
      <c r="E112" s="483"/>
      <c r="F112" s="22"/>
      <c r="G112" s="217" t="s">
        <v>119</v>
      </c>
      <c r="H112" s="247">
        <v>16</v>
      </c>
      <c r="I112" s="218">
        <f>(H112/100)*(100+$F$115)</f>
        <v>16</v>
      </c>
      <c r="J112" s="219">
        <v>0.3</v>
      </c>
      <c r="K112" s="297">
        <f t="shared" ref="K112:K114" si="150">F112*I112*(1+J112)</f>
        <v>0</v>
      </c>
      <c r="L112" s="281"/>
      <c r="M112" s="230" t="str">
        <f>B112</f>
        <v>Clean out airbrick/fit new face</v>
      </c>
      <c r="N112" s="229">
        <v>0.5</v>
      </c>
      <c r="O112" s="222">
        <f>F112*N112</f>
        <v>0</v>
      </c>
      <c r="P112" s="218">
        <f>$D$155</f>
        <v>30.63</v>
      </c>
      <c r="Q112" s="218">
        <f>(P112/100)*(100+$F$115)</f>
        <v>30.630000000000003</v>
      </c>
      <c r="R112" s="223">
        <v>1</v>
      </c>
      <c r="S112" s="224">
        <f t="shared" ref="S112:S114" si="151">(O112*Q112*(1+R112))</f>
        <v>0</v>
      </c>
      <c r="T112" s="225">
        <f t="shared" ref="T112:T114" si="152">K112+S112</f>
        <v>0</v>
      </c>
      <c r="U112" s="313">
        <f>F112*H112*1.1</f>
        <v>0</v>
      </c>
      <c r="V112" s="314">
        <f>O112*$E$155</f>
        <v>0</v>
      </c>
      <c r="X112" s="24"/>
      <c r="Y112" s="24"/>
      <c r="Z112" s="190"/>
      <c r="AA112" s="190"/>
      <c r="AB112" s="190"/>
      <c r="AC112" s="24"/>
      <c r="AD112" s="24"/>
      <c r="AE112" s="190"/>
      <c r="AF112" s="190"/>
      <c r="AT112" s="12">
        <f>IF(F112&lt;&gt;"",1,0)</f>
        <v>0</v>
      </c>
      <c r="AU112" s="12">
        <f>IF(AND(SUM(AT:AT)&gt;0,F112=""),1,0)</f>
        <v>1</v>
      </c>
    </row>
    <row r="113" spans="1:47" ht="16" thickBot="1" x14ac:dyDescent="0.25">
      <c r="A113" s="195" t="str">
        <f t="shared" si="114"/>
        <v>X</v>
      </c>
      <c r="B113" s="482" t="s">
        <v>409</v>
      </c>
      <c r="C113" s="483"/>
      <c r="D113" s="483"/>
      <c r="E113" s="483"/>
      <c r="F113" s="19"/>
      <c r="G113" s="217" t="s">
        <v>119</v>
      </c>
      <c r="H113" s="247">
        <v>16</v>
      </c>
      <c r="I113" s="218">
        <f t="shared" ref="I113" si="153">(H113/100)*(100+$F$115)</f>
        <v>16</v>
      </c>
      <c r="J113" s="219">
        <v>0.3</v>
      </c>
      <c r="K113" s="297">
        <f t="shared" si="150"/>
        <v>0</v>
      </c>
      <c r="L113" s="281"/>
      <c r="M113" s="230" t="str">
        <f>B113</f>
        <v>Lift / upgrade existing airbrick/fit new face</v>
      </c>
      <c r="N113" s="229">
        <v>0.8</v>
      </c>
      <c r="O113" s="222">
        <f>F113*N113</f>
        <v>0</v>
      </c>
      <c r="P113" s="218">
        <f>$D$155</f>
        <v>30.63</v>
      </c>
      <c r="Q113" s="218">
        <f t="shared" ref="Q113:Q114" si="154">(P113/100)*(100+$F$115)</f>
        <v>30.630000000000003</v>
      </c>
      <c r="R113" s="223">
        <v>1</v>
      </c>
      <c r="S113" s="224">
        <f t="shared" si="151"/>
        <v>0</v>
      </c>
      <c r="T113" s="225">
        <f t="shared" si="152"/>
        <v>0</v>
      </c>
      <c r="U113" s="313">
        <f>F113*H113*1.1</f>
        <v>0</v>
      </c>
      <c r="V113" s="314">
        <f>O113*$E$155</f>
        <v>0</v>
      </c>
      <c r="X113" s="24"/>
      <c r="Y113" s="24"/>
      <c r="Z113" s="190"/>
      <c r="AA113" s="190"/>
      <c r="AB113" s="190"/>
      <c r="AC113" s="24"/>
      <c r="AD113" s="24"/>
      <c r="AE113" s="190"/>
      <c r="AF113" s="190"/>
      <c r="AT113" s="12">
        <f>IF(F113&lt;&gt;"",1,0)</f>
        <v>0</v>
      </c>
      <c r="AU113" s="12">
        <f>IF(AND(SUM(AT:AT)&gt;0,F113=""),1,0)</f>
        <v>1</v>
      </c>
    </row>
    <row r="114" spans="1:47" ht="16" thickBot="1" x14ac:dyDescent="0.25">
      <c r="A114" s="195" t="str">
        <f t="shared" si="114"/>
        <v>X</v>
      </c>
      <c r="B114" s="482" t="s">
        <v>72</v>
      </c>
      <c r="C114" s="483"/>
      <c r="D114" s="483"/>
      <c r="E114" s="483"/>
      <c r="F114" s="21"/>
      <c r="G114" s="217" t="s">
        <v>119</v>
      </c>
      <c r="H114" s="247">
        <v>16</v>
      </c>
      <c r="I114" s="218">
        <f>(H114/100)*(100+$F$115)</f>
        <v>16</v>
      </c>
      <c r="J114" s="219">
        <v>0.3</v>
      </c>
      <c r="K114" s="297">
        <f t="shared" si="150"/>
        <v>0</v>
      </c>
      <c r="L114" s="281"/>
      <c r="M114" s="230" t="str">
        <f>B114</f>
        <v>Install additional  airbrick</v>
      </c>
      <c r="N114" s="229">
        <v>2</v>
      </c>
      <c r="O114" s="222">
        <f>F114*N114</f>
        <v>0</v>
      </c>
      <c r="P114" s="218">
        <f>$D$155</f>
        <v>30.63</v>
      </c>
      <c r="Q114" s="218">
        <f t="shared" si="154"/>
        <v>30.630000000000003</v>
      </c>
      <c r="R114" s="223">
        <v>1</v>
      </c>
      <c r="S114" s="224">
        <f t="shared" si="151"/>
        <v>0</v>
      </c>
      <c r="T114" s="225">
        <f t="shared" si="152"/>
        <v>0</v>
      </c>
      <c r="U114" s="313">
        <f>F114*H114*1.1</f>
        <v>0</v>
      </c>
      <c r="V114" s="314">
        <f>O114*$E$155</f>
        <v>0</v>
      </c>
      <c r="X114" s="24"/>
      <c r="Y114" s="24"/>
      <c r="Z114" s="190"/>
      <c r="AA114" s="190"/>
      <c r="AB114" s="190"/>
      <c r="AC114" s="24"/>
      <c r="AD114" s="24"/>
      <c r="AE114" s="190"/>
      <c r="AF114" s="190"/>
      <c r="AT114" s="12">
        <f>IF(F114&lt;&gt;"",1,0)</f>
        <v>0</v>
      </c>
      <c r="AU114" s="12">
        <f>IF(AND(SUM(AT:AT)&gt;0,F114=""),1,0)</f>
        <v>1</v>
      </c>
    </row>
    <row r="115" spans="1:47" ht="16" thickBot="1" x14ac:dyDescent="0.25">
      <c r="A115" s="195" t="str">
        <f t="shared" si="114"/>
        <v/>
      </c>
      <c r="B115" s="484" t="s">
        <v>473</v>
      </c>
      <c r="C115" s="485"/>
      <c r="D115" s="485"/>
      <c r="E115" s="485"/>
      <c r="F115" s="123">
        <v>0</v>
      </c>
      <c r="G115" s="234"/>
      <c r="H115" s="235"/>
      <c r="I115" s="235"/>
      <c r="J115" s="236" t="s">
        <v>152</v>
      </c>
      <c r="K115" s="299">
        <f>SUM(K112:K114)</f>
        <v>0</v>
      </c>
      <c r="L115" s="289"/>
      <c r="M115" s="486" t="s">
        <v>152</v>
      </c>
      <c r="N115" s="487"/>
      <c r="O115" s="238">
        <f>SUM(O112:O114)</f>
        <v>0</v>
      </c>
      <c r="P115" s="239"/>
      <c r="Q115" s="239"/>
      <c r="R115" s="240"/>
      <c r="S115" s="323">
        <f>SUM(S112:S114)</f>
        <v>0</v>
      </c>
      <c r="T115" s="242">
        <f>SUM(T112:T114)</f>
        <v>0</v>
      </c>
      <c r="U115" s="290">
        <f>SUM(U112:U114)</f>
        <v>0</v>
      </c>
      <c r="V115" s="244">
        <f>SUM(V112:V114)</f>
        <v>0</v>
      </c>
      <c r="W115" s="245"/>
      <c r="X115" s="24"/>
      <c r="Y115" s="24"/>
      <c r="Z115" s="190"/>
      <c r="AA115" s="190"/>
      <c r="AB115" s="190"/>
      <c r="AC115" s="24"/>
      <c r="AD115" s="24"/>
      <c r="AE115" s="190"/>
      <c r="AF115" s="190"/>
      <c r="AT115" s="13"/>
      <c r="AU115" s="13"/>
    </row>
    <row r="116" spans="1:47" s="184" customFormat="1" ht="5" customHeight="1" thickBot="1" x14ac:dyDescent="0.25">
      <c r="A116" s="195"/>
      <c r="B116" s="199"/>
      <c r="C116" s="199"/>
      <c r="D116" s="199"/>
      <c r="E116" s="199"/>
      <c r="F116" s="200"/>
      <c r="G116" s="201"/>
      <c r="H116" s="202"/>
      <c r="I116" s="202"/>
      <c r="J116" s="203"/>
      <c r="K116" s="204"/>
      <c r="L116" s="205"/>
      <c r="M116" s="203"/>
      <c r="N116" s="203"/>
      <c r="O116" s="206"/>
      <c r="P116" s="206"/>
      <c r="Q116" s="206"/>
      <c r="R116" s="207"/>
      <c r="S116" s="208"/>
      <c r="T116" s="209"/>
      <c r="U116" s="204"/>
      <c r="V116" s="210"/>
      <c r="W116" s="211"/>
      <c r="X116" s="124"/>
      <c r="Y116" s="124"/>
      <c r="Z116" s="124"/>
      <c r="AA116" s="124"/>
      <c r="AB116" s="212"/>
      <c r="AC116" s="124"/>
      <c r="AD116" s="124"/>
      <c r="AE116" s="124"/>
      <c r="AF116" s="124"/>
      <c r="AG116" s="41"/>
      <c r="AH116" s="41"/>
      <c r="AS116" s="213"/>
      <c r="AT116" s="13"/>
      <c r="AU116" s="13"/>
    </row>
    <row r="117" spans="1:47" ht="25" customHeight="1" thickBot="1" x14ac:dyDescent="0.25">
      <c r="A117" s="195" t="str">
        <f t="shared" si="114"/>
        <v/>
      </c>
      <c r="B117" s="517" t="s">
        <v>373</v>
      </c>
      <c r="C117" s="518"/>
      <c r="D117" s="518"/>
      <c r="E117" s="518"/>
      <c r="F117" s="269"/>
      <c r="G117" s="269"/>
      <c r="H117" s="271"/>
      <c r="I117" s="271"/>
      <c r="J117" s="320"/>
      <c r="K117" s="321"/>
      <c r="L117" s="322"/>
      <c r="M117" s="477" t="str">
        <f>B117</f>
        <v>Spray treatments</v>
      </c>
      <c r="N117" s="478"/>
      <c r="O117" s="478"/>
      <c r="P117" s="478"/>
      <c r="Q117" s="478"/>
      <c r="R117" s="478"/>
      <c r="S117" s="478"/>
      <c r="T117" s="479"/>
      <c r="U117" s="480" t="str">
        <f>B117</f>
        <v>Spray treatments</v>
      </c>
      <c r="V117" s="481"/>
      <c r="X117" s="24"/>
      <c r="Y117" s="24"/>
      <c r="Z117" s="190"/>
      <c r="AA117" s="190"/>
      <c r="AB117" s="190"/>
      <c r="AC117" s="24"/>
      <c r="AD117" s="24"/>
      <c r="AE117" s="190"/>
      <c r="AF117" s="190"/>
      <c r="AT117" s="13"/>
      <c r="AU117" s="13"/>
    </row>
    <row r="118" spans="1:47" ht="16" thickBot="1" x14ac:dyDescent="0.25">
      <c r="A118" s="195" t="str">
        <f t="shared" si="114"/>
        <v>X</v>
      </c>
      <c r="B118" s="482" t="s">
        <v>73</v>
      </c>
      <c r="C118" s="483"/>
      <c r="D118" s="483"/>
      <c r="E118" s="483"/>
      <c r="F118" s="19"/>
      <c r="G118" s="217" t="s">
        <v>116</v>
      </c>
      <c r="H118" s="267">
        <f>IF(F118=0,0,(_xlfn.CEILING.MATH(F118,100)*((20.979/100)*1.1))/F118)</f>
        <v>0</v>
      </c>
      <c r="I118" s="218">
        <f>(H118/100)*(100+$F$120)</f>
        <v>0</v>
      </c>
      <c r="J118" s="219">
        <v>0.3</v>
      </c>
      <c r="K118" s="298">
        <f>F118*I118*(1+J118)</f>
        <v>0</v>
      </c>
      <c r="L118" s="281"/>
      <c r="M118" s="230" t="str">
        <f>B118</f>
        <v>Fog sub floor void with anti fungal treatment</v>
      </c>
      <c r="N118" s="229">
        <v>0.2</v>
      </c>
      <c r="O118" s="222">
        <f>F118*N118</f>
        <v>0</v>
      </c>
      <c r="P118" s="218">
        <f>$D$155</f>
        <v>30.63</v>
      </c>
      <c r="Q118" s="218">
        <f>(P118/100)*(100+$F$120)</f>
        <v>30.630000000000003</v>
      </c>
      <c r="R118" s="223">
        <v>1</v>
      </c>
      <c r="S118" s="224">
        <f t="shared" ref="S118:S119" si="155">(O118*Q118*(1+R118))</f>
        <v>0</v>
      </c>
      <c r="T118" s="225">
        <f t="shared" ref="T118:T119" si="156">K118+S118</f>
        <v>0</v>
      </c>
      <c r="U118" s="313">
        <f>F118*H118*1.1</f>
        <v>0</v>
      </c>
      <c r="V118" s="314">
        <f>O118*$E$155</f>
        <v>0</v>
      </c>
      <c r="X118" s="24"/>
      <c r="Y118" s="24"/>
      <c r="Z118" s="190"/>
      <c r="AA118" s="190"/>
      <c r="AB118" s="190"/>
      <c r="AC118" s="24"/>
      <c r="AD118" s="24"/>
      <c r="AE118" s="190"/>
      <c r="AF118" s="190"/>
      <c r="AT118" s="12">
        <f>IF(F118&lt;&gt;"",1,0)</f>
        <v>0</v>
      </c>
      <c r="AU118" s="12">
        <f>IF(AND(SUM(AT:AT)&gt;0,F118=""),1,0)</f>
        <v>1</v>
      </c>
    </row>
    <row r="119" spans="1:47" ht="15" customHeight="1" thickBot="1" x14ac:dyDescent="0.25">
      <c r="A119" s="195" t="str">
        <f t="shared" si="114"/>
        <v>X</v>
      </c>
      <c r="B119" s="482" t="s">
        <v>410</v>
      </c>
      <c r="C119" s="483"/>
      <c r="D119" s="483"/>
      <c r="E119" s="483"/>
      <c r="F119" s="19"/>
      <c r="G119" s="217" t="s">
        <v>3</v>
      </c>
      <c r="H119" s="267">
        <v>0</v>
      </c>
      <c r="I119" s="218">
        <f>(H119/100)*(100+$F$120)</f>
        <v>0</v>
      </c>
      <c r="J119" s="219">
        <v>0</v>
      </c>
      <c r="K119" s="298">
        <f t="shared" ref="K119" si="157">F119*I119*(1+J119)</f>
        <v>0</v>
      </c>
      <c r="L119" s="248"/>
      <c r="M119" s="230" t="str">
        <f>B119</f>
        <v>Difficulty hours (additional hours if required)</v>
      </c>
      <c r="N119" s="222">
        <v>1</v>
      </c>
      <c r="O119" s="222">
        <f>F119*N119</f>
        <v>0</v>
      </c>
      <c r="P119" s="218">
        <f>$D$155</f>
        <v>30.63</v>
      </c>
      <c r="Q119" s="218">
        <f>(P119/100)*(100+$F$120)</f>
        <v>30.630000000000003</v>
      </c>
      <c r="R119" s="223">
        <v>1</v>
      </c>
      <c r="S119" s="224">
        <f t="shared" si="155"/>
        <v>0</v>
      </c>
      <c r="T119" s="225">
        <f t="shared" si="156"/>
        <v>0</v>
      </c>
      <c r="U119" s="313">
        <f>F119*H119*1.1</f>
        <v>0</v>
      </c>
      <c r="V119" s="227">
        <f>O119*$E$155</f>
        <v>0</v>
      </c>
      <c r="X119" s="24"/>
      <c r="Y119" s="24"/>
      <c r="Z119" s="190"/>
      <c r="AA119" s="190"/>
      <c r="AB119" s="190"/>
      <c r="AC119" s="24"/>
      <c r="AD119" s="24"/>
      <c r="AE119" s="190"/>
      <c r="AF119" s="190"/>
      <c r="AT119" s="12">
        <f>IF(F119&lt;&gt;"",1,0)</f>
        <v>0</v>
      </c>
      <c r="AU119" s="12">
        <f>IF(AND(SUM(AT:AT)&gt;0,F119=""),1,0)</f>
        <v>1</v>
      </c>
    </row>
    <row r="120" spans="1:47" ht="16" thickBot="1" x14ac:dyDescent="0.25">
      <c r="A120" s="195" t="str">
        <f t="shared" si="114"/>
        <v/>
      </c>
      <c r="B120" s="484" t="s">
        <v>473</v>
      </c>
      <c r="C120" s="485"/>
      <c r="D120" s="485"/>
      <c r="E120" s="485"/>
      <c r="F120" s="123">
        <v>0</v>
      </c>
      <c r="G120" s="234"/>
      <c r="H120" s="235"/>
      <c r="I120" s="235"/>
      <c r="J120" s="236" t="s">
        <v>152</v>
      </c>
      <c r="K120" s="299">
        <f>SUM(K118:K119)</f>
        <v>0</v>
      </c>
      <c r="L120" s="289"/>
      <c r="M120" s="486" t="s">
        <v>152</v>
      </c>
      <c r="N120" s="487"/>
      <c r="O120" s="238">
        <f>SUM(O118:O119)</f>
        <v>0</v>
      </c>
      <c r="P120" s="239"/>
      <c r="Q120" s="239"/>
      <c r="R120" s="240"/>
      <c r="S120" s="241">
        <f>SUM(S118:S119)</f>
        <v>0</v>
      </c>
      <c r="T120" s="242">
        <f>SUM(T118:T119)</f>
        <v>0</v>
      </c>
      <c r="U120" s="290">
        <f>SUM(U118:U119)</f>
        <v>0</v>
      </c>
      <c r="V120" s="244">
        <f>SUM(V118:V119)</f>
        <v>0</v>
      </c>
      <c r="W120" s="245"/>
      <c r="X120" s="24"/>
      <c r="Y120" s="24"/>
      <c r="Z120" s="190"/>
      <c r="AA120" s="190"/>
      <c r="AB120" s="190"/>
      <c r="AC120" s="24"/>
      <c r="AD120" s="24"/>
      <c r="AE120" s="190"/>
      <c r="AF120" s="190"/>
      <c r="AT120" s="13"/>
      <c r="AU120" s="13"/>
    </row>
    <row r="121" spans="1:47" s="184" customFormat="1" ht="5" customHeight="1" thickBot="1" x14ac:dyDescent="0.25">
      <c r="A121" s="195"/>
      <c r="B121" s="199"/>
      <c r="C121" s="199"/>
      <c r="D121" s="199"/>
      <c r="E121" s="199"/>
      <c r="F121" s="200">
        <v>0</v>
      </c>
      <c r="G121" s="201"/>
      <c r="H121" s="202"/>
      <c r="I121" s="202"/>
      <c r="J121" s="203"/>
      <c r="K121" s="204"/>
      <c r="L121" s="205"/>
      <c r="M121" s="203"/>
      <c r="N121" s="203"/>
      <c r="O121" s="206"/>
      <c r="P121" s="206"/>
      <c r="Q121" s="206"/>
      <c r="R121" s="207"/>
      <c r="S121" s="208"/>
      <c r="T121" s="209"/>
      <c r="U121" s="204"/>
      <c r="V121" s="210"/>
      <c r="W121" s="211"/>
      <c r="X121" s="124"/>
      <c r="Y121" s="124"/>
      <c r="Z121" s="124"/>
      <c r="AA121" s="124"/>
      <c r="AB121" s="212"/>
      <c r="AC121" s="124"/>
      <c r="AD121" s="124"/>
      <c r="AE121" s="124"/>
      <c r="AF121" s="124"/>
      <c r="AG121" s="41"/>
      <c r="AH121" s="41"/>
      <c r="AS121" s="213"/>
      <c r="AT121" s="13"/>
      <c r="AU121" s="13"/>
    </row>
    <row r="122" spans="1:47" ht="25" customHeight="1" thickBot="1" x14ac:dyDescent="0.25">
      <c r="A122" s="195" t="str">
        <f t="shared" si="114"/>
        <v/>
      </c>
      <c r="B122" s="517" t="s">
        <v>374</v>
      </c>
      <c r="C122" s="518"/>
      <c r="D122" s="518"/>
      <c r="E122" s="518"/>
      <c r="F122" s="269"/>
      <c r="G122" s="269"/>
      <c r="H122" s="271"/>
      <c r="I122" s="271"/>
      <c r="J122" s="320"/>
      <c r="K122" s="321"/>
      <c r="L122" s="322"/>
      <c r="M122" s="477" t="str">
        <f>B122</f>
        <v>Drains</v>
      </c>
      <c r="N122" s="478"/>
      <c r="O122" s="478"/>
      <c r="P122" s="478"/>
      <c r="Q122" s="478"/>
      <c r="R122" s="478"/>
      <c r="S122" s="478"/>
      <c r="T122" s="479"/>
      <c r="U122" s="480" t="str">
        <f>B122</f>
        <v>Drains</v>
      </c>
      <c r="V122" s="481"/>
      <c r="X122" s="24"/>
      <c r="Y122" s="24"/>
      <c r="Z122" s="190"/>
      <c r="AA122" s="190"/>
      <c r="AB122" s="190"/>
      <c r="AC122" s="24"/>
      <c r="AD122" s="24"/>
      <c r="AE122" s="190"/>
      <c r="AF122" s="190"/>
      <c r="AT122" s="13"/>
      <c r="AU122" s="13"/>
    </row>
    <row r="123" spans="1:47" ht="16" thickBot="1" x14ac:dyDescent="0.25">
      <c r="A123" s="195" t="str">
        <f t="shared" si="114"/>
        <v>X</v>
      </c>
      <c r="B123" s="482" t="s">
        <v>375</v>
      </c>
      <c r="C123" s="483"/>
      <c r="D123" s="483"/>
      <c r="E123" s="483"/>
      <c r="F123" s="22"/>
      <c r="G123" s="217" t="s">
        <v>121</v>
      </c>
      <c r="H123" s="247">
        <v>8</v>
      </c>
      <c r="I123" s="218">
        <f>(H123/100)*(100+$F$125)</f>
        <v>8</v>
      </c>
      <c r="J123" s="219">
        <v>0.3</v>
      </c>
      <c r="K123" s="297">
        <f t="shared" ref="K123:K124" si="158">F123*I123*(1+J123)</f>
        <v>0</v>
      </c>
      <c r="L123" s="281"/>
      <c r="M123" s="230" t="str">
        <f>B123</f>
        <v>Aco Drain per linear meter</v>
      </c>
      <c r="N123" s="229">
        <v>1</v>
      </c>
      <c r="O123" s="222">
        <f>F123*N123</f>
        <v>0</v>
      </c>
      <c r="P123" s="218">
        <f>$D$155</f>
        <v>30.63</v>
      </c>
      <c r="Q123" s="218">
        <f>(P123/100)*(100+$F$125)</f>
        <v>30.630000000000003</v>
      </c>
      <c r="R123" s="223">
        <v>1</v>
      </c>
      <c r="S123" s="224">
        <f t="shared" ref="S123:S124" si="159">(O123*Q123*(1+R123))</f>
        <v>0</v>
      </c>
      <c r="T123" s="225">
        <f t="shared" ref="T123:T124" si="160">K123+S123</f>
        <v>0</v>
      </c>
      <c r="U123" s="313">
        <f>F123*H123*1.1</f>
        <v>0</v>
      </c>
      <c r="V123" s="314">
        <f>O123*$E$155</f>
        <v>0</v>
      </c>
      <c r="W123" s="191" t="s">
        <v>615</v>
      </c>
      <c r="X123" s="24"/>
      <c r="Y123" s="24"/>
      <c r="Z123" s="190"/>
      <c r="AA123" s="190"/>
      <c r="AB123" s="190"/>
      <c r="AC123" s="24"/>
      <c r="AD123" s="24"/>
      <c r="AE123" s="190"/>
      <c r="AF123" s="190"/>
      <c r="AT123" s="12">
        <f>IF(F123&lt;&gt;"",1,0)</f>
        <v>0</v>
      </c>
      <c r="AU123" s="12">
        <f>IF(AND(SUM(AT:AT)&gt;0,F123=""),1,0)</f>
        <v>1</v>
      </c>
    </row>
    <row r="124" spans="1:47" ht="16" thickBot="1" x14ac:dyDescent="0.25">
      <c r="A124" s="195" t="str">
        <f t="shared" si="114"/>
        <v>X</v>
      </c>
      <c r="B124" s="482" t="s">
        <v>376</v>
      </c>
      <c r="C124" s="483"/>
      <c r="D124" s="483"/>
      <c r="E124" s="483"/>
      <c r="F124" s="19"/>
      <c r="G124" s="217" t="s">
        <v>121</v>
      </c>
      <c r="H124" s="247">
        <v>2.41</v>
      </c>
      <c r="I124" s="218">
        <f>(H124/100)*(100+$F$125)</f>
        <v>2.41</v>
      </c>
      <c r="J124" s="219">
        <v>0.3</v>
      </c>
      <c r="K124" s="297">
        <f t="shared" si="158"/>
        <v>0</v>
      </c>
      <c r="L124" s="281"/>
      <c r="M124" s="230" t="str">
        <f>B124</f>
        <v>French Drain per linear meter</v>
      </c>
      <c r="N124" s="222">
        <f>40/60</f>
        <v>0.66666666666666663</v>
      </c>
      <c r="O124" s="222">
        <f>F124*N124</f>
        <v>0</v>
      </c>
      <c r="P124" s="218">
        <f>$D$155</f>
        <v>30.63</v>
      </c>
      <c r="Q124" s="218">
        <f>(P124/100)*(100+$F$125)</f>
        <v>30.630000000000003</v>
      </c>
      <c r="R124" s="223">
        <v>1</v>
      </c>
      <c r="S124" s="224">
        <f t="shared" si="159"/>
        <v>0</v>
      </c>
      <c r="T124" s="225">
        <f t="shared" si="160"/>
        <v>0</v>
      </c>
      <c r="U124" s="313">
        <f>F124*H124*1.1</f>
        <v>0</v>
      </c>
      <c r="V124" s="314">
        <f>O124*$E$155</f>
        <v>0</v>
      </c>
      <c r="W124" s="191" t="s">
        <v>615</v>
      </c>
      <c r="X124" s="24"/>
      <c r="Y124" s="24"/>
      <c r="Z124" s="190"/>
      <c r="AA124" s="190"/>
      <c r="AB124" s="190"/>
      <c r="AC124" s="24"/>
      <c r="AD124" s="24"/>
      <c r="AE124" s="190"/>
      <c r="AF124" s="190"/>
      <c r="AT124" s="12">
        <f>IF(F124&lt;&gt;"",1,0)</f>
        <v>0</v>
      </c>
      <c r="AU124" s="12">
        <f>IF(AND(SUM(AT:AT)&gt;0,F124=""),1,0)</f>
        <v>1</v>
      </c>
    </row>
    <row r="125" spans="1:47" ht="16" thickBot="1" x14ac:dyDescent="0.25">
      <c r="A125" s="195" t="str">
        <f t="shared" si="114"/>
        <v/>
      </c>
      <c r="B125" s="484" t="s">
        <v>473</v>
      </c>
      <c r="C125" s="485"/>
      <c r="D125" s="485"/>
      <c r="E125" s="485"/>
      <c r="F125" s="123">
        <v>0</v>
      </c>
      <c r="G125" s="234"/>
      <c r="H125" s="235"/>
      <c r="I125" s="235"/>
      <c r="J125" s="236" t="s">
        <v>152</v>
      </c>
      <c r="K125" s="299">
        <f>SUM(K123:K124)</f>
        <v>0</v>
      </c>
      <c r="L125" s="289"/>
      <c r="M125" s="486" t="s">
        <v>152</v>
      </c>
      <c r="N125" s="487"/>
      <c r="O125" s="238">
        <f>SUM(O123:O124)</f>
        <v>0</v>
      </c>
      <c r="P125" s="239"/>
      <c r="Q125" s="239"/>
      <c r="R125" s="240"/>
      <c r="S125" s="323">
        <f>SUM(S123:S124)</f>
        <v>0</v>
      </c>
      <c r="T125" s="242">
        <f>SUM(T123:T124)</f>
        <v>0</v>
      </c>
      <c r="U125" s="290">
        <f>SUM(U123:U124)</f>
        <v>0</v>
      </c>
      <c r="V125" s="244">
        <f>SUM(V123:V124)</f>
        <v>0</v>
      </c>
      <c r="W125" s="245"/>
      <c r="X125" s="24"/>
      <c r="Y125" s="24"/>
      <c r="Z125" s="190"/>
      <c r="AA125" s="190"/>
      <c r="AB125" s="190"/>
      <c r="AC125" s="24"/>
      <c r="AD125" s="24"/>
      <c r="AE125" s="190"/>
      <c r="AF125" s="190"/>
      <c r="AT125" s="13"/>
      <c r="AU125" s="13"/>
    </row>
    <row r="126" spans="1:47" s="184" customFormat="1" ht="5" customHeight="1" thickBot="1" x14ac:dyDescent="0.25">
      <c r="A126" s="195"/>
      <c r="B126" s="199"/>
      <c r="C126" s="199"/>
      <c r="D126" s="199"/>
      <c r="E126" s="199"/>
      <c r="F126" s="200"/>
      <c r="G126" s="201"/>
      <c r="H126" s="202"/>
      <c r="I126" s="202"/>
      <c r="J126" s="203"/>
      <c r="K126" s="204"/>
      <c r="L126" s="205"/>
      <c r="M126" s="203"/>
      <c r="N126" s="203"/>
      <c r="O126" s="206"/>
      <c r="P126" s="206"/>
      <c r="Q126" s="206"/>
      <c r="R126" s="207"/>
      <c r="S126" s="208"/>
      <c r="T126" s="209"/>
      <c r="U126" s="204"/>
      <c r="V126" s="210"/>
      <c r="W126" s="211"/>
      <c r="X126" s="124"/>
      <c r="Y126" s="124"/>
      <c r="Z126" s="124"/>
      <c r="AA126" s="124"/>
      <c r="AB126" s="212"/>
      <c r="AC126" s="124"/>
      <c r="AD126" s="124"/>
      <c r="AE126" s="124"/>
      <c r="AF126" s="124"/>
      <c r="AG126" s="41"/>
      <c r="AH126" s="41"/>
      <c r="AS126" s="213"/>
      <c r="AT126" s="13"/>
      <c r="AU126" s="13"/>
    </row>
    <row r="127" spans="1:47" ht="25" customHeight="1" thickBot="1" x14ac:dyDescent="0.25">
      <c r="A127" s="195" t="str">
        <f t="shared" si="114"/>
        <v/>
      </c>
      <c r="B127" s="475" t="s">
        <v>417</v>
      </c>
      <c r="C127" s="476"/>
      <c r="D127" s="476"/>
      <c r="E127" s="476"/>
      <c r="F127" s="476"/>
      <c r="G127" s="476"/>
      <c r="H127" s="476"/>
      <c r="I127" s="197"/>
      <c r="J127" s="320"/>
      <c r="K127" s="321"/>
      <c r="L127" s="322"/>
      <c r="M127" s="477" t="str">
        <f>B127</f>
        <v>External Wall - Aquaban Water Repellant Treatments</v>
      </c>
      <c r="N127" s="478"/>
      <c r="O127" s="478"/>
      <c r="P127" s="478"/>
      <c r="Q127" s="478"/>
      <c r="R127" s="478"/>
      <c r="S127" s="478"/>
      <c r="T127" s="479"/>
      <c r="U127" s="480" t="str">
        <f>B127</f>
        <v>External Wall - Aquaban Water Repellant Treatments</v>
      </c>
      <c r="V127" s="481"/>
      <c r="X127" s="24"/>
      <c r="Y127" s="24"/>
      <c r="Z127" s="190"/>
      <c r="AA127" s="190"/>
      <c r="AB127" s="190"/>
      <c r="AC127" s="24"/>
      <c r="AD127" s="24"/>
      <c r="AE127" s="190"/>
      <c r="AF127" s="190"/>
      <c r="AT127" s="13"/>
      <c r="AU127" s="13"/>
    </row>
    <row r="128" spans="1:47" ht="16" thickBot="1" x14ac:dyDescent="0.25">
      <c r="A128" s="195" t="str">
        <f t="shared" si="114"/>
        <v>X</v>
      </c>
      <c r="B128" s="482" t="s">
        <v>416</v>
      </c>
      <c r="C128" s="483"/>
      <c r="D128" s="483"/>
      <c r="E128" s="483"/>
      <c r="F128" s="22"/>
      <c r="G128" s="217" t="s">
        <v>116</v>
      </c>
      <c r="H128" s="267">
        <f>IF(F128=0,0,(_xlfn.CEILING.MATH(F128,25)*((12.5/25)*1.1))/F128)</f>
        <v>0</v>
      </c>
      <c r="I128" s="218">
        <f>(H128/100)*(100+$F$129)</f>
        <v>0</v>
      </c>
      <c r="J128" s="219">
        <v>0.3</v>
      </c>
      <c r="K128" s="297">
        <f>F128*I128*(1+J128)</f>
        <v>0</v>
      </c>
      <c r="L128" s="281"/>
      <c r="M128" s="230" t="str">
        <f>B128</f>
        <v>Aquaban water repellent system</v>
      </c>
      <c r="N128" s="229">
        <f>1/20</f>
        <v>0.05</v>
      </c>
      <c r="O128" s="222">
        <f>IF(F128=0,0,IF(F128=0,0,IF(F128&lt;54,(N128*54),(N128*F128))))</f>
        <v>0</v>
      </c>
      <c r="P128" s="218">
        <f>$D$155</f>
        <v>30.63</v>
      </c>
      <c r="Q128" s="218">
        <f>(P128/100)*(100+$F$129)</f>
        <v>30.630000000000003</v>
      </c>
      <c r="R128" s="223">
        <v>1</v>
      </c>
      <c r="S128" s="224">
        <f>(O128*Q128*(1+R128))</f>
        <v>0</v>
      </c>
      <c r="T128" s="225">
        <f t="shared" ref="T128" si="161">K128+S128</f>
        <v>0</v>
      </c>
      <c r="U128" s="313">
        <f>F128*H128*1.1</f>
        <v>0</v>
      </c>
      <c r="V128" s="314">
        <f>O128*$E$155</f>
        <v>0</v>
      </c>
      <c r="W128" s="191" t="s">
        <v>615</v>
      </c>
      <c r="X128" s="24"/>
      <c r="Y128" s="24"/>
      <c r="Z128" s="190"/>
      <c r="AA128" s="190"/>
      <c r="AB128" s="190"/>
      <c r="AC128" s="24"/>
      <c r="AD128" s="24"/>
      <c r="AE128" s="190"/>
      <c r="AF128" s="190"/>
      <c r="AT128" s="12">
        <f>IF(F128&lt;&gt;"",1,0)</f>
        <v>0</v>
      </c>
      <c r="AU128" s="12">
        <f>IF(AND(SUM(AT:AT)&gt;0,F128=""),1,0)</f>
        <v>1</v>
      </c>
    </row>
    <row r="129" spans="1:47" ht="16" thickBot="1" x14ac:dyDescent="0.25">
      <c r="A129" s="195" t="str">
        <f t="shared" si="114"/>
        <v/>
      </c>
      <c r="B129" s="484" t="s">
        <v>473</v>
      </c>
      <c r="C129" s="485"/>
      <c r="D129" s="485"/>
      <c r="E129" s="485"/>
      <c r="F129" s="123">
        <v>0</v>
      </c>
      <c r="G129" s="234"/>
      <c r="H129" s="235"/>
      <c r="I129" s="235"/>
      <c r="J129" s="236" t="s">
        <v>152</v>
      </c>
      <c r="K129" s="299">
        <f>SUM(K128:K128)</f>
        <v>0</v>
      </c>
      <c r="L129" s="289"/>
      <c r="M129" s="486" t="s">
        <v>152</v>
      </c>
      <c r="N129" s="487"/>
      <c r="O129" s="238">
        <f>SUM(O128:O128)</f>
        <v>0</v>
      </c>
      <c r="P129" s="239"/>
      <c r="Q129" s="239"/>
      <c r="R129" s="240"/>
      <c r="S129" s="323">
        <f>SUM(S128:S128)</f>
        <v>0</v>
      </c>
      <c r="T129" s="242">
        <f>SUM(T128:T128)</f>
        <v>0</v>
      </c>
      <c r="U129" s="290">
        <f>SUM(U128:U128)</f>
        <v>0</v>
      </c>
      <c r="V129" s="244">
        <f>SUM(V128:V128)</f>
        <v>0</v>
      </c>
      <c r="W129" s="245"/>
      <c r="X129" s="24"/>
      <c r="Y129" s="24"/>
      <c r="Z129" s="190"/>
      <c r="AA129" s="190"/>
      <c r="AB129" s="190"/>
      <c r="AC129" s="24"/>
      <c r="AD129" s="24"/>
      <c r="AE129" s="190"/>
      <c r="AF129" s="190"/>
      <c r="AT129" s="13"/>
      <c r="AU129" s="13"/>
    </row>
    <row r="130" spans="1:47" s="184" customFormat="1" ht="5" customHeight="1" thickBot="1" x14ac:dyDescent="0.25">
      <c r="A130" s="195"/>
      <c r="B130" s="199"/>
      <c r="C130" s="199"/>
      <c r="D130" s="199"/>
      <c r="E130" s="199"/>
      <c r="F130" s="200"/>
      <c r="G130" s="201"/>
      <c r="H130" s="202"/>
      <c r="I130" s="202"/>
      <c r="J130" s="203"/>
      <c r="K130" s="204"/>
      <c r="L130" s="205"/>
      <c r="M130" s="203"/>
      <c r="N130" s="203"/>
      <c r="O130" s="206"/>
      <c r="P130" s="206"/>
      <c r="Q130" s="206"/>
      <c r="R130" s="207"/>
      <c r="S130" s="208"/>
      <c r="T130" s="209"/>
      <c r="U130" s="204"/>
      <c r="V130" s="210"/>
      <c r="W130" s="211"/>
      <c r="X130" s="124"/>
      <c r="Y130" s="124"/>
      <c r="Z130" s="124"/>
      <c r="AA130" s="124"/>
      <c r="AB130" s="212"/>
      <c r="AC130" s="124"/>
      <c r="AD130" s="124"/>
      <c r="AE130" s="124"/>
      <c r="AF130" s="124"/>
      <c r="AG130" s="41"/>
      <c r="AH130" s="41"/>
      <c r="AS130" s="213"/>
      <c r="AT130" s="13"/>
      <c r="AU130" s="13"/>
    </row>
    <row r="131" spans="1:47" ht="25" customHeight="1" thickBot="1" x14ac:dyDescent="0.25">
      <c r="A131" s="195" t="str">
        <f t="shared" ref="A131:A133" si="162">IF(AU131=1,"X","")</f>
        <v/>
      </c>
      <c r="B131" s="475" t="s">
        <v>680</v>
      </c>
      <c r="C131" s="476"/>
      <c r="D131" s="476"/>
      <c r="E131" s="476"/>
      <c r="F131" s="476"/>
      <c r="G131" s="476"/>
      <c r="H131" s="476"/>
      <c r="I131" s="197"/>
      <c r="J131" s="320"/>
      <c r="K131" s="321"/>
      <c r="L131" s="322"/>
      <c r="M131" s="477" t="str">
        <f>B131</f>
        <v>Asbestos Testing</v>
      </c>
      <c r="N131" s="478"/>
      <c r="O131" s="478"/>
      <c r="P131" s="478"/>
      <c r="Q131" s="478"/>
      <c r="R131" s="478"/>
      <c r="S131" s="478"/>
      <c r="T131" s="479"/>
      <c r="U131" s="480" t="str">
        <f>B131</f>
        <v>Asbestos Testing</v>
      </c>
      <c r="V131" s="481"/>
      <c r="X131" s="24"/>
      <c r="Y131" s="24"/>
      <c r="Z131" s="190"/>
      <c r="AA131" s="190"/>
      <c r="AB131" s="190"/>
      <c r="AC131" s="24"/>
      <c r="AD131" s="24"/>
      <c r="AE131" s="190"/>
      <c r="AF131" s="190"/>
      <c r="AT131" s="13"/>
      <c r="AU131" s="13"/>
    </row>
    <row r="132" spans="1:47" ht="16" thickBot="1" x14ac:dyDescent="0.25">
      <c r="A132" s="195" t="str">
        <f t="shared" si="162"/>
        <v>X</v>
      </c>
      <c r="B132" s="482" t="s">
        <v>680</v>
      </c>
      <c r="C132" s="483"/>
      <c r="D132" s="483"/>
      <c r="E132" s="483"/>
      <c r="F132" s="19"/>
      <c r="G132" s="217" t="s">
        <v>119</v>
      </c>
      <c r="H132" s="423">
        <v>30</v>
      </c>
      <c r="I132" s="218">
        <f>(H132/100)*(100+$F$129)</f>
        <v>30</v>
      </c>
      <c r="J132" s="219">
        <v>0.3</v>
      </c>
      <c r="K132" s="297">
        <f>F132*I132*(1+J132)</f>
        <v>0</v>
      </c>
      <c r="L132" s="281"/>
      <c r="M132" s="233" t="str">
        <f>B132</f>
        <v>Asbestos Testing</v>
      </c>
      <c r="N132" s="229">
        <v>0.64</v>
      </c>
      <c r="O132" s="222">
        <f>F132*N132</f>
        <v>0</v>
      </c>
      <c r="P132" s="218">
        <f>$D$155</f>
        <v>30.63</v>
      </c>
      <c r="Q132" s="218">
        <f>(P132/100)*(100+$F$133)</f>
        <v>30.630000000000003</v>
      </c>
      <c r="R132" s="223">
        <v>1</v>
      </c>
      <c r="S132" s="224">
        <f>(O132*Q132*(1+R132))</f>
        <v>0</v>
      </c>
      <c r="T132" s="225">
        <f t="shared" ref="T132" si="163">K132+S132</f>
        <v>0</v>
      </c>
      <c r="U132" s="313">
        <f>F132*H132*1.1</f>
        <v>0</v>
      </c>
      <c r="V132" s="314">
        <f>O132*$E$155</f>
        <v>0</v>
      </c>
      <c r="W132" s="191" t="s">
        <v>615</v>
      </c>
      <c r="X132" s="24"/>
      <c r="Y132" s="24"/>
      <c r="Z132" s="190"/>
      <c r="AA132" s="190"/>
      <c r="AB132" s="190"/>
      <c r="AC132" s="24"/>
      <c r="AD132" s="24"/>
      <c r="AE132" s="190"/>
      <c r="AF132" s="190"/>
      <c r="AT132" s="12">
        <f>IF(F132&lt;&gt;"",1,0)</f>
        <v>0</v>
      </c>
      <c r="AU132" s="12">
        <f>IF(AND(SUM(AT:AT)&gt;0,F132=""),1,0)</f>
        <v>1</v>
      </c>
    </row>
    <row r="133" spans="1:47" ht="16" thickBot="1" x14ac:dyDescent="0.25">
      <c r="A133" s="195" t="str">
        <f t="shared" si="162"/>
        <v/>
      </c>
      <c r="B133" s="484" t="s">
        <v>473</v>
      </c>
      <c r="C133" s="485"/>
      <c r="D133" s="485"/>
      <c r="E133" s="485"/>
      <c r="F133" s="123">
        <v>0</v>
      </c>
      <c r="G133" s="234"/>
      <c r="H133" s="235"/>
      <c r="I133" s="235"/>
      <c r="J133" s="236" t="s">
        <v>152</v>
      </c>
      <c r="K133" s="299">
        <f>SUM(K132:K132)</f>
        <v>0</v>
      </c>
      <c r="L133" s="289"/>
      <c r="M133" s="486" t="s">
        <v>152</v>
      </c>
      <c r="N133" s="487"/>
      <c r="O133" s="238">
        <f>SUM(O132:O132)</f>
        <v>0</v>
      </c>
      <c r="P133" s="239"/>
      <c r="Q133" s="239"/>
      <c r="R133" s="240"/>
      <c r="S133" s="323">
        <f>SUM(S132:S132)</f>
        <v>0</v>
      </c>
      <c r="T133" s="242">
        <f>SUM(T132:T132)</f>
        <v>0</v>
      </c>
      <c r="U133" s="290">
        <f>SUM(U132:U132)</f>
        <v>0</v>
      </c>
      <c r="V133" s="244">
        <f>SUM(V132:V132)</f>
        <v>0</v>
      </c>
      <c r="W133" s="245"/>
      <c r="X133" s="24"/>
      <c r="Y133" s="24"/>
      <c r="Z133" s="190"/>
      <c r="AA133" s="190"/>
      <c r="AB133" s="190"/>
      <c r="AC133" s="24"/>
      <c r="AD133" s="24"/>
      <c r="AE133" s="190"/>
      <c r="AF133" s="190"/>
      <c r="AT133" s="13"/>
      <c r="AU133" s="13"/>
    </row>
    <row r="134" spans="1:47" s="184" customFormat="1" ht="5" customHeight="1" thickBot="1" x14ac:dyDescent="0.25">
      <c r="A134" s="195"/>
      <c r="B134" s="199"/>
      <c r="C134" s="199"/>
      <c r="D134" s="199"/>
      <c r="E134" s="199"/>
      <c r="F134" s="200"/>
      <c r="G134" s="201"/>
      <c r="H134" s="202"/>
      <c r="I134" s="202"/>
      <c r="J134" s="203"/>
      <c r="K134" s="204"/>
      <c r="L134" s="205"/>
      <c r="M134" s="203"/>
      <c r="N134" s="203"/>
      <c r="O134" s="206"/>
      <c r="P134" s="206"/>
      <c r="Q134" s="206"/>
      <c r="R134" s="207"/>
      <c r="S134" s="208"/>
      <c r="T134" s="209"/>
      <c r="U134" s="204"/>
      <c r="V134" s="210"/>
      <c r="W134" s="211"/>
      <c r="X134" s="124"/>
      <c r="Y134" s="124"/>
      <c r="Z134" s="124"/>
      <c r="AA134" s="124"/>
      <c r="AB134" s="212"/>
      <c r="AC134" s="124"/>
      <c r="AD134" s="124"/>
      <c r="AE134" s="124"/>
      <c r="AF134" s="124"/>
      <c r="AG134" s="41"/>
      <c r="AH134" s="41"/>
      <c r="AS134" s="213"/>
      <c r="AT134" s="13"/>
      <c r="AU134" s="13"/>
    </row>
    <row r="135" spans="1:47" ht="25" customHeight="1" thickBot="1" x14ac:dyDescent="0.25">
      <c r="A135" s="195" t="str">
        <f t="shared" ref="A135:A151" si="164">IF(AU135=1,"X","")</f>
        <v/>
      </c>
      <c r="B135" s="634" t="s">
        <v>27</v>
      </c>
      <c r="C135" s="635"/>
      <c r="D135" s="635"/>
      <c r="E135" s="635"/>
      <c r="F135" s="635"/>
      <c r="G135" s="324"/>
      <c r="H135" s="325"/>
      <c r="I135" s="325"/>
      <c r="J135" s="325"/>
      <c r="K135" s="326"/>
      <c r="L135" s="292"/>
      <c r="M135" s="602" t="str">
        <f>B135</f>
        <v>Skip hire 8yd</v>
      </c>
      <c r="N135" s="603"/>
      <c r="O135" s="603"/>
      <c r="P135" s="603"/>
      <c r="Q135" s="603"/>
      <c r="R135" s="603"/>
      <c r="S135" s="603"/>
      <c r="T135" s="604"/>
      <c r="U135" s="480" t="str">
        <f>B135</f>
        <v>Skip hire 8yd</v>
      </c>
      <c r="V135" s="481"/>
      <c r="X135" s="24"/>
      <c r="Y135" s="24"/>
      <c r="Z135" s="190"/>
      <c r="AA135" s="190"/>
      <c r="AB135" s="190"/>
      <c r="AC135" s="24"/>
      <c r="AD135" s="24"/>
      <c r="AE135" s="190"/>
      <c r="AF135" s="190"/>
      <c r="AT135" s="13"/>
      <c r="AU135" s="13"/>
    </row>
    <row r="136" spans="1:47" ht="15" customHeight="1" thickBot="1" x14ac:dyDescent="0.25">
      <c r="A136" s="195" t="str">
        <f t="shared" si="164"/>
        <v>X</v>
      </c>
      <c r="B136" s="533" t="s">
        <v>12</v>
      </c>
      <c r="C136" s="534"/>
      <c r="D136" s="534"/>
      <c r="E136" s="535"/>
      <c r="F136" s="19"/>
      <c r="G136" s="327" t="s">
        <v>119</v>
      </c>
      <c r="H136" s="328">
        <v>270</v>
      </c>
      <c r="I136" s="328">
        <f>(H136/100)*(100+$B$140)</f>
        <v>270</v>
      </c>
      <c r="J136" s="329">
        <v>0.3</v>
      </c>
      <c r="K136" s="251">
        <f>F136*I136*(1+J136)</f>
        <v>0</v>
      </c>
      <c r="L136" s="289"/>
      <c r="M136" s="230" t="str">
        <f>B136</f>
        <v>Rubbish removal skips</v>
      </c>
      <c r="N136" s="229">
        <v>0</v>
      </c>
      <c r="O136" s="222">
        <v>0</v>
      </c>
      <c r="P136" s="218">
        <f>D155</f>
        <v>30.63</v>
      </c>
      <c r="Q136" s="218">
        <f>P136</f>
        <v>30.63</v>
      </c>
      <c r="R136" s="223">
        <v>1</v>
      </c>
      <c r="S136" s="224">
        <f>(O136*Q136*(1+R136))</f>
        <v>0</v>
      </c>
      <c r="T136" s="330">
        <f t="shared" ref="T136" si="165">K136+S136</f>
        <v>0</v>
      </c>
      <c r="U136" s="290">
        <v>0</v>
      </c>
      <c r="V136" s="331">
        <v>0</v>
      </c>
      <c r="X136" s="24"/>
      <c r="Y136" s="24"/>
      <c r="Z136" s="190"/>
      <c r="AA136" s="190"/>
      <c r="AB136" s="190"/>
      <c r="AC136" s="24"/>
      <c r="AD136" s="24"/>
      <c r="AE136" s="190"/>
      <c r="AF136" s="190"/>
      <c r="AT136" s="12">
        <f>IF(F136&lt;&gt;"",1,0)</f>
        <v>0</v>
      </c>
      <c r="AU136" s="12">
        <f>IF(AND(SUM(AT:AT)&gt;0,F136=""),1,0)</f>
        <v>1</v>
      </c>
    </row>
    <row r="137" spans="1:47" s="184" customFormat="1" ht="5" customHeight="1" thickBot="1" x14ac:dyDescent="0.25">
      <c r="A137" s="195"/>
      <c r="B137" s="199"/>
      <c r="C137" s="199"/>
      <c r="D137" s="199"/>
      <c r="E137" s="199"/>
      <c r="F137" s="200"/>
      <c r="G137" s="201"/>
      <c r="H137" s="202"/>
      <c r="I137" s="202"/>
      <c r="J137" s="203"/>
      <c r="K137" s="204"/>
      <c r="L137" s="205"/>
      <c r="M137" s="332"/>
      <c r="N137" s="332"/>
      <c r="O137" s="333"/>
      <c r="P137" s="333"/>
      <c r="Q137" s="333"/>
      <c r="R137" s="334"/>
      <c r="S137" s="335"/>
      <c r="T137" s="336"/>
      <c r="U137" s="204"/>
      <c r="V137" s="210"/>
      <c r="W137" s="211"/>
      <c r="X137" s="124"/>
      <c r="Y137" s="124"/>
      <c r="Z137" s="124"/>
      <c r="AA137" s="124"/>
      <c r="AB137" s="212"/>
      <c r="AC137" s="124"/>
      <c r="AD137" s="124"/>
      <c r="AE137" s="124"/>
      <c r="AF137" s="124"/>
      <c r="AG137" s="41"/>
      <c r="AH137" s="41"/>
      <c r="AS137" s="213"/>
      <c r="AT137" s="13"/>
      <c r="AU137" s="13"/>
    </row>
    <row r="138" spans="1:47" x14ac:dyDescent="0.2">
      <c r="A138" s="191" t="str">
        <f t="shared" si="164"/>
        <v/>
      </c>
      <c r="B138" s="531"/>
      <c r="C138" s="532"/>
      <c r="D138" s="532"/>
      <c r="E138" s="532"/>
      <c r="F138" s="532"/>
      <c r="G138" s="269"/>
      <c r="H138" s="301"/>
      <c r="I138" s="301"/>
      <c r="J138" s="301"/>
      <c r="K138" s="337"/>
      <c r="L138" s="268"/>
      <c r="M138" s="338"/>
      <c r="N138" s="339"/>
      <c r="O138" s="340"/>
      <c r="P138" s="340"/>
      <c r="Q138" s="340"/>
      <c r="R138" s="341"/>
      <c r="S138" s="341"/>
      <c r="T138" s="342"/>
      <c r="U138" s="343"/>
      <c r="V138" s="344"/>
      <c r="AT138" s="13"/>
      <c r="AU138" s="13"/>
    </row>
    <row r="139" spans="1:47" ht="12.5" customHeight="1" thickBot="1" x14ac:dyDescent="0.25">
      <c r="A139" s="191" t="str">
        <f t="shared" si="164"/>
        <v/>
      </c>
      <c r="B139" s="257"/>
      <c r="C139" s="269"/>
      <c r="D139" s="269"/>
      <c r="E139" s="521" t="s">
        <v>13</v>
      </c>
      <c r="F139" s="522"/>
      <c r="G139" s="345"/>
      <c r="H139" s="346"/>
      <c r="I139" s="346"/>
      <c r="J139" s="347"/>
      <c r="K139" s="348">
        <f>K26+K36+K58+K66+K74+K85+K109+K115+K120+K125+K129+K136</f>
        <v>314.45699999999999</v>
      </c>
      <c r="L139" s="279"/>
      <c r="M139" s="490" t="s">
        <v>45</v>
      </c>
      <c r="N139" s="491"/>
      <c r="O139" s="491"/>
      <c r="P139" s="491"/>
      <c r="Q139" s="491"/>
      <c r="R139" s="491"/>
      <c r="S139" s="491"/>
      <c r="T139" s="491"/>
      <c r="U139" s="513" t="s">
        <v>66</v>
      </c>
      <c r="V139" s="514"/>
      <c r="AT139" s="13"/>
      <c r="AU139" s="13"/>
    </row>
    <row r="140" spans="1:47" ht="17" thickTop="1" thickBot="1" x14ac:dyDescent="0.25">
      <c r="A140" s="191" t="str">
        <f t="shared" si="164"/>
        <v/>
      </c>
      <c r="B140" s="257"/>
      <c r="C140" s="269"/>
      <c r="D140" s="269"/>
      <c r="E140" s="521" t="s">
        <v>14</v>
      </c>
      <c r="F140" s="522"/>
      <c r="G140" s="523"/>
      <c r="H140" s="536">
        <f>O140</f>
        <v>3.3249999999999997</v>
      </c>
      <c r="I140" s="537"/>
      <c r="J140" s="538"/>
      <c r="K140" s="348">
        <f>S26+S36+S58+S66+S74+S85+S109+S115+S120+S125+S129+S136</f>
        <v>203.68950000000001</v>
      </c>
      <c r="L140" s="279"/>
      <c r="M140" s="349" t="s">
        <v>11</v>
      </c>
      <c r="N140" s="255"/>
      <c r="O140" s="350">
        <f>O26+O36+O58+O66+O74+O85+O109+O115+O120+O125+O129</f>
        <v>3.3249999999999997</v>
      </c>
      <c r="P140" s="258"/>
      <c r="Q140" s="258"/>
      <c r="R140" s="351"/>
      <c r="S140" s="351"/>
      <c r="T140" s="352"/>
      <c r="U140" s="353">
        <f>U26+U36+U58+U66+U74+U85+U109+U115+U120+U125+U129</f>
        <v>266.07900000000001</v>
      </c>
      <c r="V140" s="354">
        <f>V26+V36+V58+V66+V74+V85+V109+V115+V120+V125+V129</f>
        <v>93.100000000000009</v>
      </c>
      <c r="AT140" s="13"/>
      <c r="AU140" s="13"/>
    </row>
    <row r="141" spans="1:47" ht="16" thickTop="1" x14ac:dyDescent="0.2">
      <c r="A141" s="191" t="str">
        <f t="shared" si="164"/>
        <v/>
      </c>
      <c r="B141" s="257"/>
      <c r="C141" s="269"/>
      <c r="D141" s="269"/>
      <c r="E141" s="355"/>
      <c r="F141" s="356"/>
      <c r="G141" s="356"/>
      <c r="H141" s="357" t="s">
        <v>28</v>
      </c>
      <c r="I141" s="357"/>
      <c r="J141" s="270"/>
      <c r="K141" s="415" t="e">
        <f>(F155*C155)+((K146*K147)*2)*J155</f>
        <v>#DIV/0!</v>
      </c>
      <c r="L141" s="279"/>
      <c r="M141" s="349" t="s">
        <v>30</v>
      </c>
      <c r="N141" s="255"/>
      <c r="O141" s="258" t="e">
        <f>K146*K147*2*K148/30</f>
        <v>#DIV/0!</v>
      </c>
      <c r="P141" s="258"/>
      <c r="Q141" s="258"/>
      <c r="R141" s="351"/>
      <c r="S141" s="351"/>
      <c r="T141" s="352"/>
      <c r="U141" s="358"/>
      <c r="V141" s="260"/>
      <c r="AT141" s="13"/>
      <c r="AU141" s="13"/>
    </row>
    <row r="142" spans="1:47" ht="16" thickBot="1" x14ac:dyDescent="0.25">
      <c r="A142" s="191" t="str">
        <f t="shared" si="164"/>
        <v/>
      </c>
      <c r="B142" s="257"/>
      <c r="C142" s="269"/>
      <c r="D142" s="269"/>
      <c r="E142" s="355"/>
      <c r="F142" s="356"/>
      <c r="G142" s="356"/>
      <c r="H142" s="359" t="s">
        <v>15</v>
      </c>
      <c r="I142" s="359"/>
      <c r="J142" s="360"/>
      <c r="K142" s="361" t="e">
        <f>SUM(K139:K141)</f>
        <v>#DIV/0!</v>
      </c>
      <c r="L142" s="279"/>
      <c r="M142" s="349" t="s">
        <v>46</v>
      </c>
      <c r="N142" s="255"/>
      <c r="O142" s="362" t="e">
        <f>SUM(O140:O141)</f>
        <v>#DIV/0!</v>
      </c>
      <c r="P142" s="258"/>
      <c r="Q142" s="258"/>
      <c r="R142" s="351"/>
      <c r="S142" s="351"/>
      <c r="T142" s="352"/>
      <c r="U142" s="358" t="s">
        <v>28</v>
      </c>
      <c r="V142" s="260" t="e">
        <f>K146*(K147*2)*0.45</f>
        <v>#DIV/0!</v>
      </c>
      <c r="AT142" s="13"/>
      <c r="AU142" s="13"/>
    </row>
    <row r="143" spans="1:47" ht="17" thickTop="1" thickBot="1" x14ac:dyDescent="0.25">
      <c r="A143" s="191" t="str">
        <f t="shared" si="164"/>
        <v/>
      </c>
      <c r="B143" s="257"/>
      <c r="C143" s="269"/>
      <c r="D143" s="269"/>
      <c r="E143" s="363"/>
      <c r="F143" s="364"/>
      <c r="G143" s="364"/>
      <c r="H143" s="365" t="s">
        <v>16</v>
      </c>
      <c r="I143" s="359"/>
      <c r="J143" s="360"/>
      <c r="K143" s="366" t="e">
        <f>K142*0.2</f>
        <v>#DIV/0!</v>
      </c>
      <c r="L143" s="279"/>
      <c r="M143" s="349"/>
      <c r="N143" s="255"/>
      <c r="O143" s="255"/>
      <c r="P143" s="255"/>
      <c r="Q143" s="255"/>
      <c r="R143" s="255"/>
      <c r="S143" s="255"/>
      <c r="T143" s="360"/>
      <c r="U143" s="358" t="s">
        <v>39</v>
      </c>
      <c r="V143" s="260" t="e">
        <f>U140+V140+V142</f>
        <v>#DIV/0!</v>
      </c>
      <c r="AS143" s="319"/>
      <c r="AT143" s="13"/>
      <c r="AU143" s="13"/>
    </row>
    <row r="144" spans="1:47" ht="17" thickTop="1" thickBot="1" x14ac:dyDescent="0.25">
      <c r="A144" s="191" t="str">
        <f t="shared" si="164"/>
        <v/>
      </c>
      <c r="B144" s="257"/>
      <c r="C144" s="269"/>
      <c r="D144" s="269"/>
      <c r="E144" s="363"/>
      <c r="F144" s="364"/>
      <c r="G144" s="364"/>
      <c r="H144" s="367" t="s">
        <v>26</v>
      </c>
      <c r="I144" s="368"/>
      <c r="J144" s="360"/>
      <c r="K144" s="369" t="e">
        <f>SUM(K142:K143)</f>
        <v>#DIV/0!</v>
      </c>
      <c r="L144" s="279"/>
      <c r="M144" s="370"/>
      <c r="N144" s="236"/>
      <c r="O144" s="236"/>
      <c r="P144" s="236"/>
      <c r="Q144" s="236"/>
      <c r="R144" s="236"/>
      <c r="S144" s="236"/>
      <c r="T144" s="371"/>
      <c r="U144" s="372"/>
      <c r="V144" s="373"/>
      <c r="AS144" s="319"/>
      <c r="AT144" s="13"/>
      <c r="AU144" s="13"/>
    </row>
    <row r="145" spans="1:47" ht="10.5" customHeight="1" thickBot="1" x14ac:dyDescent="0.25">
      <c r="A145" s="191" t="str">
        <f t="shared" si="164"/>
        <v/>
      </c>
      <c r="B145" s="257"/>
      <c r="C145" s="269"/>
      <c r="D145" s="269"/>
      <c r="E145" s="257"/>
      <c r="F145" s="356"/>
      <c r="G145" s="356"/>
      <c r="H145" s="360"/>
      <c r="I145" s="360"/>
      <c r="J145" s="360"/>
      <c r="K145" s="360"/>
      <c r="L145" s="374"/>
      <c r="M145" s="495" t="s">
        <v>170</v>
      </c>
      <c r="N145" s="496"/>
      <c r="O145" s="496"/>
      <c r="P145" s="496"/>
      <c r="Q145" s="496"/>
      <c r="R145" s="496"/>
      <c r="S145" s="496"/>
      <c r="T145" s="496"/>
      <c r="U145" s="496"/>
      <c r="V145" s="497"/>
      <c r="AS145" s="319"/>
      <c r="AT145" s="13"/>
      <c r="AU145" s="13"/>
    </row>
    <row r="146" spans="1:47" ht="22" customHeight="1" thickBot="1" x14ac:dyDescent="0.25">
      <c r="A146" s="191" t="str">
        <f t="shared" si="164"/>
        <v/>
      </c>
      <c r="B146" s="257"/>
      <c r="C146" s="269"/>
      <c r="D146" s="269"/>
      <c r="E146" s="257"/>
      <c r="F146" s="356"/>
      <c r="G146" s="356"/>
      <c r="H146" s="360"/>
      <c r="I146" s="360"/>
      <c r="J146" s="255" t="s">
        <v>29</v>
      </c>
      <c r="K146" s="375" t="e">
        <f>(ROUNDUP((O140/6.5)/K148,0))</f>
        <v>#DIV/0!</v>
      </c>
      <c r="L146" s="269"/>
      <c r="M146" s="498"/>
      <c r="N146" s="499"/>
      <c r="O146" s="499"/>
      <c r="P146" s="499"/>
      <c r="Q146" s="499"/>
      <c r="R146" s="499"/>
      <c r="S146" s="499"/>
      <c r="T146" s="499"/>
      <c r="U146" s="499"/>
      <c r="V146" s="500"/>
      <c r="AS146" s="319"/>
      <c r="AT146" s="13"/>
      <c r="AU146" s="13"/>
    </row>
    <row r="147" spans="1:47" ht="22" customHeight="1" thickBot="1" x14ac:dyDescent="0.25">
      <c r="A147" s="191" t="str">
        <f t="shared" si="164"/>
        <v>X</v>
      </c>
      <c r="B147" s="257"/>
      <c r="C147" s="269"/>
      <c r="D147" s="269"/>
      <c r="E147" s="257"/>
      <c r="F147" s="356"/>
      <c r="G147" s="356"/>
      <c r="H147" s="360"/>
      <c r="I147" s="360"/>
      <c r="J147" s="255" t="s">
        <v>68</v>
      </c>
      <c r="K147" s="376" t="str">
        <f>IF([1]Details!$C$12=0,"",[1]Details!$C$12)</f>
        <v/>
      </c>
      <c r="L147" s="269"/>
      <c r="M147" s="501" t="s">
        <v>414</v>
      </c>
      <c r="N147" s="502"/>
      <c r="O147" s="502"/>
      <c r="P147" s="502"/>
      <c r="Q147" s="502"/>
      <c r="R147" s="502"/>
      <c r="S147" s="492" t="s">
        <v>161</v>
      </c>
      <c r="T147" s="492"/>
      <c r="U147" s="506" t="e">
        <f>SUMIFS('CF CSV Upload'!P:P,'CF CSV Upload'!L:L,"No",'CF CSV Upload'!Q:Q,"Yes")</f>
        <v>#DIV/0!</v>
      </c>
      <c r="V147" s="507"/>
      <c r="AS147" s="319"/>
      <c r="AT147" s="12">
        <f>IF(K147&lt;&gt;"",1,0)</f>
        <v>0</v>
      </c>
      <c r="AU147" s="12">
        <f>IF(AND(SUM(AT:AT)&gt;0,K147=""),1,0)</f>
        <v>1</v>
      </c>
    </row>
    <row r="148" spans="1:47" ht="22" customHeight="1" thickBot="1" x14ac:dyDescent="0.25">
      <c r="A148" s="191" t="str">
        <f t="shared" si="164"/>
        <v>X</v>
      </c>
      <c r="B148" s="257"/>
      <c r="C148" s="269"/>
      <c r="D148" s="269"/>
      <c r="E148" s="257"/>
      <c r="F148" s="356"/>
      <c r="G148" s="356"/>
      <c r="H148" s="360"/>
      <c r="I148" s="360"/>
      <c r="J148" s="255" t="s">
        <v>51</v>
      </c>
      <c r="K148" s="26"/>
      <c r="L148" s="269"/>
      <c r="M148" s="501"/>
      <c r="N148" s="502"/>
      <c r="O148" s="502"/>
      <c r="P148" s="502"/>
      <c r="Q148" s="502"/>
      <c r="R148" s="502"/>
      <c r="S148" s="492" t="s">
        <v>171</v>
      </c>
      <c r="T148" s="492"/>
      <c r="U148" s="506" t="e">
        <f>U147*0.2</f>
        <v>#DIV/0!</v>
      </c>
      <c r="V148" s="507"/>
      <c r="AS148" s="319"/>
      <c r="AT148" s="12">
        <f>IF(K148&lt;&gt;"",1,0)</f>
        <v>0</v>
      </c>
      <c r="AU148" s="12">
        <f>IF(AND(SUM(AT:AT)&gt;0,K148=""),1,0)</f>
        <v>1</v>
      </c>
    </row>
    <row r="149" spans="1:47" ht="23.25" customHeight="1" thickBot="1" x14ac:dyDescent="0.25">
      <c r="A149" s="191" t="str">
        <f t="shared" si="164"/>
        <v/>
      </c>
      <c r="B149" s="370"/>
      <c r="C149" s="377"/>
      <c r="D149" s="377"/>
      <c r="E149" s="378"/>
      <c r="F149" s="379"/>
      <c r="G149" s="379"/>
      <c r="H149" s="371"/>
      <c r="I149" s="371"/>
      <c r="J149" s="371"/>
      <c r="K149" s="371"/>
      <c r="L149" s="380"/>
      <c r="M149" s="503"/>
      <c r="N149" s="504"/>
      <c r="O149" s="504"/>
      <c r="P149" s="504"/>
      <c r="Q149" s="504"/>
      <c r="R149" s="504"/>
      <c r="S149" s="505" t="s">
        <v>49</v>
      </c>
      <c r="T149" s="505"/>
      <c r="U149" s="488" t="e">
        <f>U147+U148</f>
        <v>#DIV/0!</v>
      </c>
      <c r="V149" s="489"/>
      <c r="AS149" s="319"/>
      <c r="AT149" s="13"/>
      <c r="AU149" s="13"/>
    </row>
    <row r="150" spans="1:47" ht="16" thickBot="1" x14ac:dyDescent="0.25">
      <c r="N150" s="381"/>
      <c r="AS150" s="319"/>
    </row>
    <row r="151" spans="1:47" ht="16" thickBot="1" x14ac:dyDescent="0.25">
      <c r="A151" s="195" t="str">
        <f t="shared" si="164"/>
        <v>X</v>
      </c>
      <c r="B151" s="539" t="s">
        <v>657</v>
      </c>
      <c r="C151" s="540"/>
      <c r="D151" s="540"/>
      <c r="E151" s="540"/>
      <c r="F151" s="541"/>
      <c r="G151" s="542"/>
      <c r="H151" s="542"/>
      <c r="I151" s="542"/>
      <c r="J151" s="542"/>
      <c r="K151" s="542"/>
      <c r="L151" s="543"/>
      <c r="M151" s="626" t="s">
        <v>658</v>
      </c>
      <c r="N151" s="627"/>
      <c r="O151" s="627"/>
      <c r="P151" s="627"/>
      <c r="Q151" s="627"/>
      <c r="R151" s="627"/>
      <c r="S151" s="627"/>
      <c r="T151" s="627"/>
      <c r="U151" s="627"/>
      <c r="V151" s="628"/>
      <c r="X151" s="24"/>
      <c r="Y151" s="24"/>
      <c r="Z151" s="190"/>
      <c r="AA151" s="190"/>
      <c r="AB151" s="190"/>
      <c r="AC151" s="24"/>
      <c r="AD151" s="24"/>
      <c r="AE151" s="190"/>
      <c r="AF151" s="190"/>
      <c r="AT151" s="12">
        <f>IF(F151&lt;&gt;"",1,0)</f>
        <v>0</v>
      </c>
      <c r="AU151" s="12">
        <f>IF(AND(SUM(AT:AT)&gt;0,F151=""),1,0)</f>
        <v>1</v>
      </c>
    </row>
    <row r="152" spans="1:47" ht="22" customHeight="1" thickBot="1" x14ac:dyDescent="0.25">
      <c r="B152" s="527" t="s">
        <v>69</v>
      </c>
      <c r="C152" s="527"/>
      <c r="D152" s="527"/>
      <c r="E152" s="527"/>
      <c r="F152" s="527"/>
      <c r="G152" s="527"/>
      <c r="H152" s="527"/>
      <c r="I152" s="527"/>
      <c r="J152" s="527"/>
      <c r="K152" s="527"/>
      <c r="L152" s="527"/>
      <c r="N152" s="381"/>
      <c r="O152" s="381"/>
      <c r="P152" s="381"/>
      <c r="Q152" s="381"/>
      <c r="AS152" s="319"/>
    </row>
    <row r="153" spans="1:47" ht="25.5" customHeight="1" x14ac:dyDescent="0.2">
      <c r="C153" s="519" t="s">
        <v>659</v>
      </c>
      <c r="D153" s="519" t="s">
        <v>131</v>
      </c>
      <c r="E153" s="519" t="s">
        <v>151</v>
      </c>
      <c r="F153" s="528" t="s">
        <v>50</v>
      </c>
      <c r="G153" s="529"/>
      <c r="H153" s="529"/>
      <c r="I153" s="529"/>
      <c r="J153" s="529"/>
      <c r="K153" s="530"/>
      <c r="N153" s="414"/>
      <c r="AS153" s="319"/>
    </row>
    <row r="154" spans="1:47" s="383" customFormat="1" ht="32.25" customHeight="1" x14ac:dyDescent="0.2">
      <c r="C154" s="520"/>
      <c r="D154" s="520"/>
      <c r="E154" s="520"/>
      <c r="F154" s="384" t="s">
        <v>3</v>
      </c>
      <c r="G154" s="385"/>
      <c r="H154" s="385" t="s">
        <v>48</v>
      </c>
      <c r="I154" s="385"/>
      <c r="J154" s="386" t="s">
        <v>67</v>
      </c>
      <c r="K154" s="387" t="s">
        <v>49</v>
      </c>
      <c r="L154" s="388"/>
      <c r="N154" s="388"/>
      <c r="O154" s="389"/>
      <c r="P154" s="389"/>
      <c r="Q154" s="389"/>
      <c r="R154" s="388"/>
      <c r="S154" s="388"/>
      <c r="T154" s="390"/>
      <c r="V154" s="391"/>
      <c r="AS154" s="319"/>
      <c r="AT154" s="14"/>
      <c r="AU154" s="14"/>
    </row>
    <row r="155" spans="1:47" s="188" customFormat="1" thickBot="1" x14ac:dyDescent="0.25">
      <c r="C155" s="392">
        <f>D155</f>
        <v>30.63</v>
      </c>
      <c r="D155" s="392">
        <v>30.63</v>
      </c>
      <c r="E155" s="392">
        <v>28</v>
      </c>
      <c r="F155" s="393" t="e">
        <f>O141</f>
        <v>#DIV/0!</v>
      </c>
      <c r="G155" s="239"/>
      <c r="H155" s="394" t="e">
        <f>F155*D155</f>
        <v>#DIV/0!</v>
      </c>
      <c r="I155" s="394"/>
      <c r="J155" s="395">
        <v>0.5</v>
      </c>
      <c r="K155" s="416" t="e">
        <f>(F155*C155)+(K146*K147*2)*J155</f>
        <v>#DIV/0!</v>
      </c>
      <c r="L155" s="308"/>
      <c r="N155" s="381"/>
      <c r="O155" s="382"/>
      <c r="P155" s="382"/>
      <c r="Q155" s="382"/>
      <c r="R155" s="381"/>
      <c r="S155" s="381"/>
      <c r="V155" s="189"/>
      <c r="AS155" s="319"/>
      <c r="AT155" s="14"/>
      <c r="AU155" s="14"/>
    </row>
    <row r="156" spans="1:47" x14ac:dyDescent="0.2">
      <c r="N156" s="381"/>
      <c r="AS156" s="319"/>
    </row>
    <row r="157" spans="1:47" x14ac:dyDescent="0.2">
      <c r="N157" s="381"/>
      <c r="AS157" s="319"/>
    </row>
    <row r="158" spans="1:47" x14ac:dyDescent="0.2">
      <c r="N158" s="381"/>
      <c r="AS158" s="319"/>
    </row>
    <row r="159" spans="1:47" x14ac:dyDescent="0.2">
      <c r="N159" s="381"/>
      <c r="AS159" s="319"/>
    </row>
    <row r="160" spans="1:47" x14ac:dyDescent="0.2">
      <c r="N160" s="381"/>
      <c r="AS160" s="319"/>
    </row>
    <row r="161" spans="14:45" x14ac:dyDescent="0.2">
      <c r="N161" s="381"/>
      <c r="AS161" s="319"/>
    </row>
    <row r="162" spans="14:45" x14ac:dyDescent="0.2">
      <c r="N162" s="381"/>
      <c r="AS162" s="319"/>
    </row>
    <row r="163" spans="14:45" x14ac:dyDescent="0.2">
      <c r="N163" s="381"/>
      <c r="AS163" s="319"/>
    </row>
    <row r="164" spans="14:45" x14ac:dyDescent="0.2">
      <c r="N164" s="381"/>
      <c r="AS164" s="319"/>
    </row>
    <row r="165" spans="14:45" x14ac:dyDescent="0.2">
      <c r="N165" s="381"/>
      <c r="AS165" s="319"/>
    </row>
    <row r="166" spans="14:45" ht="15" customHeight="1" x14ac:dyDescent="0.2">
      <c r="N166" s="381"/>
    </row>
    <row r="167" spans="14:45" x14ac:dyDescent="0.2">
      <c r="N167" s="381"/>
      <c r="AS167" s="319"/>
    </row>
    <row r="168" spans="14:45" x14ac:dyDescent="0.2">
      <c r="N168" s="381"/>
      <c r="AS168" s="319"/>
    </row>
    <row r="169" spans="14:45" x14ac:dyDescent="0.2">
      <c r="N169" s="381"/>
      <c r="AS169" s="319"/>
    </row>
    <row r="170" spans="14:45" x14ac:dyDescent="0.2">
      <c r="N170" s="381"/>
      <c r="AS170" s="319"/>
    </row>
    <row r="171" spans="14:45" x14ac:dyDescent="0.2">
      <c r="N171" s="381"/>
      <c r="AS171" s="319"/>
    </row>
    <row r="172" spans="14:45" x14ac:dyDescent="0.2">
      <c r="N172" s="381"/>
      <c r="AS172" s="319"/>
    </row>
    <row r="173" spans="14:45" x14ac:dyDescent="0.2">
      <c r="N173" s="381"/>
      <c r="AS173" s="319"/>
    </row>
    <row r="174" spans="14:45" x14ac:dyDescent="0.2">
      <c r="N174" s="381"/>
      <c r="AS174" s="319"/>
    </row>
    <row r="175" spans="14:45" x14ac:dyDescent="0.2">
      <c r="N175" s="381"/>
      <c r="AS175" s="319"/>
    </row>
    <row r="176" spans="14:45" x14ac:dyDescent="0.2">
      <c r="N176" s="381"/>
      <c r="AS176" s="319"/>
    </row>
    <row r="177" spans="14:45" x14ac:dyDescent="0.2">
      <c r="N177" s="381"/>
      <c r="AS177" s="319"/>
    </row>
    <row r="178" spans="14:45" x14ac:dyDescent="0.2">
      <c r="N178" s="381"/>
      <c r="AS178" s="319"/>
    </row>
    <row r="179" spans="14:45" x14ac:dyDescent="0.2">
      <c r="N179" s="381"/>
    </row>
    <row r="180" spans="14:45" x14ac:dyDescent="0.2">
      <c r="N180" s="381"/>
    </row>
    <row r="181" spans="14:45" x14ac:dyDescent="0.2">
      <c r="N181" s="381"/>
    </row>
    <row r="182" spans="14:45" x14ac:dyDescent="0.2">
      <c r="N182" s="381"/>
    </row>
    <row r="183" spans="14:45" x14ac:dyDescent="0.2">
      <c r="N183" s="381"/>
    </row>
    <row r="184" spans="14:45" x14ac:dyDescent="0.2">
      <c r="N184" s="381"/>
    </row>
    <row r="185" spans="14:45" x14ac:dyDescent="0.2">
      <c r="N185" s="381"/>
      <c r="AS185" s="396"/>
    </row>
    <row r="186" spans="14:45" x14ac:dyDescent="0.2">
      <c r="N186" s="381"/>
      <c r="AS186" s="396"/>
    </row>
    <row r="187" spans="14:45" x14ac:dyDescent="0.2">
      <c r="N187" s="381"/>
      <c r="AS187" s="396"/>
    </row>
    <row r="188" spans="14:45" x14ac:dyDescent="0.2">
      <c r="N188" s="381"/>
      <c r="AS188" s="396"/>
    </row>
    <row r="189" spans="14:45" x14ac:dyDescent="0.2">
      <c r="N189" s="381"/>
      <c r="AS189" s="396"/>
    </row>
    <row r="190" spans="14:45" x14ac:dyDescent="0.2">
      <c r="N190" s="381"/>
      <c r="AS190" s="396"/>
    </row>
    <row r="191" spans="14:45" x14ac:dyDescent="0.2">
      <c r="N191" s="381"/>
      <c r="AS191" s="396"/>
    </row>
    <row r="192" spans="14:45" x14ac:dyDescent="0.2">
      <c r="N192" s="381"/>
      <c r="AS192" s="396"/>
    </row>
    <row r="193" spans="14:45" x14ac:dyDescent="0.2">
      <c r="N193" s="381"/>
      <c r="AS193" s="396"/>
    </row>
    <row r="194" spans="14:45" x14ac:dyDescent="0.2">
      <c r="N194" s="381"/>
      <c r="AS194"/>
    </row>
    <row r="195" spans="14:45" x14ac:dyDescent="0.2">
      <c r="N195" s="381"/>
    </row>
    <row r="196" spans="14:45" x14ac:dyDescent="0.2">
      <c r="N196" s="381"/>
    </row>
    <row r="197" spans="14:45" x14ac:dyDescent="0.2">
      <c r="N197" s="381"/>
    </row>
    <row r="198" spans="14:45" x14ac:dyDescent="0.2">
      <c r="N198" s="381"/>
    </row>
    <row r="199" spans="14:45" x14ac:dyDescent="0.2">
      <c r="N199" s="381"/>
    </row>
    <row r="200" spans="14:45" x14ac:dyDescent="0.2">
      <c r="N200" s="381"/>
    </row>
    <row r="201" spans="14:45" x14ac:dyDescent="0.2">
      <c r="N201" s="381"/>
    </row>
    <row r="202" spans="14:45" x14ac:dyDescent="0.2">
      <c r="N202" s="381"/>
    </row>
    <row r="203" spans="14:45" x14ac:dyDescent="0.2">
      <c r="N203" s="381"/>
    </row>
    <row r="204" spans="14:45" x14ac:dyDescent="0.2">
      <c r="N204" s="381"/>
    </row>
    <row r="205" spans="14:45" x14ac:dyDescent="0.2">
      <c r="N205" s="381"/>
    </row>
    <row r="206" spans="14:45" x14ac:dyDescent="0.2">
      <c r="N206" s="381"/>
    </row>
    <row r="207" spans="14:45" x14ac:dyDescent="0.2">
      <c r="N207" s="381"/>
    </row>
    <row r="208" spans="14:45" x14ac:dyDescent="0.2">
      <c r="N208" s="381"/>
    </row>
    <row r="209" spans="14:14" x14ac:dyDescent="0.2">
      <c r="N209" s="381"/>
    </row>
    <row r="210" spans="14:14" x14ac:dyDescent="0.2">
      <c r="N210" s="381"/>
    </row>
    <row r="211" spans="14:14" x14ac:dyDescent="0.2">
      <c r="N211" s="381"/>
    </row>
    <row r="212" spans="14:14" x14ac:dyDescent="0.2">
      <c r="N212" s="381"/>
    </row>
    <row r="213" spans="14:14" x14ac:dyDescent="0.2">
      <c r="N213" s="381"/>
    </row>
    <row r="214" spans="14:14" x14ac:dyDescent="0.2">
      <c r="N214" s="381"/>
    </row>
    <row r="215" spans="14:14" x14ac:dyDescent="0.2">
      <c r="N215" s="381"/>
    </row>
    <row r="216" spans="14:14" x14ac:dyDescent="0.2">
      <c r="N216" s="381"/>
    </row>
    <row r="217" spans="14:14" x14ac:dyDescent="0.2">
      <c r="N217" s="381"/>
    </row>
    <row r="218" spans="14:14" x14ac:dyDescent="0.2">
      <c r="N218" s="381"/>
    </row>
    <row r="219" spans="14:14" x14ac:dyDescent="0.2">
      <c r="N219" s="381"/>
    </row>
    <row r="220" spans="14:14" x14ac:dyDescent="0.2">
      <c r="N220" s="381"/>
    </row>
    <row r="221" spans="14:14" x14ac:dyDescent="0.2">
      <c r="N221" s="381"/>
    </row>
    <row r="222" spans="14:14" x14ac:dyDescent="0.2">
      <c r="N222" s="381"/>
    </row>
    <row r="223" spans="14:14" x14ac:dyDescent="0.2">
      <c r="N223" s="381"/>
    </row>
    <row r="224" spans="14:14" x14ac:dyDescent="0.2">
      <c r="N224" s="381"/>
    </row>
    <row r="225" spans="14:14" x14ac:dyDescent="0.2">
      <c r="N225" s="381"/>
    </row>
    <row r="226" spans="14:14" x14ac:dyDescent="0.2">
      <c r="N226" s="381"/>
    </row>
    <row r="227" spans="14:14" x14ac:dyDescent="0.2">
      <c r="N227" s="381"/>
    </row>
    <row r="228" spans="14:14" x14ac:dyDescent="0.2">
      <c r="N228" s="381"/>
    </row>
    <row r="229" spans="14:14" x14ac:dyDescent="0.2">
      <c r="N229" s="381"/>
    </row>
  </sheetData>
  <sheetProtection formatRows="0" autoFilter="0"/>
  <dataConsolidate/>
  <mergeCells count="206">
    <mergeCell ref="B82:E82"/>
    <mergeCell ref="B92:C92"/>
    <mergeCell ref="M151:V151"/>
    <mergeCell ref="B48:C48"/>
    <mergeCell ref="B49:E49"/>
    <mergeCell ref="B81:E81"/>
    <mergeCell ref="M135:T135"/>
    <mergeCell ref="U135:V135"/>
    <mergeCell ref="B135:F135"/>
    <mergeCell ref="U122:V122"/>
    <mergeCell ref="U117:V117"/>
    <mergeCell ref="B87:E87"/>
    <mergeCell ref="B85:E85"/>
    <mergeCell ref="B69:E69"/>
    <mergeCell ref="B70:E70"/>
    <mergeCell ref="B84:E84"/>
    <mergeCell ref="M88:R88"/>
    <mergeCell ref="M74:N74"/>
    <mergeCell ref="M85:N85"/>
    <mergeCell ref="B79:E79"/>
    <mergeCell ref="B109:E109"/>
    <mergeCell ref="B72:E72"/>
    <mergeCell ref="B74:E74"/>
    <mergeCell ref="M115:N115"/>
    <mergeCell ref="B123:E123"/>
    <mergeCell ref="B124:E124"/>
    <mergeCell ref="B117:E117"/>
    <mergeCell ref="M117:T117"/>
    <mergeCell ref="B119:E119"/>
    <mergeCell ref="B97:C97"/>
    <mergeCell ref="B98:C98"/>
    <mergeCell ref="B104:E104"/>
    <mergeCell ref="B105:E105"/>
    <mergeCell ref="B106:E106"/>
    <mergeCell ref="U68:V68"/>
    <mergeCell ref="M76:T76"/>
    <mergeCell ref="U76:V76"/>
    <mergeCell ref="M111:T111"/>
    <mergeCell ref="U111:V111"/>
    <mergeCell ref="M109:N109"/>
    <mergeCell ref="B71:E71"/>
    <mergeCell ref="B68:E68"/>
    <mergeCell ref="B73:E73"/>
    <mergeCell ref="B99:E99"/>
    <mergeCell ref="B108:E108"/>
    <mergeCell ref="M87:T87"/>
    <mergeCell ref="U87:V87"/>
    <mergeCell ref="M100:T100"/>
    <mergeCell ref="U100:V100"/>
    <mergeCell ref="B94:C94"/>
    <mergeCell ref="B95:C95"/>
    <mergeCell ref="B76:E76"/>
    <mergeCell ref="B77:E77"/>
    <mergeCell ref="B88:C88"/>
    <mergeCell ref="B100:K100"/>
    <mergeCell ref="B93:C93"/>
    <mergeCell ref="M68:T68"/>
    <mergeCell ref="B89:C89"/>
    <mergeCell ref="Q17:Q18"/>
    <mergeCell ref="U38:V38"/>
    <mergeCell ref="B60:K60"/>
    <mergeCell ref="B16:V16"/>
    <mergeCell ref="M26:N26"/>
    <mergeCell ref="B28:K28"/>
    <mergeCell ref="B20:K20"/>
    <mergeCell ref="M20:T20"/>
    <mergeCell ref="U20:V20"/>
    <mergeCell ref="M28:T28"/>
    <mergeCell ref="U28:V28"/>
    <mergeCell ref="M36:N36"/>
    <mergeCell ref="B31:E31"/>
    <mergeCell ref="B32:E32"/>
    <mergeCell ref="B33:E33"/>
    <mergeCell ref="F17:F18"/>
    <mergeCell ref="B17:E18"/>
    <mergeCell ref="B56:E56"/>
    <mergeCell ref="B53:E53"/>
    <mergeCell ref="V17:V18"/>
    <mergeCell ref="U17:U18"/>
    <mergeCell ref="N17:N18"/>
    <mergeCell ref="T17:T18"/>
    <mergeCell ref="U60:V60"/>
    <mergeCell ref="B64:E64"/>
    <mergeCell ref="B66:E66"/>
    <mergeCell ref="M60:T60"/>
    <mergeCell ref="B24:E24"/>
    <mergeCell ref="B65:E65"/>
    <mergeCell ref="B58:E58"/>
    <mergeCell ref="B39:C39"/>
    <mergeCell ref="B41:C41"/>
    <mergeCell ref="B42:C42"/>
    <mergeCell ref="B25:E25"/>
    <mergeCell ref="B44:C44"/>
    <mergeCell ref="B47:C47"/>
    <mergeCell ref="B35:E35"/>
    <mergeCell ref="M66:N66"/>
    <mergeCell ref="B62:E62"/>
    <mergeCell ref="B63:E63"/>
    <mergeCell ref="B61:E61"/>
    <mergeCell ref="B57:E57"/>
    <mergeCell ref="B1:D1"/>
    <mergeCell ref="E1:V1"/>
    <mergeCell ref="B22:E22"/>
    <mergeCell ref="B14:D14"/>
    <mergeCell ref="E14:M14"/>
    <mergeCell ref="B8:D8"/>
    <mergeCell ref="E8:M8"/>
    <mergeCell ref="B34:E34"/>
    <mergeCell ref="B55:C55"/>
    <mergeCell ref="B52:E52"/>
    <mergeCell ref="B50:E50"/>
    <mergeCell ref="B40:C40"/>
    <mergeCell ref="G17:G18"/>
    <mergeCell ref="B36:E36"/>
    <mergeCell ref="B21:E21"/>
    <mergeCell ref="B3:M3"/>
    <mergeCell ref="K17:K18"/>
    <mergeCell ref="M17:M18"/>
    <mergeCell ref="R17:R18"/>
    <mergeCell ref="S17:S18"/>
    <mergeCell ref="B7:D7"/>
    <mergeCell ref="E7:M7"/>
    <mergeCell ref="B10:D10"/>
    <mergeCell ref="B4:D4"/>
    <mergeCell ref="E4:M4"/>
    <mergeCell ref="B11:D11"/>
    <mergeCell ref="E11:M11"/>
    <mergeCell ref="B13:M13"/>
    <mergeCell ref="B6:M6"/>
    <mergeCell ref="O17:O18"/>
    <mergeCell ref="J17:J18"/>
    <mergeCell ref="M58:N58"/>
    <mergeCell ref="F41:K41"/>
    <mergeCell ref="B45:C45"/>
    <mergeCell ref="B46:C46"/>
    <mergeCell ref="B23:E23"/>
    <mergeCell ref="B26:E26"/>
    <mergeCell ref="B29:E29"/>
    <mergeCell ref="B30:E30"/>
    <mergeCell ref="B38:K38"/>
    <mergeCell ref="M38:T38"/>
    <mergeCell ref="B51:E51"/>
    <mergeCell ref="E10:M10"/>
    <mergeCell ref="B9:D9"/>
    <mergeCell ref="E9:M9"/>
    <mergeCell ref="H17:H18"/>
    <mergeCell ref="I17:I18"/>
    <mergeCell ref="P17:P18"/>
    <mergeCell ref="D153:D154"/>
    <mergeCell ref="E140:G140"/>
    <mergeCell ref="B101:E101"/>
    <mergeCell ref="B102:E102"/>
    <mergeCell ref="B103:E103"/>
    <mergeCell ref="B152:L152"/>
    <mergeCell ref="E153:E154"/>
    <mergeCell ref="F153:K153"/>
    <mergeCell ref="B107:E107"/>
    <mergeCell ref="B138:F138"/>
    <mergeCell ref="B136:E136"/>
    <mergeCell ref="E139:F139"/>
    <mergeCell ref="B115:E115"/>
    <mergeCell ref="B113:E113"/>
    <mergeCell ref="B118:E118"/>
    <mergeCell ref="B114:E114"/>
    <mergeCell ref="H140:J140"/>
    <mergeCell ref="B151:E151"/>
    <mergeCell ref="F151:L151"/>
    <mergeCell ref="C153:C154"/>
    <mergeCell ref="B111:E111"/>
    <mergeCell ref="B112:E112"/>
    <mergeCell ref="B125:E125"/>
    <mergeCell ref="B120:E120"/>
    <mergeCell ref="B78:E78"/>
    <mergeCell ref="B80:E80"/>
    <mergeCell ref="M127:T127"/>
    <mergeCell ref="U127:V127"/>
    <mergeCell ref="B128:E128"/>
    <mergeCell ref="B129:E129"/>
    <mergeCell ref="M129:N129"/>
    <mergeCell ref="M145:V146"/>
    <mergeCell ref="S147:T147"/>
    <mergeCell ref="M147:R149"/>
    <mergeCell ref="S149:T149"/>
    <mergeCell ref="U147:V147"/>
    <mergeCell ref="U148:V148"/>
    <mergeCell ref="F87:J87"/>
    <mergeCell ref="F88:K88"/>
    <mergeCell ref="B96:C96"/>
    <mergeCell ref="U139:V139"/>
    <mergeCell ref="M125:N125"/>
    <mergeCell ref="B90:C90"/>
    <mergeCell ref="B91:C91"/>
    <mergeCell ref="B83:E83"/>
    <mergeCell ref="M120:N120"/>
    <mergeCell ref="B122:E122"/>
    <mergeCell ref="M122:T122"/>
    <mergeCell ref="B131:H131"/>
    <mergeCell ref="M131:T131"/>
    <mergeCell ref="U131:V131"/>
    <mergeCell ref="B132:E132"/>
    <mergeCell ref="B133:E133"/>
    <mergeCell ref="M133:N133"/>
    <mergeCell ref="U149:V149"/>
    <mergeCell ref="M139:T139"/>
    <mergeCell ref="B127:H127"/>
    <mergeCell ref="S148:T148"/>
  </mergeCells>
  <conditionalFormatting sqref="E1">
    <cfRule type="cellIs" dxfId="66" priority="97" operator="equal">
      <formula>"SHEET COMPLETE"</formula>
    </cfRule>
    <cfRule type="cellIs" dxfId="65" priority="98" operator="equal">
      <formula>"SHEET NOT COMPLETE"</formula>
    </cfRule>
  </conditionalFormatting>
  <conditionalFormatting sqref="F26">
    <cfRule type="cellIs" dxfId="64" priority="95" operator="greaterThan">
      <formula>0</formula>
    </cfRule>
    <cfRule type="cellIs" dxfId="63" priority="96" operator="lessThan">
      <formula>0</formula>
    </cfRule>
  </conditionalFormatting>
  <conditionalFormatting sqref="F36">
    <cfRule type="cellIs" dxfId="62" priority="93" operator="greaterThan">
      <formula>0</formula>
    </cfRule>
    <cfRule type="cellIs" dxfId="61" priority="94" operator="lessThan">
      <formula>0</formula>
    </cfRule>
  </conditionalFormatting>
  <conditionalFormatting sqref="F125">
    <cfRule type="cellIs" dxfId="60" priority="77" operator="greaterThan">
      <formula>0</formula>
    </cfRule>
    <cfRule type="cellIs" dxfId="59" priority="78" operator="lessThan">
      <formula>0</formula>
    </cfRule>
  </conditionalFormatting>
  <conditionalFormatting sqref="F58">
    <cfRule type="cellIs" dxfId="58" priority="71" operator="greaterThan">
      <formula>0</formula>
    </cfRule>
    <cfRule type="cellIs" dxfId="57" priority="72" operator="lessThan">
      <formula>0</formula>
    </cfRule>
  </conditionalFormatting>
  <conditionalFormatting sqref="F66">
    <cfRule type="cellIs" dxfId="56" priority="69" operator="greaterThan">
      <formula>0</formula>
    </cfRule>
    <cfRule type="cellIs" dxfId="55" priority="70" operator="lessThan">
      <formula>0</formula>
    </cfRule>
  </conditionalFormatting>
  <conditionalFormatting sqref="F74">
    <cfRule type="cellIs" dxfId="54" priority="67" operator="greaterThan">
      <formula>0</formula>
    </cfRule>
    <cfRule type="cellIs" dxfId="53" priority="68" operator="lessThan">
      <formula>0</formula>
    </cfRule>
  </conditionalFormatting>
  <conditionalFormatting sqref="F85">
    <cfRule type="cellIs" dxfId="52" priority="65" operator="greaterThan">
      <formula>0</formula>
    </cfRule>
    <cfRule type="cellIs" dxfId="51" priority="66" operator="lessThan">
      <formula>0</formula>
    </cfRule>
  </conditionalFormatting>
  <conditionalFormatting sqref="F109">
    <cfRule type="cellIs" dxfId="50" priority="63" operator="greaterThan">
      <formula>0</formula>
    </cfRule>
    <cfRule type="cellIs" dxfId="49" priority="64" operator="lessThan">
      <formula>0</formula>
    </cfRule>
  </conditionalFormatting>
  <conditionalFormatting sqref="F115">
    <cfRule type="cellIs" dxfId="48" priority="61" operator="greaterThan">
      <formula>0</formula>
    </cfRule>
    <cfRule type="cellIs" dxfId="47" priority="62" operator="lessThan">
      <formula>0</formula>
    </cfRule>
  </conditionalFormatting>
  <conditionalFormatting sqref="F120">
    <cfRule type="cellIs" dxfId="46" priority="59" operator="greaterThan">
      <formula>0</formula>
    </cfRule>
    <cfRule type="cellIs" dxfId="45" priority="60" operator="lessThan">
      <formula>0</formula>
    </cfRule>
  </conditionalFormatting>
  <conditionalFormatting sqref="F129 F133">
    <cfRule type="cellIs" dxfId="44" priority="57" operator="greaterThan">
      <formula>0</formula>
    </cfRule>
    <cfRule type="cellIs" dxfId="43" priority="58" operator="lessThan">
      <formula>0</formula>
    </cfRule>
  </conditionalFormatting>
  <conditionalFormatting sqref="F19">
    <cfRule type="cellIs" dxfId="42" priority="53" operator="greaterThan">
      <formula>0</formula>
    </cfRule>
    <cfRule type="cellIs" dxfId="41" priority="54" operator="lessThan">
      <formula>0</formula>
    </cfRule>
  </conditionalFormatting>
  <conditionalFormatting sqref="F27">
    <cfRule type="cellIs" dxfId="40" priority="27" operator="greaterThan">
      <formula>0</formula>
    </cfRule>
    <cfRule type="cellIs" dxfId="39" priority="28" operator="lessThan">
      <formula>0</formula>
    </cfRule>
  </conditionalFormatting>
  <conditionalFormatting sqref="F37">
    <cfRule type="cellIs" dxfId="38" priority="25" operator="greaterThan">
      <formula>0</formula>
    </cfRule>
    <cfRule type="cellIs" dxfId="37" priority="26" operator="lessThan">
      <formula>0</formula>
    </cfRule>
  </conditionalFormatting>
  <conditionalFormatting sqref="F59">
    <cfRule type="cellIs" dxfId="36" priority="23" operator="greaterThan">
      <formula>0</formula>
    </cfRule>
    <cfRule type="cellIs" dxfId="35" priority="24" operator="lessThan">
      <formula>0</formula>
    </cfRule>
  </conditionalFormatting>
  <conditionalFormatting sqref="F67">
    <cfRule type="cellIs" dxfId="34" priority="21" operator="greaterThan">
      <formula>0</formula>
    </cfRule>
    <cfRule type="cellIs" dxfId="33" priority="22" operator="lessThan">
      <formula>0</formula>
    </cfRule>
  </conditionalFormatting>
  <conditionalFormatting sqref="F75">
    <cfRule type="cellIs" dxfId="32" priority="19" operator="greaterThan">
      <formula>0</formula>
    </cfRule>
    <cfRule type="cellIs" dxfId="31" priority="20" operator="lessThan">
      <formula>0</formula>
    </cfRule>
  </conditionalFormatting>
  <conditionalFormatting sqref="F86">
    <cfRule type="cellIs" dxfId="30" priority="17" operator="greaterThan">
      <formula>0</formula>
    </cfRule>
    <cfRule type="cellIs" dxfId="29" priority="18" operator="lessThan">
      <formula>0</formula>
    </cfRule>
  </conditionalFormatting>
  <conditionalFormatting sqref="F110">
    <cfRule type="cellIs" dxfId="28" priority="15" operator="greaterThan">
      <formula>0</formula>
    </cfRule>
    <cfRule type="cellIs" dxfId="27" priority="16" operator="lessThan">
      <formula>0</formula>
    </cfRule>
  </conditionalFormatting>
  <conditionalFormatting sqref="F116">
    <cfRule type="cellIs" dxfId="26" priority="13" operator="greaterThan">
      <formula>0</formula>
    </cfRule>
    <cfRule type="cellIs" dxfId="25" priority="14" operator="lessThan">
      <formula>0</formula>
    </cfRule>
  </conditionalFormatting>
  <conditionalFormatting sqref="F121">
    <cfRule type="cellIs" dxfId="24" priority="11" operator="greaterThan">
      <formula>0</formula>
    </cfRule>
    <cfRule type="cellIs" dxfId="23" priority="12" operator="lessThan">
      <formula>0</formula>
    </cfRule>
  </conditionalFormatting>
  <conditionalFormatting sqref="F126">
    <cfRule type="cellIs" dxfId="22" priority="9" operator="greaterThan">
      <formula>0</formula>
    </cfRule>
    <cfRule type="cellIs" dxfId="21" priority="10" operator="lessThan">
      <formula>0</formula>
    </cfRule>
  </conditionalFormatting>
  <conditionalFormatting sqref="F134">
    <cfRule type="cellIs" dxfId="20" priority="5" operator="greaterThan">
      <formula>0</formula>
    </cfRule>
    <cfRule type="cellIs" dxfId="19" priority="6" operator="lessThan">
      <formula>0</formula>
    </cfRule>
  </conditionalFormatting>
  <conditionalFormatting sqref="F137">
    <cfRule type="cellIs" dxfId="18" priority="3" operator="greaterThan">
      <formula>0</formula>
    </cfRule>
    <cfRule type="cellIs" dxfId="17" priority="4" operator="lessThan">
      <formula>0</formula>
    </cfRule>
  </conditionalFormatting>
  <conditionalFormatting sqref="F130">
    <cfRule type="cellIs" dxfId="16" priority="1" operator="greaterThan">
      <formula>0</formula>
    </cfRule>
    <cfRule type="cellIs" dxfId="15" priority="2" operator="lessThan">
      <formula>0</formula>
    </cfRule>
  </conditionalFormatting>
  <dataValidations count="3">
    <dataValidation type="list" allowBlank="1" showInputMessage="1" showErrorMessage="1" sqref="E42" xr:uid="{41226BA1-EEB5-4EF6-B8ED-8BD471AAABC6}">
      <formula1>"4,6,8,10,12,15,22,30,N/A"</formula1>
    </dataValidation>
    <dataValidation type="list" allowBlank="1" showInputMessage="1" showErrorMessage="1" sqref="D42" xr:uid="{2C4A97C7-5B50-4F05-92A9-D8FFDA9E031D}">
      <formula1>"Brick, Concrete, Stone, Mixed, N/A"</formula1>
    </dataValidation>
    <dataValidation type="list" allowBlank="1" showInputMessage="1" showErrorMessage="1" sqref="F151:L151" xr:uid="{BBFF4081-FA01-4BDF-97E6-F95E36397177}">
      <formula1>"Image 1: Default or Miscellaneous, Image 2: Single Male (Young), Image 3: Single Male (Elderly), Image 4: Single Female (Young), Image 5: Single Female (Elderly), Image 6: Young Couple, Image 7: Elderly Couple, Image 8: Family"</formula1>
    </dataValidation>
  </dataValidations>
  <hyperlinks>
    <hyperlink ref="M151:V151" location="'Estimate Coversheet Images'!A1" display="View Images (this link will take you to the the Estimates Coversheet Images Tab)" xr:uid="{8351AF34-80F8-4C29-9E91-0A4C9D05C323}"/>
  </hyperlinks>
  <printOptions horizontalCentered="1" verticalCentered="1"/>
  <pageMargins left="0.25" right="0.25" top="0.75" bottom="0.75" header="0.3" footer="0.3"/>
  <pageSetup paperSize="9" scale="81" orientation="portrait"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E9F33059-BE30-4718-8650-DD161A312BFB}">
          <x14:formula1>
            <xm:f>'Data Lists'!$A$56:$A$64</xm:f>
          </x14:formula1>
          <xm:sqref>G118:G119 G128 G123:G124 G21:G25 G61:G65 G77:G84 G29:G35 G55:G57 G40 G69:G73 G89:G99 G112:G114 G44:G53 G136 G42 G101:G108</xm:sqref>
        </x14:dataValidation>
        <x14:dataValidation type="list" allowBlank="1" showInputMessage="1" showErrorMessage="1" xr:uid="{F7F70B98-939F-4985-85FE-CEEDDA4D0BD9}">
          <x14:formula1>
            <xm:f>'Data Lists'!$A$76:$A$131</xm:f>
          </x14:formula1>
          <xm:sqref>F19 F120:F121 F26:F27 F36:F37 F58:F59 F66:F67 F74:F75 F85:F86 F115:F116 F109:F110 F125:F126 F137 F129:F130 F133:F134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26202-D0F2-4C50-96B4-4A527E9DC59C}">
  <sheetPr codeName="Sheet4">
    <tabColor rgb="FFFFC000"/>
    <pageSetUpPr fitToPage="1"/>
  </sheetPr>
  <dimension ref="B1:H25"/>
  <sheetViews>
    <sheetView topLeftCell="A4" zoomScale="130" zoomScaleNormal="130" workbookViewId="0">
      <selection activeCell="C16" sqref="C16"/>
    </sheetView>
  </sheetViews>
  <sheetFormatPr baseColWidth="10" defaultColWidth="9.1640625" defaultRowHeight="15" x14ac:dyDescent="0.2"/>
  <cols>
    <col min="1" max="1" width="5.33203125" style="31" customWidth="1"/>
    <col min="2" max="2" width="4.5" style="31" customWidth="1"/>
    <col min="3" max="3" width="79.83203125" style="31" customWidth="1"/>
    <col min="4" max="4" width="11.5" style="31" customWidth="1"/>
    <col min="5" max="6" width="16.6640625" style="31" customWidth="1"/>
    <col min="7" max="7" width="15" style="31" customWidth="1"/>
    <col min="8" max="8" width="11.5" style="31" customWidth="1"/>
    <col min="9" max="16384" width="9.1640625" style="31"/>
  </cols>
  <sheetData>
    <row r="1" spans="2:8" ht="16" thickBot="1" x14ac:dyDescent="0.25">
      <c r="B1" s="636" t="str">
        <f>IF(Costing!E1="SHEET NOT COMPLETE","PLEASE COMPLETE COSTING BEFORE SUPPLYING A PRICE","")</f>
        <v>PLEASE COMPLETE COSTING BEFORE SUPPLYING A PRICE</v>
      </c>
      <c r="C1" s="636"/>
      <c r="D1" s="636"/>
      <c r="E1" s="636"/>
      <c r="F1" s="636"/>
    </row>
    <row r="2" spans="2:8" ht="42.75" customHeight="1" thickBot="1" x14ac:dyDescent="0.25">
      <c r="B2" s="637" t="s">
        <v>159</v>
      </c>
      <c r="C2" s="638"/>
      <c r="D2" s="639"/>
      <c r="E2" s="639"/>
      <c r="F2" s="640"/>
    </row>
    <row r="3" spans="2:8" ht="41.25" customHeight="1" x14ac:dyDescent="0.2">
      <c r="B3" s="32" t="s">
        <v>160</v>
      </c>
      <c r="C3" s="33" t="s">
        <v>380</v>
      </c>
      <c r="D3" s="90" t="s">
        <v>317</v>
      </c>
      <c r="E3" s="90" t="s">
        <v>318</v>
      </c>
      <c r="F3" s="92" t="s">
        <v>319</v>
      </c>
    </row>
    <row r="4" spans="2:8" ht="20" customHeight="1" x14ac:dyDescent="0.2">
      <c r="B4" s="34">
        <v>1</v>
      </c>
      <c r="C4" s="158" t="s">
        <v>594</v>
      </c>
      <c r="D4" s="411" t="s">
        <v>108</v>
      </c>
      <c r="E4" s="159" t="str">
        <f t="shared" ref="E4" si="0">IF(D4="Yes","Optional",F4)</f>
        <v>n/a</v>
      </c>
      <c r="F4" s="160" t="str">
        <f>IF(SUMIFS('CF CSV Upload'!P:P,'CF CSV Upload'!A:A,'Customer Summary'!C4,'CF CSV Upload'!Q:Q,"Yes")=0,"n/a",SUMIFS('CF CSV Upload'!P:P,'CF CSV Upload'!A:A,'Customer Summary'!C4,'CF CSV Upload'!Q:Q,"Yes"))</f>
        <v>n/a</v>
      </c>
      <c r="G4" s="105"/>
      <c r="H4" s="36"/>
    </row>
    <row r="5" spans="2:8" ht="20" customHeight="1" x14ac:dyDescent="0.2">
      <c r="B5" s="34">
        <f t="shared" ref="B5:B15" si="1">B4+1</f>
        <v>2</v>
      </c>
      <c r="C5" s="158" t="s">
        <v>320</v>
      </c>
      <c r="D5" s="411" t="s">
        <v>108</v>
      </c>
      <c r="E5" s="159" t="str">
        <f t="shared" ref="E5:E11" si="2">IF(D5="Yes","Optional",F5)</f>
        <v>n/a</v>
      </c>
      <c r="F5" s="160" t="str">
        <f>IF(SUMIFS('CF CSV Upload'!P:P,'CF CSV Upload'!A:A,'Customer Summary'!C5,'CF CSV Upload'!Q:Q,"Yes")=0,"n/a",SUMIFS('CF CSV Upload'!P:P,'CF CSV Upload'!A:A,'Customer Summary'!C5,'CF CSV Upload'!Q:Q,"Yes"))</f>
        <v>n/a</v>
      </c>
      <c r="G5" s="105"/>
      <c r="H5" s="36"/>
    </row>
    <row r="6" spans="2:8" ht="20" customHeight="1" x14ac:dyDescent="0.2">
      <c r="B6" s="34">
        <f t="shared" si="1"/>
        <v>3</v>
      </c>
      <c r="C6" s="158" t="s">
        <v>19</v>
      </c>
      <c r="D6" s="411" t="s">
        <v>108</v>
      </c>
      <c r="E6" s="159" t="str">
        <f t="shared" si="2"/>
        <v>n/a</v>
      </c>
      <c r="F6" s="160" t="str">
        <f>IF(SUMIFS('CF CSV Upload'!P:P,'CF CSV Upload'!A:A,'Customer Summary'!C6,'CF CSV Upload'!Q:Q,"Yes")=0,"n/a",SUMIFS('CF CSV Upload'!P:P,'CF CSV Upload'!A:A,'Customer Summary'!C6,'CF CSV Upload'!Q:Q,"Yes"))</f>
        <v>n/a</v>
      </c>
      <c r="G6" s="105"/>
      <c r="H6" s="36"/>
    </row>
    <row r="7" spans="2:8" ht="20" customHeight="1" x14ac:dyDescent="0.2">
      <c r="B7" s="34">
        <f t="shared" si="1"/>
        <v>4</v>
      </c>
      <c r="C7" s="158" t="s">
        <v>31</v>
      </c>
      <c r="D7" s="411" t="s">
        <v>108</v>
      </c>
      <c r="E7" s="159" t="str">
        <f t="shared" si="2"/>
        <v>n/a</v>
      </c>
      <c r="F7" s="160" t="str">
        <f>IF(SUMIFS('CF CSV Upload'!P:P,'CF CSV Upload'!A:A,'Customer Summary'!C7,'CF CSV Upload'!Q:Q,"Yes")=0,"n/a",SUMIFS('CF CSV Upload'!P:P,'CF CSV Upload'!A:A,'Customer Summary'!C7,'CF CSV Upload'!Q:Q,"Yes"))</f>
        <v>n/a</v>
      </c>
      <c r="G7" s="105"/>
      <c r="H7" s="36"/>
    </row>
    <row r="8" spans="2:8" ht="20" customHeight="1" x14ac:dyDescent="0.2">
      <c r="B8" s="34">
        <f t="shared" si="1"/>
        <v>5</v>
      </c>
      <c r="C8" s="158" t="s">
        <v>379</v>
      </c>
      <c r="D8" s="411" t="s">
        <v>108</v>
      </c>
      <c r="E8" s="159" t="str">
        <f t="shared" si="2"/>
        <v>n/a</v>
      </c>
      <c r="F8" s="160" t="str">
        <f>IF(SUMIFS('CF CSV Upload'!P:P,'CF CSV Upload'!A:A,'Customer Summary'!C8,'CF CSV Upload'!Q:Q,"Yes")=0,"n/a",SUMIFS('CF CSV Upload'!P:P,'CF CSV Upload'!A:A,'Customer Summary'!C8,'CF CSV Upload'!Q:Q,"Yes"))</f>
        <v>n/a</v>
      </c>
      <c r="G8" s="105"/>
      <c r="H8" s="36"/>
    </row>
    <row r="9" spans="2:8" ht="20" customHeight="1" x14ac:dyDescent="0.2">
      <c r="B9" s="34">
        <f t="shared" si="1"/>
        <v>6</v>
      </c>
      <c r="C9" s="158" t="s">
        <v>660</v>
      </c>
      <c r="D9" s="411" t="s">
        <v>108</v>
      </c>
      <c r="E9" s="159" t="str">
        <f t="shared" ref="E9" si="3">IF(D9="Yes","Optional",F9)</f>
        <v>n/a</v>
      </c>
      <c r="F9" s="160" t="str">
        <f>IF(SUMIFS('CF CSV Upload'!P:P,'CF CSV Upload'!A:A,'Customer Summary'!C9,'CF CSV Upload'!Q:Q,"Yes")=0,"n/a",SUMIFS('CF CSV Upload'!P:P,'CF CSV Upload'!A:A,'Customer Summary'!C9,'CF CSV Upload'!Q:Q,"Yes"))</f>
        <v>n/a</v>
      </c>
      <c r="G9" s="105"/>
      <c r="H9" s="36"/>
    </row>
    <row r="10" spans="2:8" ht="20" customHeight="1" x14ac:dyDescent="0.2">
      <c r="B10" s="34">
        <f t="shared" si="1"/>
        <v>7</v>
      </c>
      <c r="C10" s="158" t="s">
        <v>140</v>
      </c>
      <c r="D10" s="411" t="s">
        <v>108</v>
      </c>
      <c r="E10" s="159">
        <f t="shared" si="2"/>
        <v>518.14650000000006</v>
      </c>
      <c r="F10" s="160">
        <f>IF(SUMIFS('CF CSV Upload'!P:P,'CF CSV Upload'!A:A,'Customer Summary'!C10,'CF CSV Upload'!Q:Q,"Yes")=0,"n/a",SUMIFS('CF CSV Upload'!P:P,'CF CSV Upload'!A:A,'Customer Summary'!C10,'CF CSV Upload'!Q:Q,"Yes"))</f>
        <v>518.14650000000006</v>
      </c>
      <c r="G10" s="105"/>
      <c r="H10" s="36"/>
    </row>
    <row r="11" spans="2:8" ht="20" customHeight="1" x14ac:dyDescent="0.2">
      <c r="B11" s="34">
        <f t="shared" si="1"/>
        <v>8</v>
      </c>
      <c r="C11" s="158" t="s">
        <v>372</v>
      </c>
      <c r="D11" s="411" t="s">
        <v>108</v>
      </c>
      <c r="E11" s="159" t="str">
        <f t="shared" si="2"/>
        <v>n/a</v>
      </c>
      <c r="F11" s="160" t="str">
        <f>IF(SUMIFS('CF CSV Upload'!P:P,'CF CSV Upload'!A:A,'Customer Summary'!C11,'CF CSV Upload'!Q:Q,"Yes")=0,"n/a",SUMIFS('CF CSV Upload'!P:P,'CF CSV Upload'!A:A,'Customer Summary'!C11,'CF CSV Upload'!Q:Q,"Yes"))</f>
        <v>n/a</v>
      </c>
      <c r="G11" s="105"/>
      <c r="H11" s="36"/>
    </row>
    <row r="12" spans="2:8" ht="20" customHeight="1" x14ac:dyDescent="0.2">
      <c r="B12" s="34">
        <f t="shared" si="1"/>
        <v>9</v>
      </c>
      <c r="C12" s="158" t="s">
        <v>373</v>
      </c>
      <c r="D12" s="411" t="s">
        <v>108</v>
      </c>
      <c r="E12" s="159" t="str">
        <f t="shared" ref="E12" si="4">IF(D12="Yes","Optional",F12)</f>
        <v>n/a</v>
      </c>
      <c r="F12" s="160" t="str">
        <f>IF(SUMIFS('CF CSV Upload'!P:P,'CF CSV Upload'!A:A,'Customer Summary'!C12,'CF CSV Upload'!Q:Q,"Yes")=0,"n/a",SUMIFS('CF CSV Upload'!P:P,'CF CSV Upload'!A:A,'Customer Summary'!C12,'CF CSV Upload'!Q:Q,"Yes"))</f>
        <v>n/a</v>
      </c>
      <c r="G12" s="105"/>
      <c r="H12" s="36"/>
    </row>
    <row r="13" spans="2:8" ht="20" customHeight="1" x14ac:dyDescent="0.2">
      <c r="B13" s="34">
        <f t="shared" si="1"/>
        <v>10</v>
      </c>
      <c r="C13" s="161" t="s">
        <v>374</v>
      </c>
      <c r="D13" s="411" t="s">
        <v>90</v>
      </c>
      <c r="E13" s="159" t="str">
        <f t="shared" ref="E13" si="5">IF(D13="Yes","Optional",F13)</f>
        <v>Optional</v>
      </c>
      <c r="F13" s="160" t="str">
        <f>IF(SUMIFS('CF CSV Upload'!P:P,'CF CSV Upload'!A:A,'Customer Summary'!C13,'CF CSV Upload'!Q:Q,"Yes")=0,"n/a",SUMIFS('CF CSV Upload'!P:P,'CF CSV Upload'!A:A,'Customer Summary'!C13,'CF CSV Upload'!Q:Q,"Yes"))</f>
        <v>n/a</v>
      </c>
      <c r="G13" s="105"/>
      <c r="H13" s="36"/>
    </row>
    <row r="14" spans="2:8" ht="20" customHeight="1" x14ac:dyDescent="0.2">
      <c r="B14" s="34">
        <f t="shared" si="1"/>
        <v>11</v>
      </c>
      <c r="C14" s="161" t="s">
        <v>418</v>
      </c>
      <c r="D14" s="411" t="s">
        <v>90</v>
      </c>
      <c r="E14" s="159" t="str">
        <f t="shared" ref="E14" si="6">IF(D14="Yes","Optional",F14)</f>
        <v>Optional</v>
      </c>
      <c r="F14" s="160" t="str">
        <f>IF(SUMIFS('CF CSV Upload'!P:P,'CF CSV Upload'!A:A,'Customer Summary'!C14,'CF CSV Upload'!Q:Q,"Yes")=0,"n/a",SUMIFS('CF CSV Upload'!P:P,'CF CSV Upload'!A:A,'Customer Summary'!C14,'CF CSV Upload'!Q:Q,"Yes"))</f>
        <v>n/a</v>
      </c>
      <c r="G14" s="105"/>
      <c r="H14" s="36"/>
    </row>
    <row r="15" spans="2:8" ht="20" customHeight="1" x14ac:dyDescent="0.2">
      <c r="B15" s="34">
        <f t="shared" si="1"/>
        <v>12</v>
      </c>
      <c r="C15" s="161" t="s">
        <v>680</v>
      </c>
      <c r="D15" s="411" t="s">
        <v>90</v>
      </c>
      <c r="E15" s="159" t="str">
        <f t="shared" ref="E15" si="7">IF(D15="Yes","Optional",F15)</f>
        <v>Optional</v>
      </c>
      <c r="F15" s="160" t="str">
        <f>IF(SUMIFS('CF CSV Upload'!P:P,'CF CSV Upload'!A:A,'Customer Summary'!C15,'CF CSV Upload'!Q:Q,"Yes")=0,"n/a",SUMIFS('CF CSV Upload'!P:P,'CF CSV Upload'!A:A,'Customer Summary'!C15,'CF CSV Upload'!Q:Q,"Yes"))</f>
        <v>n/a</v>
      </c>
      <c r="G15" s="105"/>
      <c r="H15" s="36"/>
    </row>
    <row r="16" spans="2:8" ht="36.75" customHeight="1" thickBot="1" x14ac:dyDescent="0.25">
      <c r="B16" s="34">
        <f>B14+1</f>
        <v>12</v>
      </c>
      <c r="C16" s="162" t="s">
        <v>650</v>
      </c>
      <c r="D16" s="412" t="s">
        <v>108</v>
      </c>
      <c r="E16" s="159" t="e">
        <f>IF(D16="Yes","Optional",F16)</f>
        <v>#DIV/0!</v>
      </c>
      <c r="F16" s="160" t="e">
        <f>IF(SUMIFS('CF CSV Upload'!P:P,'CF CSV Upload'!A:A,'Customer Summary'!C16,'CF CSV Upload'!Q:Q,"Yes")=0,"n/a",SUMIFS('CF CSV Upload'!P:P,'CF CSV Upload'!A:A,'Customer Summary'!C16,'CF CSV Upload'!Q:Q,"Yes"))</f>
        <v>#DIV/0!</v>
      </c>
      <c r="G16" s="105"/>
      <c r="H16" s="36"/>
    </row>
    <row r="17" spans="2:6" ht="6" customHeight="1" x14ac:dyDescent="0.2">
      <c r="B17" s="641" t="s">
        <v>152</v>
      </c>
      <c r="C17" s="117"/>
      <c r="D17" s="89"/>
      <c r="E17" s="37"/>
      <c r="F17" s="37"/>
    </row>
    <row r="18" spans="2:6" ht="20" customHeight="1" x14ac:dyDescent="0.2">
      <c r="B18" s="642"/>
      <c r="C18" s="644" t="s">
        <v>161</v>
      </c>
      <c r="D18" s="645"/>
      <c r="E18" s="91" t="e">
        <f>SUM(E4:E16)</f>
        <v>#DIV/0!</v>
      </c>
      <c r="F18" s="35" t="e">
        <f>SUM(F4:F16)</f>
        <v>#DIV/0!</v>
      </c>
    </row>
    <row r="19" spans="2:6" ht="20" customHeight="1" x14ac:dyDescent="0.2">
      <c r="B19" s="642"/>
      <c r="C19" s="644" t="s">
        <v>162</v>
      </c>
      <c r="D19" s="645"/>
      <c r="E19" s="91" t="e">
        <f>E18*0.2</f>
        <v>#DIV/0!</v>
      </c>
      <c r="F19" s="35" t="e">
        <f>F18*0.2</f>
        <v>#DIV/0!</v>
      </c>
    </row>
    <row r="20" spans="2:6" ht="20" customHeight="1" x14ac:dyDescent="0.2">
      <c r="B20" s="642"/>
      <c r="C20" s="644" t="s">
        <v>49</v>
      </c>
      <c r="D20" s="645"/>
      <c r="E20" s="91" t="e">
        <f>SUM(E18:E19)</f>
        <v>#DIV/0!</v>
      </c>
      <c r="F20" s="35" t="e">
        <f>SUM(F18:F19)</f>
        <v>#DIV/0!</v>
      </c>
    </row>
    <row r="21" spans="2:6" ht="6" customHeight="1" x14ac:dyDescent="0.2">
      <c r="B21" s="642"/>
      <c r="C21" s="118"/>
      <c r="D21" s="38"/>
      <c r="E21" s="114"/>
      <c r="F21" s="39"/>
    </row>
    <row r="22" spans="2:6" ht="20" customHeight="1" x14ac:dyDescent="0.2">
      <c r="B22" s="642"/>
      <c r="C22" s="646" t="s">
        <v>163</v>
      </c>
      <c r="D22" s="115" t="s">
        <v>470</v>
      </c>
      <c r="E22" s="91" t="e">
        <f>E23/6*5</f>
        <v>#DIV/0!</v>
      </c>
      <c r="F22" s="35" t="e">
        <f>F23/6*5</f>
        <v>#DIV/0!</v>
      </c>
    </row>
    <row r="23" spans="2:6" ht="20" customHeight="1" thickBot="1" x14ac:dyDescent="0.25">
      <c r="B23" s="643"/>
      <c r="C23" s="647"/>
      <c r="D23" s="116" t="s">
        <v>471</v>
      </c>
      <c r="E23" s="119" t="e">
        <f>E20*0.3</f>
        <v>#DIV/0!</v>
      </c>
      <c r="F23" s="40" t="e">
        <f>F20*0.3</f>
        <v>#DIV/0!</v>
      </c>
    </row>
    <row r="24" spans="2:6" x14ac:dyDescent="0.2">
      <c r="F24" s="105"/>
    </row>
    <row r="25" spans="2:6" x14ac:dyDescent="0.2">
      <c r="E25" s="36"/>
      <c r="F25" s="36"/>
    </row>
  </sheetData>
  <sheetProtection formatRows="0" autoFilter="0"/>
  <mergeCells count="7">
    <mergeCell ref="B1:F1"/>
    <mergeCell ref="B2:F2"/>
    <mergeCell ref="B17:B23"/>
    <mergeCell ref="C18:D18"/>
    <mergeCell ref="C19:D19"/>
    <mergeCell ref="C20:D20"/>
    <mergeCell ref="C22:C23"/>
  </mergeCells>
  <phoneticPr fontId="23" type="noConversion"/>
  <conditionalFormatting sqref="B1:F1">
    <cfRule type="cellIs" dxfId="14" priority="5" operator="equal">
      <formula>"PLEASE COMPLETE COSTING BEFORE SUPPLYING A PRICE"</formula>
    </cfRule>
  </conditionalFormatting>
  <conditionalFormatting sqref="D4:D16">
    <cfRule type="cellIs" dxfId="13" priority="4" operator="equal">
      <formula>"Yes"</formula>
    </cfRule>
  </conditionalFormatting>
  <conditionalFormatting sqref="E4:E16">
    <cfRule type="cellIs" dxfId="12" priority="2" operator="equal">
      <formula>"n/a"</formula>
    </cfRule>
    <cfRule type="cellIs" dxfId="11" priority="3" operator="equal">
      <formula>"Optional"</formula>
    </cfRule>
  </conditionalFormatting>
  <conditionalFormatting sqref="F4:F16">
    <cfRule type="cellIs" dxfId="10" priority="1" operator="equal">
      <formula>"n/a"</formula>
    </cfRule>
  </conditionalFormatting>
  <dataValidations count="1">
    <dataValidation type="list" allowBlank="1" showInputMessage="1" showErrorMessage="1" sqref="D4:D16" xr:uid="{23C226B7-7219-4322-8728-A3527216A4BC}">
      <formula1>"No, Yes"</formula1>
    </dataValidation>
  </dataValidations>
  <pageMargins left="0.7" right="0.7" top="0.75" bottom="0.75" header="0.3" footer="0.3"/>
  <pageSetup scale="87"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3C8F8-8D7F-497F-B58F-CDDF8DD45DE0}">
  <sheetPr codeName="Sheet9">
    <tabColor rgb="FF00B0F0"/>
  </sheetPr>
  <dimension ref="A1:I1"/>
  <sheetViews>
    <sheetView workbookViewId="0">
      <selection activeCell="I12" sqref="I12"/>
    </sheetView>
  </sheetViews>
  <sheetFormatPr baseColWidth="10" defaultColWidth="8.83203125" defaultRowHeight="15" x14ac:dyDescent="0.2"/>
  <sheetData>
    <row r="1" spans="1:9" x14ac:dyDescent="0.2">
      <c r="A1" s="128" t="s">
        <v>491</v>
      </c>
      <c r="B1" s="23"/>
      <c r="C1" s="23"/>
      <c r="D1" s="23"/>
      <c r="E1" s="23"/>
      <c r="F1" s="23"/>
      <c r="G1" s="23"/>
      <c r="H1" s="23"/>
      <c r="I1" s="23"/>
    </row>
  </sheetData>
  <sheetProtection formatRows="0" autoFilter="0"/>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F33B2-589C-4E25-B4A9-40C928CB32FF}">
  <sheetPr codeName="Sheet10"/>
  <dimension ref="B1:K29"/>
  <sheetViews>
    <sheetView workbookViewId="0">
      <selection activeCell="D9" sqref="D9:K9"/>
    </sheetView>
  </sheetViews>
  <sheetFormatPr baseColWidth="10" defaultColWidth="8.83203125" defaultRowHeight="15" x14ac:dyDescent="0.2"/>
  <cols>
    <col min="1" max="1" width="2.6640625" customWidth="1"/>
    <col min="10" max="10" width="9.1640625" customWidth="1"/>
  </cols>
  <sheetData>
    <row r="1" spans="2:11" ht="20" customHeight="1" x14ac:dyDescent="0.2">
      <c r="B1" s="662" t="s">
        <v>505</v>
      </c>
      <c r="C1" s="662"/>
      <c r="D1" s="662"/>
      <c r="E1" s="662"/>
      <c r="F1" s="662"/>
      <c r="G1" s="662"/>
      <c r="H1" s="662"/>
      <c r="I1" s="662"/>
      <c r="J1" s="662"/>
    </row>
    <row r="2" spans="2:11" ht="5" customHeight="1" x14ac:dyDescent="0.2"/>
    <row r="3" spans="2:11" x14ac:dyDescent="0.2">
      <c r="B3" s="658" t="s">
        <v>504</v>
      </c>
      <c r="C3" s="658"/>
      <c r="D3" s="658"/>
      <c r="E3" s="658"/>
      <c r="F3" s="658"/>
      <c r="G3" s="658"/>
      <c r="H3" s="658"/>
      <c r="I3" s="658"/>
      <c r="J3" s="658"/>
      <c r="K3" s="658"/>
    </row>
    <row r="4" spans="2:11" x14ac:dyDescent="0.2">
      <c r="B4" s="658" t="s">
        <v>499</v>
      </c>
      <c r="C4" s="658"/>
      <c r="D4" s="658"/>
      <c r="E4" s="658"/>
      <c r="F4" s="658"/>
      <c r="G4" s="658"/>
      <c r="H4" s="658"/>
      <c r="I4" s="658"/>
      <c r="J4" s="658"/>
      <c r="K4" s="658"/>
    </row>
    <row r="5" spans="2:11" x14ac:dyDescent="0.2">
      <c r="B5" s="658" t="s">
        <v>506</v>
      </c>
      <c r="C5" s="658"/>
      <c r="D5" s="658"/>
      <c r="E5" s="658"/>
      <c r="F5" s="658"/>
      <c r="G5" s="658"/>
      <c r="H5" s="658"/>
      <c r="I5" s="658"/>
      <c r="J5" s="658"/>
      <c r="K5" s="658"/>
    </row>
    <row r="6" spans="2:11" x14ac:dyDescent="0.2">
      <c r="B6" s="658" t="s">
        <v>507</v>
      </c>
      <c r="C6" s="658"/>
      <c r="D6" s="658"/>
      <c r="E6" s="658"/>
      <c r="F6" s="658"/>
      <c r="G6" s="658"/>
      <c r="H6" s="658"/>
      <c r="I6" s="658"/>
      <c r="J6" s="658"/>
      <c r="K6" s="658"/>
    </row>
    <row r="7" spans="2:11" x14ac:dyDescent="0.2">
      <c r="B7" s="658" t="s">
        <v>508</v>
      </c>
      <c r="C7" s="658"/>
      <c r="D7" s="658"/>
      <c r="E7" s="658"/>
      <c r="F7" s="658"/>
      <c r="G7" s="658"/>
      <c r="H7" s="658"/>
      <c r="I7" s="658"/>
      <c r="J7" s="658"/>
      <c r="K7" s="658"/>
    </row>
    <row r="8" spans="2:11" x14ac:dyDescent="0.2">
      <c r="B8" s="658" t="s">
        <v>509</v>
      </c>
      <c r="C8" s="658"/>
      <c r="D8" s="658"/>
      <c r="E8" s="658"/>
      <c r="F8" s="658"/>
      <c r="G8" s="658"/>
      <c r="H8" s="658"/>
      <c r="I8" s="658"/>
      <c r="J8" s="658"/>
      <c r="K8" s="658"/>
    </row>
    <row r="9" spans="2:11" x14ac:dyDescent="0.2">
      <c r="B9" s="658" t="s">
        <v>510</v>
      </c>
      <c r="C9" s="658"/>
      <c r="D9" s="658"/>
      <c r="E9" s="658"/>
      <c r="F9" s="658"/>
      <c r="G9" s="658"/>
      <c r="H9" s="658"/>
      <c r="I9" s="658"/>
      <c r="J9" s="658"/>
      <c r="K9" s="658"/>
    </row>
    <row r="10" spans="2:11" ht="5" customHeight="1" x14ac:dyDescent="0.2"/>
    <row r="11" spans="2:11" x14ac:dyDescent="0.2">
      <c r="B11" t="s">
        <v>636</v>
      </c>
    </row>
    <row r="12" spans="2:11" ht="5" customHeight="1" x14ac:dyDescent="0.2"/>
    <row r="13" spans="2:11" x14ac:dyDescent="0.2">
      <c r="B13" s="659" t="s">
        <v>511</v>
      </c>
      <c r="C13" s="659"/>
      <c r="D13" s="659"/>
      <c r="E13" s="659"/>
      <c r="F13" s="659"/>
      <c r="G13" s="659"/>
      <c r="H13" s="659"/>
      <c r="I13" s="660" t="s">
        <v>641</v>
      </c>
      <c r="J13" s="661"/>
      <c r="K13" s="108" t="s">
        <v>637</v>
      </c>
    </row>
    <row r="14" spans="2:11" ht="25" customHeight="1" x14ac:dyDescent="0.2">
      <c r="B14" s="648" t="s">
        <v>632</v>
      </c>
      <c r="C14" s="648"/>
      <c r="D14" s="648"/>
      <c r="E14" s="648"/>
      <c r="F14" s="648"/>
      <c r="G14" s="648"/>
      <c r="H14" s="648"/>
      <c r="I14" s="649"/>
      <c r="J14" s="650"/>
      <c r="K14" s="106"/>
    </row>
    <row r="15" spans="2:11" ht="25" customHeight="1" x14ac:dyDescent="0.2">
      <c r="B15" s="648" t="s">
        <v>633</v>
      </c>
      <c r="C15" s="648"/>
      <c r="D15" s="648"/>
      <c r="E15" s="648"/>
      <c r="F15" s="648"/>
      <c r="G15" s="648"/>
      <c r="H15" s="648"/>
      <c r="I15" s="649"/>
      <c r="J15" s="650"/>
      <c r="K15" s="106"/>
    </row>
    <row r="16" spans="2:11" ht="25" customHeight="1" x14ac:dyDescent="0.2">
      <c r="B16" s="648" t="s">
        <v>634</v>
      </c>
      <c r="C16" s="648"/>
      <c r="D16" s="648"/>
      <c r="E16" s="648"/>
      <c r="F16" s="648"/>
      <c r="G16" s="648"/>
      <c r="H16" s="648"/>
      <c r="I16" s="649"/>
      <c r="J16" s="650"/>
      <c r="K16" s="106"/>
    </row>
    <row r="17" spans="2:11" ht="25" customHeight="1" x14ac:dyDescent="0.2">
      <c r="B17" s="648" t="s">
        <v>184</v>
      </c>
      <c r="C17" s="648"/>
      <c r="D17" s="648"/>
      <c r="E17" s="648"/>
      <c r="F17" s="648"/>
      <c r="G17" s="648"/>
      <c r="H17" s="648"/>
      <c r="I17" s="649"/>
      <c r="J17" s="650"/>
      <c r="K17" s="106"/>
    </row>
    <row r="18" spans="2:11" ht="25" customHeight="1" x14ac:dyDescent="0.2">
      <c r="B18" s="648" t="s">
        <v>635</v>
      </c>
      <c r="C18" s="648"/>
      <c r="D18" s="648"/>
      <c r="E18" s="648"/>
      <c r="F18" s="648"/>
      <c r="G18" s="648"/>
      <c r="H18" s="648"/>
      <c r="I18" s="649"/>
      <c r="J18" s="650"/>
      <c r="K18" s="106"/>
    </row>
    <row r="19" spans="2:11" ht="25" customHeight="1" x14ac:dyDescent="0.2">
      <c r="B19" s="648" t="s">
        <v>638</v>
      </c>
      <c r="C19" s="648"/>
      <c r="D19" s="648"/>
      <c r="E19" s="648"/>
      <c r="F19" s="648"/>
      <c r="G19" s="648"/>
      <c r="H19" s="648"/>
      <c r="I19" s="649"/>
      <c r="J19" s="650"/>
    </row>
    <row r="20" spans="2:11" ht="25" customHeight="1" x14ac:dyDescent="0.2">
      <c r="B20" s="656" t="s">
        <v>639</v>
      </c>
      <c r="C20" s="656"/>
      <c r="D20" s="656"/>
      <c r="E20" s="656"/>
      <c r="F20" s="656"/>
      <c r="G20" s="656"/>
      <c r="H20" s="656"/>
      <c r="I20" s="649"/>
      <c r="J20" s="650"/>
    </row>
    <row r="21" spans="2:11" ht="25" customHeight="1" x14ac:dyDescent="0.2">
      <c r="B21" s="656" t="s">
        <v>49</v>
      </c>
      <c r="C21" s="656"/>
      <c r="D21" s="656"/>
      <c r="E21" s="656"/>
      <c r="F21" s="656"/>
      <c r="G21" s="656"/>
      <c r="H21" s="656"/>
      <c r="I21" s="649"/>
      <c r="J21" s="650"/>
    </row>
    <row r="22" spans="2:11" ht="25" customHeight="1" x14ac:dyDescent="0.2">
      <c r="B22" s="656" t="s">
        <v>640</v>
      </c>
      <c r="C22" s="656"/>
      <c r="D22" s="656"/>
      <c r="E22" s="656"/>
      <c r="F22" s="656"/>
      <c r="G22" s="656"/>
      <c r="H22" s="656"/>
      <c r="I22" s="649"/>
      <c r="J22" s="650"/>
    </row>
    <row r="23" spans="2:11" ht="5" customHeight="1" x14ac:dyDescent="0.2"/>
    <row r="24" spans="2:11" ht="36" customHeight="1" x14ac:dyDescent="0.2">
      <c r="B24" s="651" t="s">
        <v>512</v>
      </c>
      <c r="C24" s="651"/>
      <c r="D24" s="651"/>
      <c r="E24" s="651"/>
      <c r="F24" s="651"/>
      <c r="G24" s="651"/>
      <c r="H24" s="651"/>
      <c r="I24" s="651"/>
      <c r="J24" s="651"/>
      <c r="K24" s="651"/>
    </row>
    <row r="25" spans="2:11" x14ac:dyDescent="0.2">
      <c r="B25" s="657" t="s">
        <v>513</v>
      </c>
      <c r="C25" s="657"/>
      <c r="D25" s="657"/>
      <c r="E25" s="657"/>
      <c r="F25" s="657"/>
      <c r="G25" s="657"/>
      <c r="H25" s="657"/>
      <c r="I25" s="657"/>
      <c r="J25" s="657"/>
    </row>
    <row r="26" spans="2:11" ht="5" customHeight="1" x14ac:dyDescent="0.2"/>
    <row r="27" spans="2:11" ht="37.5" customHeight="1" x14ac:dyDescent="0.2">
      <c r="B27" s="651" t="s">
        <v>514</v>
      </c>
      <c r="C27" s="651"/>
      <c r="D27" s="651"/>
      <c r="E27" s="651"/>
      <c r="F27" s="651"/>
      <c r="G27" s="651"/>
      <c r="H27" s="651"/>
      <c r="I27" s="651"/>
      <c r="J27" s="651"/>
      <c r="K27" s="651"/>
    </row>
    <row r="28" spans="2:11" ht="5" customHeight="1" x14ac:dyDescent="0.2"/>
    <row r="29" spans="2:11" ht="26.25" customHeight="1" x14ac:dyDescent="0.2">
      <c r="B29" s="652" t="s">
        <v>515</v>
      </c>
      <c r="C29" s="652"/>
      <c r="D29" s="653"/>
      <c r="E29" s="654"/>
      <c r="F29" s="654"/>
      <c r="G29" s="654"/>
      <c r="H29" s="655"/>
      <c r="I29" s="134" t="s">
        <v>516</v>
      </c>
      <c r="J29" s="652"/>
      <c r="K29" s="652"/>
    </row>
  </sheetData>
  <sheetProtection formatRows="0" autoFilter="0"/>
  <mergeCells count="41">
    <mergeCell ref="B5:C5"/>
    <mergeCell ref="D5:K5"/>
    <mergeCell ref="B1:J1"/>
    <mergeCell ref="B3:C3"/>
    <mergeCell ref="D3:K3"/>
    <mergeCell ref="B4:C4"/>
    <mergeCell ref="D4:K4"/>
    <mergeCell ref="B6:C6"/>
    <mergeCell ref="D6:K6"/>
    <mergeCell ref="B7:C7"/>
    <mergeCell ref="D7:K7"/>
    <mergeCell ref="B8:C8"/>
    <mergeCell ref="D8:K8"/>
    <mergeCell ref="B9:C9"/>
    <mergeCell ref="D9:K9"/>
    <mergeCell ref="B13:H13"/>
    <mergeCell ref="I13:J13"/>
    <mergeCell ref="B14:H14"/>
    <mergeCell ref="I14:J14"/>
    <mergeCell ref="B18:H18"/>
    <mergeCell ref="I18:J18"/>
    <mergeCell ref="B15:H15"/>
    <mergeCell ref="I15:J15"/>
    <mergeCell ref="B16:H16"/>
    <mergeCell ref="I16:J16"/>
    <mergeCell ref="B17:H17"/>
    <mergeCell ref="I17:J17"/>
    <mergeCell ref="B19:H19"/>
    <mergeCell ref="I19:J19"/>
    <mergeCell ref="B27:K27"/>
    <mergeCell ref="B29:C29"/>
    <mergeCell ref="D29:H29"/>
    <mergeCell ref="J29:K29"/>
    <mergeCell ref="B20:H20"/>
    <mergeCell ref="I20:J20"/>
    <mergeCell ref="B22:H22"/>
    <mergeCell ref="I22:J22"/>
    <mergeCell ref="B24:K24"/>
    <mergeCell ref="B25:J25"/>
    <mergeCell ref="B21:H21"/>
    <mergeCell ref="I21:J21"/>
  </mergeCells>
  <hyperlinks>
    <hyperlink ref="B25" r:id="rId1" xr:uid="{2681665A-61E8-4FAE-80D5-26D3717DFA29}"/>
  </hyperlinks>
  <pageMargins left="0.23622047244094491" right="0.43307086614173229" top="0.74803149606299213" bottom="0.74803149606299213" header="0.31496062992125984" footer="0.31496062992125984"/>
  <pageSetup orientation="portrait" r:id="rId2"/>
  <headerFooter>
    <oddHeader>&amp;R&amp;G</oddHeader>
  </headerFooter>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E2944E-BFCA-4D77-93F3-575C5DF4A47F}">
  <sheetPr codeName="Sheet6">
    <tabColor rgb="FF7030A0"/>
  </sheetPr>
  <dimension ref="A1:K25"/>
  <sheetViews>
    <sheetView zoomScaleNormal="100" workbookViewId="0">
      <selection activeCell="N12" sqref="N12"/>
    </sheetView>
  </sheetViews>
  <sheetFormatPr baseColWidth="10" defaultColWidth="9.1640625" defaultRowHeight="14" x14ac:dyDescent="0.15"/>
  <cols>
    <col min="1" max="5" width="9.1640625" style="67"/>
    <col min="6" max="6" width="7.5" style="67" customWidth="1"/>
    <col min="7" max="8" width="9.1640625" style="67"/>
    <col min="9" max="9" width="13.6640625" style="67" customWidth="1"/>
    <col min="10" max="10" width="2.6640625" style="67" customWidth="1"/>
    <col min="11" max="11" width="45.1640625" style="67" customWidth="1"/>
    <col min="12" max="12" width="2.6640625" style="67" customWidth="1"/>
    <col min="13" max="16384" width="9.1640625" style="67"/>
  </cols>
  <sheetData>
    <row r="1" spans="1:11" ht="44.25" customHeight="1" x14ac:dyDescent="0.15">
      <c r="A1" s="668" t="s">
        <v>345</v>
      </c>
      <c r="B1" s="668"/>
      <c r="C1" s="668"/>
      <c r="D1" s="668"/>
      <c r="E1" s="668"/>
      <c r="F1" s="668"/>
      <c r="G1" s="668"/>
      <c r="H1" s="668"/>
      <c r="I1" s="668"/>
      <c r="K1" s="102"/>
    </row>
    <row r="2" spans="1:11" x14ac:dyDescent="0.15">
      <c r="A2" s="670" t="s">
        <v>343</v>
      </c>
      <c r="B2" s="670"/>
      <c r="C2" s="670"/>
      <c r="D2" s="670"/>
      <c r="E2" s="670"/>
      <c r="F2" s="670"/>
      <c r="G2" s="670"/>
      <c r="H2" s="670"/>
      <c r="I2" s="670"/>
    </row>
    <row r="3" spans="1:11" x14ac:dyDescent="0.15">
      <c r="A3" s="665" t="s">
        <v>383</v>
      </c>
      <c r="B3" s="665"/>
      <c r="C3" s="665"/>
      <c r="D3" s="665"/>
      <c r="E3" s="665"/>
      <c r="F3" s="665"/>
      <c r="G3" s="665"/>
      <c r="H3" s="665"/>
      <c r="I3" s="665"/>
    </row>
    <row r="4" spans="1:11" x14ac:dyDescent="0.15">
      <c r="A4" s="663"/>
      <c r="B4" s="663"/>
      <c r="C4" s="663"/>
      <c r="D4" s="663"/>
      <c r="E4" s="663"/>
      <c r="F4" s="663"/>
      <c r="G4" s="663"/>
      <c r="H4" s="663"/>
      <c r="I4" s="663"/>
    </row>
    <row r="5" spans="1:11" x14ac:dyDescent="0.15">
      <c r="A5" s="670" t="s">
        <v>344</v>
      </c>
      <c r="B5" s="670"/>
      <c r="C5" s="670"/>
      <c r="D5" s="670"/>
      <c r="E5" s="670"/>
      <c r="F5" s="670"/>
      <c r="G5" s="670"/>
      <c r="H5" s="670"/>
      <c r="I5" s="670"/>
    </row>
    <row r="6" spans="1:11" x14ac:dyDescent="0.15">
      <c r="A6" s="665" t="s">
        <v>384</v>
      </c>
      <c r="B6" s="665"/>
      <c r="C6" s="665"/>
      <c r="D6" s="665"/>
      <c r="E6" s="665"/>
      <c r="F6" s="665"/>
      <c r="G6" s="665"/>
      <c r="H6" s="665"/>
      <c r="I6" s="665"/>
    </row>
    <row r="7" spans="1:11" x14ac:dyDescent="0.15">
      <c r="A7" s="663"/>
      <c r="B7" s="663"/>
      <c r="C7" s="663"/>
      <c r="D7" s="663"/>
      <c r="E7" s="663"/>
      <c r="F7" s="663"/>
      <c r="G7" s="663"/>
      <c r="H7" s="663"/>
      <c r="I7" s="663"/>
    </row>
    <row r="8" spans="1:11" ht="20.25" customHeight="1" x14ac:dyDescent="0.15">
      <c r="A8" s="667" t="s">
        <v>385</v>
      </c>
      <c r="B8" s="667"/>
      <c r="C8" s="667"/>
      <c r="D8" s="667"/>
      <c r="E8" s="667"/>
      <c r="F8" s="667"/>
      <c r="G8" s="667"/>
      <c r="H8" s="667"/>
      <c r="I8" s="667"/>
    </row>
    <row r="9" spans="1:11" x14ac:dyDescent="0.15">
      <c r="A9" s="663"/>
      <c r="B9" s="663"/>
      <c r="C9" s="663"/>
      <c r="D9" s="663"/>
      <c r="E9" s="663"/>
      <c r="F9" s="663"/>
      <c r="G9" s="663"/>
      <c r="H9" s="663"/>
      <c r="I9" s="663"/>
    </row>
    <row r="10" spans="1:11" x14ac:dyDescent="0.15">
      <c r="A10" s="666" t="s">
        <v>341</v>
      </c>
      <c r="B10" s="666"/>
      <c r="C10" s="666"/>
      <c r="D10" s="666"/>
      <c r="E10" s="666"/>
      <c r="F10" s="666"/>
      <c r="G10" s="666"/>
      <c r="H10" s="666"/>
      <c r="I10" s="666"/>
    </row>
    <row r="11" spans="1:11" x14ac:dyDescent="0.15">
      <c r="A11" s="665" t="str">
        <f>Costing!E8</f>
        <v/>
      </c>
      <c r="B11" s="665"/>
      <c r="C11" s="665"/>
      <c r="D11" s="665"/>
      <c r="E11" s="665"/>
      <c r="F11" s="665"/>
      <c r="G11" s="665"/>
      <c r="H11" s="665"/>
      <c r="I11" s="665"/>
    </row>
    <row r="12" spans="1:11" x14ac:dyDescent="0.15">
      <c r="A12" s="665" t="str">
        <f>Costing!E9</f>
        <v/>
      </c>
      <c r="B12" s="665"/>
      <c r="C12" s="665"/>
      <c r="D12" s="665"/>
      <c r="E12" s="665"/>
      <c r="F12" s="665"/>
      <c r="G12" s="665"/>
      <c r="H12" s="665"/>
      <c r="I12" s="665"/>
    </row>
    <row r="13" spans="1:11" x14ac:dyDescent="0.15">
      <c r="A13" s="665" t="str">
        <f>Costing!E10</f>
        <v/>
      </c>
      <c r="B13" s="665"/>
      <c r="C13" s="665"/>
      <c r="D13" s="665"/>
      <c r="E13" s="665"/>
      <c r="F13" s="665"/>
      <c r="G13" s="665"/>
      <c r="H13" s="665"/>
      <c r="I13" s="665"/>
    </row>
    <row r="14" spans="1:11" x14ac:dyDescent="0.15">
      <c r="A14" s="665" t="str">
        <f>Costing!E11</f>
        <v/>
      </c>
      <c r="B14" s="665"/>
      <c r="C14" s="665"/>
      <c r="D14" s="665"/>
      <c r="E14" s="665"/>
      <c r="F14" s="665"/>
      <c r="G14" s="665"/>
      <c r="H14" s="665"/>
      <c r="I14" s="665"/>
    </row>
    <row r="15" spans="1:11" x14ac:dyDescent="0.15">
      <c r="A15" s="663"/>
      <c r="B15" s="663"/>
      <c r="C15" s="663"/>
      <c r="D15" s="663"/>
      <c r="E15" s="663"/>
      <c r="F15" s="663"/>
      <c r="G15" s="663"/>
      <c r="H15" s="663"/>
      <c r="I15" s="663"/>
    </row>
    <row r="16" spans="1:11" ht="50.25" customHeight="1" x14ac:dyDescent="0.15">
      <c r="A16" s="667" t="s">
        <v>342</v>
      </c>
      <c r="B16" s="667"/>
      <c r="C16" s="667"/>
      <c r="D16" s="667"/>
      <c r="E16" s="667"/>
      <c r="F16" s="667"/>
      <c r="G16" s="667"/>
      <c r="H16" s="667"/>
      <c r="I16" s="667"/>
    </row>
    <row r="17" spans="1:9" ht="138.75" customHeight="1" x14ac:dyDescent="0.15">
      <c r="A17" s="667" t="s">
        <v>390</v>
      </c>
      <c r="B17" s="667"/>
      <c r="C17" s="667"/>
      <c r="D17" s="667"/>
      <c r="E17" s="667"/>
      <c r="F17" s="667"/>
      <c r="G17" s="667"/>
      <c r="H17" s="667"/>
      <c r="I17" s="667"/>
    </row>
    <row r="18" spans="1:9" ht="33.75" customHeight="1" x14ac:dyDescent="0.15">
      <c r="A18" s="669" t="s">
        <v>391</v>
      </c>
      <c r="B18" s="669"/>
      <c r="C18" s="669"/>
      <c r="D18" s="669"/>
      <c r="E18" s="669"/>
      <c r="F18" s="669"/>
      <c r="G18" s="669"/>
      <c r="H18" s="669"/>
      <c r="I18" s="669"/>
    </row>
    <row r="19" spans="1:9" ht="26.25" customHeight="1" x14ac:dyDescent="0.15">
      <c r="A19" s="666" t="s">
        <v>340</v>
      </c>
      <c r="B19" s="666"/>
      <c r="C19" s="666"/>
      <c r="D19" s="666"/>
      <c r="E19" s="666"/>
      <c r="F19" s="666"/>
      <c r="G19" s="666"/>
      <c r="H19" s="666"/>
      <c r="I19" s="666"/>
    </row>
    <row r="20" spans="1:9" ht="48" customHeight="1" x14ac:dyDescent="0.15">
      <c r="A20" s="667" t="s">
        <v>388</v>
      </c>
      <c r="B20" s="667"/>
      <c r="C20" s="667"/>
      <c r="D20" s="667"/>
      <c r="E20" s="667"/>
      <c r="F20" s="667"/>
      <c r="G20" s="667"/>
      <c r="H20" s="667"/>
      <c r="I20" s="667"/>
    </row>
    <row r="21" spans="1:9" ht="39.75" customHeight="1" x14ac:dyDescent="0.15">
      <c r="A21" s="667" t="s">
        <v>389</v>
      </c>
      <c r="B21" s="667"/>
      <c r="C21" s="667"/>
      <c r="D21" s="667"/>
      <c r="E21" s="667"/>
      <c r="F21" s="667"/>
      <c r="G21" s="667"/>
      <c r="H21" s="667"/>
      <c r="I21" s="667"/>
    </row>
    <row r="22" spans="1:9" x14ac:dyDescent="0.15">
      <c r="A22" s="663"/>
      <c r="B22" s="663"/>
      <c r="C22" s="663"/>
      <c r="D22" s="663"/>
      <c r="E22" s="663"/>
      <c r="F22" s="663"/>
      <c r="G22" s="663"/>
      <c r="H22" s="663"/>
      <c r="I22" s="663"/>
    </row>
    <row r="23" spans="1:9" ht="20" customHeight="1" x14ac:dyDescent="0.15">
      <c r="A23" s="665" t="s">
        <v>346</v>
      </c>
      <c r="B23" s="665"/>
      <c r="C23" s="665"/>
      <c r="D23" s="665"/>
      <c r="E23" s="665"/>
      <c r="F23" s="665"/>
      <c r="G23" s="665"/>
      <c r="H23" s="665"/>
      <c r="I23" s="665"/>
    </row>
    <row r="24" spans="1:9" ht="20" customHeight="1" x14ac:dyDescent="0.15">
      <c r="A24" s="665" t="s">
        <v>386</v>
      </c>
      <c r="B24" s="665"/>
      <c r="C24" s="665"/>
      <c r="D24" s="665"/>
      <c r="E24" s="665"/>
      <c r="F24" s="665"/>
      <c r="G24" s="665"/>
      <c r="H24" s="665"/>
      <c r="I24" s="665"/>
    </row>
    <row r="25" spans="1:9" ht="19.5" customHeight="1" x14ac:dyDescent="0.2">
      <c r="A25" s="664" t="s">
        <v>387</v>
      </c>
      <c r="B25" s="665"/>
      <c r="C25" s="665"/>
      <c r="D25" s="665"/>
      <c r="E25" s="665"/>
      <c r="F25" s="665"/>
      <c r="G25" s="665"/>
      <c r="H25" s="665"/>
      <c r="I25" s="665"/>
    </row>
  </sheetData>
  <sheetProtection formatRows="0" autoFilter="0"/>
  <mergeCells count="25">
    <mergeCell ref="A1:I1"/>
    <mergeCell ref="A8:I8"/>
    <mergeCell ref="A16:I16"/>
    <mergeCell ref="A17:I17"/>
    <mergeCell ref="A18:I18"/>
    <mergeCell ref="A11:I11"/>
    <mergeCell ref="A12:I12"/>
    <mergeCell ref="A9:I9"/>
    <mergeCell ref="A15:I15"/>
    <mergeCell ref="A7:I7"/>
    <mergeCell ref="A2:I2"/>
    <mergeCell ref="A3:I3"/>
    <mergeCell ref="A4:I4"/>
    <mergeCell ref="A5:I5"/>
    <mergeCell ref="A22:I22"/>
    <mergeCell ref="A25:I25"/>
    <mergeCell ref="A13:I13"/>
    <mergeCell ref="A14:I14"/>
    <mergeCell ref="A6:I6"/>
    <mergeCell ref="A10:I10"/>
    <mergeCell ref="A19:I19"/>
    <mergeCell ref="A20:I20"/>
    <mergeCell ref="A21:I21"/>
    <mergeCell ref="A23:I23"/>
    <mergeCell ref="A24:I24"/>
  </mergeCells>
  <hyperlinks>
    <hyperlink ref="A25" r:id="rId1" xr:uid="{91FD9B72-683C-4F46-9B40-22DB756DE669}"/>
  </hyperlinks>
  <pageMargins left="0.7" right="0.7" top="0.75" bottom="0.75"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792B0-48DD-4368-BCD9-58C4EBCAE7A8}">
  <sheetPr codeName="Sheet11">
    <pageSetUpPr fitToPage="1"/>
  </sheetPr>
  <dimension ref="B1:H24"/>
  <sheetViews>
    <sheetView workbookViewId="0">
      <selection activeCell="I10" sqref="I10"/>
    </sheetView>
  </sheetViews>
  <sheetFormatPr baseColWidth="10" defaultColWidth="9.1640625" defaultRowHeight="15" x14ac:dyDescent="0.2"/>
  <cols>
    <col min="1" max="1" width="5.33203125" style="1" customWidth="1"/>
    <col min="2" max="2" width="4.5" style="1" customWidth="1"/>
    <col min="3" max="3" width="61.1640625" style="1" customWidth="1"/>
    <col min="4" max="4" width="21" style="1" customWidth="1"/>
    <col min="5" max="5" width="62" style="1" customWidth="1"/>
    <col min="6" max="6" width="8.83203125" style="1" customWidth="1"/>
    <col min="7" max="7" width="15.33203125" style="1" customWidth="1"/>
    <col min="8" max="16384" width="9.1640625" style="1"/>
  </cols>
  <sheetData>
    <row r="1" spans="2:8" ht="10" customHeight="1" thickBot="1" x14ac:dyDescent="0.25"/>
    <row r="2" spans="2:8" ht="42.75" customHeight="1" thickBot="1" x14ac:dyDescent="0.25">
      <c r="B2" s="637" t="s">
        <v>494</v>
      </c>
      <c r="C2" s="638"/>
      <c r="D2" s="639"/>
      <c r="E2" s="640"/>
    </row>
    <row r="3" spans="2:8" ht="18" x14ac:dyDescent="0.2">
      <c r="B3" s="671" t="s">
        <v>625</v>
      </c>
      <c r="C3" s="672"/>
      <c r="D3" s="672"/>
      <c r="E3" s="673"/>
    </row>
    <row r="4" spans="2:8" x14ac:dyDescent="0.2">
      <c r="B4" s="674" t="s">
        <v>135</v>
      </c>
      <c r="C4" s="675"/>
      <c r="D4" s="675" t="str">
        <f>Costing!E4</f>
        <v/>
      </c>
      <c r="E4" s="678"/>
    </row>
    <row r="5" spans="2:8" x14ac:dyDescent="0.2">
      <c r="B5" s="674" t="s">
        <v>499</v>
      </c>
      <c r="C5" s="675"/>
      <c r="D5" s="675" t="str">
        <f>Costing!E7</f>
        <v/>
      </c>
      <c r="E5" s="678"/>
    </row>
    <row r="6" spans="2:8" x14ac:dyDescent="0.2">
      <c r="B6" s="674" t="s">
        <v>498</v>
      </c>
      <c r="C6" s="675"/>
      <c r="D6" s="675" t="str">
        <f>Costing!E8</f>
        <v/>
      </c>
      <c r="E6" s="678"/>
    </row>
    <row r="7" spans="2:8" x14ac:dyDescent="0.2">
      <c r="B7" s="674" t="s">
        <v>497</v>
      </c>
      <c r="C7" s="675"/>
      <c r="D7" s="675" t="str">
        <f>Costing!E9</f>
        <v/>
      </c>
      <c r="E7" s="678"/>
    </row>
    <row r="8" spans="2:8" x14ac:dyDescent="0.2">
      <c r="B8" s="674" t="s">
        <v>496</v>
      </c>
      <c r="C8" s="675"/>
      <c r="D8" s="675" t="str">
        <f>Costing!E10</f>
        <v/>
      </c>
      <c r="E8" s="678"/>
    </row>
    <row r="9" spans="2:8" ht="16" thickBot="1" x14ac:dyDescent="0.25">
      <c r="B9" s="676" t="s">
        <v>495</v>
      </c>
      <c r="C9" s="677"/>
      <c r="D9" s="677" t="str">
        <f>Costing!E11</f>
        <v/>
      </c>
      <c r="E9" s="679"/>
    </row>
    <row r="10" spans="2:8" ht="41.25" customHeight="1" x14ac:dyDescent="0.2">
      <c r="B10" s="32" t="s">
        <v>160</v>
      </c>
      <c r="C10" s="33" t="s">
        <v>380</v>
      </c>
      <c r="D10" s="90" t="s">
        <v>629</v>
      </c>
      <c r="E10" s="92" t="s">
        <v>626</v>
      </c>
      <c r="G10" s="172" t="s">
        <v>624</v>
      </c>
    </row>
    <row r="11" spans="2:8" ht="20" customHeight="1" x14ac:dyDescent="0.2">
      <c r="B11" s="34">
        <v>1</v>
      </c>
      <c r="C11" s="158" t="str">
        <f>'Customer Summary'!C4</f>
        <v>Stripping out of items as required to proceed with works</v>
      </c>
      <c r="D11" s="159">
        <f>Costing!V26+Costing!V36</f>
        <v>0</v>
      </c>
      <c r="E11" s="163"/>
      <c r="F11" s="176"/>
      <c r="G11" s="173">
        <f>Costing!O26+Costing!O36</f>
        <v>0</v>
      </c>
      <c r="H11" s="177"/>
    </row>
    <row r="12" spans="2:8" ht="20" customHeight="1" x14ac:dyDescent="0.2">
      <c r="B12" s="34">
        <f t="shared" ref="B12:B21" si="0">B11+1</f>
        <v>2</v>
      </c>
      <c r="C12" s="158" t="str">
        <f>'Customer Summary'!C5</f>
        <v>Walls (Install membrane system)</v>
      </c>
      <c r="D12" s="159">
        <f>Costing!V58</f>
        <v>0</v>
      </c>
      <c r="E12" s="163"/>
      <c r="F12" s="176"/>
      <c r="G12" s="173">
        <f>Costing!O58</f>
        <v>0</v>
      </c>
      <c r="H12" s="177"/>
    </row>
    <row r="13" spans="2:8" ht="20" customHeight="1" x14ac:dyDescent="0.2">
      <c r="B13" s="34">
        <f t="shared" si="0"/>
        <v>3</v>
      </c>
      <c r="C13" s="158" t="str">
        <f>'Customer Summary'!C6</f>
        <v>Cementitious tanking system</v>
      </c>
      <c r="D13" s="159">
        <f>Costing!V66</f>
        <v>0</v>
      </c>
      <c r="E13" s="163"/>
      <c r="F13" s="176"/>
      <c r="G13" s="173">
        <f>Costing!O66</f>
        <v>0</v>
      </c>
      <c r="H13" s="177"/>
    </row>
    <row r="14" spans="2:8" ht="20" customHeight="1" x14ac:dyDescent="0.2">
      <c r="B14" s="34">
        <f t="shared" si="0"/>
        <v>4</v>
      </c>
      <c r="C14" s="158" t="str">
        <f>'Customer Summary'!C7</f>
        <v xml:space="preserve">Floor - Liquid Resin floor Membranes </v>
      </c>
      <c r="D14" s="159">
        <f>Costing!V74</f>
        <v>0</v>
      </c>
      <c r="E14" s="163"/>
      <c r="F14" s="176"/>
      <c r="G14" s="173">
        <f>Costing!O74</f>
        <v>0</v>
      </c>
      <c r="H14" s="177"/>
    </row>
    <row r="15" spans="2:8" ht="20" customHeight="1" x14ac:dyDescent="0.2">
      <c r="B15" s="34">
        <f t="shared" si="0"/>
        <v>5</v>
      </c>
      <c r="C15" s="158" t="str">
        <f>'Customer Summary'!C8</f>
        <v>Plastering &amp; finishing</v>
      </c>
      <c r="D15" s="159">
        <f>Costing!V85-D16</f>
        <v>0</v>
      </c>
      <c r="E15" s="163"/>
      <c r="F15" s="176"/>
      <c r="G15" s="173">
        <f>Costing!O85-G16</f>
        <v>0</v>
      </c>
      <c r="H15" s="177"/>
    </row>
    <row r="16" spans="2:8" ht="20" customHeight="1" x14ac:dyDescent="0.2">
      <c r="B16" s="34">
        <f t="shared" si="0"/>
        <v>6</v>
      </c>
      <c r="C16" s="158" t="str">
        <f>'Customer Summary'!C9</f>
        <v>Warmline Internal Wall Insulation</v>
      </c>
      <c r="D16" s="159">
        <f>Costing!V79</f>
        <v>0</v>
      </c>
      <c r="E16" s="163"/>
      <c r="F16" s="176"/>
      <c r="G16" s="173">
        <f>Costing!O79</f>
        <v>0</v>
      </c>
      <c r="H16" s="177"/>
    </row>
    <row r="17" spans="2:8" ht="20" customHeight="1" x14ac:dyDescent="0.2">
      <c r="B17" s="34">
        <f t="shared" si="0"/>
        <v>7</v>
      </c>
      <c r="C17" s="158" t="str">
        <f>'Customer Summary'!C10</f>
        <v>Floor Joists &amp; Floor Decking</v>
      </c>
      <c r="D17" s="159">
        <f>Costing!V109</f>
        <v>93.100000000000009</v>
      </c>
      <c r="E17" s="163"/>
      <c r="F17" s="176"/>
      <c r="G17" s="173">
        <f>Costing!O109</f>
        <v>3.3249999999999997</v>
      </c>
      <c r="H17" s="177"/>
    </row>
    <row r="18" spans="2:8" ht="20" customHeight="1" x14ac:dyDescent="0.2">
      <c r="B18" s="34">
        <f t="shared" si="0"/>
        <v>8</v>
      </c>
      <c r="C18" s="158" t="str">
        <f>'Customer Summary'!C11</f>
        <v>Airbricks</v>
      </c>
      <c r="D18" s="159">
        <f>Costing!V115</f>
        <v>0</v>
      </c>
      <c r="E18" s="163"/>
      <c r="F18" s="176"/>
      <c r="G18" s="173">
        <f>Costing!O115</f>
        <v>0</v>
      </c>
      <c r="H18" s="177"/>
    </row>
    <row r="19" spans="2:8" ht="20" customHeight="1" x14ac:dyDescent="0.2">
      <c r="B19" s="34">
        <f t="shared" si="0"/>
        <v>9</v>
      </c>
      <c r="C19" s="158" t="str">
        <f>'Customer Summary'!C12</f>
        <v>Spray treatments</v>
      </c>
      <c r="D19" s="159">
        <f>Costing!V120</f>
        <v>0</v>
      </c>
      <c r="E19" s="163"/>
      <c r="F19" s="176"/>
      <c r="G19" s="173">
        <f>Costing!O120</f>
        <v>0</v>
      </c>
      <c r="H19" s="177"/>
    </row>
    <row r="20" spans="2:8" ht="20" customHeight="1" x14ac:dyDescent="0.2">
      <c r="B20" s="34">
        <f t="shared" si="0"/>
        <v>10</v>
      </c>
      <c r="C20" s="158" t="str">
        <f>'Customer Summary'!C13</f>
        <v>Drains</v>
      </c>
      <c r="D20" s="159">
        <f>Costing!V125</f>
        <v>0</v>
      </c>
      <c r="E20" s="163"/>
      <c r="F20" s="176"/>
      <c r="G20" s="173">
        <f>Costing!O125</f>
        <v>0</v>
      </c>
      <c r="H20" s="177"/>
    </row>
    <row r="21" spans="2:8" ht="20" customHeight="1" thickBot="1" x14ac:dyDescent="0.25">
      <c r="B21" s="166">
        <f t="shared" si="0"/>
        <v>11</v>
      </c>
      <c r="C21" s="158" t="str">
        <f>'Customer Summary'!C14</f>
        <v>External Wall - Aquaban Water Repellent Treatments</v>
      </c>
      <c r="D21" s="159">
        <f>Costing!V129</f>
        <v>0</v>
      </c>
      <c r="E21" s="163"/>
      <c r="F21" s="176"/>
      <c r="G21" s="173">
        <f>Costing!O129</f>
        <v>0</v>
      </c>
      <c r="H21" s="177"/>
    </row>
    <row r="22" spans="2:8" ht="3" customHeight="1" x14ac:dyDescent="0.2">
      <c r="B22" s="117"/>
      <c r="C22" s="164"/>
      <c r="D22" s="37"/>
      <c r="E22" s="37"/>
      <c r="G22" s="174"/>
    </row>
    <row r="23" spans="2:8" ht="20" customHeight="1" thickBot="1" x14ac:dyDescent="0.25">
      <c r="B23" s="167"/>
      <c r="C23" s="165" t="s">
        <v>49</v>
      </c>
      <c r="D23" s="91">
        <f>SUM(D11:D22)</f>
        <v>93.100000000000009</v>
      </c>
      <c r="E23" s="39"/>
      <c r="G23" s="173">
        <f>SUM(G11:G22)</f>
        <v>3.3249999999999997</v>
      </c>
    </row>
    <row r="24" spans="2:8" ht="3" customHeight="1" thickBot="1" x14ac:dyDescent="0.25">
      <c r="B24" s="168"/>
      <c r="C24" s="169"/>
      <c r="D24" s="170"/>
      <c r="E24" s="171"/>
      <c r="G24" s="175"/>
    </row>
  </sheetData>
  <sheetProtection formatRows="0" autoFilter="0"/>
  <mergeCells count="14">
    <mergeCell ref="B2:E2"/>
    <mergeCell ref="B3:E3"/>
    <mergeCell ref="B4:C4"/>
    <mergeCell ref="B9:C9"/>
    <mergeCell ref="B8:C8"/>
    <mergeCell ref="B7:C7"/>
    <mergeCell ref="B6:C6"/>
    <mergeCell ref="B5:C5"/>
    <mergeCell ref="D4:E4"/>
    <mergeCell ref="D9:E9"/>
    <mergeCell ref="D8:E8"/>
    <mergeCell ref="D7:E7"/>
    <mergeCell ref="D6:E6"/>
    <mergeCell ref="D5:E5"/>
  </mergeCells>
  <conditionalFormatting sqref="D11:D21">
    <cfRule type="cellIs" dxfId="9" priority="7" operator="equal">
      <formula>"n/a"</formula>
    </cfRule>
    <cfRule type="cellIs" dxfId="8" priority="8" operator="equal">
      <formula>"Optional"</formula>
    </cfRule>
  </conditionalFormatting>
  <conditionalFormatting sqref="G11:G21">
    <cfRule type="cellIs" dxfId="7" priority="3" operator="equal">
      <formula>"n/a"</formula>
    </cfRule>
    <cfRule type="cellIs" dxfId="6" priority="4" operator="equal">
      <formula>"Optional"</formula>
    </cfRule>
  </conditionalFormatting>
  <conditionalFormatting sqref="G23">
    <cfRule type="cellIs" dxfId="5" priority="1" operator="equal">
      <formula>"n/a"</formula>
    </cfRule>
    <cfRule type="cellIs" dxfId="4" priority="2" operator="equal">
      <formula>"Optional"</formula>
    </cfRule>
  </conditionalFormatting>
  <pageMargins left="0.70866141732283472" right="0.70866141732283472" top="0.74803149606299213" bottom="0.74803149606299213" header="0.31496062992125984" footer="0.31496062992125984"/>
  <pageSetup scale="82"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3B4B7D-5AB5-4DF4-8195-A9BF0A2E5FD5}">
  <sheetPr codeName="Sheet2"/>
  <dimension ref="A1:Q188"/>
  <sheetViews>
    <sheetView workbookViewId="0">
      <pane ySplit="1" topLeftCell="A119" activePane="bottomLeft" state="frozen"/>
      <selection pane="bottomLeft" activeCell="C139" sqref="C139"/>
    </sheetView>
  </sheetViews>
  <sheetFormatPr baseColWidth="10" defaultColWidth="8.83203125" defaultRowHeight="15" x14ac:dyDescent="0.2"/>
  <cols>
    <col min="1" max="1" width="49.5" customWidth="1"/>
    <col min="2" max="2" width="74.33203125" customWidth="1"/>
    <col min="3" max="3" width="57.33203125" customWidth="1"/>
    <col min="4" max="4" width="16.5" customWidth="1"/>
    <col min="5" max="5" width="17.33203125" customWidth="1"/>
    <col min="6" max="6" width="8.6640625" bestFit="1" customWidth="1"/>
    <col min="7" max="7" width="28.1640625" bestFit="1" customWidth="1"/>
    <col min="8" max="8" width="16.33203125" customWidth="1"/>
    <col min="9" max="9" width="12.5" bestFit="1" customWidth="1"/>
    <col min="10" max="10" width="9.83203125" bestFit="1" customWidth="1"/>
    <col min="11" max="11" width="9.6640625" bestFit="1" customWidth="1"/>
    <col min="12" max="12" width="10.5" bestFit="1" customWidth="1"/>
    <col min="13" max="13" width="17.5" bestFit="1" customWidth="1"/>
    <col min="14" max="14" width="22.5" style="29" bestFit="1" customWidth="1"/>
    <col min="15" max="15" width="38.83203125" style="29" bestFit="1" customWidth="1"/>
    <col min="16" max="17" width="47" bestFit="1" customWidth="1"/>
  </cols>
  <sheetData>
    <row r="1" spans="1:17" x14ac:dyDescent="0.2">
      <c r="A1" s="125" t="s">
        <v>77</v>
      </c>
      <c r="B1" s="125" t="s">
        <v>651</v>
      </c>
      <c r="C1" s="125" t="s">
        <v>78</v>
      </c>
      <c r="D1" s="125" t="s">
        <v>79</v>
      </c>
      <c r="E1" s="125" t="s">
        <v>80</v>
      </c>
      <c r="F1" s="125" t="s">
        <v>81</v>
      </c>
      <c r="G1" s="125" t="s">
        <v>82</v>
      </c>
      <c r="H1" s="125" t="s">
        <v>83</v>
      </c>
      <c r="I1" s="125" t="s">
        <v>84</v>
      </c>
      <c r="J1" s="125" t="s">
        <v>85</v>
      </c>
      <c r="K1" s="125" t="s">
        <v>86</v>
      </c>
      <c r="L1" s="125" t="s">
        <v>87</v>
      </c>
      <c r="M1" s="125" t="s">
        <v>88</v>
      </c>
      <c r="N1" s="126" t="s">
        <v>157</v>
      </c>
      <c r="O1" s="126" t="s">
        <v>158</v>
      </c>
      <c r="P1" s="126" t="s">
        <v>164</v>
      </c>
      <c r="Q1" s="126" t="s">
        <v>169</v>
      </c>
    </row>
    <row r="2" spans="1:17" x14ac:dyDescent="0.2">
      <c r="A2" t="str">
        <f>'Customer Summary'!$C$4</f>
        <v>Stripping out of items as required to proceed with works</v>
      </c>
      <c r="C2" t="str">
        <f>Costing!B21</f>
        <v>Remove radiators &amp; cap valves</v>
      </c>
      <c r="D2" s="30">
        <f>Costing!F21</f>
        <v>0</v>
      </c>
      <c r="E2" s="30">
        <f>Costing!I21</f>
        <v>7.0000000000000009</v>
      </c>
      <c r="F2" t="str">
        <f>Costing!G21</f>
        <v>Each</v>
      </c>
      <c r="G2" t="s">
        <v>112</v>
      </c>
      <c r="H2" s="421">
        <f>Costing!J21*100</f>
        <v>30</v>
      </c>
      <c r="I2" t="s">
        <v>89</v>
      </c>
      <c r="J2" t="s">
        <v>99</v>
      </c>
      <c r="K2" t="s">
        <v>90</v>
      </c>
      <c r="L2" t="s">
        <v>108</v>
      </c>
      <c r="M2" t="str">
        <f>IF(J2="MTL","Preservation Shop","")</f>
        <v>Preservation Shop</v>
      </c>
      <c r="N2" s="50">
        <f>D2*E2</f>
        <v>0</v>
      </c>
      <c r="O2" s="45" t="s">
        <v>166</v>
      </c>
      <c r="P2" s="422">
        <f>N2*(1+(H2/100))</f>
        <v>0</v>
      </c>
      <c r="Q2" s="29" t="s">
        <v>108</v>
      </c>
    </row>
    <row r="3" spans="1:17" x14ac:dyDescent="0.2">
      <c r="A3" t="str">
        <f>'Customer Summary'!$C$4</f>
        <v>Stripping out of items as required to proceed with works</v>
      </c>
      <c r="C3" t="str">
        <f>Costing!B22</f>
        <v>Remove socket fronts and isolate</v>
      </c>
      <c r="D3" s="30">
        <f>Costing!F22</f>
        <v>0</v>
      </c>
      <c r="E3" s="30">
        <f>Costing!I22</f>
        <v>2</v>
      </c>
      <c r="F3" t="str">
        <f>Costing!G22</f>
        <v>Each</v>
      </c>
      <c r="G3" t="s">
        <v>112</v>
      </c>
      <c r="H3" s="421">
        <f>Costing!J22*100</f>
        <v>30</v>
      </c>
      <c r="I3" t="s">
        <v>89</v>
      </c>
      <c r="J3" t="s">
        <v>99</v>
      </c>
      <c r="K3" t="s">
        <v>90</v>
      </c>
      <c r="L3" t="s">
        <v>108</v>
      </c>
      <c r="M3" t="str">
        <f>IF(J3="MTL","Preservation Shop","")</f>
        <v>Preservation Shop</v>
      </c>
      <c r="N3" s="50">
        <f>D3*E3</f>
        <v>0</v>
      </c>
      <c r="O3" s="45" t="s">
        <v>166</v>
      </c>
      <c r="P3" s="422">
        <f t="shared" ref="P3:P25" si="0">N3*(1+(H3/100))</f>
        <v>0</v>
      </c>
      <c r="Q3" s="29" t="s">
        <v>108</v>
      </c>
    </row>
    <row r="4" spans="1:17" x14ac:dyDescent="0.2">
      <c r="A4" t="str">
        <f>'Customer Summary'!$C$4</f>
        <v>Stripping out of items as required to proceed with works</v>
      </c>
      <c r="C4" t="str">
        <f>Costing!B23</f>
        <v>Skirting board removal &amp; set aside</v>
      </c>
      <c r="D4" s="30">
        <f>Costing!F23</f>
        <v>0</v>
      </c>
      <c r="E4" s="30">
        <f>Costing!I23</f>
        <v>0.1</v>
      </c>
      <c r="F4" t="str">
        <f>Costing!G23</f>
        <v>LM</v>
      </c>
      <c r="G4" t="s">
        <v>112</v>
      </c>
      <c r="H4" s="421">
        <f>Costing!J23*100</f>
        <v>30</v>
      </c>
      <c r="I4" t="s">
        <v>89</v>
      </c>
      <c r="J4" t="s">
        <v>99</v>
      </c>
      <c r="K4" t="s">
        <v>90</v>
      </c>
      <c r="L4" t="s">
        <v>108</v>
      </c>
      <c r="M4" t="str">
        <f t="shared" ref="M4" si="1">IF(J4="MTL","Preservation Shop","")</f>
        <v>Preservation Shop</v>
      </c>
      <c r="N4" s="50">
        <f>D4*E4</f>
        <v>0</v>
      </c>
      <c r="O4" s="45" t="s">
        <v>166</v>
      </c>
      <c r="P4" s="422">
        <f t="shared" si="0"/>
        <v>0</v>
      </c>
      <c r="Q4" s="29" t="s">
        <v>108</v>
      </c>
    </row>
    <row r="5" spans="1:17" x14ac:dyDescent="0.2">
      <c r="A5" t="str">
        <f>'Customer Summary'!$C$4</f>
        <v>Stripping out of items as required to proceed with works</v>
      </c>
      <c r="C5" t="str">
        <f>Costing!B24</f>
        <v>Strip Wall Paper</v>
      </c>
      <c r="D5" s="30">
        <f>Costing!F24</f>
        <v>0</v>
      </c>
      <c r="E5" s="30">
        <f>Costing!I24</f>
        <v>0.5</v>
      </c>
      <c r="F5" t="str">
        <f>Costing!G24</f>
        <v>M2</v>
      </c>
      <c r="G5" t="s">
        <v>112</v>
      </c>
      <c r="H5" s="421">
        <f>Costing!J24*100</f>
        <v>30</v>
      </c>
      <c r="I5" t="s">
        <v>89</v>
      </c>
      <c r="J5" t="s">
        <v>99</v>
      </c>
      <c r="K5" t="s">
        <v>90</v>
      </c>
      <c r="L5" t="s">
        <v>108</v>
      </c>
      <c r="M5" t="str">
        <f t="shared" ref="M5" si="2">IF(J5="MTL","Preservation Shop","")</f>
        <v>Preservation Shop</v>
      </c>
      <c r="N5" s="50">
        <f>D5*E5</f>
        <v>0</v>
      </c>
      <c r="O5" s="45" t="s">
        <v>166</v>
      </c>
      <c r="P5" s="422">
        <f t="shared" si="0"/>
        <v>0</v>
      </c>
      <c r="Q5" s="29" t="s">
        <v>108</v>
      </c>
    </row>
    <row r="6" spans="1:17" x14ac:dyDescent="0.2">
      <c r="A6" t="str">
        <f>'Customer Summary'!$C$4</f>
        <v>Stripping out of items as required to proceed with works</v>
      </c>
      <c r="C6" t="str">
        <f>Costing!B25</f>
        <v>Antinox HD Floor Protection Boards – 2.4m x 1.2m</v>
      </c>
      <c r="D6" s="30">
        <f>Costing!F25</f>
        <v>0</v>
      </c>
      <c r="E6" s="30">
        <f>Costing!I25</f>
        <v>4.5760000000000005</v>
      </c>
      <c r="F6" t="str">
        <f>Costing!G25</f>
        <v>Each</v>
      </c>
      <c r="G6" t="s">
        <v>112</v>
      </c>
      <c r="H6" s="421">
        <f>Costing!J25*100</f>
        <v>30</v>
      </c>
      <c r="I6" t="s">
        <v>89</v>
      </c>
      <c r="J6" t="s">
        <v>99</v>
      </c>
      <c r="K6" t="s">
        <v>90</v>
      </c>
      <c r="L6" t="s">
        <v>108</v>
      </c>
      <c r="M6" t="str">
        <f t="shared" ref="M6" si="3">IF(J6="MTL","Preservation Shop","")</f>
        <v>Preservation Shop</v>
      </c>
      <c r="N6" s="50">
        <f>D6*E6</f>
        <v>0</v>
      </c>
      <c r="O6" s="45" t="s">
        <v>166</v>
      </c>
      <c r="P6" s="422">
        <f t="shared" si="0"/>
        <v>0</v>
      </c>
      <c r="Q6" s="29" t="s">
        <v>108</v>
      </c>
    </row>
    <row r="7" spans="1:17" x14ac:dyDescent="0.2">
      <c r="A7" t="str">
        <f>'Customer Summary'!$C$4</f>
        <v>Stripping out of items as required to proceed with works</v>
      </c>
      <c r="C7" t="str">
        <f>Costing!B29</f>
        <v>Remove plaster/render (Walls)</v>
      </c>
      <c r="D7" s="30">
        <f>Costing!F29</f>
        <v>0</v>
      </c>
      <c r="E7" s="30">
        <f>Costing!I29</f>
        <v>0</v>
      </c>
      <c r="F7" t="str">
        <f>Costing!G29</f>
        <v>M2</v>
      </c>
      <c r="G7" t="s">
        <v>112</v>
      </c>
      <c r="H7" s="421">
        <f>Costing!J29*100</f>
        <v>0</v>
      </c>
      <c r="I7" t="s">
        <v>89</v>
      </c>
      <c r="J7" t="s">
        <v>99</v>
      </c>
      <c r="K7" t="s">
        <v>90</v>
      </c>
      <c r="L7" t="s">
        <v>108</v>
      </c>
      <c r="M7" t="str">
        <f t="shared" ref="M7:M125" si="4">IF(J7="MTL","Preservation Shop","")</f>
        <v>Preservation Shop</v>
      </c>
      <c r="N7" s="50">
        <f t="shared" ref="N7:N118" si="5">D7*E7</f>
        <v>0</v>
      </c>
      <c r="O7" s="45" t="s">
        <v>166</v>
      </c>
      <c r="P7" s="422">
        <f t="shared" si="0"/>
        <v>0</v>
      </c>
      <c r="Q7" s="29" t="s">
        <v>108</v>
      </c>
    </row>
    <row r="8" spans="1:17" x14ac:dyDescent="0.2">
      <c r="A8" t="str">
        <f>'Customer Summary'!$C$4</f>
        <v>Stripping out of items as required to proceed with works</v>
      </c>
      <c r="C8" t="str">
        <f>Costing!B30</f>
        <v>Removal of stud walls etc (Bag &amp; cart away)</v>
      </c>
      <c r="D8" s="30">
        <f>Costing!F30</f>
        <v>0</v>
      </c>
      <c r="E8" s="30">
        <f>Costing!I30</f>
        <v>0</v>
      </c>
      <c r="F8" t="str">
        <f>Costing!G30</f>
        <v>M2</v>
      </c>
      <c r="G8" t="s">
        <v>112</v>
      </c>
      <c r="H8" s="421">
        <f>Costing!J30*100</f>
        <v>0</v>
      </c>
      <c r="I8" t="s">
        <v>89</v>
      </c>
      <c r="J8" t="s">
        <v>99</v>
      </c>
      <c r="K8" t="s">
        <v>90</v>
      </c>
      <c r="L8" t="s">
        <v>108</v>
      </c>
      <c r="M8" t="str">
        <f t="shared" si="4"/>
        <v>Preservation Shop</v>
      </c>
      <c r="N8" s="50">
        <f t="shared" si="5"/>
        <v>0</v>
      </c>
      <c r="O8" s="45" t="s">
        <v>166</v>
      </c>
      <c r="P8" s="422">
        <f t="shared" si="0"/>
        <v>0</v>
      </c>
      <c r="Q8" s="29" t="s">
        <v>108</v>
      </c>
    </row>
    <row r="9" spans="1:17" x14ac:dyDescent="0.2">
      <c r="A9" t="str">
        <f>'Customer Summary'!$C$4</f>
        <v>Stripping out of items as required to proceed with works</v>
      </c>
      <c r="C9" t="str">
        <f>Costing!B31</f>
        <v>Plaster &amp; stud Removal (Ceilings)</v>
      </c>
      <c r="D9" s="30">
        <f>Costing!F31</f>
        <v>0</v>
      </c>
      <c r="E9" s="30">
        <f>Costing!I31</f>
        <v>0</v>
      </c>
      <c r="F9" t="str">
        <f>Costing!G31</f>
        <v>M2</v>
      </c>
      <c r="G9" t="s">
        <v>112</v>
      </c>
      <c r="H9" s="421">
        <f>Costing!J31*100</f>
        <v>0</v>
      </c>
      <c r="I9" t="s">
        <v>89</v>
      </c>
      <c r="J9" t="s">
        <v>99</v>
      </c>
      <c r="K9" t="s">
        <v>90</v>
      </c>
      <c r="L9" t="s">
        <v>108</v>
      </c>
      <c r="M9" t="str">
        <f t="shared" si="4"/>
        <v>Preservation Shop</v>
      </c>
      <c r="N9" s="50">
        <f t="shared" si="5"/>
        <v>0</v>
      </c>
      <c r="O9" s="45" t="s">
        <v>166</v>
      </c>
      <c r="P9" s="422">
        <f t="shared" si="0"/>
        <v>0</v>
      </c>
      <c r="Q9" s="29" t="s">
        <v>108</v>
      </c>
    </row>
    <row r="10" spans="1:17" x14ac:dyDescent="0.2">
      <c r="A10" t="str">
        <f>'Customer Summary'!$C$4</f>
        <v>Stripping out of items as required to proceed with works</v>
      </c>
      <c r="C10" t="str">
        <f>Costing!B32</f>
        <v>Strip out existing timber floor (GF)</v>
      </c>
      <c r="D10" s="30">
        <f>Costing!F32</f>
        <v>0</v>
      </c>
      <c r="E10" s="30">
        <f>Costing!I32</f>
        <v>0</v>
      </c>
      <c r="F10" t="str">
        <f>Costing!G32</f>
        <v>M2</v>
      </c>
      <c r="G10" t="s">
        <v>112</v>
      </c>
      <c r="H10" s="421">
        <f>Costing!J32*100</f>
        <v>0</v>
      </c>
      <c r="I10" t="s">
        <v>89</v>
      </c>
      <c r="J10" t="s">
        <v>99</v>
      </c>
      <c r="K10" t="s">
        <v>90</v>
      </c>
      <c r="L10" t="s">
        <v>108</v>
      </c>
      <c r="M10" t="str">
        <f t="shared" si="4"/>
        <v>Preservation Shop</v>
      </c>
      <c r="N10" s="50">
        <f t="shared" si="5"/>
        <v>0</v>
      </c>
      <c r="O10" s="45" t="s">
        <v>166</v>
      </c>
      <c r="P10" s="422">
        <f t="shared" si="0"/>
        <v>0</v>
      </c>
      <c r="Q10" s="29" t="s">
        <v>108</v>
      </c>
    </row>
    <row r="11" spans="1:17" x14ac:dyDescent="0.2">
      <c r="A11" t="str">
        <f>'Customer Summary'!$C$4</f>
        <v>Stripping out of items as required to proceed with works</v>
      </c>
      <c r="C11" t="str">
        <f>Costing!B33</f>
        <v>Scrape back/clear sub floors</v>
      </c>
      <c r="D11" s="30">
        <f>Costing!F33</f>
        <v>0</v>
      </c>
      <c r="E11" s="30">
        <f>Costing!I33</f>
        <v>0</v>
      </c>
      <c r="F11" t="str">
        <f>Costing!G33</f>
        <v>M2</v>
      </c>
      <c r="G11" t="s">
        <v>112</v>
      </c>
      <c r="H11" s="421">
        <f>Costing!J33*100</f>
        <v>0</v>
      </c>
      <c r="I11" t="s">
        <v>89</v>
      </c>
      <c r="J11" t="s">
        <v>99</v>
      </c>
      <c r="K11" t="s">
        <v>90</v>
      </c>
      <c r="L11" t="s">
        <v>108</v>
      </c>
      <c r="M11" t="str">
        <f t="shared" si="4"/>
        <v>Preservation Shop</v>
      </c>
      <c r="N11" s="50">
        <f t="shared" si="5"/>
        <v>0</v>
      </c>
      <c r="O11" s="45" t="s">
        <v>166</v>
      </c>
      <c r="P11" s="422">
        <f t="shared" si="0"/>
        <v>0</v>
      </c>
      <c r="Q11" s="29" t="s">
        <v>108</v>
      </c>
    </row>
    <row r="12" spans="1:17" x14ac:dyDescent="0.2">
      <c r="A12" t="str">
        <f>'Customer Summary'!$C$4</f>
        <v>Stripping out of items as required to proceed with works</v>
      </c>
      <c r="C12" t="str">
        <f>Costing!B34</f>
        <v xml:space="preserve">Bag up debris &amp; cart outside </v>
      </c>
      <c r="D12" s="30">
        <f>Costing!F34</f>
        <v>0</v>
      </c>
      <c r="E12" s="30">
        <f>Costing!I34</f>
        <v>1</v>
      </c>
      <c r="F12" t="str">
        <f>Costing!G34</f>
        <v>Bags</v>
      </c>
      <c r="G12" t="s">
        <v>112</v>
      </c>
      <c r="H12" s="421">
        <f>Costing!J34*100</f>
        <v>30</v>
      </c>
      <c r="I12" t="s">
        <v>89</v>
      </c>
      <c r="J12" t="s">
        <v>99</v>
      </c>
      <c r="K12" t="s">
        <v>90</v>
      </c>
      <c r="L12" t="s">
        <v>108</v>
      </c>
      <c r="M12" t="str">
        <f t="shared" si="4"/>
        <v>Preservation Shop</v>
      </c>
      <c r="N12" s="50">
        <f t="shared" si="5"/>
        <v>0</v>
      </c>
      <c r="O12" s="45" t="s">
        <v>166</v>
      </c>
      <c r="P12" s="422">
        <f t="shared" si="0"/>
        <v>0</v>
      </c>
      <c r="Q12" s="29" t="s">
        <v>108</v>
      </c>
    </row>
    <row r="13" spans="1:17" x14ac:dyDescent="0.2">
      <c r="A13" t="str">
        <f>'Customer Summary'!$C$4</f>
        <v>Stripping out of items as required to proceed with works</v>
      </c>
      <c r="C13" t="str">
        <f>Costing!B35</f>
        <v>Disposal via licensed transfer agent</v>
      </c>
      <c r="D13" s="30">
        <f>Costing!F35</f>
        <v>0</v>
      </c>
      <c r="E13" s="30">
        <f>Costing!I35</f>
        <v>0</v>
      </c>
      <c r="F13" t="str">
        <f>Costing!G35</f>
        <v>Bags</v>
      </c>
      <c r="G13" t="s">
        <v>112</v>
      </c>
      <c r="H13" s="421">
        <f>Costing!J35*100</f>
        <v>30</v>
      </c>
      <c r="I13" t="s">
        <v>89</v>
      </c>
      <c r="J13" t="s">
        <v>99</v>
      </c>
      <c r="K13" t="s">
        <v>90</v>
      </c>
      <c r="L13" t="s">
        <v>108</v>
      </c>
      <c r="M13" t="str">
        <f t="shared" si="4"/>
        <v>Preservation Shop</v>
      </c>
      <c r="N13" s="50">
        <f>D13*E13</f>
        <v>0</v>
      </c>
      <c r="O13" s="45" t="s">
        <v>166</v>
      </c>
      <c r="P13" s="422">
        <f t="shared" si="0"/>
        <v>0</v>
      </c>
      <c r="Q13" s="29" t="s">
        <v>108</v>
      </c>
    </row>
    <row r="14" spans="1:17" x14ac:dyDescent="0.2">
      <c r="A14" t="str">
        <f>'Customer Summary'!$C$4</f>
        <v>Stripping out of items as required to proceed with works</v>
      </c>
      <c r="C14" t="str">
        <f>Costing!M21</f>
        <v>Remove radiators &amp; cap valves</v>
      </c>
      <c r="D14" s="30">
        <f>Costing!O21</f>
        <v>0</v>
      </c>
      <c r="E14" s="30">
        <f>Costing!Q21</f>
        <v>30.630000000000003</v>
      </c>
      <c r="F14" t="s">
        <v>3</v>
      </c>
      <c r="G14" t="s">
        <v>110</v>
      </c>
      <c r="H14" s="421">
        <f>Costing!R21*100</f>
        <v>100</v>
      </c>
      <c r="I14" t="s">
        <v>89</v>
      </c>
      <c r="J14" t="s">
        <v>97</v>
      </c>
      <c r="K14" t="s">
        <v>90</v>
      </c>
      <c r="L14" t="s">
        <v>108</v>
      </c>
      <c r="M14" t="str">
        <f>IF(J14="MTL","Preservation Shop","")</f>
        <v/>
      </c>
      <c r="N14" s="50">
        <f t="shared" ref="N14:N15" si="6">D14*E14</f>
        <v>0</v>
      </c>
      <c r="O14" s="45" t="s">
        <v>166</v>
      </c>
      <c r="P14" s="422">
        <f t="shared" si="0"/>
        <v>0</v>
      </c>
      <c r="Q14" s="29" t="s">
        <v>108</v>
      </c>
    </row>
    <row r="15" spans="1:17" x14ac:dyDescent="0.2">
      <c r="A15" t="str">
        <f>'Customer Summary'!$C$4</f>
        <v>Stripping out of items as required to proceed with works</v>
      </c>
      <c r="C15" t="str">
        <f>Costing!M22</f>
        <v>Remove socket fronts and isolate</v>
      </c>
      <c r="D15" s="30">
        <f>Costing!O22</f>
        <v>0</v>
      </c>
      <c r="E15" s="30">
        <f>Costing!Q22</f>
        <v>30.630000000000003</v>
      </c>
      <c r="F15" t="s">
        <v>3</v>
      </c>
      <c r="G15" t="s">
        <v>110</v>
      </c>
      <c r="H15" s="421">
        <f>Costing!R22*100</f>
        <v>100</v>
      </c>
      <c r="I15" t="s">
        <v>89</v>
      </c>
      <c r="J15" t="s">
        <v>97</v>
      </c>
      <c r="K15" t="s">
        <v>90</v>
      </c>
      <c r="L15" t="s">
        <v>108</v>
      </c>
      <c r="M15" t="str">
        <f>IF(J15="MTL","Preservation Shop","")</f>
        <v/>
      </c>
      <c r="N15" s="50">
        <f t="shared" si="6"/>
        <v>0</v>
      </c>
      <c r="O15" s="45" t="s">
        <v>166</v>
      </c>
      <c r="P15" s="422">
        <f t="shared" si="0"/>
        <v>0</v>
      </c>
      <c r="Q15" s="29" t="s">
        <v>108</v>
      </c>
    </row>
    <row r="16" spans="1:17" x14ac:dyDescent="0.2">
      <c r="A16" t="str">
        <f>'Customer Summary'!$C$4</f>
        <v>Stripping out of items as required to proceed with works</v>
      </c>
      <c r="C16" t="str">
        <f>Costing!M23</f>
        <v>Skirting board removal &amp; set aside</v>
      </c>
      <c r="D16" s="30">
        <f>Costing!O23</f>
        <v>0</v>
      </c>
      <c r="E16" s="30">
        <f>Costing!Q23</f>
        <v>30.630000000000003</v>
      </c>
      <c r="F16" t="s">
        <v>3</v>
      </c>
      <c r="G16" t="s">
        <v>110</v>
      </c>
      <c r="H16" s="421">
        <f>Costing!R23*100</f>
        <v>100</v>
      </c>
      <c r="I16" t="s">
        <v>89</v>
      </c>
      <c r="J16" t="s">
        <v>97</v>
      </c>
      <c r="K16" t="s">
        <v>90</v>
      </c>
      <c r="L16" t="s">
        <v>108</v>
      </c>
      <c r="M16" t="str">
        <f>IF(J16="MTL","Preservation Shop","")</f>
        <v/>
      </c>
      <c r="N16" s="50">
        <f>D16*E16</f>
        <v>0</v>
      </c>
      <c r="O16" s="45" t="s">
        <v>166</v>
      </c>
      <c r="P16" s="422">
        <f t="shared" si="0"/>
        <v>0</v>
      </c>
      <c r="Q16" s="29" t="s">
        <v>108</v>
      </c>
    </row>
    <row r="17" spans="1:17" x14ac:dyDescent="0.2">
      <c r="A17" t="str">
        <f>'Customer Summary'!$C$4</f>
        <v>Stripping out of items as required to proceed with works</v>
      </c>
      <c r="C17" t="str">
        <f>Costing!M24</f>
        <v>Strip Wall Paper</v>
      </c>
      <c r="D17" s="30">
        <f>Costing!O24</f>
        <v>0</v>
      </c>
      <c r="E17" s="30">
        <f>Costing!Q23</f>
        <v>30.630000000000003</v>
      </c>
      <c r="F17" t="s">
        <v>3</v>
      </c>
      <c r="G17" t="s">
        <v>110</v>
      </c>
      <c r="H17" s="421">
        <f>Costing!R24*100</f>
        <v>100</v>
      </c>
      <c r="I17" t="s">
        <v>89</v>
      </c>
      <c r="J17" t="s">
        <v>97</v>
      </c>
      <c r="K17" t="s">
        <v>90</v>
      </c>
      <c r="L17" t="s">
        <v>108</v>
      </c>
      <c r="M17" t="str">
        <f>IF(J17="MTL","Preservation Shop","")</f>
        <v/>
      </c>
      <c r="N17" s="50">
        <f t="shared" ref="N17" si="7">D17*E17</f>
        <v>0</v>
      </c>
      <c r="O17" s="45" t="s">
        <v>166</v>
      </c>
      <c r="P17" s="422">
        <f t="shared" si="0"/>
        <v>0</v>
      </c>
      <c r="Q17" s="29" t="s">
        <v>108</v>
      </c>
    </row>
    <row r="18" spans="1:17" x14ac:dyDescent="0.2">
      <c r="A18" t="str">
        <f>'Customer Summary'!$C$4</f>
        <v>Stripping out of items as required to proceed with works</v>
      </c>
      <c r="C18" t="str">
        <f>Costing!M25</f>
        <v>Antinox HD Floor Protection Boards – 2.4m x 1.2m</v>
      </c>
      <c r="D18" s="30">
        <f>Costing!O25</f>
        <v>0</v>
      </c>
      <c r="E18" s="30">
        <f>Costing!Q24</f>
        <v>30.630000000000003</v>
      </c>
      <c r="F18" t="s">
        <v>3</v>
      </c>
      <c r="G18" t="s">
        <v>110</v>
      </c>
      <c r="H18" s="421">
        <f>Costing!R25*100</f>
        <v>100</v>
      </c>
      <c r="I18" t="s">
        <v>89</v>
      </c>
      <c r="J18" t="s">
        <v>97</v>
      </c>
      <c r="K18" t="s">
        <v>90</v>
      </c>
      <c r="L18" t="s">
        <v>108</v>
      </c>
      <c r="M18" t="str">
        <f>IF(J18="MTL","Preservation Shop","")</f>
        <v/>
      </c>
      <c r="N18" s="50">
        <f t="shared" ref="N18" si="8">D18*E18</f>
        <v>0</v>
      </c>
      <c r="O18" s="45" t="s">
        <v>166</v>
      </c>
      <c r="P18" s="422">
        <f t="shared" si="0"/>
        <v>0</v>
      </c>
      <c r="Q18" s="29" t="s">
        <v>108</v>
      </c>
    </row>
    <row r="19" spans="1:17" x14ac:dyDescent="0.2">
      <c r="A19" t="str">
        <f>'Customer Summary'!$C$4</f>
        <v>Stripping out of items as required to proceed with works</v>
      </c>
      <c r="C19" t="str">
        <f>Costing!M29</f>
        <v>Remove plaster/render (Walls)</v>
      </c>
      <c r="D19" s="30">
        <f>Costing!O29</f>
        <v>0</v>
      </c>
      <c r="E19" s="30">
        <f>Costing!Q29</f>
        <v>30.630000000000003</v>
      </c>
      <c r="F19" t="s">
        <v>3</v>
      </c>
      <c r="G19" t="s">
        <v>110</v>
      </c>
      <c r="H19" s="421">
        <f>Costing!R29*100</f>
        <v>100</v>
      </c>
      <c r="I19" t="s">
        <v>89</v>
      </c>
      <c r="J19" t="s">
        <v>97</v>
      </c>
      <c r="K19" t="s">
        <v>90</v>
      </c>
      <c r="L19" t="s">
        <v>108</v>
      </c>
      <c r="M19" t="str">
        <f t="shared" si="4"/>
        <v/>
      </c>
      <c r="N19" s="50">
        <f t="shared" si="5"/>
        <v>0</v>
      </c>
      <c r="O19" s="45" t="s">
        <v>166</v>
      </c>
      <c r="P19" s="422">
        <f t="shared" si="0"/>
        <v>0</v>
      </c>
      <c r="Q19" s="29" t="s">
        <v>108</v>
      </c>
    </row>
    <row r="20" spans="1:17" x14ac:dyDescent="0.2">
      <c r="A20" t="str">
        <f>'Customer Summary'!$C$4</f>
        <v>Stripping out of items as required to proceed with works</v>
      </c>
      <c r="C20" t="str">
        <f>Costing!M30</f>
        <v>Removal of stud walls etc (Bag &amp; cart away)</v>
      </c>
      <c r="D20" s="30">
        <f>Costing!O30</f>
        <v>0</v>
      </c>
      <c r="E20" s="30">
        <f>Costing!Q30</f>
        <v>30.630000000000003</v>
      </c>
      <c r="F20" t="s">
        <v>3</v>
      </c>
      <c r="G20" t="s">
        <v>110</v>
      </c>
      <c r="H20" s="421">
        <f>Costing!R30*100</f>
        <v>100</v>
      </c>
      <c r="I20" t="s">
        <v>89</v>
      </c>
      <c r="J20" t="s">
        <v>97</v>
      </c>
      <c r="K20" t="s">
        <v>90</v>
      </c>
      <c r="L20" t="s">
        <v>108</v>
      </c>
      <c r="M20" t="str">
        <f t="shared" si="4"/>
        <v/>
      </c>
      <c r="N20" s="50">
        <f t="shared" si="5"/>
        <v>0</v>
      </c>
      <c r="O20" s="45" t="s">
        <v>166</v>
      </c>
      <c r="P20" s="422">
        <f t="shared" si="0"/>
        <v>0</v>
      </c>
      <c r="Q20" s="29" t="s">
        <v>108</v>
      </c>
    </row>
    <row r="21" spans="1:17" x14ac:dyDescent="0.2">
      <c r="A21" t="str">
        <f>'Customer Summary'!$C$4</f>
        <v>Stripping out of items as required to proceed with works</v>
      </c>
      <c r="C21" t="str">
        <f>Costing!M31</f>
        <v>Plaster &amp; stud Removal (Ceilings)</v>
      </c>
      <c r="D21" s="30">
        <f>Costing!O31</f>
        <v>0</v>
      </c>
      <c r="E21" s="30">
        <f>Costing!Q31</f>
        <v>30.630000000000003</v>
      </c>
      <c r="F21" t="s">
        <v>3</v>
      </c>
      <c r="G21" t="s">
        <v>110</v>
      </c>
      <c r="H21" s="421">
        <f>Costing!R31*100</f>
        <v>100</v>
      </c>
      <c r="I21" t="s">
        <v>89</v>
      </c>
      <c r="J21" t="s">
        <v>97</v>
      </c>
      <c r="K21" t="s">
        <v>90</v>
      </c>
      <c r="L21" t="s">
        <v>108</v>
      </c>
      <c r="M21" t="str">
        <f t="shared" si="4"/>
        <v/>
      </c>
      <c r="N21" s="50">
        <f t="shared" si="5"/>
        <v>0</v>
      </c>
      <c r="O21" s="45" t="s">
        <v>166</v>
      </c>
      <c r="P21" s="422">
        <f t="shared" si="0"/>
        <v>0</v>
      </c>
      <c r="Q21" s="29" t="s">
        <v>108</v>
      </c>
    </row>
    <row r="22" spans="1:17" x14ac:dyDescent="0.2">
      <c r="A22" t="str">
        <f>'Customer Summary'!$C$4</f>
        <v>Stripping out of items as required to proceed with works</v>
      </c>
      <c r="C22" t="str">
        <f>Costing!M32</f>
        <v>Strip out existing timber floor (GF)</v>
      </c>
      <c r="D22" s="30">
        <f>Costing!O32</f>
        <v>0</v>
      </c>
      <c r="E22" s="30">
        <f>Costing!Q32</f>
        <v>30.630000000000003</v>
      </c>
      <c r="F22" t="s">
        <v>3</v>
      </c>
      <c r="G22" t="s">
        <v>110</v>
      </c>
      <c r="H22" s="421">
        <f>Costing!R32*100</f>
        <v>100</v>
      </c>
      <c r="I22" t="s">
        <v>89</v>
      </c>
      <c r="J22" t="s">
        <v>97</v>
      </c>
      <c r="K22" t="s">
        <v>90</v>
      </c>
      <c r="L22" t="s">
        <v>108</v>
      </c>
      <c r="M22" t="str">
        <f t="shared" si="4"/>
        <v/>
      </c>
      <c r="N22" s="50">
        <f t="shared" si="5"/>
        <v>0</v>
      </c>
      <c r="O22" s="45" t="s">
        <v>166</v>
      </c>
      <c r="P22" s="422">
        <f t="shared" si="0"/>
        <v>0</v>
      </c>
      <c r="Q22" s="29" t="s">
        <v>108</v>
      </c>
    </row>
    <row r="23" spans="1:17" x14ac:dyDescent="0.2">
      <c r="A23" t="str">
        <f>'Customer Summary'!$C$4</f>
        <v>Stripping out of items as required to proceed with works</v>
      </c>
      <c r="C23" t="str">
        <f>Costing!M33</f>
        <v>Scrape back/clear sub floors</v>
      </c>
      <c r="D23" s="30">
        <f>Costing!O33</f>
        <v>0</v>
      </c>
      <c r="E23" s="30">
        <f>Costing!Q33</f>
        <v>30.630000000000003</v>
      </c>
      <c r="F23" t="s">
        <v>3</v>
      </c>
      <c r="G23" t="s">
        <v>110</v>
      </c>
      <c r="H23" s="421">
        <f>Costing!R33*100</f>
        <v>100</v>
      </c>
      <c r="I23" t="s">
        <v>89</v>
      </c>
      <c r="J23" t="s">
        <v>97</v>
      </c>
      <c r="K23" t="s">
        <v>90</v>
      </c>
      <c r="L23" t="s">
        <v>108</v>
      </c>
      <c r="M23" t="str">
        <f t="shared" si="4"/>
        <v/>
      </c>
      <c r="N23" s="50">
        <f t="shared" si="5"/>
        <v>0</v>
      </c>
      <c r="O23" s="45" t="s">
        <v>166</v>
      </c>
      <c r="P23" s="422">
        <f t="shared" si="0"/>
        <v>0</v>
      </c>
      <c r="Q23" s="29" t="s">
        <v>108</v>
      </c>
    </row>
    <row r="24" spans="1:17" x14ac:dyDescent="0.2">
      <c r="A24" t="str">
        <f>'Customer Summary'!$C$4</f>
        <v>Stripping out of items as required to proceed with works</v>
      </c>
      <c r="C24" t="str">
        <f>Costing!M34</f>
        <v xml:space="preserve">Bag up debris &amp; cart outside </v>
      </c>
      <c r="D24" s="30">
        <f>Costing!O34</f>
        <v>0</v>
      </c>
      <c r="E24" s="30">
        <f>Costing!Q34</f>
        <v>30.630000000000003</v>
      </c>
      <c r="F24" t="s">
        <v>3</v>
      </c>
      <c r="G24" t="s">
        <v>110</v>
      </c>
      <c r="H24" s="421">
        <f>Costing!R34*100</f>
        <v>100</v>
      </c>
      <c r="I24" t="s">
        <v>89</v>
      </c>
      <c r="J24" t="s">
        <v>97</v>
      </c>
      <c r="K24" t="s">
        <v>90</v>
      </c>
      <c r="L24" t="s">
        <v>108</v>
      </c>
      <c r="M24" t="str">
        <f t="shared" si="4"/>
        <v/>
      </c>
      <c r="N24" s="50">
        <f t="shared" si="5"/>
        <v>0</v>
      </c>
      <c r="O24" s="45" t="s">
        <v>166</v>
      </c>
      <c r="P24" s="422">
        <f t="shared" si="0"/>
        <v>0</v>
      </c>
      <c r="Q24" s="29" t="s">
        <v>108</v>
      </c>
    </row>
    <row r="25" spans="1:17" x14ac:dyDescent="0.2">
      <c r="A25" t="str">
        <f>'Customer Summary'!$C$4</f>
        <v>Stripping out of items as required to proceed with works</v>
      </c>
      <c r="C25" t="str">
        <f>Costing!M35</f>
        <v>Disposal via licensed transfer agent</v>
      </c>
      <c r="D25" s="30">
        <f>Costing!O35</f>
        <v>0</v>
      </c>
      <c r="E25" s="30">
        <f>Costing!Q35</f>
        <v>30.630000000000003</v>
      </c>
      <c r="F25" t="s">
        <v>3</v>
      </c>
      <c r="G25" t="s">
        <v>110</v>
      </c>
      <c r="H25" s="421">
        <f>Costing!R35*100</f>
        <v>100</v>
      </c>
      <c r="I25" t="s">
        <v>89</v>
      </c>
      <c r="J25" t="s">
        <v>97</v>
      </c>
      <c r="K25" t="s">
        <v>90</v>
      </c>
      <c r="L25" t="s">
        <v>108</v>
      </c>
      <c r="M25" t="str">
        <f t="shared" si="4"/>
        <v/>
      </c>
      <c r="N25" s="50">
        <f t="shared" si="5"/>
        <v>0</v>
      </c>
      <c r="O25" s="45" t="s">
        <v>166</v>
      </c>
      <c r="P25" s="422">
        <f t="shared" si="0"/>
        <v>0</v>
      </c>
      <c r="Q25" s="29" t="s">
        <v>108</v>
      </c>
    </row>
    <row r="26" spans="1:17" s="47" customFormat="1" x14ac:dyDescent="0.2">
      <c r="A26" s="47" t="str">
        <f>'Customer Summary'!$C$4</f>
        <v>Stripping out of items as required to proceed with works</v>
      </c>
      <c r="C26" s="47" t="str">
        <f>_xlfn.CONCAT(A26," - Materials")</f>
        <v>Stripping out of items as required to proceed with works - Materials</v>
      </c>
      <c r="D26" s="48">
        <v>1</v>
      </c>
      <c r="E26" s="48">
        <f>N26</f>
        <v>0</v>
      </c>
      <c r="F26" s="47" t="s">
        <v>165</v>
      </c>
      <c r="G26" s="47" t="s">
        <v>112</v>
      </c>
      <c r="H26" s="48" t="e">
        <f>((P26-N26)/N26)*100</f>
        <v>#DIV/0!</v>
      </c>
      <c r="I26" s="47" t="s">
        <v>89</v>
      </c>
      <c r="J26" s="47" t="s">
        <v>99</v>
      </c>
      <c r="K26" s="47" t="s">
        <v>90</v>
      </c>
      <c r="L26" s="47" t="str">
        <f>'Customer Summary'!D4</f>
        <v>No</v>
      </c>
      <c r="M26" s="47" t="str">
        <f t="shared" ref="M26:M27" si="9">IF(J26="MTL","Preservation Shop","")</f>
        <v>Preservation Shop</v>
      </c>
      <c r="N26" s="51">
        <f>SUM(N2:N13)</f>
        <v>0</v>
      </c>
      <c r="O26" s="49" t="str">
        <f t="shared" ref="O26" si="10">IF(N26=0,"DELETE","LEAVE")</f>
        <v>DELETE</v>
      </c>
      <c r="P26" s="51">
        <f>SUM(P2:P13)</f>
        <v>0</v>
      </c>
      <c r="Q26" s="49" t="s">
        <v>90</v>
      </c>
    </row>
    <row r="27" spans="1:17" s="47" customFormat="1" x14ac:dyDescent="0.2">
      <c r="A27" s="47" t="str">
        <f>'Customer Summary'!$C$4</f>
        <v>Stripping out of items as required to proceed with works</v>
      </c>
      <c r="C27" s="47" t="str">
        <f>_xlfn.CONCAT(A27," - Labour")</f>
        <v>Stripping out of items as required to proceed with works - Labour</v>
      </c>
      <c r="D27" s="48">
        <f>SUM(D14:D25)</f>
        <v>0</v>
      </c>
      <c r="E27" s="48" t="e">
        <f>N27/D27</f>
        <v>#DIV/0!</v>
      </c>
      <c r="F27" s="47" t="s">
        <v>3</v>
      </c>
      <c r="G27" s="47" t="s">
        <v>110</v>
      </c>
      <c r="H27" s="48" t="e">
        <f>((P27-N27)/N27)*100</f>
        <v>#DIV/0!</v>
      </c>
      <c r="I27" s="47" t="s">
        <v>89</v>
      </c>
      <c r="J27" s="47" t="s">
        <v>97</v>
      </c>
      <c r="K27" s="47" t="s">
        <v>90</v>
      </c>
      <c r="L27" s="47" t="str">
        <f>L26</f>
        <v>No</v>
      </c>
      <c r="M27" s="47" t="str">
        <f t="shared" si="9"/>
        <v/>
      </c>
      <c r="N27" s="51">
        <f>SUM(N14:N25)</f>
        <v>0</v>
      </c>
      <c r="O27" s="49" t="str">
        <f>IF(N27=0,"DELETE","LEAVE")</f>
        <v>DELETE</v>
      </c>
      <c r="P27" s="51">
        <f>SUM(P14:P25)</f>
        <v>0</v>
      </c>
      <c r="Q27" s="49" t="s">
        <v>90</v>
      </c>
    </row>
    <row r="28" spans="1:17" x14ac:dyDescent="0.2">
      <c r="A28" s="46"/>
      <c r="B28" s="46"/>
      <c r="C28" s="41"/>
      <c r="D28" s="42"/>
      <c r="E28" s="42"/>
      <c r="F28" s="41"/>
      <c r="G28" s="41"/>
      <c r="H28" s="42"/>
      <c r="I28" s="41"/>
      <c r="J28" s="41"/>
      <c r="K28" s="41"/>
      <c r="L28" s="41"/>
      <c r="M28" s="41"/>
      <c r="N28" s="43"/>
      <c r="O28" s="44" t="s">
        <v>166</v>
      </c>
      <c r="P28" s="43"/>
      <c r="Q28" s="43"/>
    </row>
    <row r="29" spans="1:17" x14ac:dyDescent="0.2">
      <c r="A29" t="str">
        <f>'Customer Summary'!$C$5</f>
        <v>Walls (Install membrane system)</v>
      </c>
      <c r="C29" t="str">
        <f>Costing!B40</f>
        <v>DPC Installation - Traditional</v>
      </c>
      <c r="D29" s="30">
        <f>Costing!F40</f>
        <v>0</v>
      </c>
      <c r="E29" s="30">
        <f>Costing!I40</f>
        <v>0</v>
      </c>
      <c r="F29" t="str">
        <f>Costing!G40</f>
        <v>LM</v>
      </c>
      <c r="G29" t="s">
        <v>112</v>
      </c>
      <c r="H29" s="421">
        <f>Costing!J40*100</f>
        <v>30</v>
      </c>
      <c r="I29" t="s">
        <v>89</v>
      </c>
      <c r="J29" t="s">
        <v>99</v>
      </c>
      <c r="K29" t="s">
        <v>90</v>
      </c>
      <c r="L29" t="s">
        <v>108</v>
      </c>
      <c r="M29" t="str">
        <f t="shared" ref="M29" si="11">IF(J29="MTL","Preservation Shop","")</f>
        <v>Preservation Shop</v>
      </c>
      <c r="N29" s="50">
        <f t="shared" si="5"/>
        <v>0</v>
      </c>
      <c r="O29" s="45" t="s">
        <v>166</v>
      </c>
      <c r="P29" s="422">
        <f t="shared" ref="P29:P58" si="12">N29*(1+(H29/100))</f>
        <v>0</v>
      </c>
      <c r="Q29" s="29" t="s">
        <v>108</v>
      </c>
    </row>
    <row r="30" spans="1:17" x14ac:dyDescent="0.2">
      <c r="A30" t="str">
        <f>'Customer Summary'!$C$5</f>
        <v>Walls (Install membrane system)</v>
      </c>
      <c r="C30" t="str">
        <f>Costing!B42</f>
        <v>DPC Installation - Digital</v>
      </c>
      <c r="D30" s="30">
        <f>Costing!F42</f>
        <v>0</v>
      </c>
      <c r="E30" s="30">
        <f>Costing!I42</f>
        <v>0</v>
      </c>
      <c r="F30" t="str">
        <f>Costing!G42</f>
        <v>Each</v>
      </c>
      <c r="G30" t="s">
        <v>112</v>
      </c>
      <c r="H30" s="421">
        <f>Costing!J42*100</f>
        <v>15.4</v>
      </c>
      <c r="I30" t="s">
        <v>89</v>
      </c>
      <c r="J30" t="s">
        <v>99</v>
      </c>
      <c r="K30" t="s">
        <v>90</v>
      </c>
      <c r="L30" t="s">
        <v>108</v>
      </c>
      <c r="M30" t="str">
        <f t="shared" ref="M30" si="13">IF(J30="MTL","Preservation Shop","")</f>
        <v>Preservation Shop</v>
      </c>
      <c r="N30" s="50">
        <f t="shared" ref="N30" si="14">D30*E30</f>
        <v>0</v>
      </c>
      <c r="O30" s="45" t="s">
        <v>166</v>
      </c>
      <c r="P30" s="422">
        <f t="shared" si="12"/>
        <v>0</v>
      </c>
      <c r="Q30" s="29" t="s">
        <v>108</v>
      </c>
    </row>
    <row r="31" spans="1:17" x14ac:dyDescent="0.2">
      <c r="A31" t="str">
        <f>'Customer Summary'!$C$5</f>
        <v>Walls (Install membrane system)</v>
      </c>
      <c r="C31" t="str">
        <f>Costing!B44</f>
        <v>Wall membrane CM3  - 1mtr</v>
      </c>
      <c r="D31" s="30">
        <f>Costing!F44</f>
        <v>0</v>
      </c>
      <c r="E31" s="30">
        <f>Costing!I44</f>
        <v>0</v>
      </c>
      <c r="F31" t="str">
        <f>Costing!G44</f>
        <v>M2</v>
      </c>
      <c r="G31" t="s">
        <v>112</v>
      </c>
      <c r="H31" s="421">
        <f>Costing!J44*100</f>
        <v>30</v>
      </c>
      <c r="I31" t="s">
        <v>89</v>
      </c>
      <c r="J31" t="s">
        <v>99</v>
      </c>
      <c r="K31" t="s">
        <v>90</v>
      </c>
      <c r="L31" t="s">
        <v>108</v>
      </c>
      <c r="M31" t="str">
        <f t="shared" si="4"/>
        <v>Preservation Shop</v>
      </c>
      <c r="N31" s="50">
        <f t="shared" si="5"/>
        <v>0</v>
      </c>
      <c r="O31" s="45" t="s">
        <v>166</v>
      </c>
      <c r="P31" s="422">
        <f t="shared" si="12"/>
        <v>0</v>
      </c>
      <c r="Q31" s="29" t="s">
        <v>108</v>
      </c>
    </row>
    <row r="32" spans="1:17" x14ac:dyDescent="0.2">
      <c r="A32" t="str">
        <f>'Customer Summary'!$C$5</f>
        <v>Walls (Install membrane system)</v>
      </c>
      <c r="C32" t="str">
        <f>Costing!B45</f>
        <v>Wall membrane CM3  - 1.2mtr</v>
      </c>
      <c r="D32" s="30">
        <f>Costing!F45</f>
        <v>0</v>
      </c>
      <c r="E32" s="30">
        <f>Costing!I45</f>
        <v>0</v>
      </c>
      <c r="F32" t="str">
        <f>Costing!G45</f>
        <v>M2</v>
      </c>
      <c r="G32" t="s">
        <v>112</v>
      </c>
      <c r="H32" s="421">
        <f>Costing!J45*100</f>
        <v>30</v>
      </c>
      <c r="I32" t="s">
        <v>89</v>
      </c>
      <c r="J32" t="s">
        <v>99</v>
      </c>
      <c r="K32" t="s">
        <v>90</v>
      </c>
      <c r="L32" t="s">
        <v>108</v>
      </c>
      <c r="M32" t="str">
        <f t="shared" ref="M32" si="15">IF(J32="MTL","Preservation Shop","")</f>
        <v>Preservation Shop</v>
      </c>
      <c r="N32" s="50">
        <f t="shared" ref="N32" si="16">D32*E32</f>
        <v>0</v>
      </c>
      <c r="O32" s="45" t="s">
        <v>166</v>
      </c>
      <c r="P32" s="422">
        <f t="shared" si="12"/>
        <v>0</v>
      </c>
      <c r="Q32" s="29" t="s">
        <v>108</v>
      </c>
    </row>
    <row r="33" spans="1:17" x14ac:dyDescent="0.2">
      <c r="A33" t="str">
        <f>'Customer Summary'!$C$5</f>
        <v>Walls (Install membrane system)</v>
      </c>
      <c r="C33" t="str">
        <f>Costing!B46</f>
        <v>Wall membrane CM3  - 2mtr #1</v>
      </c>
      <c r="D33" s="30">
        <f>Costing!F46</f>
        <v>0</v>
      </c>
      <c r="E33" s="30">
        <f>Costing!I46</f>
        <v>0</v>
      </c>
      <c r="F33" t="str">
        <f>Costing!G46</f>
        <v>M2</v>
      </c>
      <c r="G33" t="s">
        <v>112</v>
      </c>
      <c r="H33" s="421">
        <f>Costing!J46*100</f>
        <v>30</v>
      </c>
      <c r="I33" t="s">
        <v>89</v>
      </c>
      <c r="J33" t="s">
        <v>99</v>
      </c>
      <c r="K33" t="s">
        <v>90</v>
      </c>
      <c r="L33" t="s">
        <v>108</v>
      </c>
      <c r="M33" t="str">
        <f t="shared" ref="M33" si="17">IF(J33="MTL","Preservation Shop","")</f>
        <v>Preservation Shop</v>
      </c>
      <c r="N33" s="50">
        <f t="shared" ref="N33" si="18">D33*E33</f>
        <v>0</v>
      </c>
      <c r="O33" s="45" t="s">
        <v>166</v>
      </c>
      <c r="P33" s="422">
        <f t="shared" si="12"/>
        <v>0</v>
      </c>
      <c r="Q33" s="29" t="s">
        <v>108</v>
      </c>
    </row>
    <row r="34" spans="1:17" x14ac:dyDescent="0.2">
      <c r="A34" t="str">
        <f>'Customer Summary'!$C$5</f>
        <v>Walls (Install membrane system)</v>
      </c>
      <c r="C34" t="str">
        <f>Costing!B47</f>
        <v>Wall membrane CM3  - 2mtr #2</v>
      </c>
      <c r="D34" s="30">
        <f>Costing!F47</f>
        <v>0</v>
      </c>
      <c r="E34" s="30">
        <f>Costing!I47</f>
        <v>0</v>
      </c>
      <c r="F34" t="str">
        <f>Costing!G47</f>
        <v>M2</v>
      </c>
      <c r="G34" t="s">
        <v>112</v>
      </c>
      <c r="H34" s="421">
        <f>Costing!J47*100</f>
        <v>30</v>
      </c>
      <c r="I34" t="s">
        <v>89</v>
      </c>
      <c r="J34" t="s">
        <v>99</v>
      </c>
      <c r="K34" t="s">
        <v>90</v>
      </c>
      <c r="L34" t="s">
        <v>108</v>
      </c>
      <c r="M34" t="str">
        <f t="shared" ref="M34" si="19">IF(J34="MTL","Preservation Shop","")</f>
        <v>Preservation Shop</v>
      </c>
      <c r="N34" s="50">
        <f t="shared" ref="N34" si="20">D34*E34</f>
        <v>0</v>
      </c>
      <c r="O34" s="45" t="s">
        <v>166</v>
      </c>
      <c r="P34" s="422">
        <f t="shared" si="12"/>
        <v>0</v>
      </c>
      <c r="Q34" s="29" t="s">
        <v>108</v>
      </c>
    </row>
    <row r="35" spans="1:17" x14ac:dyDescent="0.2">
      <c r="A35" t="str">
        <f>'Customer Summary'!$C$5</f>
        <v>Walls (Install membrane system)</v>
      </c>
      <c r="C35" t="str">
        <f>Costing!B48</f>
        <v>Wall membrane CM3  - 2mtr #3</v>
      </c>
      <c r="D35" s="30">
        <f>Costing!F48</f>
        <v>0</v>
      </c>
      <c r="E35" s="30">
        <f>Costing!I48</f>
        <v>0</v>
      </c>
      <c r="F35" t="str">
        <f>Costing!G48</f>
        <v>M2</v>
      </c>
      <c r="G35" t="s">
        <v>112</v>
      </c>
      <c r="H35" s="421">
        <f>Costing!J48*100</f>
        <v>30</v>
      </c>
      <c r="I35" t="s">
        <v>89</v>
      </c>
      <c r="J35" t="s">
        <v>99</v>
      </c>
      <c r="K35" t="s">
        <v>90</v>
      </c>
      <c r="L35" t="s">
        <v>108</v>
      </c>
      <c r="M35" t="str">
        <f t="shared" ref="M35" si="21">IF(J35="MTL","Preservation Shop","")</f>
        <v>Preservation Shop</v>
      </c>
      <c r="N35" s="50">
        <f t="shared" ref="N35" si="22">D35*E35</f>
        <v>0</v>
      </c>
      <c r="O35" s="45" t="s">
        <v>166</v>
      </c>
      <c r="P35" s="422">
        <f t="shared" si="12"/>
        <v>0</v>
      </c>
      <c r="Q35" s="29" t="s">
        <v>108</v>
      </c>
    </row>
    <row r="36" spans="1:17" x14ac:dyDescent="0.2">
      <c r="A36" t="str">
        <f>'Customer Summary'!$C$5</f>
        <v>Walls (Install membrane system)</v>
      </c>
      <c r="C36" t="str">
        <f>Costing!B49</f>
        <v>Wall membrane CM3 - Subtotals for above 3 lines</v>
      </c>
      <c r="D36" s="30">
        <f>Costing!F49</f>
        <v>0</v>
      </c>
      <c r="E36" s="30">
        <f>Costing!I49</f>
        <v>0</v>
      </c>
      <c r="F36" t="str">
        <f>Costing!G49</f>
        <v>M2</v>
      </c>
      <c r="G36" t="s">
        <v>112</v>
      </c>
      <c r="H36" s="421">
        <f>Costing!J49*100</f>
        <v>30</v>
      </c>
      <c r="I36" t="s">
        <v>89</v>
      </c>
      <c r="J36" t="s">
        <v>99</v>
      </c>
      <c r="K36" t="s">
        <v>90</v>
      </c>
      <c r="L36" t="s">
        <v>108</v>
      </c>
      <c r="M36" t="str">
        <f t="shared" ref="M36" si="23">IF(J36="MTL","Preservation Shop","")</f>
        <v>Preservation Shop</v>
      </c>
      <c r="N36" s="50">
        <f t="shared" ref="N36" si="24">D36*E36</f>
        <v>0</v>
      </c>
      <c r="O36" s="45" t="s">
        <v>166</v>
      </c>
      <c r="P36" s="422">
        <f t="shared" si="12"/>
        <v>0</v>
      </c>
      <c r="Q36" s="29" t="s">
        <v>108</v>
      </c>
    </row>
    <row r="37" spans="1:17" x14ac:dyDescent="0.2">
      <c r="A37" t="str">
        <f>'Customer Summary'!$C$5</f>
        <v>Walls (Install membrane system)</v>
      </c>
      <c r="C37" t="str">
        <f>Costing!B50</f>
        <v>Membrane plugs for m2 listed</v>
      </c>
      <c r="D37" s="30">
        <f>Costing!F50</f>
        <v>0</v>
      </c>
      <c r="E37" s="30">
        <f>Costing!I50</f>
        <v>0</v>
      </c>
      <c r="F37" t="str">
        <f>Costing!G50</f>
        <v>M2</v>
      </c>
      <c r="G37" t="s">
        <v>112</v>
      </c>
      <c r="H37" s="421">
        <f>Costing!J50*100</f>
        <v>30</v>
      </c>
      <c r="I37" t="s">
        <v>89</v>
      </c>
      <c r="J37" t="s">
        <v>99</v>
      </c>
      <c r="K37" t="s">
        <v>90</v>
      </c>
      <c r="L37" t="s">
        <v>108</v>
      </c>
      <c r="M37" t="str">
        <f t="shared" si="4"/>
        <v>Preservation Shop</v>
      </c>
      <c r="N37" s="50">
        <f t="shared" si="5"/>
        <v>0</v>
      </c>
      <c r="O37" s="45" t="s">
        <v>166</v>
      </c>
      <c r="P37" s="422">
        <f t="shared" si="12"/>
        <v>0</v>
      </c>
      <c r="Q37" s="29" t="s">
        <v>108</v>
      </c>
    </row>
    <row r="38" spans="1:17" x14ac:dyDescent="0.2">
      <c r="A38" t="str">
        <f>'Customer Summary'!$C$5</f>
        <v>Walls (Install membrane system)</v>
      </c>
      <c r="C38" t="str">
        <f>Costing!B51</f>
        <v>Sealing Tape Lm</v>
      </c>
      <c r="D38" s="30">
        <f>Costing!F51</f>
        <v>0</v>
      </c>
      <c r="E38" s="30">
        <f>Costing!I51</f>
        <v>0</v>
      </c>
      <c r="F38" t="str">
        <f>Costing!G51</f>
        <v>LM</v>
      </c>
      <c r="G38" t="s">
        <v>112</v>
      </c>
      <c r="H38" s="421">
        <f>Costing!J51*100</f>
        <v>30</v>
      </c>
      <c r="I38" t="s">
        <v>89</v>
      </c>
      <c r="J38" t="s">
        <v>99</v>
      </c>
      <c r="K38" t="s">
        <v>90</v>
      </c>
      <c r="L38" t="s">
        <v>108</v>
      </c>
      <c r="M38" t="str">
        <f t="shared" si="4"/>
        <v>Preservation Shop</v>
      </c>
      <c r="N38" s="50">
        <f t="shared" si="5"/>
        <v>0</v>
      </c>
      <c r="O38" s="45" t="s">
        <v>166</v>
      </c>
      <c r="P38" s="422">
        <f t="shared" si="12"/>
        <v>0</v>
      </c>
      <c r="Q38" s="29" t="s">
        <v>108</v>
      </c>
    </row>
    <row r="39" spans="1:17" x14ac:dyDescent="0.2">
      <c r="A39" t="str">
        <f>'Customer Summary'!$C$5</f>
        <v>Walls (Install membrane system)</v>
      </c>
      <c r="C39" t="str">
        <f>Costing!B52</f>
        <v>Technoseal Lm</v>
      </c>
      <c r="D39" s="30">
        <f>Costing!F52</f>
        <v>0</v>
      </c>
      <c r="E39" s="30">
        <f>Costing!I52</f>
        <v>1</v>
      </c>
      <c r="F39" t="str">
        <f>Costing!G52</f>
        <v>LM</v>
      </c>
      <c r="G39" t="s">
        <v>112</v>
      </c>
      <c r="H39" s="421">
        <f>Costing!J52*100</f>
        <v>30</v>
      </c>
      <c r="I39" t="s">
        <v>89</v>
      </c>
      <c r="J39" t="s">
        <v>99</v>
      </c>
      <c r="K39" t="s">
        <v>90</v>
      </c>
      <c r="L39" t="s">
        <v>108</v>
      </c>
      <c r="M39" t="str">
        <f t="shared" ref="M39" si="25">IF(J39="MTL","Preservation Shop","")</f>
        <v>Preservation Shop</v>
      </c>
      <c r="N39" s="50">
        <f t="shared" si="5"/>
        <v>0</v>
      </c>
      <c r="O39" s="45" t="s">
        <v>166</v>
      </c>
      <c r="P39" s="422">
        <f t="shared" si="12"/>
        <v>0</v>
      </c>
      <c r="Q39" s="29" t="s">
        <v>108</v>
      </c>
    </row>
    <row r="40" spans="1:17" x14ac:dyDescent="0.2">
      <c r="A40" t="str">
        <f>'Customer Summary'!$C$5</f>
        <v>Walls (Install membrane system)</v>
      </c>
      <c r="C40" t="str">
        <f>Costing!B53</f>
        <v>Wall/floor fillet joint</v>
      </c>
      <c r="D40" s="30">
        <f>Costing!F53</f>
        <v>0</v>
      </c>
      <c r="E40" s="30">
        <f>Costing!I53</f>
        <v>0</v>
      </c>
      <c r="F40" t="str">
        <f>Costing!G53</f>
        <v>LM</v>
      </c>
      <c r="G40" t="s">
        <v>112</v>
      </c>
      <c r="H40" s="421">
        <f>Costing!J53*100</f>
        <v>30</v>
      </c>
      <c r="I40" t="s">
        <v>89</v>
      </c>
      <c r="J40" t="s">
        <v>99</v>
      </c>
      <c r="K40" t="s">
        <v>90</v>
      </c>
      <c r="L40" t="s">
        <v>108</v>
      </c>
      <c r="M40" t="str">
        <f t="shared" ref="M40" si="26">IF(J40="MTL","Preservation Shop","")</f>
        <v>Preservation Shop</v>
      </c>
      <c r="N40" s="50">
        <f t="shared" ref="N40" si="27">D40*E40</f>
        <v>0</v>
      </c>
      <c r="O40" s="45" t="s">
        <v>166</v>
      </c>
      <c r="P40" s="422">
        <f t="shared" si="12"/>
        <v>0</v>
      </c>
      <c r="Q40" s="29" t="s">
        <v>108</v>
      </c>
    </row>
    <row r="41" spans="1:17" x14ac:dyDescent="0.2">
      <c r="A41" t="str">
        <f>'Customer Summary'!$C$5</f>
        <v>Walls (Install membrane system)</v>
      </c>
      <c r="C41" t="str">
        <f>Costing!B55</f>
        <v>Overtape Lm</v>
      </c>
      <c r="D41" s="30">
        <f>Costing!F55</f>
        <v>0</v>
      </c>
      <c r="E41" s="30">
        <f>Costing!I55</f>
        <v>0</v>
      </c>
      <c r="F41" t="str">
        <f>Costing!G55</f>
        <v>LM</v>
      </c>
      <c r="G41" t="s">
        <v>112</v>
      </c>
      <c r="H41" s="421">
        <f>Costing!J55*100</f>
        <v>30</v>
      </c>
      <c r="I41" t="s">
        <v>89</v>
      </c>
      <c r="J41" t="s">
        <v>99</v>
      </c>
      <c r="K41" t="s">
        <v>90</v>
      </c>
      <c r="L41" t="s">
        <v>108</v>
      </c>
      <c r="M41" t="str">
        <f t="shared" si="4"/>
        <v>Preservation Shop</v>
      </c>
      <c r="N41" s="50">
        <f t="shared" si="5"/>
        <v>0</v>
      </c>
      <c r="O41" s="45" t="s">
        <v>166</v>
      </c>
      <c r="P41" s="422">
        <f t="shared" si="12"/>
        <v>0</v>
      </c>
      <c r="Q41" s="29" t="s">
        <v>108</v>
      </c>
    </row>
    <row r="42" spans="1:17" x14ac:dyDescent="0.2">
      <c r="A42" t="str">
        <f>'Customer Summary'!$C$5</f>
        <v>Walls (Install membrane system)</v>
      </c>
      <c r="C42" t="str">
        <f>Costing!B56</f>
        <v>Fixing Rope Lm</v>
      </c>
      <c r="D42" s="30">
        <f>Costing!F56</f>
        <v>0</v>
      </c>
      <c r="E42" s="30">
        <f>Costing!I56</f>
        <v>0</v>
      </c>
      <c r="F42" t="str">
        <f>Costing!G56</f>
        <v>LM</v>
      </c>
      <c r="G42" t="s">
        <v>112</v>
      </c>
      <c r="H42" s="421">
        <f>Costing!J56*100</f>
        <v>30</v>
      </c>
      <c r="I42" t="s">
        <v>89</v>
      </c>
      <c r="J42" t="s">
        <v>99</v>
      </c>
      <c r="K42" t="s">
        <v>90</v>
      </c>
      <c r="L42" t="s">
        <v>108</v>
      </c>
      <c r="M42" t="str">
        <f t="shared" si="4"/>
        <v>Preservation Shop</v>
      </c>
      <c r="N42" s="50">
        <f t="shared" si="5"/>
        <v>0</v>
      </c>
      <c r="O42" s="45" t="s">
        <v>166</v>
      </c>
      <c r="P42" s="422">
        <f t="shared" si="12"/>
        <v>0</v>
      </c>
      <c r="Q42" s="29" t="s">
        <v>108</v>
      </c>
    </row>
    <row r="43" spans="1:17" x14ac:dyDescent="0.2">
      <c r="A43" t="str">
        <f>'Customer Summary'!$C$5</f>
        <v>Walls (Install membrane system)</v>
      </c>
      <c r="C43" t="str">
        <f>Costing!B57</f>
        <v>Difficulty hours (additional hours if required)</v>
      </c>
      <c r="D43" s="30">
        <f>Costing!F57</f>
        <v>0</v>
      </c>
      <c r="E43" s="30">
        <f>Costing!I57</f>
        <v>0</v>
      </c>
      <c r="F43" t="str">
        <f>Costing!G57</f>
        <v>Hours</v>
      </c>
      <c r="G43" t="s">
        <v>112</v>
      </c>
      <c r="H43" s="421">
        <f>Costing!J57*100</f>
        <v>0</v>
      </c>
      <c r="I43" t="s">
        <v>89</v>
      </c>
      <c r="J43" t="s">
        <v>99</v>
      </c>
      <c r="K43" t="s">
        <v>90</v>
      </c>
      <c r="L43" t="s">
        <v>108</v>
      </c>
      <c r="M43" t="str">
        <f t="shared" ref="M43" si="28">IF(J43="MTL","Preservation Shop","")</f>
        <v>Preservation Shop</v>
      </c>
      <c r="N43" s="50">
        <f t="shared" ref="N43" si="29">D43*E43</f>
        <v>0</v>
      </c>
      <c r="O43" s="45" t="s">
        <v>166</v>
      </c>
      <c r="P43" s="422">
        <f t="shared" si="12"/>
        <v>0</v>
      </c>
      <c r="Q43" s="29" t="s">
        <v>108</v>
      </c>
    </row>
    <row r="44" spans="1:17" x14ac:dyDescent="0.2">
      <c r="A44" t="str">
        <f>'Customer Summary'!$C$5</f>
        <v>Walls (Install membrane system)</v>
      </c>
      <c r="C44" t="str">
        <f>Costing!M40</f>
        <v>DPC Installation - Traditional</v>
      </c>
      <c r="D44" s="30">
        <f>Costing!O40</f>
        <v>0</v>
      </c>
      <c r="E44" s="30">
        <f>Costing!Q40</f>
        <v>30.630000000000003</v>
      </c>
      <c r="F44" t="s">
        <v>3</v>
      </c>
      <c r="G44" t="s">
        <v>110</v>
      </c>
      <c r="H44" s="421">
        <f>Costing!R40*100</f>
        <v>100</v>
      </c>
      <c r="I44" t="s">
        <v>89</v>
      </c>
      <c r="J44" t="s">
        <v>97</v>
      </c>
      <c r="K44" t="s">
        <v>90</v>
      </c>
      <c r="L44" t="s">
        <v>108</v>
      </c>
      <c r="M44" t="str">
        <f t="shared" ref="M44" si="30">IF(J44="MTL","Preservation Shop","")</f>
        <v/>
      </c>
      <c r="N44" s="50">
        <f t="shared" si="5"/>
        <v>0</v>
      </c>
      <c r="O44" s="45" t="s">
        <v>166</v>
      </c>
      <c r="P44" s="422">
        <f t="shared" si="12"/>
        <v>0</v>
      </c>
      <c r="Q44" s="29" t="s">
        <v>108</v>
      </c>
    </row>
    <row r="45" spans="1:17" x14ac:dyDescent="0.2">
      <c r="A45" t="str">
        <f>'Customer Summary'!$C$5</f>
        <v>Walls (Install membrane system)</v>
      </c>
      <c r="C45" t="str">
        <f>Costing!M42</f>
        <v>DPC Installation - Digital</v>
      </c>
      <c r="D45" s="30">
        <f>Costing!O42</f>
        <v>0</v>
      </c>
      <c r="E45" s="30">
        <f>Costing!Q42</f>
        <v>30.630000000000003</v>
      </c>
      <c r="F45" t="s">
        <v>3</v>
      </c>
      <c r="G45" t="s">
        <v>110</v>
      </c>
      <c r="H45" s="421">
        <f>Costing!R42*100</f>
        <v>100</v>
      </c>
      <c r="I45" t="s">
        <v>89</v>
      </c>
      <c r="J45" t="s">
        <v>97</v>
      </c>
      <c r="K45" t="s">
        <v>90</v>
      </c>
      <c r="L45" t="s">
        <v>108</v>
      </c>
      <c r="M45" t="str">
        <f t="shared" ref="M45" si="31">IF(J45="MTL","Preservation Shop","")</f>
        <v/>
      </c>
      <c r="N45" s="50">
        <f t="shared" ref="N45" si="32">D45*E45</f>
        <v>0</v>
      </c>
      <c r="O45" s="45" t="s">
        <v>166</v>
      </c>
      <c r="P45" s="422">
        <f t="shared" si="12"/>
        <v>0</v>
      </c>
      <c r="Q45" s="29" t="s">
        <v>108</v>
      </c>
    </row>
    <row r="46" spans="1:17" x14ac:dyDescent="0.2">
      <c r="A46" t="str">
        <f>'Customer Summary'!$C$5</f>
        <v>Walls (Install membrane system)</v>
      </c>
      <c r="C46" t="str">
        <f>Costing!M44</f>
        <v>Wall membrane CM3  - 1mtr</v>
      </c>
      <c r="D46" s="30">
        <f>Costing!O44</f>
        <v>0</v>
      </c>
      <c r="E46" s="30">
        <f>Costing!Q44</f>
        <v>30.630000000000003</v>
      </c>
      <c r="F46" t="s">
        <v>3</v>
      </c>
      <c r="G46" t="s">
        <v>110</v>
      </c>
      <c r="H46" s="421">
        <f>Costing!R44*100</f>
        <v>100</v>
      </c>
      <c r="I46" t="s">
        <v>89</v>
      </c>
      <c r="J46" t="s">
        <v>97</v>
      </c>
      <c r="K46" t="s">
        <v>90</v>
      </c>
      <c r="L46" t="s">
        <v>108</v>
      </c>
      <c r="M46" t="str">
        <f t="shared" si="4"/>
        <v/>
      </c>
      <c r="N46" s="50">
        <f t="shared" si="5"/>
        <v>0</v>
      </c>
      <c r="O46" s="45" t="s">
        <v>166</v>
      </c>
      <c r="P46" s="422">
        <f t="shared" si="12"/>
        <v>0</v>
      </c>
      <c r="Q46" s="29" t="s">
        <v>108</v>
      </c>
    </row>
    <row r="47" spans="1:17" x14ac:dyDescent="0.2">
      <c r="A47" t="str">
        <f>'Customer Summary'!$C$5</f>
        <v>Walls (Install membrane system)</v>
      </c>
      <c r="C47" t="str">
        <f>Costing!M45</f>
        <v>Wall membrane CM3  - 1.2mtr</v>
      </c>
      <c r="D47" s="30">
        <f>Costing!O45</f>
        <v>0</v>
      </c>
      <c r="E47" s="30">
        <f>Costing!Q45</f>
        <v>30.630000000000003</v>
      </c>
      <c r="F47" t="s">
        <v>3</v>
      </c>
      <c r="G47" t="s">
        <v>110</v>
      </c>
      <c r="H47" s="421">
        <f>Costing!R45*100</f>
        <v>100</v>
      </c>
      <c r="I47" t="s">
        <v>89</v>
      </c>
      <c r="J47" t="s">
        <v>97</v>
      </c>
      <c r="K47" t="s">
        <v>90</v>
      </c>
      <c r="L47" t="s">
        <v>108</v>
      </c>
      <c r="M47" t="str">
        <f t="shared" ref="M47" si="33">IF(J47="MTL","Preservation Shop","")</f>
        <v/>
      </c>
      <c r="N47" s="50">
        <f t="shared" ref="N47" si="34">D47*E47</f>
        <v>0</v>
      </c>
      <c r="O47" s="45" t="s">
        <v>166</v>
      </c>
      <c r="P47" s="422">
        <f t="shared" si="12"/>
        <v>0</v>
      </c>
      <c r="Q47" s="29" t="s">
        <v>108</v>
      </c>
    </row>
    <row r="48" spans="1:17" x14ac:dyDescent="0.2">
      <c r="A48" t="str">
        <f>'Customer Summary'!$C$5</f>
        <v>Walls (Install membrane system)</v>
      </c>
      <c r="C48" t="str">
        <f>Costing!M46</f>
        <v>Wall membrane CM3  - 2mtr #1</v>
      </c>
      <c r="D48" s="30">
        <f>Costing!O46</f>
        <v>0</v>
      </c>
      <c r="E48" s="30">
        <f>Costing!Q46</f>
        <v>30.630000000000003</v>
      </c>
      <c r="F48" t="s">
        <v>3</v>
      </c>
      <c r="G48" t="s">
        <v>110</v>
      </c>
      <c r="H48" s="421">
        <f>Costing!R46*100</f>
        <v>100</v>
      </c>
      <c r="I48" t="s">
        <v>89</v>
      </c>
      <c r="J48" t="s">
        <v>97</v>
      </c>
      <c r="K48" t="s">
        <v>90</v>
      </c>
      <c r="L48" t="s">
        <v>108</v>
      </c>
      <c r="M48" t="str">
        <f t="shared" ref="M48" si="35">IF(J48="MTL","Preservation Shop","")</f>
        <v/>
      </c>
      <c r="N48" s="50">
        <f t="shared" ref="N48" si="36">D48*E48</f>
        <v>0</v>
      </c>
      <c r="O48" s="45" t="s">
        <v>166</v>
      </c>
      <c r="P48" s="422">
        <f t="shared" si="12"/>
        <v>0</v>
      </c>
      <c r="Q48" s="29" t="s">
        <v>108</v>
      </c>
    </row>
    <row r="49" spans="1:17" x14ac:dyDescent="0.2">
      <c r="A49" t="str">
        <f>'Customer Summary'!$C$5</f>
        <v>Walls (Install membrane system)</v>
      </c>
      <c r="C49" t="str">
        <f>Costing!M47</f>
        <v>Wall membrane CM3  - 2mtr #2</v>
      </c>
      <c r="D49" s="30">
        <f>Costing!O47</f>
        <v>0</v>
      </c>
      <c r="E49" s="30">
        <f>Costing!Q47</f>
        <v>30.630000000000003</v>
      </c>
      <c r="F49" t="s">
        <v>3</v>
      </c>
      <c r="G49" t="s">
        <v>110</v>
      </c>
      <c r="H49" s="421">
        <f>Costing!R47*100</f>
        <v>100</v>
      </c>
      <c r="I49" t="s">
        <v>89</v>
      </c>
      <c r="J49" t="s">
        <v>97</v>
      </c>
      <c r="K49" t="s">
        <v>90</v>
      </c>
      <c r="L49" t="s">
        <v>108</v>
      </c>
      <c r="M49" t="str">
        <f t="shared" ref="M49" si="37">IF(J49="MTL","Preservation Shop","")</f>
        <v/>
      </c>
      <c r="N49" s="50">
        <f t="shared" ref="N49" si="38">D49*E49</f>
        <v>0</v>
      </c>
      <c r="O49" s="45" t="s">
        <v>166</v>
      </c>
      <c r="P49" s="422">
        <f t="shared" si="12"/>
        <v>0</v>
      </c>
      <c r="Q49" s="29" t="s">
        <v>108</v>
      </c>
    </row>
    <row r="50" spans="1:17" x14ac:dyDescent="0.2">
      <c r="A50" t="str">
        <f>'Customer Summary'!$C$5</f>
        <v>Walls (Install membrane system)</v>
      </c>
      <c r="C50" t="str">
        <f>Costing!M48</f>
        <v>Wall membrane CM3  - 2mtr #3</v>
      </c>
      <c r="D50" s="30">
        <f>Costing!O48</f>
        <v>0</v>
      </c>
      <c r="E50" s="30">
        <f>Costing!Q48</f>
        <v>30.630000000000003</v>
      </c>
      <c r="F50" t="s">
        <v>3</v>
      </c>
      <c r="G50" t="s">
        <v>110</v>
      </c>
      <c r="H50" s="421">
        <f>Costing!R48*100</f>
        <v>100</v>
      </c>
      <c r="I50" t="s">
        <v>89</v>
      </c>
      <c r="J50" t="s">
        <v>97</v>
      </c>
      <c r="K50" t="s">
        <v>90</v>
      </c>
      <c r="L50" t="s">
        <v>108</v>
      </c>
      <c r="M50" t="str">
        <f t="shared" ref="M50" si="39">IF(J50="MTL","Preservation Shop","")</f>
        <v/>
      </c>
      <c r="N50" s="50">
        <f t="shared" ref="N50" si="40">D50*E50</f>
        <v>0</v>
      </c>
      <c r="O50" s="45" t="s">
        <v>166</v>
      </c>
      <c r="P50" s="422">
        <f t="shared" si="12"/>
        <v>0</v>
      </c>
      <c r="Q50" s="29" t="s">
        <v>108</v>
      </c>
    </row>
    <row r="51" spans="1:17" x14ac:dyDescent="0.2">
      <c r="A51" t="str">
        <f>'Customer Summary'!$C$5</f>
        <v>Walls (Install membrane system)</v>
      </c>
      <c r="C51" t="str">
        <f>Costing!M49</f>
        <v>Wall membrane CM3 - Subtotals for above 3 lines</v>
      </c>
      <c r="D51" s="30">
        <f>Costing!O49</f>
        <v>0</v>
      </c>
      <c r="E51" s="30">
        <f>Costing!Q49</f>
        <v>30.630000000000003</v>
      </c>
      <c r="F51" t="s">
        <v>3</v>
      </c>
      <c r="G51" t="s">
        <v>110</v>
      </c>
      <c r="H51" s="421">
        <f>Costing!R49*100</f>
        <v>100</v>
      </c>
      <c r="I51" t="s">
        <v>89</v>
      </c>
      <c r="J51" t="s">
        <v>97</v>
      </c>
      <c r="K51" t="s">
        <v>90</v>
      </c>
      <c r="L51" t="s">
        <v>108</v>
      </c>
      <c r="M51" t="str">
        <f t="shared" ref="M51" si="41">IF(J51="MTL","Preservation Shop","")</f>
        <v/>
      </c>
      <c r="N51" s="50">
        <f t="shared" ref="N51" si="42">D51*E51</f>
        <v>0</v>
      </c>
      <c r="O51" s="45" t="s">
        <v>166</v>
      </c>
      <c r="P51" s="422">
        <f t="shared" si="12"/>
        <v>0</v>
      </c>
      <c r="Q51" s="29" t="s">
        <v>108</v>
      </c>
    </row>
    <row r="52" spans="1:17" x14ac:dyDescent="0.2">
      <c r="A52" t="str">
        <f>'Customer Summary'!$C$5</f>
        <v>Walls (Install membrane system)</v>
      </c>
      <c r="C52" t="str">
        <f>Costing!M50</f>
        <v>Membrane plugs for m2 listed</v>
      </c>
      <c r="D52" s="30">
        <f>Costing!O50</f>
        <v>0</v>
      </c>
      <c r="E52" s="30">
        <f>Costing!Q50</f>
        <v>30.630000000000003</v>
      </c>
      <c r="F52" t="s">
        <v>3</v>
      </c>
      <c r="G52" t="s">
        <v>110</v>
      </c>
      <c r="H52" s="421">
        <f>Costing!R50*100</f>
        <v>100</v>
      </c>
      <c r="I52" t="s">
        <v>89</v>
      </c>
      <c r="J52" t="s">
        <v>97</v>
      </c>
      <c r="K52" t="s">
        <v>90</v>
      </c>
      <c r="L52" t="s">
        <v>108</v>
      </c>
      <c r="M52" t="str">
        <f t="shared" si="4"/>
        <v/>
      </c>
      <c r="N52" s="50">
        <f t="shared" si="5"/>
        <v>0</v>
      </c>
      <c r="O52" s="45" t="s">
        <v>166</v>
      </c>
      <c r="P52" s="422">
        <f t="shared" si="12"/>
        <v>0</v>
      </c>
      <c r="Q52" s="29" t="s">
        <v>108</v>
      </c>
    </row>
    <row r="53" spans="1:17" x14ac:dyDescent="0.2">
      <c r="A53" t="str">
        <f>'Customer Summary'!$C$5</f>
        <v>Walls (Install membrane system)</v>
      </c>
      <c r="C53" t="str">
        <f>Costing!M51</f>
        <v>Sealing Tape Lm</v>
      </c>
      <c r="D53" s="30">
        <f>Costing!O51</f>
        <v>0</v>
      </c>
      <c r="E53" s="30">
        <f>Costing!Q51</f>
        <v>30.630000000000003</v>
      </c>
      <c r="F53" t="s">
        <v>3</v>
      </c>
      <c r="G53" t="s">
        <v>110</v>
      </c>
      <c r="H53" s="421">
        <f>Costing!R51*100</f>
        <v>100</v>
      </c>
      <c r="I53" t="s">
        <v>89</v>
      </c>
      <c r="J53" t="s">
        <v>97</v>
      </c>
      <c r="K53" t="s">
        <v>90</v>
      </c>
      <c r="L53" t="s">
        <v>108</v>
      </c>
      <c r="M53" t="str">
        <f t="shared" si="4"/>
        <v/>
      </c>
      <c r="N53" s="50">
        <f t="shared" si="5"/>
        <v>0</v>
      </c>
      <c r="O53" s="45" t="s">
        <v>166</v>
      </c>
      <c r="P53" s="422">
        <f t="shared" si="12"/>
        <v>0</v>
      </c>
      <c r="Q53" s="29" t="s">
        <v>108</v>
      </c>
    </row>
    <row r="54" spans="1:17" x14ac:dyDescent="0.2">
      <c r="A54" t="str">
        <f>'Customer Summary'!$C$5</f>
        <v>Walls (Install membrane system)</v>
      </c>
      <c r="C54" t="str">
        <f>Costing!M52</f>
        <v>Technoseal Lm</v>
      </c>
      <c r="D54" s="30">
        <f>Costing!O52</f>
        <v>0</v>
      </c>
      <c r="E54" s="30">
        <f>Costing!Q52</f>
        <v>30.630000000000003</v>
      </c>
      <c r="F54" t="s">
        <v>3</v>
      </c>
      <c r="G54" t="s">
        <v>110</v>
      </c>
      <c r="H54" s="421">
        <f>Costing!R52*100</f>
        <v>100</v>
      </c>
      <c r="I54" t="s">
        <v>89</v>
      </c>
      <c r="J54" t="s">
        <v>97</v>
      </c>
      <c r="K54" t="s">
        <v>90</v>
      </c>
      <c r="L54" t="s">
        <v>108</v>
      </c>
      <c r="M54" t="str">
        <f t="shared" ref="M54" si="43">IF(J54="MTL","Preservation Shop","")</f>
        <v/>
      </c>
      <c r="N54" s="50">
        <f t="shared" si="5"/>
        <v>0</v>
      </c>
      <c r="O54" s="45" t="s">
        <v>166</v>
      </c>
      <c r="P54" s="422">
        <f t="shared" si="12"/>
        <v>0</v>
      </c>
      <c r="Q54" s="29" t="s">
        <v>108</v>
      </c>
    </row>
    <row r="55" spans="1:17" x14ac:dyDescent="0.2">
      <c r="A55" t="str">
        <f>'Customer Summary'!$C$5</f>
        <v>Walls (Install membrane system)</v>
      </c>
      <c r="C55" t="str">
        <f>Costing!M53</f>
        <v>Wall/floor fillet joint</v>
      </c>
      <c r="D55" s="30">
        <f>Costing!O53</f>
        <v>0</v>
      </c>
      <c r="E55" s="30">
        <f>Costing!Q53</f>
        <v>30.630000000000003</v>
      </c>
      <c r="F55" t="s">
        <v>3</v>
      </c>
      <c r="G55" t="s">
        <v>110</v>
      </c>
      <c r="H55" s="421">
        <f>Costing!R53*100</f>
        <v>100</v>
      </c>
      <c r="I55" t="s">
        <v>89</v>
      </c>
      <c r="J55" t="s">
        <v>97</v>
      </c>
      <c r="K55" t="s">
        <v>90</v>
      </c>
      <c r="L55" t="s">
        <v>108</v>
      </c>
      <c r="M55" t="str">
        <f t="shared" ref="M55" si="44">IF(J55="MTL","Preservation Shop","")</f>
        <v/>
      </c>
      <c r="N55" s="50">
        <f t="shared" ref="N55" si="45">D55*E55</f>
        <v>0</v>
      </c>
      <c r="O55" s="45" t="s">
        <v>166</v>
      </c>
      <c r="P55" s="422">
        <f t="shared" si="12"/>
        <v>0</v>
      </c>
      <c r="Q55" s="29" t="s">
        <v>108</v>
      </c>
    </row>
    <row r="56" spans="1:17" x14ac:dyDescent="0.2">
      <c r="A56" t="str">
        <f>'Customer Summary'!$C$5</f>
        <v>Walls (Install membrane system)</v>
      </c>
      <c r="C56" t="str">
        <f>Costing!M55</f>
        <v>Overtape Lm</v>
      </c>
      <c r="D56" s="30">
        <f>Costing!O55</f>
        <v>0</v>
      </c>
      <c r="E56" s="30">
        <f>Costing!Q55</f>
        <v>30.630000000000003</v>
      </c>
      <c r="F56" t="s">
        <v>3</v>
      </c>
      <c r="G56" t="s">
        <v>110</v>
      </c>
      <c r="H56" s="421">
        <f>Costing!R55*100</f>
        <v>100</v>
      </c>
      <c r="I56" t="s">
        <v>89</v>
      </c>
      <c r="J56" t="s">
        <v>97</v>
      </c>
      <c r="K56" t="s">
        <v>90</v>
      </c>
      <c r="L56" t="s">
        <v>108</v>
      </c>
      <c r="M56" t="str">
        <f t="shared" si="4"/>
        <v/>
      </c>
      <c r="N56" s="50">
        <f t="shared" si="5"/>
        <v>0</v>
      </c>
      <c r="O56" s="45" t="s">
        <v>166</v>
      </c>
      <c r="P56" s="422">
        <f t="shared" si="12"/>
        <v>0</v>
      </c>
      <c r="Q56" s="29" t="s">
        <v>108</v>
      </c>
    </row>
    <row r="57" spans="1:17" x14ac:dyDescent="0.2">
      <c r="A57" t="str">
        <f>'Customer Summary'!$C$5</f>
        <v>Walls (Install membrane system)</v>
      </c>
      <c r="C57" t="str">
        <f>Costing!M56</f>
        <v>Fixing Rope Lm</v>
      </c>
      <c r="D57" s="30">
        <f>Costing!O56</f>
        <v>0</v>
      </c>
      <c r="E57" s="30">
        <f>Costing!Q56</f>
        <v>30.630000000000003</v>
      </c>
      <c r="F57" t="s">
        <v>3</v>
      </c>
      <c r="G57" t="s">
        <v>110</v>
      </c>
      <c r="H57" s="421">
        <f>Costing!R56*100</f>
        <v>100</v>
      </c>
      <c r="I57" t="s">
        <v>89</v>
      </c>
      <c r="J57" t="s">
        <v>97</v>
      </c>
      <c r="K57" t="s">
        <v>90</v>
      </c>
      <c r="L57" t="s">
        <v>108</v>
      </c>
      <c r="M57" t="str">
        <f t="shared" si="4"/>
        <v/>
      </c>
      <c r="N57" s="50">
        <f t="shared" si="5"/>
        <v>0</v>
      </c>
      <c r="O57" s="45" t="s">
        <v>166</v>
      </c>
      <c r="P57" s="422">
        <f t="shared" si="12"/>
        <v>0</v>
      </c>
      <c r="Q57" s="29" t="s">
        <v>108</v>
      </c>
    </row>
    <row r="58" spans="1:17" x14ac:dyDescent="0.2">
      <c r="A58" t="str">
        <f>'Customer Summary'!$C$5</f>
        <v>Walls (Install membrane system)</v>
      </c>
      <c r="C58" t="str">
        <f>Costing!M57</f>
        <v>Difficulty hours (additional hours if required)</v>
      </c>
      <c r="D58" s="30">
        <f>Costing!O57</f>
        <v>0</v>
      </c>
      <c r="E58" s="30">
        <f>Costing!Q57</f>
        <v>30.630000000000003</v>
      </c>
      <c r="F58" t="s">
        <v>3</v>
      </c>
      <c r="G58" t="s">
        <v>110</v>
      </c>
      <c r="H58" s="421">
        <f>Costing!R57*100</f>
        <v>100</v>
      </c>
      <c r="I58" t="s">
        <v>89</v>
      </c>
      <c r="J58" t="s">
        <v>97</v>
      </c>
      <c r="K58" t="s">
        <v>90</v>
      </c>
      <c r="L58" t="s">
        <v>108</v>
      </c>
      <c r="M58" t="str">
        <f t="shared" ref="M58" si="46">IF(J58="MTL","Preservation Shop","")</f>
        <v/>
      </c>
      <c r="N58" s="50">
        <f t="shared" ref="N58" si="47">D58*E58</f>
        <v>0</v>
      </c>
      <c r="O58" s="45" t="s">
        <v>166</v>
      </c>
      <c r="P58" s="422">
        <f t="shared" si="12"/>
        <v>0</v>
      </c>
      <c r="Q58" s="29" t="s">
        <v>108</v>
      </c>
    </row>
    <row r="59" spans="1:17" s="47" customFormat="1" x14ac:dyDescent="0.2">
      <c r="A59" s="47" t="str">
        <f>'Customer Summary'!$C$5</f>
        <v>Walls (Install membrane system)</v>
      </c>
      <c r="C59" s="47" t="str">
        <f>_xlfn.CONCAT(A59," - Materials")</f>
        <v>Walls (Install membrane system) - Materials</v>
      </c>
      <c r="D59" s="48">
        <v>1</v>
      </c>
      <c r="E59" s="48">
        <f>N59</f>
        <v>0</v>
      </c>
      <c r="F59" s="47" t="s">
        <v>165</v>
      </c>
      <c r="G59" s="47" t="s">
        <v>112</v>
      </c>
      <c r="H59" s="48" t="e">
        <f>((P59-N59)/N59)*100</f>
        <v>#DIV/0!</v>
      </c>
      <c r="I59" s="47" t="s">
        <v>89</v>
      </c>
      <c r="J59" s="47" t="s">
        <v>99</v>
      </c>
      <c r="K59" s="47" t="s">
        <v>90</v>
      </c>
      <c r="L59" s="47" t="str">
        <f>'Customer Summary'!D5</f>
        <v>No</v>
      </c>
      <c r="M59" s="47" t="str">
        <f t="shared" si="4"/>
        <v>Preservation Shop</v>
      </c>
      <c r="N59" s="51">
        <f>SUM(N29:N43)</f>
        <v>0</v>
      </c>
      <c r="O59" s="49" t="str">
        <f t="shared" ref="O59:O60" si="48">IF(N59=0,"DELETE","LEAVE")</f>
        <v>DELETE</v>
      </c>
      <c r="P59" s="51">
        <f>SUM(P29:P43)</f>
        <v>0</v>
      </c>
      <c r="Q59" s="49" t="s">
        <v>90</v>
      </c>
    </row>
    <row r="60" spans="1:17" s="47" customFormat="1" x14ac:dyDescent="0.2">
      <c r="A60" s="47" t="str">
        <f>'Customer Summary'!$C$5</f>
        <v>Walls (Install membrane system)</v>
      </c>
      <c r="C60" s="47" t="str">
        <f>_xlfn.CONCAT(A60," - Labour")</f>
        <v>Walls (Install membrane system) - Labour</v>
      </c>
      <c r="D60" s="48">
        <f>SUM(D44:D58)</f>
        <v>0</v>
      </c>
      <c r="E60" s="48" t="e">
        <f>N60/D60</f>
        <v>#DIV/0!</v>
      </c>
      <c r="F60" s="47" t="s">
        <v>3</v>
      </c>
      <c r="G60" s="47" t="s">
        <v>110</v>
      </c>
      <c r="H60" s="48" t="e">
        <f>((P60-N60)/N60)*100</f>
        <v>#DIV/0!</v>
      </c>
      <c r="I60" s="47" t="s">
        <v>89</v>
      </c>
      <c r="J60" s="47" t="s">
        <v>97</v>
      </c>
      <c r="K60" s="47" t="s">
        <v>90</v>
      </c>
      <c r="L60" s="47" t="str">
        <f>L59</f>
        <v>No</v>
      </c>
      <c r="M60" s="47" t="str">
        <f t="shared" si="4"/>
        <v/>
      </c>
      <c r="N60" s="51">
        <f>SUM(N44:N58)</f>
        <v>0</v>
      </c>
      <c r="O60" s="49" t="str">
        <f t="shared" si="48"/>
        <v>DELETE</v>
      </c>
      <c r="P60" s="51">
        <f>SUM(P44:P58)</f>
        <v>0</v>
      </c>
      <c r="Q60" s="49" t="s">
        <v>90</v>
      </c>
    </row>
    <row r="61" spans="1:17" x14ac:dyDescent="0.2">
      <c r="A61" s="41"/>
      <c r="B61" s="41"/>
      <c r="C61" s="41"/>
      <c r="D61" s="42"/>
      <c r="E61" s="42"/>
      <c r="F61" s="41"/>
      <c r="G61" s="41"/>
      <c r="H61" s="42"/>
      <c r="I61" s="41"/>
      <c r="J61" s="41"/>
      <c r="K61" s="41"/>
      <c r="L61" s="41"/>
      <c r="M61" s="41"/>
      <c r="N61" s="43"/>
      <c r="O61" s="44" t="s">
        <v>166</v>
      </c>
      <c r="P61" s="43"/>
      <c r="Q61" s="43"/>
    </row>
    <row r="62" spans="1:17" x14ac:dyDescent="0.2">
      <c r="A62" t="str">
        <f>'Customer Summary'!$C$6</f>
        <v>Cementitious tanking system</v>
      </c>
      <c r="C62" t="str">
        <f>Costing!B61</f>
        <v>Dubbing out coat (sand/cement/SBR)</v>
      </c>
      <c r="D62" s="30">
        <f>Costing!F61</f>
        <v>0</v>
      </c>
      <c r="E62" s="30">
        <f>Costing!I61</f>
        <v>0</v>
      </c>
      <c r="F62" t="str">
        <f>Costing!G61</f>
        <v>M2</v>
      </c>
      <c r="G62" t="s">
        <v>112</v>
      </c>
      <c r="H62" s="421">
        <f>Costing!J61*100</f>
        <v>30</v>
      </c>
      <c r="I62" t="s">
        <v>89</v>
      </c>
      <c r="J62" t="s">
        <v>99</v>
      </c>
      <c r="K62" t="s">
        <v>90</v>
      </c>
      <c r="L62" t="s">
        <v>108</v>
      </c>
      <c r="M62" t="str">
        <f t="shared" si="4"/>
        <v>Preservation Shop</v>
      </c>
      <c r="N62" s="50">
        <f t="shared" si="5"/>
        <v>0</v>
      </c>
      <c r="O62" s="45" t="s">
        <v>166</v>
      </c>
      <c r="P62" s="422">
        <f t="shared" ref="P62:P71" si="49">N62*(1+(H62/100))</f>
        <v>0</v>
      </c>
      <c r="Q62" s="29" t="s">
        <v>108</v>
      </c>
    </row>
    <row r="63" spans="1:17" x14ac:dyDescent="0.2">
      <c r="A63" t="str">
        <f>'Customer Summary'!$C$6</f>
        <v>Cementitious tanking system</v>
      </c>
      <c r="C63" t="str">
        <f>Costing!B62</f>
        <v>2 coat tanking slurry</v>
      </c>
      <c r="D63" s="30">
        <f>Costing!F62</f>
        <v>0</v>
      </c>
      <c r="E63" s="30">
        <f>Costing!I62</f>
        <v>0</v>
      </c>
      <c r="F63" t="str">
        <f>Costing!G62</f>
        <v>M2</v>
      </c>
      <c r="G63" t="s">
        <v>112</v>
      </c>
      <c r="H63" s="421">
        <f>Costing!J62*100</f>
        <v>30</v>
      </c>
      <c r="I63" t="s">
        <v>89</v>
      </c>
      <c r="J63" t="s">
        <v>99</v>
      </c>
      <c r="K63" t="s">
        <v>90</v>
      </c>
      <c r="L63" t="s">
        <v>108</v>
      </c>
      <c r="M63" t="str">
        <f t="shared" si="4"/>
        <v>Preservation Shop</v>
      </c>
      <c r="N63" s="50">
        <f t="shared" si="5"/>
        <v>0</v>
      </c>
      <c r="O63" s="45" t="s">
        <v>166</v>
      </c>
      <c r="P63" s="422">
        <f t="shared" si="49"/>
        <v>0</v>
      </c>
      <c r="Q63" s="29" t="s">
        <v>108</v>
      </c>
    </row>
    <row r="64" spans="1:17" x14ac:dyDescent="0.2">
      <c r="A64" t="str">
        <f>'Customer Summary'!$C$6</f>
        <v>Cementitious tanking system</v>
      </c>
      <c r="C64" t="str">
        <f>Costing!B63</f>
        <v>Renovating plaster</v>
      </c>
      <c r="D64" s="30">
        <f>Costing!F63</f>
        <v>0</v>
      </c>
      <c r="E64" s="30">
        <f>Costing!I63</f>
        <v>0</v>
      </c>
      <c r="F64" t="str">
        <f>Costing!G63</f>
        <v>M2</v>
      </c>
      <c r="G64" t="s">
        <v>112</v>
      </c>
      <c r="H64" s="421">
        <f>Costing!J63*100</f>
        <v>30</v>
      </c>
      <c r="I64" t="s">
        <v>89</v>
      </c>
      <c r="J64" t="s">
        <v>99</v>
      </c>
      <c r="K64" t="s">
        <v>90</v>
      </c>
      <c r="L64" t="s">
        <v>108</v>
      </c>
      <c r="M64" t="str">
        <f t="shared" si="4"/>
        <v>Preservation Shop</v>
      </c>
      <c r="N64" s="50">
        <f t="shared" si="5"/>
        <v>0</v>
      </c>
      <c r="O64" s="45" t="s">
        <v>166</v>
      </c>
      <c r="P64" s="422">
        <f t="shared" si="49"/>
        <v>0</v>
      </c>
      <c r="Q64" s="29" t="s">
        <v>108</v>
      </c>
    </row>
    <row r="65" spans="1:17" x14ac:dyDescent="0.2">
      <c r="A65" t="str">
        <f>'Customer Summary'!$C$6</f>
        <v>Cementitious tanking system</v>
      </c>
      <c r="C65" t="str">
        <f>Costing!B64</f>
        <v>Wall/floor fillet joint</v>
      </c>
      <c r="D65" s="30">
        <f>Costing!F64</f>
        <v>0</v>
      </c>
      <c r="E65" s="30">
        <f>Costing!I64</f>
        <v>0</v>
      </c>
      <c r="F65" t="str">
        <f>Costing!G64</f>
        <v>LM</v>
      </c>
      <c r="G65" t="s">
        <v>112</v>
      </c>
      <c r="H65" s="421">
        <f>Costing!J64*100</f>
        <v>30</v>
      </c>
      <c r="I65" t="s">
        <v>89</v>
      </c>
      <c r="J65" t="s">
        <v>99</v>
      </c>
      <c r="K65" t="s">
        <v>90</v>
      </c>
      <c r="L65" t="s">
        <v>108</v>
      </c>
      <c r="M65" t="str">
        <f t="shared" si="4"/>
        <v>Preservation Shop</v>
      </c>
      <c r="N65" s="50">
        <f t="shared" si="5"/>
        <v>0</v>
      </c>
      <c r="O65" s="45" t="s">
        <v>166</v>
      </c>
      <c r="P65" s="422">
        <f t="shared" si="49"/>
        <v>0</v>
      </c>
      <c r="Q65" s="29" t="s">
        <v>108</v>
      </c>
    </row>
    <row r="66" spans="1:17" x14ac:dyDescent="0.2">
      <c r="A66" t="str">
        <f>'Customer Summary'!$C$6</f>
        <v>Cementitious tanking system</v>
      </c>
      <c r="C66" t="str">
        <f>Costing!B65</f>
        <v>Difficulty hours (additional hours if required)</v>
      </c>
      <c r="D66" s="30">
        <f>Costing!F65</f>
        <v>0</v>
      </c>
      <c r="E66" s="30">
        <f>Costing!I65</f>
        <v>0</v>
      </c>
      <c r="F66" t="str">
        <f>Costing!G65</f>
        <v>Hours</v>
      </c>
      <c r="G66" t="s">
        <v>112</v>
      </c>
      <c r="H66" s="421">
        <f>Costing!J65*100</f>
        <v>0</v>
      </c>
      <c r="I66" t="s">
        <v>89</v>
      </c>
      <c r="J66" t="s">
        <v>99</v>
      </c>
      <c r="K66" t="s">
        <v>90</v>
      </c>
      <c r="L66" t="s">
        <v>108</v>
      </c>
      <c r="M66" t="str">
        <f t="shared" ref="M66" si="50">IF(J66="MTL","Preservation Shop","")</f>
        <v>Preservation Shop</v>
      </c>
      <c r="N66" s="50">
        <f t="shared" ref="N66" si="51">D66*E66</f>
        <v>0</v>
      </c>
      <c r="O66" s="45" t="s">
        <v>166</v>
      </c>
      <c r="P66" s="422">
        <f t="shared" si="49"/>
        <v>0</v>
      </c>
      <c r="Q66" s="29" t="s">
        <v>108</v>
      </c>
    </row>
    <row r="67" spans="1:17" x14ac:dyDescent="0.2">
      <c r="A67" t="str">
        <f>'Customer Summary'!$C$6</f>
        <v>Cementitious tanking system</v>
      </c>
      <c r="C67" t="str">
        <f>Costing!M61</f>
        <v>Dubbing out coat (sand/cement/SBR)</v>
      </c>
      <c r="D67" s="30">
        <f>Costing!O61</f>
        <v>0</v>
      </c>
      <c r="E67" s="30">
        <f>Costing!Q61</f>
        <v>30.630000000000003</v>
      </c>
      <c r="F67" t="s">
        <v>3</v>
      </c>
      <c r="G67" t="s">
        <v>110</v>
      </c>
      <c r="H67" s="421">
        <f>Costing!R61*100</f>
        <v>100</v>
      </c>
      <c r="I67" t="s">
        <v>89</v>
      </c>
      <c r="J67" t="s">
        <v>97</v>
      </c>
      <c r="K67" t="s">
        <v>90</v>
      </c>
      <c r="L67" t="s">
        <v>108</v>
      </c>
      <c r="M67" t="str">
        <f t="shared" si="4"/>
        <v/>
      </c>
      <c r="N67" s="50">
        <f t="shared" si="5"/>
        <v>0</v>
      </c>
      <c r="O67" s="45" t="s">
        <v>166</v>
      </c>
      <c r="P67" s="422">
        <f t="shared" si="49"/>
        <v>0</v>
      </c>
      <c r="Q67" s="29" t="s">
        <v>108</v>
      </c>
    </row>
    <row r="68" spans="1:17" x14ac:dyDescent="0.2">
      <c r="A68" t="str">
        <f>'Customer Summary'!$C$6</f>
        <v>Cementitious tanking system</v>
      </c>
      <c r="C68" t="str">
        <f>Costing!M62</f>
        <v>2 coat tanking slurry</v>
      </c>
      <c r="D68" s="30">
        <f>Costing!O62</f>
        <v>0</v>
      </c>
      <c r="E68" s="30">
        <f>Costing!Q62</f>
        <v>30.630000000000003</v>
      </c>
      <c r="F68" t="s">
        <v>3</v>
      </c>
      <c r="G68" t="s">
        <v>110</v>
      </c>
      <c r="H68" s="421">
        <f>Costing!R62*100</f>
        <v>100</v>
      </c>
      <c r="I68" t="s">
        <v>89</v>
      </c>
      <c r="J68" t="s">
        <v>97</v>
      </c>
      <c r="K68" t="s">
        <v>90</v>
      </c>
      <c r="L68" t="s">
        <v>108</v>
      </c>
      <c r="M68" t="str">
        <f t="shared" si="4"/>
        <v/>
      </c>
      <c r="N68" s="50">
        <f t="shared" si="5"/>
        <v>0</v>
      </c>
      <c r="O68" s="45" t="s">
        <v>166</v>
      </c>
      <c r="P68" s="422">
        <f t="shared" si="49"/>
        <v>0</v>
      </c>
      <c r="Q68" s="29" t="s">
        <v>108</v>
      </c>
    </row>
    <row r="69" spans="1:17" x14ac:dyDescent="0.2">
      <c r="A69" t="str">
        <f>'Customer Summary'!$C$6</f>
        <v>Cementitious tanking system</v>
      </c>
      <c r="C69" t="str">
        <f>Costing!M63</f>
        <v>Renovating plaster</v>
      </c>
      <c r="D69" s="30">
        <f>Costing!O63</f>
        <v>0</v>
      </c>
      <c r="E69" s="30">
        <f>Costing!Q63</f>
        <v>30.630000000000003</v>
      </c>
      <c r="F69" t="s">
        <v>3</v>
      </c>
      <c r="G69" t="s">
        <v>110</v>
      </c>
      <c r="H69" s="421">
        <f>Costing!R63*100</f>
        <v>100</v>
      </c>
      <c r="I69" t="s">
        <v>89</v>
      </c>
      <c r="J69" t="s">
        <v>97</v>
      </c>
      <c r="K69" t="s">
        <v>90</v>
      </c>
      <c r="L69" t="s">
        <v>108</v>
      </c>
      <c r="M69" t="str">
        <f t="shared" si="4"/>
        <v/>
      </c>
      <c r="N69" s="50">
        <f t="shared" si="5"/>
        <v>0</v>
      </c>
      <c r="O69" s="45" t="s">
        <v>166</v>
      </c>
      <c r="P69" s="422">
        <f t="shared" si="49"/>
        <v>0</v>
      </c>
      <c r="Q69" s="29" t="s">
        <v>108</v>
      </c>
    </row>
    <row r="70" spans="1:17" x14ac:dyDescent="0.2">
      <c r="A70" t="str">
        <f>'Customer Summary'!$C$6</f>
        <v>Cementitious tanking system</v>
      </c>
      <c r="C70" t="str">
        <f>Costing!M64</f>
        <v>Wall/floor fillet joint</v>
      </c>
      <c r="D70" s="30">
        <f>Costing!O64</f>
        <v>0</v>
      </c>
      <c r="E70" s="30">
        <f>Costing!Q64</f>
        <v>30.630000000000003</v>
      </c>
      <c r="F70" t="s">
        <v>3</v>
      </c>
      <c r="G70" t="s">
        <v>110</v>
      </c>
      <c r="H70" s="421">
        <f>Costing!R64*100</f>
        <v>100</v>
      </c>
      <c r="I70" t="s">
        <v>89</v>
      </c>
      <c r="J70" t="s">
        <v>97</v>
      </c>
      <c r="K70" t="s">
        <v>90</v>
      </c>
      <c r="L70" t="s">
        <v>108</v>
      </c>
      <c r="M70" t="str">
        <f t="shared" si="4"/>
        <v/>
      </c>
      <c r="N70" s="50">
        <f t="shared" si="5"/>
        <v>0</v>
      </c>
      <c r="O70" s="45" t="s">
        <v>166</v>
      </c>
      <c r="P70" s="422">
        <f t="shared" si="49"/>
        <v>0</v>
      </c>
      <c r="Q70" s="29" t="s">
        <v>108</v>
      </c>
    </row>
    <row r="71" spans="1:17" x14ac:dyDescent="0.2">
      <c r="A71" t="str">
        <f>'Customer Summary'!$C$6</f>
        <v>Cementitious tanking system</v>
      </c>
      <c r="C71" t="str">
        <f>Costing!M65</f>
        <v>Difficulty hours (additional hours if required)</v>
      </c>
      <c r="D71" s="30">
        <f>Costing!O65</f>
        <v>0</v>
      </c>
      <c r="E71" s="30">
        <f>Costing!Q65</f>
        <v>30.630000000000003</v>
      </c>
      <c r="F71" t="s">
        <v>3</v>
      </c>
      <c r="G71" t="s">
        <v>110</v>
      </c>
      <c r="H71" s="421">
        <f>Costing!R65*100</f>
        <v>100</v>
      </c>
      <c r="I71" t="s">
        <v>89</v>
      </c>
      <c r="J71" t="s">
        <v>97</v>
      </c>
      <c r="K71" t="s">
        <v>90</v>
      </c>
      <c r="L71" t="s">
        <v>108</v>
      </c>
      <c r="M71" t="str">
        <f t="shared" ref="M71" si="52">IF(J71="MTL","Preservation Shop","")</f>
        <v/>
      </c>
      <c r="N71" s="50">
        <f t="shared" ref="N71" si="53">D71*E71</f>
        <v>0</v>
      </c>
      <c r="O71" s="45" t="s">
        <v>166</v>
      </c>
      <c r="P71" s="422">
        <f t="shared" si="49"/>
        <v>0</v>
      </c>
      <c r="Q71" s="29" t="s">
        <v>108</v>
      </c>
    </row>
    <row r="72" spans="1:17" s="47" customFormat="1" x14ac:dyDescent="0.2">
      <c r="A72" s="47" t="str">
        <f>'Customer Summary'!$C$6</f>
        <v>Cementitious tanking system</v>
      </c>
      <c r="C72" s="47" t="s">
        <v>167</v>
      </c>
      <c r="D72" s="48">
        <v>1</v>
      </c>
      <c r="E72" s="48">
        <f>N72</f>
        <v>0</v>
      </c>
      <c r="F72" s="47" t="s">
        <v>165</v>
      </c>
      <c r="G72" s="47" t="s">
        <v>112</v>
      </c>
      <c r="H72" s="48" t="e">
        <f>((P72-N72)/N72)*100</f>
        <v>#DIV/0!</v>
      </c>
      <c r="I72" s="47" t="s">
        <v>89</v>
      </c>
      <c r="J72" s="47" t="s">
        <v>99</v>
      </c>
      <c r="K72" s="47" t="s">
        <v>90</v>
      </c>
      <c r="L72" s="47" t="str">
        <f>'Customer Summary'!D6</f>
        <v>No</v>
      </c>
      <c r="M72" s="47" t="str">
        <f t="shared" ref="M72:M73" si="54">IF(J72="MTL","Preservation Shop","")</f>
        <v>Preservation Shop</v>
      </c>
      <c r="N72" s="51">
        <f>SUM(N62:N66)</f>
        <v>0</v>
      </c>
      <c r="O72" s="49" t="str">
        <f t="shared" ref="O72" si="55">IF(N72=0,"DELETE","LEAVE")</f>
        <v>DELETE</v>
      </c>
      <c r="P72" s="51">
        <f>SUM(P62:P66)</f>
        <v>0</v>
      </c>
      <c r="Q72" s="49" t="s">
        <v>90</v>
      </c>
    </row>
    <row r="73" spans="1:17" s="47" customFormat="1" x14ac:dyDescent="0.2">
      <c r="A73" s="47" t="str">
        <f>'Customer Summary'!$C$6</f>
        <v>Cementitious tanking system</v>
      </c>
      <c r="C73" s="47" t="s">
        <v>168</v>
      </c>
      <c r="D73" s="48">
        <f>SUM(D67:D71)</f>
        <v>0</v>
      </c>
      <c r="E73" s="48" t="e">
        <f>N73/D73</f>
        <v>#DIV/0!</v>
      </c>
      <c r="F73" s="47" t="s">
        <v>3</v>
      </c>
      <c r="G73" s="47" t="s">
        <v>110</v>
      </c>
      <c r="H73" s="48" t="e">
        <f>((P73-N73)/N73)*100</f>
        <v>#DIV/0!</v>
      </c>
      <c r="I73" s="47" t="s">
        <v>89</v>
      </c>
      <c r="J73" s="47" t="s">
        <v>97</v>
      </c>
      <c r="K73" s="47" t="s">
        <v>90</v>
      </c>
      <c r="L73" s="47" t="str">
        <f>L72</f>
        <v>No</v>
      </c>
      <c r="M73" s="47" t="str">
        <f t="shared" si="54"/>
        <v/>
      </c>
      <c r="N73" s="51">
        <f>SUM(N67:N71)</f>
        <v>0</v>
      </c>
      <c r="O73" s="49" t="str">
        <f>IF(N73=0,"DELETE","LEAVE")</f>
        <v>DELETE</v>
      </c>
      <c r="P73" s="51">
        <f>SUM(P67:P71)</f>
        <v>0</v>
      </c>
      <c r="Q73" s="49" t="s">
        <v>90</v>
      </c>
    </row>
    <row r="74" spans="1:17" x14ac:dyDescent="0.2">
      <c r="A74" s="41"/>
      <c r="B74" s="41"/>
      <c r="C74" s="41"/>
      <c r="D74" s="42"/>
      <c r="E74" s="42"/>
      <c r="F74" s="41"/>
      <c r="G74" s="41"/>
      <c r="H74" s="42"/>
      <c r="I74" s="41"/>
      <c r="J74" s="41"/>
      <c r="K74" s="41"/>
      <c r="L74" s="41"/>
      <c r="M74" s="41"/>
      <c r="N74" s="43"/>
      <c r="O74" s="44" t="s">
        <v>166</v>
      </c>
      <c r="P74" s="43"/>
      <c r="Q74" s="43"/>
    </row>
    <row r="75" spans="1:17" x14ac:dyDescent="0.2">
      <c r="A75" t="str">
        <f>'Customer Summary'!$C$7</f>
        <v xml:space="preserve">Floor - Liquid Resin floor Membranes </v>
      </c>
      <c r="C75" t="str">
        <f>Costing!B69</f>
        <v>EP40 2 Pack resin Primer</v>
      </c>
      <c r="D75" s="30">
        <f>Costing!F69</f>
        <v>0</v>
      </c>
      <c r="E75" s="30">
        <f>Costing!I69</f>
        <v>0</v>
      </c>
      <c r="F75" t="s">
        <v>119</v>
      </c>
      <c r="G75" t="s">
        <v>112</v>
      </c>
      <c r="H75" s="421">
        <f>Costing!J69*100</f>
        <v>30</v>
      </c>
      <c r="I75" t="s">
        <v>89</v>
      </c>
      <c r="J75" t="s">
        <v>99</v>
      </c>
      <c r="K75" t="s">
        <v>90</v>
      </c>
      <c r="L75" t="s">
        <v>108</v>
      </c>
      <c r="M75" t="str">
        <f t="shared" si="4"/>
        <v>Preservation Shop</v>
      </c>
      <c r="N75" s="50">
        <f t="shared" si="5"/>
        <v>0</v>
      </c>
      <c r="O75" s="45" t="s">
        <v>166</v>
      </c>
      <c r="P75" s="422">
        <f t="shared" ref="P75:P84" si="56">N75*(1+(H75/100))</f>
        <v>0</v>
      </c>
      <c r="Q75" s="29" t="s">
        <v>108</v>
      </c>
    </row>
    <row r="76" spans="1:17" x14ac:dyDescent="0.2">
      <c r="A76" t="str">
        <f>'Customer Summary'!$C$7</f>
        <v xml:space="preserve">Floor - Liquid Resin floor Membranes </v>
      </c>
      <c r="C76" t="str">
        <f>Costing!B70</f>
        <v>EP40 2 Pack resin top coat</v>
      </c>
      <c r="D76" s="30">
        <f>Costing!F70</f>
        <v>0</v>
      </c>
      <c r="E76" s="30">
        <f>Costing!I70</f>
        <v>0</v>
      </c>
      <c r="F76" t="s">
        <v>119</v>
      </c>
      <c r="G76" t="s">
        <v>112</v>
      </c>
      <c r="H76" s="421">
        <f>Costing!J70*100</f>
        <v>30</v>
      </c>
      <c r="I76" t="s">
        <v>89</v>
      </c>
      <c r="J76" t="s">
        <v>99</v>
      </c>
      <c r="K76" t="s">
        <v>90</v>
      </c>
      <c r="L76" t="s">
        <v>108</v>
      </c>
      <c r="M76" t="str">
        <f t="shared" si="4"/>
        <v>Preservation Shop</v>
      </c>
      <c r="N76" s="50">
        <f t="shared" si="5"/>
        <v>0</v>
      </c>
      <c r="O76" s="45" t="s">
        <v>166</v>
      </c>
      <c r="P76" s="422">
        <f t="shared" si="56"/>
        <v>0</v>
      </c>
      <c r="Q76" s="29" t="s">
        <v>108</v>
      </c>
    </row>
    <row r="77" spans="1:17" x14ac:dyDescent="0.2">
      <c r="A77" t="str">
        <f>'Customer Summary'!$C$7</f>
        <v xml:space="preserve">Floor - Liquid Resin floor Membranes </v>
      </c>
      <c r="C77" t="str">
        <f>Costing!B71</f>
        <v>Wall/floor fillet joint</v>
      </c>
      <c r="D77" s="30">
        <f>Costing!F71</f>
        <v>0</v>
      </c>
      <c r="E77" s="30">
        <f>Costing!I71</f>
        <v>0</v>
      </c>
      <c r="F77" t="s">
        <v>119</v>
      </c>
      <c r="G77" t="s">
        <v>112</v>
      </c>
      <c r="H77" s="421">
        <f>Costing!J71*100</f>
        <v>30</v>
      </c>
      <c r="I77" t="s">
        <v>89</v>
      </c>
      <c r="J77" t="s">
        <v>99</v>
      </c>
      <c r="K77" t="s">
        <v>90</v>
      </c>
      <c r="L77" t="s">
        <v>108</v>
      </c>
      <c r="M77" t="str">
        <f t="shared" ref="M77" si="57">IF(J77="MTL","Preservation Shop","")</f>
        <v>Preservation Shop</v>
      </c>
      <c r="N77" s="50">
        <f t="shared" ref="N77" si="58">D77*E77</f>
        <v>0</v>
      </c>
      <c r="O77" s="45" t="s">
        <v>166</v>
      </c>
      <c r="P77" s="422">
        <f t="shared" si="56"/>
        <v>0</v>
      </c>
      <c r="Q77" s="29" t="s">
        <v>108</v>
      </c>
    </row>
    <row r="78" spans="1:17" x14ac:dyDescent="0.2">
      <c r="A78" t="str">
        <f>'Customer Summary'!$C$7</f>
        <v xml:space="preserve">Floor - Liquid Resin floor Membranes </v>
      </c>
      <c r="C78" t="str">
        <f>Costing!B72</f>
        <v>Grip grit</v>
      </c>
      <c r="D78" s="30">
        <f>Costing!F72</f>
        <v>0</v>
      </c>
      <c r="E78" s="30">
        <f>Costing!I72</f>
        <v>0</v>
      </c>
      <c r="F78" t="s">
        <v>119</v>
      </c>
      <c r="G78" t="s">
        <v>112</v>
      </c>
      <c r="H78" s="421">
        <f>Costing!J72*100</f>
        <v>30</v>
      </c>
      <c r="I78" t="s">
        <v>89</v>
      </c>
      <c r="J78" t="s">
        <v>99</v>
      </c>
      <c r="K78" t="s">
        <v>90</v>
      </c>
      <c r="L78" t="s">
        <v>108</v>
      </c>
      <c r="M78" t="str">
        <f t="shared" si="4"/>
        <v>Preservation Shop</v>
      </c>
      <c r="N78" s="50">
        <f t="shared" si="5"/>
        <v>0</v>
      </c>
      <c r="O78" s="45" t="s">
        <v>166</v>
      </c>
      <c r="P78" s="422">
        <f t="shared" si="56"/>
        <v>0</v>
      </c>
      <c r="Q78" s="29" t="s">
        <v>108</v>
      </c>
    </row>
    <row r="79" spans="1:17" x14ac:dyDescent="0.2">
      <c r="A79" t="str">
        <f>'Customer Summary'!$C$7</f>
        <v xml:space="preserve">Floor - Liquid Resin floor Membranes </v>
      </c>
      <c r="C79" t="str">
        <f>Costing!B73</f>
        <v>Difficulty hours (additional hours if required)</v>
      </c>
      <c r="D79" s="30">
        <f>Costing!F73</f>
        <v>0</v>
      </c>
      <c r="E79" s="30">
        <f>Costing!I73</f>
        <v>0</v>
      </c>
      <c r="F79" t="s">
        <v>119</v>
      </c>
      <c r="G79" t="s">
        <v>112</v>
      </c>
      <c r="H79" s="421">
        <f>Costing!J73*100</f>
        <v>0</v>
      </c>
      <c r="I79" t="s">
        <v>89</v>
      </c>
      <c r="J79" t="s">
        <v>99</v>
      </c>
      <c r="K79" t="s">
        <v>90</v>
      </c>
      <c r="L79" t="s">
        <v>108</v>
      </c>
      <c r="M79" t="str">
        <f t="shared" ref="M79" si="59">IF(J79="MTL","Preservation Shop","")</f>
        <v>Preservation Shop</v>
      </c>
      <c r="N79" s="50">
        <f t="shared" ref="N79" si="60">D79*E79</f>
        <v>0</v>
      </c>
      <c r="O79" s="45" t="s">
        <v>166</v>
      </c>
      <c r="P79" s="422">
        <f t="shared" si="56"/>
        <v>0</v>
      </c>
      <c r="Q79" s="29" t="s">
        <v>108</v>
      </c>
    </row>
    <row r="80" spans="1:17" x14ac:dyDescent="0.2">
      <c r="A80" t="str">
        <f>'Customer Summary'!$C$7</f>
        <v xml:space="preserve">Floor - Liquid Resin floor Membranes </v>
      </c>
      <c r="C80" t="str">
        <f>Costing!M69</f>
        <v>EP40 2 Pack resin Primer</v>
      </c>
      <c r="D80" s="30">
        <f>Costing!O69</f>
        <v>0</v>
      </c>
      <c r="E80" s="30">
        <f>Costing!Q69</f>
        <v>30.630000000000003</v>
      </c>
      <c r="F80" t="s">
        <v>3</v>
      </c>
      <c r="G80" t="s">
        <v>110</v>
      </c>
      <c r="H80" s="421">
        <f>Costing!R69*100</f>
        <v>100</v>
      </c>
      <c r="I80" t="s">
        <v>89</v>
      </c>
      <c r="J80" t="s">
        <v>97</v>
      </c>
      <c r="K80" t="s">
        <v>90</v>
      </c>
      <c r="L80" t="s">
        <v>108</v>
      </c>
      <c r="M80" t="str">
        <f t="shared" si="4"/>
        <v/>
      </c>
      <c r="N80" s="50">
        <f t="shared" si="5"/>
        <v>0</v>
      </c>
      <c r="O80" s="45" t="s">
        <v>166</v>
      </c>
      <c r="P80" s="422">
        <f t="shared" si="56"/>
        <v>0</v>
      </c>
      <c r="Q80" s="29" t="s">
        <v>108</v>
      </c>
    </row>
    <row r="81" spans="1:17" x14ac:dyDescent="0.2">
      <c r="A81" t="str">
        <f>'Customer Summary'!$C$7</f>
        <v xml:space="preserve">Floor - Liquid Resin floor Membranes </v>
      </c>
      <c r="C81" t="str">
        <f>Costing!M70</f>
        <v>EP40 2 Pack resin top coat</v>
      </c>
      <c r="D81" s="30">
        <f>Costing!O70</f>
        <v>0</v>
      </c>
      <c r="E81" s="30">
        <f>Costing!Q70</f>
        <v>30.630000000000003</v>
      </c>
      <c r="F81" t="s">
        <v>3</v>
      </c>
      <c r="G81" t="s">
        <v>110</v>
      </c>
      <c r="H81" s="421">
        <f>Costing!R70*100</f>
        <v>100</v>
      </c>
      <c r="I81" t="s">
        <v>89</v>
      </c>
      <c r="J81" t="s">
        <v>97</v>
      </c>
      <c r="K81" t="s">
        <v>90</v>
      </c>
      <c r="L81" t="s">
        <v>108</v>
      </c>
      <c r="M81" t="str">
        <f t="shared" si="4"/>
        <v/>
      </c>
      <c r="N81" s="50">
        <f t="shared" si="5"/>
        <v>0</v>
      </c>
      <c r="O81" s="45" t="s">
        <v>166</v>
      </c>
      <c r="P81" s="422">
        <f t="shared" si="56"/>
        <v>0</v>
      </c>
      <c r="Q81" s="29" t="s">
        <v>108</v>
      </c>
    </row>
    <row r="82" spans="1:17" x14ac:dyDescent="0.2">
      <c r="A82" t="str">
        <f>'Customer Summary'!$C$7</f>
        <v xml:space="preserve">Floor - Liquid Resin floor Membranes </v>
      </c>
      <c r="C82" t="str">
        <f>Costing!M71</f>
        <v>Wall/floor fillet joint</v>
      </c>
      <c r="D82" s="30">
        <f>Costing!O71</f>
        <v>0</v>
      </c>
      <c r="E82" s="30">
        <f>Costing!Q71</f>
        <v>30.630000000000003</v>
      </c>
      <c r="F82" t="s">
        <v>3</v>
      </c>
      <c r="G82" t="s">
        <v>110</v>
      </c>
      <c r="H82" s="421">
        <f>Costing!R71*100</f>
        <v>100</v>
      </c>
      <c r="I82" t="s">
        <v>89</v>
      </c>
      <c r="J82" t="s">
        <v>97</v>
      </c>
      <c r="K82" t="s">
        <v>90</v>
      </c>
      <c r="L82" t="s">
        <v>108</v>
      </c>
      <c r="M82" t="str">
        <f t="shared" ref="M82" si="61">IF(J82="MTL","Preservation Shop","")</f>
        <v/>
      </c>
      <c r="N82" s="50">
        <f t="shared" ref="N82" si="62">D82*E82</f>
        <v>0</v>
      </c>
      <c r="O82" s="45" t="s">
        <v>166</v>
      </c>
      <c r="P82" s="422">
        <f t="shared" si="56"/>
        <v>0</v>
      </c>
      <c r="Q82" s="29" t="s">
        <v>108</v>
      </c>
    </row>
    <row r="83" spans="1:17" x14ac:dyDescent="0.2">
      <c r="A83" t="str">
        <f>'Customer Summary'!$C$7</f>
        <v xml:space="preserve">Floor - Liquid Resin floor Membranes </v>
      </c>
      <c r="C83" t="str">
        <f>Costing!M72</f>
        <v>Grip grit</v>
      </c>
      <c r="D83" s="30">
        <f>Costing!O72</f>
        <v>0</v>
      </c>
      <c r="E83" s="30">
        <f>Costing!Q72</f>
        <v>30.630000000000003</v>
      </c>
      <c r="F83" t="s">
        <v>3</v>
      </c>
      <c r="G83" t="s">
        <v>110</v>
      </c>
      <c r="H83" s="421">
        <f>Costing!R72*100</f>
        <v>100</v>
      </c>
      <c r="I83" t="s">
        <v>89</v>
      </c>
      <c r="J83" t="s">
        <v>97</v>
      </c>
      <c r="K83" t="s">
        <v>90</v>
      </c>
      <c r="L83" t="s">
        <v>108</v>
      </c>
      <c r="M83" t="str">
        <f t="shared" si="4"/>
        <v/>
      </c>
      <c r="N83" s="50">
        <f t="shared" si="5"/>
        <v>0</v>
      </c>
      <c r="O83" s="45" t="s">
        <v>166</v>
      </c>
      <c r="P83" s="422">
        <f t="shared" si="56"/>
        <v>0</v>
      </c>
      <c r="Q83" s="29" t="s">
        <v>108</v>
      </c>
    </row>
    <row r="84" spans="1:17" x14ac:dyDescent="0.2">
      <c r="A84" t="str">
        <f>'Customer Summary'!$C$7</f>
        <v xml:space="preserve">Floor - Liquid Resin floor Membranes </v>
      </c>
      <c r="C84" t="str">
        <f>Costing!M73</f>
        <v>Difficulty hours (additional hours if required)</v>
      </c>
      <c r="D84" s="30">
        <f>Costing!O73</f>
        <v>0</v>
      </c>
      <c r="E84" s="30">
        <f>Costing!Q73</f>
        <v>30.630000000000003</v>
      </c>
      <c r="F84" t="s">
        <v>3</v>
      </c>
      <c r="G84" t="s">
        <v>110</v>
      </c>
      <c r="H84" s="421">
        <f>Costing!R73*100</f>
        <v>100</v>
      </c>
      <c r="I84" t="s">
        <v>89</v>
      </c>
      <c r="J84" t="s">
        <v>97</v>
      </c>
      <c r="K84" t="s">
        <v>90</v>
      </c>
      <c r="L84" t="s">
        <v>108</v>
      </c>
      <c r="M84" t="str">
        <f t="shared" ref="M84" si="63">IF(J84="MTL","Preservation Shop","")</f>
        <v/>
      </c>
      <c r="N84" s="50">
        <f t="shared" ref="N84" si="64">D84*E84</f>
        <v>0</v>
      </c>
      <c r="O84" s="45" t="s">
        <v>166</v>
      </c>
      <c r="P84" s="422">
        <f t="shared" si="56"/>
        <v>0</v>
      </c>
      <c r="Q84" s="29" t="s">
        <v>108</v>
      </c>
    </row>
    <row r="85" spans="1:17" s="47" customFormat="1" x14ac:dyDescent="0.2">
      <c r="A85" s="47" t="str">
        <f>'Customer Summary'!$C$7</f>
        <v xml:space="preserve">Floor - Liquid Resin floor Membranes </v>
      </c>
      <c r="C85" s="47" t="str">
        <f>_xlfn.CONCAT(A85," - Materials")</f>
        <v>Floor - Liquid Resin floor Membranes  - Materials</v>
      </c>
      <c r="D85" s="48">
        <v>1</v>
      </c>
      <c r="E85" s="48">
        <f>N85</f>
        <v>0</v>
      </c>
      <c r="F85" s="47" t="s">
        <v>165</v>
      </c>
      <c r="G85" s="47" t="s">
        <v>112</v>
      </c>
      <c r="H85" s="48" t="e">
        <f>((P85-N85)/N85)*100</f>
        <v>#DIV/0!</v>
      </c>
      <c r="I85" s="47" t="s">
        <v>89</v>
      </c>
      <c r="J85" s="47" t="s">
        <v>99</v>
      </c>
      <c r="K85" s="47" t="s">
        <v>90</v>
      </c>
      <c r="L85" s="47" t="str">
        <f>'Customer Summary'!D7</f>
        <v>No</v>
      </c>
      <c r="M85" s="47" t="str">
        <f t="shared" si="4"/>
        <v>Preservation Shop</v>
      </c>
      <c r="N85" s="51">
        <f>SUM(N75:N79)</f>
        <v>0</v>
      </c>
      <c r="O85" s="49" t="str">
        <f t="shared" ref="O85" si="65">IF(N85=0,"DELETE","LEAVE")</f>
        <v>DELETE</v>
      </c>
      <c r="P85" s="51">
        <f>SUM(P75:P79)</f>
        <v>0</v>
      </c>
      <c r="Q85" s="49" t="s">
        <v>90</v>
      </c>
    </row>
    <row r="86" spans="1:17" s="47" customFormat="1" x14ac:dyDescent="0.2">
      <c r="A86" s="47" t="str">
        <f>'Customer Summary'!$C$7</f>
        <v xml:space="preserve">Floor - Liquid Resin floor Membranes </v>
      </c>
      <c r="C86" s="47" t="str">
        <f>_xlfn.CONCAT(A86," - Labour")</f>
        <v>Floor - Liquid Resin floor Membranes  - Labour</v>
      </c>
      <c r="D86" s="48">
        <f>SUM(D80:D84)</f>
        <v>0</v>
      </c>
      <c r="E86" s="48" t="e">
        <f>N86/D86</f>
        <v>#DIV/0!</v>
      </c>
      <c r="F86" s="47" t="s">
        <v>3</v>
      </c>
      <c r="G86" s="47" t="s">
        <v>110</v>
      </c>
      <c r="H86" s="48" t="e">
        <f>((P86-N86)/N86)*100</f>
        <v>#DIV/0!</v>
      </c>
      <c r="I86" s="47" t="s">
        <v>89</v>
      </c>
      <c r="J86" s="47" t="s">
        <v>97</v>
      </c>
      <c r="K86" s="47" t="s">
        <v>90</v>
      </c>
      <c r="L86" s="47" t="str">
        <f>L85</f>
        <v>No</v>
      </c>
      <c r="M86" s="47" t="str">
        <f t="shared" si="4"/>
        <v/>
      </c>
      <c r="N86" s="51">
        <f>SUM(N80:N84)</f>
        <v>0</v>
      </c>
      <c r="O86" s="49" t="str">
        <f>IF(N86=0,"DELETE","LEAVE")</f>
        <v>DELETE</v>
      </c>
      <c r="P86" s="51">
        <f>SUM(P80:P84)</f>
        <v>0</v>
      </c>
      <c r="Q86" s="49" t="s">
        <v>90</v>
      </c>
    </row>
    <row r="87" spans="1:17" x14ac:dyDescent="0.2">
      <c r="A87" s="41"/>
      <c r="B87" s="41"/>
      <c r="C87" s="41"/>
      <c r="D87" s="42"/>
      <c r="E87" s="42"/>
      <c r="F87" s="41"/>
      <c r="G87" s="41"/>
      <c r="H87" s="42"/>
      <c r="I87" s="41"/>
      <c r="J87" s="41"/>
      <c r="K87" s="41"/>
      <c r="L87" s="41"/>
      <c r="M87" s="41"/>
      <c r="N87" s="43"/>
      <c r="O87" s="44" t="s">
        <v>166</v>
      </c>
      <c r="P87" s="43"/>
      <c r="Q87" s="43"/>
    </row>
    <row r="88" spans="1:17" x14ac:dyDescent="0.2">
      <c r="A88" t="str">
        <f>'Customer Summary'!$C$8</f>
        <v>Plastering &amp; finishing</v>
      </c>
      <c r="C88" t="str">
        <f>Costing!B77</f>
        <v>Construct stud wall to perimeter</v>
      </c>
      <c r="D88" s="30">
        <f>Costing!F77</f>
        <v>0</v>
      </c>
      <c r="E88" s="30">
        <f>Costing!I77</f>
        <v>14.000000000000002</v>
      </c>
      <c r="F88" t="str">
        <f>Costing!G77</f>
        <v>M2</v>
      </c>
      <c r="G88" t="s">
        <v>112</v>
      </c>
      <c r="H88" s="421">
        <f>Costing!J77*100</f>
        <v>30</v>
      </c>
      <c r="I88" t="s">
        <v>89</v>
      </c>
      <c r="J88" t="s">
        <v>99</v>
      </c>
      <c r="K88" t="s">
        <v>90</v>
      </c>
      <c r="L88" t="s">
        <v>108</v>
      </c>
      <c r="M88" t="str">
        <f t="shared" si="4"/>
        <v>Preservation Shop</v>
      </c>
      <c r="N88" s="50">
        <f t="shared" si="5"/>
        <v>0</v>
      </c>
      <c r="O88" s="45" t="s">
        <v>166</v>
      </c>
      <c r="P88" s="422">
        <f t="shared" ref="P88:P101" si="66">N88*(1+(H88/100))</f>
        <v>0</v>
      </c>
      <c r="Q88" s="29" t="s">
        <v>108</v>
      </c>
    </row>
    <row r="89" spans="1:17" x14ac:dyDescent="0.2">
      <c r="A89" t="str">
        <f>'Customer Summary'!$C$8</f>
        <v>Plastering &amp; finishing</v>
      </c>
      <c r="C89" t="str">
        <f>Costing!B78</f>
        <v>Plaster boarding (inc dab/screws)</v>
      </c>
      <c r="D89" s="30">
        <f>Costing!F78</f>
        <v>0</v>
      </c>
      <c r="E89" s="30">
        <f>Costing!I78</f>
        <v>9.7559198542805099</v>
      </c>
      <c r="F89" t="str">
        <f>Costing!G78</f>
        <v>M2</v>
      </c>
      <c r="G89" t="s">
        <v>112</v>
      </c>
      <c r="H89" s="421">
        <f>Costing!J78*100</f>
        <v>30</v>
      </c>
      <c r="I89" t="s">
        <v>89</v>
      </c>
      <c r="J89" t="s">
        <v>99</v>
      </c>
      <c r="K89" t="s">
        <v>90</v>
      </c>
      <c r="L89" t="s">
        <v>108</v>
      </c>
      <c r="M89" t="str">
        <f t="shared" si="4"/>
        <v>Preservation Shop</v>
      </c>
      <c r="N89" s="50">
        <f t="shared" si="5"/>
        <v>0</v>
      </c>
      <c r="O89" s="45" t="s">
        <v>166</v>
      </c>
      <c r="P89" s="422">
        <f t="shared" si="66"/>
        <v>0</v>
      </c>
      <c r="Q89" s="29" t="s">
        <v>108</v>
      </c>
    </row>
    <row r="90" spans="1:17" x14ac:dyDescent="0.2">
      <c r="A90" t="str">
        <f>'Customer Summary'!$C$8</f>
        <v>Plastering &amp; finishing</v>
      </c>
      <c r="C90" t="str">
        <f>Costing!B80</f>
        <v>Skimming walls (multi finish plaster)</v>
      </c>
      <c r="D90" s="30">
        <f>Costing!F80</f>
        <v>0</v>
      </c>
      <c r="E90" s="30">
        <f>Costing!I80</f>
        <v>0</v>
      </c>
      <c r="F90" t="str">
        <f>Costing!G80</f>
        <v>M2</v>
      </c>
      <c r="G90" t="s">
        <v>112</v>
      </c>
      <c r="H90" s="421">
        <f>Costing!J80*100</f>
        <v>30</v>
      </c>
      <c r="I90" t="s">
        <v>89</v>
      </c>
      <c r="J90" t="s">
        <v>99</v>
      </c>
      <c r="K90" t="s">
        <v>90</v>
      </c>
      <c r="L90" t="s">
        <v>108</v>
      </c>
      <c r="M90" t="str">
        <f t="shared" si="4"/>
        <v>Preservation Shop</v>
      </c>
      <c r="N90" s="50">
        <f t="shared" si="5"/>
        <v>0</v>
      </c>
      <c r="O90" s="45" t="s">
        <v>166</v>
      </c>
      <c r="P90" s="422">
        <f t="shared" si="66"/>
        <v>0</v>
      </c>
      <c r="Q90" s="29" t="s">
        <v>108</v>
      </c>
    </row>
    <row r="91" spans="1:17" x14ac:dyDescent="0.2">
      <c r="A91" t="str">
        <f>'Customer Summary'!$C$8</f>
        <v>Plastering &amp; finishing</v>
      </c>
      <c r="C91" t="str">
        <f>Costing!B81</f>
        <v>Plastering Stop Bead - 3m length</v>
      </c>
      <c r="D91" s="30">
        <f>Costing!F81</f>
        <v>0</v>
      </c>
      <c r="E91" s="30">
        <f>Costing!I81</f>
        <v>1.1000000000000001</v>
      </c>
      <c r="F91" t="str">
        <f>Costing!G81</f>
        <v>Each</v>
      </c>
      <c r="G91" t="s">
        <v>112</v>
      </c>
      <c r="H91" s="421">
        <f>Costing!J81*100</f>
        <v>30</v>
      </c>
      <c r="I91" t="s">
        <v>89</v>
      </c>
      <c r="J91" t="s">
        <v>99</v>
      </c>
      <c r="K91" t="s">
        <v>90</v>
      </c>
      <c r="L91" t="s">
        <v>108</v>
      </c>
      <c r="M91" t="str">
        <f t="shared" ref="M91" si="67">IF(J91="MTL","Preservation Shop","")</f>
        <v>Preservation Shop</v>
      </c>
      <c r="N91" s="50">
        <f t="shared" ref="N91" si="68">D91*E91</f>
        <v>0</v>
      </c>
      <c r="O91" s="45" t="s">
        <v>166</v>
      </c>
      <c r="P91" s="422">
        <f t="shared" si="66"/>
        <v>0</v>
      </c>
      <c r="Q91" s="29" t="s">
        <v>108</v>
      </c>
    </row>
    <row r="92" spans="1:17" x14ac:dyDescent="0.2">
      <c r="A92" t="str">
        <f>'Customer Summary'!$C$8</f>
        <v>Plastering &amp; finishing</v>
      </c>
      <c r="C92" t="str">
        <f>Costing!B82</f>
        <v>Plastering Thin Coat Angle/Corner Bead - 2.4m length</v>
      </c>
      <c r="D92" s="30">
        <f>Costing!F82</f>
        <v>0</v>
      </c>
      <c r="E92" s="30">
        <f>Costing!I82</f>
        <v>1.8260000000000003</v>
      </c>
      <c r="F92" t="str">
        <f>Costing!G82</f>
        <v>Each</v>
      </c>
      <c r="G92" t="s">
        <v>112</v>
      </c>
      <c r="H92" s="421">
        <f>Costing!J82*100</f>
        <v>30</v>
      </c>
      <c r="I92" t="s">
        <v>89</v>
      </c>
      <c r="J92" t="s">
        <v>99</v>
      </c>
      <c r="K92" t="s">
        <v>90</v>
      </c>
      <c r="L92" t="s">
        <v>108</v>
      </c>
      <c r="M92" t="str">
        <f t="shared" ref="M92" si="69">IF(J92="MTL","Preservation Shop","")</f>
        <v>Preservation Shop</v>
      </c>
      <c r="N92" s="50">
        <f t="shared" ref="N92" si="70">D92*E92</f>
        <v>0</v>
      </c>
      <c r="O92" s="45" t="s">
        <v>166</v>
      </c>
      <c r="P92" s="422">
        <f t="shared" si="66"/>
        <v>0</v>
      </c>
      <c r="Q92" s="29" t="s">
        <v>108</v>
      </c>
    </row>
    <row r="93" spans="1:17" x14ac:dyDescent="0.2">
      <c r="A93" t="str">
        <f>'Customer Summary'!$C$8</f>
        <v>Plastering &amp; finishing</v>
      </c>
      <c r="C93" t="str">
        <f>Costing!B83</f>
        <v>Plastering Thin Coat Angle/Corner Bead - 3m length</v>
      </c>
      <c r="D93" s="30">
        <f>Costing!F83</f>
        <v>0</v>
      </c>
      <c r="E93" s="30">
        <f>Costing!I83</f>
        <v>2.75</v>
      </c>
      <c r="F93" t="str">
        <f>Costing!G83</f>
        <v>Each</v>
      </c>
      <c r="G93" t="s">
        <v>112</v>
      </c>
      <c r="H93" s="421">
        <f>Costing!J83*100</f>
        <v>30</v>
      </c>
      <c r="I93" t="s">
        <v>89</v>
      </c>
      <c r="J93" t="s">
        <v>99</v>
      </c>
      <c r="K93" t="s">
        <v>90</v>
      </c>
      <c r="L93" t="s">
        <v>108</v>
      </c>
      <c r="M93" t="str">
        <f t="shared" ref="M93" si="71">IF(J93="MTL","Preservation Shop","")</f>
        <v>Preservation Shop</v>
      </c>
      <c r="N93" s="50">
        <f t="shared" ref="N93" si="72">D93*E93</f>
        <v>0</v>
      </c>
      <c r="O93" s="45" t="s">
        <v>166</v>
      </c>
      <c r="P93" s="422">
        <f t="shared" si="66"/>
        <v>0</v>
      </c>
      <c r="Q93" s="29" t="s">
        <v>108</v>
      </c>
    </row>
    <row r="94" spans="1:17" x14ac:dyDescent="0.2">
      <c r="A94" t="str">
        <f>'Customer Summary'!$C$8</f>
        <v>Plastering &amp; finishing</v>
      </c>
      <c r="C94" t="str">
        <f>Costing!B84</f>
        <v>Difficulty hours (fireplace, corners etc)</v>
      </c>
      <c r="D94" s="30">
        <v>0</v>
      </c>
      <c r="E94" s="30">
        <f>Costing!I84</f>
        <v>0</v>
      </c>
      <c r="F94" t="str">
        <f>Costing!G84</f>
        <v>Hours</v>
      </c>
      <c r="G94" t="s">
        <v>112</v>
      </c>
      <c r="H94" s="421">
        <f>Costing!J84*100</f>
        <v>0</v>
      </c>
      <c r="I94" t="s">
        <v>89</v>
      </c>
      <c r="J94" t="s">
        <v>99</v>
      </c>
      <c r="K94" t="s">
        <v>90</v>
      </c>
      <c r="L94" t="s">
        <v>108</v>
      </c>
      <c r="M94" t="str">
        <f t="shared" ref="M94" si="73">IF(J94="MTL","Preservation Shop","")</f>
        <v>Preservation Shop</v>
      </c>
      <c r="N94" s="50">
        <f t="shared" si="5"/>
        <v>0</v>
      </c>
      <c r="O94" s="45" t="s">
        <v>166</v>
      </c>
      <c r="P94" s="422">
        <f t="shared" si="66"/>
        <v>0</v>
      </c>
      <c r="Q94" s="29" t="s">
        <v>108</v>
      </c>
    </row>
    <row r="95" spans="1:17" x14ac:dyDescent="0.2">
      <c r="A95" t="str">
        <f>'Customer Summary'!$C$8</f>
        <v>Plastering &amp; finishing</v>
      </c>
      <c r="C95" t="str">
        <f>Costing!M77</f>
        <v>Construct stud wall to perimeter</v>
      </c>
      <c r="D95" s="30">
        <f>Costing!O77</f>
        <v>0</v>
      </c>
      <c r="E95" s="30">
        <f>Costing!Q77</f>
        <v>30.630000000000003</v>
      </c>
      <c r="F95" t="s">
        <v>3</v>
      </c>
      <c r="G95" t="s">
        <v>110</v>
      </c>
      <c r="H95" s="421">
        <f>Costing!R77*100</f>
        <v>100</v>
      </c>
      <c r="I95" t="s">
        <v>89</v>
      </c>
      <c r="J95" t="s">
        <v>97</v>
      </c>
      <c r="K95" t="s">
        <v>90</v>
      </c>
      <c r="L95" t="s">
        <v>108</v>
      </c>
      <c r="M95" t="str">
        <f t="shared" si="4"/>
        <v/>
      </c>
      <c r="N95" s="50">
        <f t="shared" si="5"/>
        <v>0</v>
      </c>
      <c r="O95" s="45" t="s">
        <v>166</v>
      </c>
      <c r="P95" s="422">
        <f t="shared" si="66"/>
        <v>0</v>
      </c>
      <c r="Q95" s="29" t="s">
        <v>108</v>
      </c>
    </row>
    <row r="96" spans="1:17" x14ac:dyDescent="0.2">
      <c r="A96" t="str">
        <f>'Customer Summary'!$C$8</f>
        <v>Plastering &amp; finishing</v>
      </c>
      <c r="C96" t="str">
        <f>Costing!M78</f>
        <v>Plaster boarding (inc dab/screws)</v>
      </c>
      <c r="D96" s="30">
        <f>Costing!O78</f>
        <v>0</v>
      </c>
      <c r="E96" s="30">
        <f>Costing!Q78</f>
        <v>30.630000000000003</v>
      </c>
      <c r="F96" t="s">
        <v>3</v>
      </c>
      <c r="G96" t="s">
        <v>110</v>
      </c>
      <c r="H96" s="421">
        <f>Costing!R78*100</f>
        <v>100</v>
      </c>
      <c r="I96" t="s">
        <v>89</v>
      </c>
      <c r="J96" t="s">
        <v>97</v>
      </c>
      <c r="K96" t="s">
        <v>90</v>
      </c>
      <c r="L96" t="s">
        <v>108</v>
      </c>
      <c r="M96" t="str">
        <f t="shared" si="4"/>
        <v/>
      </c>
      <c r="N96" s="50">
        <f t="shared" si="5"/>
        <v>0</v>
      </c>
      <c r="O96" s="45" t="s">
        <v>166</v>
      </c>
      <c r="P96" s="422">
        <f t="shared" si="66"/>
        <v>0</v>
      </c>
      <c r="Q96" s="29" t="s">
        <v>108</v>
      </c>
    </row>
    <row r="97" spans="1:17" x14ac:dyDescent="0.2">
      <c r="A97" t="str">
        <f>'Customer Summary'!$C$8</f>
        <v>Plastering &amp; finishing</v>
      </c>
      <c r="C97" t="str">
        <f>Costing!M80</f>
        <v>Skimming walls (multi finish plaster)</v>
      </c>
      <c r="D97" s="30">
        <f>Costing!O80</f>
        <v>0</v>
      </c>
      <c r="E97" s="30">
        <f>Costing!Q80</f>
        <v>30.630000000000003</v>
      </c>
      <c r="F97" t="s">
        <v>3</v>
      </c>
      <c r="G97" t="s">
        <v>110</v>
      </c>
      <c r="H97" s="421">
        <f>Costing!R80*100</f>
        <v>100</v>
      </c>
      <c r="I97" t="s">
        <v>89</v>
      </c>
      <c r="J97" t="s">
        <v>97</v>
      </c>
      <c r="K97" t="s">
        <v>90</v>
      </c>
      <c r="L97" t="s">
        <v>108</v>
      </c>
      <c r="M97" t="str">
        <f t="shared" si="4"/>
        <v/>
      </c>
      <c r="N97" s="50">
        <f t="shared" si="5"/>
        <v>0</v>
      </c>
      <c r="O97" s="45" t="s">
        <v>166</v>
      </c>
      <c r="P97" s="422">
        <f t="shared" si="66"/>
        <v>0</v>
      </c>
      <c r="Q97" s="29" t="s">
        <v>108</v>
      </c>
    </row>
    <row r="98" spans="1:17" x14ac:dyDescent="0.2">
      <c r="A98" t="str">
        <f>'Customer Summary'!$C$8</f>
        <v>Plastering &amp; finishing</v>
      </c>
      <c r="C98" t="str">
        <f>Costing!M81</f>
        <v>Plastering Stop Bead - 3m length</v>
      </c>
      <c r="D98" s="30">
        <f>Costing!O81</f>
        <v>0</v>
      </c>
      <c r="E98" s="30">
        <f>Costing!Q81</f>
        <v>30.630000000000003</v>
      </c>
      <c r="F98" t="s">
        <v>3</v>
      </c>
      <c r="G98" t="s">
        <v>110</v>
      </c>
      <c r="H98" s="421">
        <f>Costing!R81*100</f>
        <v>100</v>
      </c>
      <c r="I98" t="s">
        <v>89</v>
      </c>
      <c r="J98" t="s">
        <v>97</v>
      </c>
      <c r="K98" t="s">
        <v>90</v>
      </c>
      <c r="L98" t="s">
        <v>108</v>
      </c>
      <c r="M98" t="str">
        <f t="shared" ref="M98" si="74">IF(J98="MTL","Preservation Shop","")</f>
        <v/>
      </c>
      <c r="N98" s="50">
        <f t="shared" ref="N98" si="75">D98*E98</f>
        <v>0</v>
      </c>
      <c r="O98" s="45" t="s">
        <v>166</v>
      </c>
      <c r="P98" s="422">
        <f t="shared" si="66"/>
        <v>0</v>
      </c>
      <c r="Q98" s="29" t="s">
        <v>108</v>
      </c>
    </row>
    <row r="99" spans="1:17" x14ac:dyDescent="0.2">
      <c r="A99" t="str">
        <f>'Customer Summary'!$C$8</f>
        <v>Plastering &amp; finishing</v>
      </c>
      <c r="C99" t="str">
        <f>Costing!M82</f>
        <v>Plastering Thin Coat Angle/Corner Bead - 2.4m length</v>
      </c>
      <c r="D99" s="30">
        <f>Costing!O82</f>
        <v>0</v>
      </c>
      <c r="E99" s="30">
        <f>Costing!Q82</f>
        <v>30.630000000000003</v>
      </c>
      <c r="F99" t="s">
        <v>3</v>
      </c>
      <c r="G99" t="s">
        <v>110</v>
      </c>
      <c r="H99" s="421">
        <f>Costing!R82*100</f>
        <v>100</v>
      </c>
      <c r="I99" t="s">
        <v>89</v>
      </c>
      <c r="J99" t="s">
        <v>97</v>
      </c>
      <c r="K99" t="s">
        <v>90</v>
      </c>
      <c r="L99" t="s">
        <v>108</v>
      </c>
      <c r="M99" t="str">
        <f t="shared" ref="M99" si="76">IF(J99="MTL","Preservation Shop","")</f>
        <v/>
      </c>
      <c r="N99" s="50">
        <f t="shared" ref="N99" si="77">D99*E99</f>
        <v>0</v>
      </c>
      <c r="O99" s="45" t="s">
        <v>166</v>
      </c>
      <c r="P99" s="422">
        <f t="shared" si="66"/>
        <v>0</v>
      </c>
      <c r="Q99" s="29" t="s">
        <v>108</v>
      </c>
    </row>
    <row r="100" spans="1:17" x14ac:dyDescent="0.2">
      <c r="A100" t="str">
        <f>'Customer Summary'!$C$8</f>
        <v>Plastering &amp; finishing</v>
      </c>
      <c r="C100" t="str">
        <f>Costing!M83</f>
        <v>Plastering Thin Coat Angle/Corner Bead - 3m length</v>
      </c>
      <c r="D100" s="30">
        <f>Costing!O83</f>
        <v>0</v>
      </c>
      <c r="E100" s="30">
        <f>Costing!Q83</f>
        <v>30.630000000000003</v>
      </c>
      <c r="F100" t="s">
        <v>3</v>
      </c>
      <c r="G100" t="s">
        <v>110</v>
      </c>
      <c r="H100" s="421">
        <f>Costing!R83*100</f>
        <v>100</v>
      </c>
      <c r="I100" t="s">
        <v>89</v>
      </c>
      <c r="J100" t="s">
        <v>97</v>
      </c>
      <c r="K100" t="s">
        <v>90</v>
      </c>
      <c r="L100" t="s">
        <v>108</v>
      </c>
      <c r="M100" t="str">
        <f t="shared" ref="M100" si="78">IF(J100="MTL","Preservation Shop","")</f>
        <v/>
      </c>
      <c r="N100" s="50">
        <f t="shared" ref="N100" si="79">D100*E100</f>
        <v>0</v>
      </c>
      <c r="O100" s="45" t="s">
        <v>166</v>
      </c>
      <c r="P100" s="422">
        <f t="shared" si="66"/>
        <v>0</v>
      </c>
      <c r="Q100" s="29" t="s">
        <v>108</v>
      </c>
    </row>
    <row r="101" spans="1:17" x14ac:dyDescent="0.2">
      <c r="A101" t="str">
        <f>'Customer Summary'!$C$8</f>
        <v>Plastering &amp; finishing</v>
      </c>
      <c r="C101" t="str">
        <f>Costing!M84</f>
        <v>Difficulty hours (fireplace, corners etc)</v>
      </c>
      <c r="D101" s="30">
        <f>Costing!O84</f>
        <v>0</v>
      </c>
      <c r="E101" s="30">
        <f>Costing!Q84</f>
        <v>30.630000000000003</v>
      </c>
      <c r="F101" t="s">
        <v>3</v>
      </c>
      <c r="G101" t="s">
        <v>110</v>
      </c>
      <c r="H101" s="421">
        <f>Costing!R84*100</f>
        <v>100</v>
      </c>
      <c r="I101" t="s">
        <v>89</v>
      </c>
      <c r="J101" t="s">
        <v>97</v>
      </c>
      <c r="K101" t="s">
        <v>90</v>
      </c>
      <c r="L101" t="s">
        <v>108</v>
      </c>
      <c r="M101" t="str">
        <f t="shared" ref="M101:M103" si="80">IF(J101="MTL","Preservation Shop","")</f>
        <v/>
      </c>
      <c r="N101" s="50">
        <f t="shared" si="5"/>
        <v>0</v>
      </c>
      <c r="O101" s="45" t="s">
        <v>166</v>
      </c>
      <c r="P101" s="422">
        <f t="shared" si="66"/>
        <v>0</v>
      </c>
      <c r="Q101" s="29" t="s">
        <v>108</v>
      </c>
    </row>
    <row r="102" spans="1:17" s="47" customFormat="1" x14ac:dyDescent="0.2">
      <c r="A102" s="47" t="str">
        <f>'Customer Summary'!$C$8</f>
        <v>Plastering &amp; finishing</v>
      </c>
      <c r="C102" s="47" t="str">
        <f>_xlfn.CONCAT(A102," - Materials")</f>
        <v>Plastering &amp; finishing - Materials</v>
      </c>
      <c r="D102" s="48">
        <v>1</v>
      </c>
      <c r="E102" s="48">
        <f>N102</f>
        <v>0</v>
      </c>
      <c r="F102" s="47" t="s">
        <v>165</v>
      </c>
      <c r="G102" s="47" t="s">
        <v>112</v>
      </c>
      <c r="H102" s="48" t="e">
        <f>((P102-N102)/N102)*100</f>
        <v>#DIV/0!</v>
      </c>
      <c r="I102" s="47" t="s">
        <v>89</v>
      </c>
      <c r="J102" s="47" t="s">
        <v>99</v>
      </c>
      <c r="K102" s="47" t="s">
        <v>90</v>
      </c>
      <c r="L102" s="47" t="str">
        <f>'Customer Summary'!D8</f>
        <v>No</v>
      </c>
      <c r="M102" s="47" t="str">
        <f t="shared" si="80"/>
        <v>Preservation Shop</v>
      </c>
      <c r="N102" s="51">
        <f>SUM(N88:N94)</f>
        <v>0</v>
      </c>
      <c r="O102" s="49" t="str">
        <f t="shared" ref="O102" si="81">IF(N102=0,"DELETE","LEAVE")</f>
        <v>DELETE</v>
      </c>
      <c r="P102" s="51">
        <f>SUM(P88:P94)</f>
        <v>0</v>
      </c>
      <c r="Q102" s="49" t="s">
        <v>90</v>
      </c>
    </row>
    <row r="103" spans="1:17" s="47" customFormat="1" x14ac:dyDescent="0.2">
      <c r="A103" s="47" t="str">
        <f>'Customer Summary'!$C$8</f>
        <v>Plastering &amp; finishing</v>
      </c>
      <c r="C103" s="47" t="str">
        <f>_xlfn.CONCAT(A103," - Labour")</f>
        <v>Plastering &amp; finishing - Labour</v>
      </c>
      <c r="D103" s="48">
        <f>SUM(D95:D101)</f>
        <v>0</v>
      </c>
      <c r="E103" s="48" t="e">
        <f>N103/D103</f>
        <v>#DIV/0!</v>
      </c>
      <c r="F103" s="47" t="s">
        <v>3</v>
      </c>
      <c r="G103" s="47" t="s">
        <v>110</v>
      </c>
      <c r="H103" s="48" t="e">
        <f>((P103-N103)/N103)*100</f>
        <v>#DIV/0!</v>
      </c>
      <c r="I103" s="47" t="s">
        <v>89</v>
      </c>
      <c r="J103" s="47" t="s">
        <v>97</v>
      </c>
      <c r="K103" s="47" t="s">
        <v>90</v>
      </c>
      <c r="L103" s="47" t="str">
        <f>L102</f>
        <v>No</v>
      </c>
      <c r="M103" s="47" t="str">
        <f t="shared" si="80"/>
        <v/>
      </c>
      <c r="N103" s="51">
        <f>SUM(N95:N101)</f>
        <v>0</v>
      </c>
      <c r="O103" s="49" t="str">
        <f>IF(N103=0,"DELETE","LEAVE")</f>
        <v>DELETE</v>
      </c>
      <c r="P103" s="51">
        <f>SUM(P95:P101)</f>
        <v>0</v>
      </c>
      <c r="Q103" s="49" t="s">
        <v>90</v>
      </c>
    </row>
    <row r="104" spans="1:17" x14ac:dyDescent="0.2">
      <c r="A104" s="41"/>
      <c r="B104" s="41"/>
      <c r="C104" s="41"/>
      <c r="D104" s="42"/>
      <c r="E104" s="42"/>
      <c r="F104" s="41"/>
      <c r="G104" s="41"/>
      <c r="H104" s="42"/>
      <c r="I104" s="41"/>
      <c r="J104" s="41"/>
      <c r="K104" s="41"/>
      <c r="L104" s="41"/>
      <c r="M104" s="41"/>
      <c r="N104" s="43"/>
      <c r="O104" s="44" t="s">
        <v>166</v>
      </c>
      <c r="P104" s="43"/>
      <c r="Q104" s="43"/>
    </row>
    <row r="105" spans="1:17" x14ac:dyDescent="0.2">
      <c r="A105" t="str">
        <f>'Customer Summary'!$C$9</f>
        <v>Warmline Internal Wall Insulation</v>
      </c>
      <c r="C105" t="str">
        <f>Costing!B79</f>
        <v>Warmline Internal Wall Insulation</v>
      </c>
      <c r="D105" s="30">
        <f>Costing!F79</f>
        <v>0</v>
      </c>
      <c r="E105" s="30">
        <f>Costing!I79</f>
        <v>0</v>
      </c>
      <c r="F105" t="str">
        <f>Costing!G79</f>
        <v>M2</v>
      </c>
      <c r="G105" t="s">
        <v>112</v>
      </c>
      <c r="H105" s="421">
        <f>Costing!J79*100</f>
        <v>30</v>
      </c>
      <c r="I105" t="s">
        <v>89</v>
      </c>
      <c r="J105" t="s">
        <v>99</v>
      </c>
      <c r="K105" t="s">
        <v>90</v>
      </c>
      <c r="L105" t="s">
        <v>108</v>
      </c>
      <c r="M105" t="str">
        <f t="shared" ref="M105" si="82">IF(J105="MTL","Preservation Shop","")</f>
        <v>Preservation Shop</v>
      </c>
      <c r="N105" s="50">
        <f t="shared" ref="N105" si="83">D105*E105</f>
        <v>0</v>
      </c>
      <c r="O105" s="45" t="s">
        <v>166</v>
      </c>
      <c r="P105" s="422">
        <f t="shared" ref="P105:P106" si="84">N105*(1+(H105/100))</f>
        <v>0</v>
      </c>
      <c r="Q105" s="29" t="s">
        <v>108</v>
      </c>
    </row>
    <row r="106" spans="1:17" x14ac:dyDescent="0.2">
      <c r="A106" t="str">
        <f>'Customer Summary'!$C$9</f>
        <v>Warmline Internal Wall Insulation</v>
      </c>
      <c r="C106" t="str">
        <f>Costing!M79</f>
        <v>Warmline Internal Wall Insulation</v>
      </c>
      <c r="D106" s="30">
        <f>Costing!O79</f>
        <v>0</v>
      </c>
      <c r="E106" s="30">
        <f>Costing!Q79</f>
        <v>30.630000000000003</v>
      </c>
      <c r="F106" t="s">
        <v>3</v>
      </c>
      <c r="G106" t="s">
        <v>110</v>
      </c>
      <c r="H106" s="421">
        <f>Costing!R79*100</f>
        <v>100</v>
      </c>
      <c r="I106" t="s">
        <v>89</v>
      </c>
      <c r="J106" t="s">
        <v>97</v>
      </c>
      <c r="K106" t="s">
        <v>90</v>
      </c>
      <c r="L106" t="s">
        <v>108</v>
      </c>
      <c r="M106" t="str">
        <f t="shared" ref="M106" si="85">IF(J106="MTL","Preservation Shop","")</f>
        <v/>
      </c>
      <c r="N106" s="50">
        <f t="shared" ref="N106" si="86">D106*E106</f>
        <v>0</v>
      </c>
      <c r="O106" s="45" t="s">
        <v>166</v>
      </c>
      <c r="P106" s="422">
        <f t="shared" si="84"/>
        <v>0</v>
      </c>
      <c r="Q106" s="29" t="s">
        <v>108</v>
      </c>
    </row>
    <row r="107" spans="1:17" s="47" customFormat="1" x14ac:dyDescent="0.2">
      <c r="A107" s="47" t="str">
        <f>'Customer Summary'!$C$9</f>
        <v>Warmline Internal Wall Insulation</v>
      </c>
      <c r="C107" s="47" t="str">
        <f>_xlfn.CONCAT(A107," - Materials")</f>
        <v>Warmline Internal Wall Insulation - Materials</v>
      </c>
      <c r="D107" s="48">
        <v>1</v>
      </c>
      <c r="E107" s="48">
        <f>N107</f>
        <v>0</v>
      </c>
      <c r="F107" s="47" t="s">
        <v>165</v>
      </c>
      <c r="G107" s="47" t="s">
        <v>112</v>
      </c>
      <c r="H107" s="48" t="e">
        <f>((P107-N107)/N107)*100</f>
        <v>#DIV/0!</v>
      </c>
      <c r="I107" s="47" t="s">
        <v>89</v>
      </c>
      <c r="J107" s="47" t="s">
        <v>99</v>
      </c>
      <c r="K107" s="47" t="s">
        <v>90</v>
      </c>
      <c r="L107" s="47" t="str">
        <f>'Customer Summary'!D9</f>
        <v>No</v>
      </c>
      <c r="M107" s="47" t="str">
        <f t="shared" ref="M107:M108" si="87">IF(J107="MTL","Preservation Shop","")</f>
        <v>Preservation Shop</v>
      </c>
      <c r="N107" s="51">
        <f>SUM(N105)</f>
        <v>0</v>
      </c>
      <c r="O107" s="49" t="str">
        <f t="shared" ref="O107" si="88">IF(N107=0,"DELETE","LEAVE")</f>
        <v>DELETE</v>
      </c>
      <c r="P107" s="51">
        <f>SUM(P105)</f>
        <v>0</v>
      </c>
      <c r="Q107" s="49" t="s">
        <v>90</v>
      </c>
    </row>
    <row r="108" spans="1:17" s="47" customFormat="1" x14ac:dyDescent="0.2">
      <c r="A108" s="47" t="str">
        <f>'Customer Summary'!$C$9</f>
        <v>Warmline Internal Wall Insulation</v>
      </c>
      <c r="C108" s="47" t="str">
        <f>_xlfn.CONCAT(A108," - Labour")</f>
        <v>Warmline Internal Wall Insulation - Labour</v>
      </c>
      <c r="D108" s="48">
        <f>SUM(D106)</f>
        <v>0</v>
      </c>
      <c r="E108" s="48" t="e">
        <f>N108/D108</f>
        <v>#DIV/0!</v>
      </c>
      <c r="F108" s="47" t="s">
        <v>3</v>
      </c>
      <c r="G108" s="47" t="s">
        <v>110</v>
      </c>
      <c r="H108" s="48" t="e">
        <f>((P108-N108)/N108)*100</f>
        <v>#DIV/0!</v>
      </c>
      <c r="I108" s="47" t="s">
        <v>89</v>
      </c>
      <c r="J108" s="47" t="s">
        <v>97</v>
      </c>
      <c r="K108" s="47" t="s">
        <v>90</v>
      </c>
      <c r="L108" s="47" t="str">
        <f>L107</f>
        <v>No</v>
      </c>
      <c r="M108" s="47" t="str">
        <f t="shared" si="87"/>
        <v/>
      </c>
      <c r="N108" s="51">
        <f>SUM(N106)</f>
        <v>0</v>
      </c>
      <c r="O108" s="49" t="str">
        <f>IF(N108=0,"DELETE","LEAVE")</f>
        <v>DELETE</v>
      </c>
      <c r="P108" s="51">
        <f>SUM(P106)</f>
        <v>0</v>
      </c>
      <c r="Q108" s="49" t="s">
        <v>90</v>
      </c>
    </row>
    <row r="109" spans="1:17" x14ac:dyDescent="0.2">
      <c r="A109" s="41"/>
      <c r="B109" s="41"/>
      <c r="C109" s="41"/>
      <c r="D109" s="42"/>
      <c r="E109" s="42"/>
      <c r="F109" s="41"/>
      <c r="G109" s="41"/>
      <c r="H109" s="42"/>
      <c r="I109" s="41"/>
      <c r="J109" s="41"/>
      <c r="K109" s="41"/>
      <c r="L109" s="41"/>
      <c r="M109" s="41"/>
      <c r="N109" s="43"/>
      <c r="O109" s="44" t="s">
        <v>166</v>
      </c>
      <c r="P109" s="43"/>
      <c r="Q109" s="43"/>
    </row>
    <row r="110" spans="1:17" x14ac:dyDescent="0.2">
      <c r="A110" t="str">
        <f>'Customer Summary'!$C$10</f>
        <v>Floor Joists &amp; Floor Decking</v>
      </c>
      <c r="C110" t="str">
        <f>Costing!B89</f>
        <v>Joists, 100 x 50</v>
      </c>
      <c r="D110" s="30">
        <f>Costing!F89</f>
        <v>0</v>
      </c>
      <c r="E110" s="30">
        <f>Costing!I89</f>
        <v>5.46</v>
      </c>
      <c r="F110" t="str">
        <f>Costing!G89</f>
        <v>LM</v>
      </c>
      <c r="G110" t="s">
        <v>112</v>
      </c>
      <c r="H110" s="421">
        <f>Costing!J89*100</f>
        <v>30</v>
      </c>
      <c r="I110" t="s">
        <v>89</v>
      </c>
      <c r="J110" t="s">
        <v>99</v>
      </c>
      <c r="K110" t="s">
        <v>90</v>
      </c>
      <c r="L110" t="s">
        <v>108</v>
      </c>
      <c r="M110" t="str">
        <f t="shared" si="4"/>
        <v>Preservation Shop</v>
      </c>
      <c r="N110" s="50">
        <f t="shared" si="5"/>
        <v>0</v>
      </c>
      <c r="O110" s="45" t="s">
        <v>166</v>
      </c>
      <c r="P110" s="422">
        <f t="shared" ref="P110:P147" si="89">N110*(1+(H110/100))</f>
        <v>0</v>
      </c>
      <c r="Q110" s="29" t="s">
        <v>108</v>
      </c>
    </row>
    <row r="111" spans="1:17" x14ac:dyDescent="0.2">
      <c r="A111" t="str">
        <f>'Customer Summary'!$C$10</f>
        <v>Floor Joists &amp; Floor Decking</v>
      </c>
      <c r="C111" t="str">
        <f>Costing!B90</f>
        <v>Joists, 125 x 50</v>
      </c>
      <c r="D111" s="30">
        <f>Costing!F90</f>
        <v>0</v>
      </c>
      <c r="E111" s="30">
        <f>Costing!I90</f>
        <v>6.5</v>
      </c>
      <c r="F111" t="str">
        <f>Costing!G90</f>
        <v>LM</v>
      </c>
      <c r="G111" t="s">
        <v>112</v>
      </c>
      <c r="H111" s="421">
        <f>Costing!J90*100</f>
        <v>30</v>
      </c>
      <c r="I111" t="s">
        <v>89</v>
      </c>
      <c r="J111" t="s">
        <v>99</v>
      </c>
      <c r="K111" t="s">
        <v>90</v>
      </c>
      <c r="L111" t="s">
        <v>108</v>
      </c>
      <c r="M111" t="str">
        <f t="shared" si="4"/>
        <v>Preservation Shop</v>
      </c>
      <c r="N111" s="50">
        <f t="shared" si="5"/>
        <v>0</v>
      </c>
      <c r="O111" s="45" t="s">
        <v>166</v>
      </c>
      <c r="P111" s="422">
        <f t="shared" si="89"/>
        <v>0</v>
      </c>
      <c r="Q111" s="29" t="s">
        <v>108</v>
      </c>
    </row>
    <row r="112" spans="1:17" x14ac:dyDescent="0.2">
      <c r="A112" t="str">
        <f>'Customer Summary'!$C$10</f>
        <v>Floor Joists &amp; Floor Decking</v>
      </c>
      <c r="C112" t="str">
        <f>Costing!B91</f>
        <v>Joists, 150 x 50</v>
      </c>
      <c r="D112" s="30">
        <f>Costing!F91</f>
        <v>0</v>
      </c>
      <c r="E112" s="30">
        <f>Costing!I91</f>
        <v>7.7</v>
      </c>
      <c r="F112" t="str">
        <f>Costing!G91</f>
        <v>LM</v>
      </c>
      <c r="G112" t="s">
        <v>112</v>
      </c>
      <c r="H112" s="421">
        <f>Costing!J91*100</f>
        <v>30</v>
      </c>
      <c r="I112" t="s">
        <v>89</v>
      </c>
      <c r="J112" t="s">
        <v>99</v>
      </c>
      <c r="K112" t="s">
        <v>90</v>
      </c>
      <c r="L112" t="s">
        <v>108</v>
      </c>
      <c r="M112" t="str">
        <f t="shared" si="4"/>
        <v>Preservation Shop</v>
      </c>
      <c r="N112" s="50">
        <f t="shared" si="5"/>
        <v>0</v>
      </c>
      <c r="O112" s="45" t="s">
        <v>166</v>
      </c>
      <c r="P112" s="422">
        <f t="shared" si="89"/>
        <v>0</v>
      </c>
      <c r="Q112" s="29" t="s">
        <v>108</v>
      </c>
    </row>
    <row r="113" spans="1:17" x14ac:dyDescent="0.2">
      <c r="A113" t="str">
        <f>'Customer Summary'!$C$10</f>
        <v>Floor Joists &amp; Floor Decking</v>
      </c>
      <c r="C113" t="str">
        <f>Costing!B92</f>
        <v>Joists, 175 x 50</v>
      </c>
      <c r="D113" s="30">
        <f>Costing!F92</f>
        <v>0</v>
      </c>
      <c r="E113" s="30">
        <f>Costing!I92</f>
        <v>8</v>
      </c>
      <c r="F113" t="str">
        <f>Costing!G92</f>
        <v>LM</v>
      </c>
      <c r="G113" t="s">
        <v>112</v>
      </c>
      <c r="H113" s="421">
        <f>Costing!J92*100</f>
        <v>30</v>
      </c>
      <c r="I113" t="s">
        <v>89</v>
      </c>
      <c r="J113" t="s">
        <v>99</v>
      </c>
      <c r="K113" t="s">
        <v>90</v>
      </c>
      <c r="L113" t="s">
        <v>108</v>
      </c>
      <c r="M113" t="str">
        <f t="shared" si="4"/>
        <v>Preservation Shop</v>
      </c>
      <c r="N113" s="50">
        <f t="shared" si="5"/>
        <v>0</v>
      </c>
      <c r="O113" s="45" t="s">
        <v>166</v>
      </c>
      <c r="P113" s="422">
        <f t="shared" si="89"/>
        <v>0</v>
      </c>
      <c r="Q113" s="29" t="s">
        <v>108</v>
      </c>
    </row>
    <row r="114" spans="1:17" x14ac:dyDescent="0.2">
      <c r="A114" t="str">
        <f>'Customer Summary'!$C$10</f>
        <v>Floor Joists &amp; Floor Decking</v>
      </c>
      <c r="C114" t="str">
        <f>Costing!B93</f>
        <v>Joists, 200 x 50</v>
      </c>
      <c r="D114" s="30">
        <f>Costing!F93</f>
        <v>0</v>
      </c>
      <c r="E114" s="30">
        <f>Costing!I93</f>
        <v>8.9</v>
      </c>
      <c r="F114" t="str">
        <f>Costing!G93</f>
        <v>LM</v>
      </c>
      <c r="G114" t="s">
        <v>112</v>
      </c>
      <c r="H114" s="421">
        <f>Costing!J93*100</f>
        <v>30</v>
      </c>
      <c r="I114" t="s">
        <v>89</v>
      </c>
      <c r="J114" t="s">
        <v>99</v>
      </c>
      <c r="K114" t="s">
        <v>90</v>
      </c>
      <c r="L114" t="s">
        <v>108</v>
      </c>
      <c r="M114" t="str">
        <f t="shared" si="4"/>
        <v>Preservation Shop</v>
      </c>
      <c r="N114" s="50">
        <f t="shared" si="5"/>
        <v>0</v>
      </c>
      <c r="O114" s="45" t="s">
        <v>166</v>
      </c>
      <c r="P114" s="422">
        <f t="shared" si="89"/>
        <v>0</v>
      </c>
      <c r="Q114" s="29" t="s">
        <v>108</v>
      </c>
    </row>
    <row r="115" spans="1:17" x14ac:dyDescent="0.2">
      <c r="A115" t="str">
        <f>'Customer Summary'!$C$10</f>
        <v>Floor Joists &amp; Floor Decking</v>
      </c>
      <c r="C115" t="str">
        <f>Costing!B94</f>
        <v>Joists, 225 x 50</v>
      </c>
      <c r="D115" s="30">
        <f>Costing!F94</f>
        <v>0</v>
      </c>
      <c r="E115" s="30">
        <f>Costing!I94</f>
        <v>9.5</v>
      </c>
      <c r="F115" t="str">
        <f>Costing!G94</f>
        <v>LM</v>
      </c>
      <c r="G115" t="s">
        <v>112</v>
      </c>
      <c r="H115" s="421">
        <f>Costing!J94*100</f>
        <v>30</v>
      </c>
      <c r="I115" t="s">
        <v>89</v>
      </c>
      <c r="J115" t="s">
        <v>99</v>
      </c>
      <c r="K115" t="s">
        <v>90</v>
      </c>
      <c r="L115" t="s">
        <v>108</v>
      </c>
      <c r="M115" t="str">
        <f t="shared" si="4"/>
        <v>Preservation Shop</v>
      </c>
      <c r="N115" s="50">
        <f t="shared" si="5"/>
        <v>0</v>
      </c>
      <c r="O115" s="45" t="s">
        <v>166</v>
      </c>
      <c r="P115" s="422">
        <f t="shared" si="89"/>
        <v>0</v>
      </c>
      <c r="Q115" s="29" t="s">
        <v>108</v>
      </c>
    </row>
    <row r="116" spans="1:17" x14ac:dyDescent="0.2">
      <c r="A116" t="str">
        <f>'Customer Summary'!$C$10</f>
        <v>Floor Joists &amp; Floor Decking</v>
      </c>
      <c r="C116" t="str">
        <f>Costing!B95</f>
        <v>Treat and endwrap joist</v>
      </c>
      <c r="D116" s="30">
        <f>Costing!F95</f>
        <v>0</v>
      </c>
      <c r="E116" s="30">
        <f>Costing!I95</f>
        <v>3</v>
      </c>
      <c r="F116" t="str">
        <f>Costing!G95</f>
        <v>Each</v>
      </c>
      <c r="G116" t="s">
        <v>112</v>
      </c>
      <c r="H116" s="421">
        <f>Costing!J95*100</f>
        <v>30</v>
      </c>
      <c r="I116" t="s">
        <v>89</v>
      </c>
      <c r="J116" t="s">
        <v>99</v>
      </c>
      <c r="K116" t="s">
        <v>90</v>
      </c>
      <c r="L116" t="s">
        <v>108</v>
      </c>
      <c r="M116" t="str">
        <f t="shared" si="4"/>
        <v>Preservation Shop</v>
      </c>
      <c r="N116" s="50">
        <f t="shared" si="5"/>
        <v>0</v>
      </c>
      <c r="O116" s="45" t="s">
        <v>166</v>
      </c>
      <c r="P116" s="422">
        <f t="shared" si="89"/>
        <v>0</v>
      </c>
      <c r="Q116" s="29" t="s">
        <v>108</v>
      </c>
    </row>
    <row r="117" spans="1:17" x14ac:dyDescent="0.2">
      <c r="A117" t="str">
        <f>'Customer Summary'!$C$10</f>
        <v>Floor Joists &amp; Floor Decking</v>
      </c>
      <c r="C117" t="str">
        <f>Costing!B96</f>
        <v>Wall plate 100x25</v>
      </c>
      <c r="D117" s="30">
        <f>Costing!F96</f>
        <v>0</v>
      </c>
      <c r="E117" s="30">
        <f>Costing!I96</f>
        <v>4.84</v>
      </c>
      <c r="F117" t="str">
        <f>Costing!G96</f>
        <v>Each</v>
      </c>
      <c r="G117" t="s">
        <v>112</v>
      </c>
      <c r="H117" s="421">
        <f>Costing!J96*100</f>
        <v>30</v>
      </c>
      <c r="I117" t="s">
        <v>89</v>
      </c>
      <c r="J117" t="s">
        <v>99</v>
      </c>
      <c r="K117" t="s">
        <v>90</v>
      </c>
      <c r="L117" t="s">
        <v>108</v>
      </c>
      <c r="M117" t="str">
        <f t="shared" si="4"/>
        <v>Preservation Shop</v>
      </c>
      <c r="N117" s="50">
        <f t="shared" si="5"/>
        <v>0</v>
      </c>
      <c r="O117" s="45" t="s">
        <v>166</v>
      </c>
      <c r="P117" s="422">
        <f t="shared" si="89"/>
        <v>0</v>
      </c>
      <c r="Q117" s="29" t="s">
        <v>108</v>
      </c>
    </row>
    <row r="118" spans="1:17" x14ac:dyDescent="0.2">
      <c r="A118" t="str">
        <f>'Customer Summary'!$C$10</f>
        <v>Floor Joists &amp; Floor Decking</v>
      </c>
      <c r="C118" t="str">
        <f>Costing!B97</f>
        <v>Bower beams (pair)</v>
      </c>
      <c r="D118" s="30">
        <f>Costing!F97</f>
        <v>0</v>
      </c>
      <c r="E118" s="30">
        <f>Costing!I97</f>
        <v>36</v>
      </c>
      <c r="F118" t="str">
        <f>Costing!G97</f>
        <v>Pairs</v>
      </c>
      <c r="G118" t="s">
        <v>112</v>
      </c>
      <c r="H118" s="421">
        <f>Costing!J97*100</f>
        <v>30</v>
      </c>
      <c r="I118" t="s">
        <v>89</v>
      </c>
      <c r="J118" t="s">
        <v>99</v>
      </c>
      <c r="K118" t="s">
        <v>90</v>
      </c>
      <c r="L118" t="s">
        <v>108</v>
      </c>
      <c r="M118" t="str">
        <f t="shared" si="4"/>
        <v>Preservation Shop</v>
      </c>
      <c r="N118" s="50">
        <f t="shared" si="5"/>
        <v>0</v>
      </c>
      <c r="O118" s="45" t="s">
        <v>166</v>
      </c>
      <c r="P118" s="422">
        <f t="shared" si="89"/>
        <v>0</v>
      </c>
      <c r="Q118" s="29" t="s">
        <v>108</v>
      </c>
    </row>
    <row r="119" spans="1:17" x14ac:dyDescent="0.2">
      <c r="A119" t="str">
        <f>'Customer Summary'!$C$10</f>
        <v>Floor Joists &amp; Floor Decking</v>
      </c>
      <c r="C119" t="str">
        <f>Costing!B98</f>
        <v>Flitch plates (pair)</v>
      </c>
      <c r="D119" s="30">
        <f>Costing!F98</f>
        <v>0</v>
      </c>
      <c r="E119" s="30">
        <f>Costing!I98</f>
        <v>42</v>
      </c>
      <c r="F119" t="str">
        <f>Costing!G98</f>
        <v>Pairs</v>
      </c>
      <c r="G119" t="s">
        <v>112</v>
      </c>
      <c r="H119" s="421">
        <f>Costing!J98*100</f>
        <v>30</v>
      </c>
      <c r="I119" t="s">
        <v>89</v>
      </c>
      <c r="J119" t="s">
        <v>99</v>
      </c>
      <c r="K119" t="s">
        <v>90</v>
      </c>
      <c r="L119" t="s">
        <v>108</v>
      </c>
      <c r="M119" t="str">
        <f t="shared" si="4"/>
        <v>Preservation Shop</v>
      </c>
      <c r="N119" s="50">
        <f t="shared" ref="N119:N186" si="90">D119*E119</f>
        <v>0</v>
      </c>
      <c r="O119" s="45" t="s">
        <v>166</v>
      </c>
      <c r="P119" s="422">
        <f t="shared" si="89"/>
        <v>0</v>
      </c>
      <c r="Q119" s="29" t="s">
        <v>108</v>
      </c>
    </row>
    <row r="120" spans="1:17" x14ac:dyDescent="0.2">
      <c r="A120" t="str">
        <f>'Customer Summary'!$C$10</f>
        <v>Floor Joists &amp; Floor Decking</v>
      </c>
      <c r="C120" t="str">
        <f>Costing!B99</f>
        <v>Difficulty hours (additional hours if required)</v>
      </c>
      <c r="D120" s="30">
        <f>Costing!F99</f>
        <v>0</v>
      </c>
      <c r="E120" s="30">
        <f>Costing!I99</f>
        <v>0</v>
      </c>
      <c r="F120" t="str">
        <f>Costing!G99</f>
        <v>Hours</v>
      </c>
      <c r="G120" t="s">
        <v>112</v>
      </c>
      <c r="H120" s="421">
        <f>Costing!J99*100</f>
        <v>0</v>
      </c>
      <c r="I120" t="s">
        <v>89</v>
      </c>
      <c r="J120" t="s">
        <v>99</v>
      </c>
      <c r="K120" t="s">
        <v>90</v>
      </c>
      <c r="L120" t="s">
        <v>108</v>
      </c>
      <c r="M120" t="str">
        <f t="shared" ref="M120" si="91">IF(J120="MTL","Preservation Shop","")</f>
        <v>Preservation Shop</v>
      </c>
      <c r="N120" s="50">
        <f t="shared" ref="N120" si="92">D120*E120</f>
        <v>0</v>
      </c>
      <c r="O120" s="45" t="s">
        <v>166</v>
      </c>
      <c r="P120" s="422">
        <f t="shared" si="89"/>
        <v>0</v>
      </c>
      <c r="Q120" s="29" t="s">
        <v>108</v>
      </c>
    </row>
    <row r="121" spans="1:17" x14ac:dyDescent="0.2">
      <c r="A121" t="str">
        <f>'Customer Summary'!$C$10</f>
        <v>Floor Joists &amp; Floor Decking</v>
      </c>
      <c r="C121" t="str">
        <f>Costing!M89</f>
        <v>Joists, 100 x 50</v>
      </c>
      <c r="D121" s="30">
        <f>Costing!O89</f>
        <v>0</v>
      </c>
      <c r="E121" s="30">
        <f>Costing!Q89</f>
        <v>30.630000000000003</v>
      </c>
      <c r="F121" t="s">
        <v>3</v>
      </c>
      <c r="G121" t="s">
        <v>110</v>
      </c>
      <c r="H121" s="421">
        <f>Costing!R89*100</f>
        <v>100</v>
      </c>
      <c r="I121" t="s">
        <v>89</v>
      </c>
      <c r="J121" t="s">
        <v>97</v>
      </c>
      <c r="K121" t="s">
        <v>90</v>
      </c>
      <c r="L121" t="s">
        <v>108</v>
      </c>
      <c r="M121" t="str">
        <f t="shared" si="4"/>
        <v/>
      </c>
      <c r="N121" s="50">
        <f t="shared" si="90"/>
        <v>0</v>
      </c>
      <c r="O121" s="45" t="s">
        <v>166</v>
      </c>
      <c r="P121" s="422">
        <f t="shared" si="89"/>
        <v>0</v>
      </c>
      <c r="Q121" s="29" t="s">
        <v>108</v>
      </c>
    </row>
    <row r="122" spans="1:17" x14ac:dyDescent="0.2">
      <c r="A122" t="str">
        <f>'Customer Summary'!$C$10</f>
        <v>Floor Joists &amp; Floor Decking</v>
      </c>
      <c r="C122" t="str">
        <f>Costing!M90</f>
        <v>Joists, 125 x 50</v>
      </c>
      <c r="D122" s="30">
        <f>Costing!O90</f>
        <v>0</v>
      </c>
      <c r="E122" s="30">
        <f>Costing!Q90</f>
        <v>30.630000000000003</v>
      </c>
      <c r="F122" t="s">
        <v>3</v>
      </c>
      <c r="G122" t="s">
        <v>110</v>
      </c>
      <c r="H122" s="421">
        <f>Costing!R90*100</f>
        <v>100</v>
      </c>
      <c r="I122" t="s">
        <v>89</v>
      </c>
      <c r="J122" t="s">
        <v>97</v>
      </c>
      <c r="K122" t="s">
        <v>90</v>
      </c>
      <c r="L122" t="s">
        <v>108</v>
      </c>
      <c r="M122" t="str">
        <f t="shared" si="4"/>
        <v/>
      </c>
      <c r="N122" s="50">
        <f t="shared" si="90"/>
        <v>0</v>
      </c>
      <c r="O122" s="45" t="s">
        <v>166</v>
      </c>
      <c r="P122" s="422">
        <f t="shared" si="89"/>
        <v>0</v>
      </c>
      <c r="Q122" s="29" t="s">
        <v>108</v>
      </c>
    </row>
    <row r="123" spans="1:17" x14ac:dyDescent="0.2">
      <c r="A123" t="str">
        <f>'Customer Summary'!$C$10</f>
        <v>Floor Joists &amp; Floor Decking</v>
      </c>
      <c r="C123" t="str">
        <f>Costing!M91</f>
        <v>Joists, 150 x 50</v>
      </c>
      <c r="D123" s="30">
        <f>Costing!O91</f>
        <v>0</v>
      </c>
      <c r="E123" s="30">
        <f>Costing!Q91</f>
        <v>30.630000000000003</v>
      </c>
      <c r="F123" t="s">
        <v>3</v>
      </c>
      <c r="G123" t="s">
        <v>110</v>
      </c>
      <c r="H123" s="421">
        <f>Costing!R91*100</f>
        <v>100</v>
      </c>
      <c r="I123" t="s">
        <v>89</v>
      </c>
      <c r="J123" t="s">
        <v>97</v>
      </c>
      <c r="K123" t="s">
        <v>90</v>
      </c>
      <c r="L123" t="s">
        <v>108</v>
      </c>
      <c r="M123" t="str">
        <f t="shared" si="4"/>
        <v/>
      </c>
      <c r="N123" s="50">
        <f t="shared" si="90"/>
        <v>0</v>
      </c>
      <c r="O123" s="45" t="s">
        <v>166</v>
      </c>
      <c r="P123" s="422">
        <f t="shared" si="89"/>
        <v>0</v>
      </c>
      <c r="Q123" s="29" t="s">
        <v>108</v>
      </c>
    </row>
    <row r="124" spans="1:17" x14ac:dyDescent="0.2">
      <c r="A124" t="str">
        <f>'Customer Summary'!$C$10</f>
        <v>Floor Joists &amp; Floor Decking</v>
      </c>
      <c r="C124" t="str">
        <f>Costing!M92</f>
        <v>Joists, 175 x 50</v>
      </c>
      <c r="D124" s="30">
        <f>Costing!O92</f>
        <v>0</v>
      </c>
      <c r="E124" s="30">
        <f>Costing!Q92</f>
        <v>30.630000000000003</v>
      </c>
      <c r="F124" t="s">
        <v>3</v>
      </c>
      <c r="G124" t="s">
        <v>110</v>
      </c>
      <c r="H124" s="421">
        <f>Costing!R92*100</f>
        <v>100</v>
      </c>
      <c r="I124" t="s">
        <v>89</v>
      </c>
      <c r="J124" t="s">
        <v>97</v>
      </c>
      <c r="K124" t="s">
        <v>90</v>
      </c>
      <c r="L124" t="s">
        <v>108</v>
      </c>
      <c r="M124" t="str">
        <f t="shared" si="4"/>
        <v/>
      </c>
      <c r="N124" s="50">
        <f t="shared" si="90"/>
        <v>0</v>
      </c>
      <c r="O124" s="45" t="s">
        <v>166</v>
      </c>
      <c r="P124" s="422">
        <f t="shared" si="89"/>
        <v>0</v>
      </c>
      <c r="Q124" s="29" t="s">
        <v>108</v>
      </c>
    </row>
    <row r="125" spans="1:17" x14ac:dyDescent="0.2">
      <c r="A125" t="str">
        <f>'Customer Summary'!$C$10</f>
        <v>Floor Joists &amp; Floor Decking</v>
      </c>
      <c r="C125" t="str">
        <f>Costing!M93</f>
        <v>Joists, 200 x 50</v>
      </c>
      <c r="D125" s="30">
        <f>Costing!O93</f>
        <v>0</v>
      </c>
      <c r="E125" s="30">
        <f>Costing!Q93</f>
        <v>30.630000000000003</v>
      </c>
      <c r="F125" t="s">
        <v>3</v>
      </c>
      <c r="G125" t="s">
        <v>110</v>
      </c>
      <c r="H125" s="421">
        <f>Costing!R93*100</f>
        <v>100</v>
      </c>
      <c r="I125" t="s">
        <v>89</v>
      </c>
      <c r="J125" t="s">
        <v>97</v>
      </c>
      <c r="K125" t="s">
        <v>90</v>
      </c>
      <c r="L125" t="s">
        <v>108</v>
      </c>
      <c r="M125" t="str">
        <f t="shared" si="4"/>
        <v/>
      </c>
      <c r="N125" s="50">
        <f t="shared" si="90"/>
        <v>0</v>
      </c>
      <c r="O125" s="45" t="s">
        <v>166</v>
      </c>
      <c r="P125" s="422">
        <f t="shared" si="89"/>
        <v>0</v>
      </c>
      <c r="Q125" s="29" t="s">
        <v>108</v>
      </c>
    </row>
    <row r="126" spans="1:17" x14ac:dyDescent="0.2">
      <c r="A126" t="str">
        <f>'Customer Summary'!$C$10</f>
        <v>Floor Joists &amp; Floor Decking</v>
      </c>
      <c r="C126" t="str">
        <f>Costing!M94</f>
        <v>Joists, 225 x 50</v>
      </c>
      <c r="D126" s="30">
        <f>Costing!O94</f>
        <v>0</v>
      </c>
      <c r="E126" s="30">
        <f>Costing!Q94</f>
        <v>30.630000000000003</v>
      </c>
      <c r="F126" t="s">
        <v>3</v>
      </c>
      <c r="G126" t="s">
        <v>110</v>
      </c>
      <c r="H126" s="421">
        <f>Costing!R94*100</f>
        <v>100</v>
      </c>
      <c r="I126" t="s">
        <v>89</v>
      </c>
      <c r="J126" t="s">
        <v>97</v>
      </c>
      <c r="K126" t="s">
        <v>90</v>
      </c>
      <c r="L126" t="s">
        <v>108</v>
      </c>
      <c r="M126" t="str">
        <f t="shared" ref="M126:M130" si="93">IF(J126="MTL","Preservation Shop","")</f>
        <v/>
      </c>
      <c r="N126" s="50">
        <f t="shared" si="90"/>
        <v>0</v>
      </c>
      <c r="O126" s="45" t="s">
        <v>166</v>
      </c>
      <c r="P126" s="422">
        <f t="shared" si="89"/>
        <v>0</v>
      </c>
      <c r="Q126" s="29" t="s">
        <v>108</v>
      </c>
    </row>
    <row r="127" spans="1:17" x14ac:dyDescent="0.2">
      <c r="A127" t="str">
        <f>'Customer Summary'!$C$10</f>
        <v>Floor Joists &amp; Floor Decking</v>
      </c>
      <c r="C127" t="str">
        <f>Costing!M95</f>
        <v>Treat and endwrap joist</v>
      </c>
      <c r="D127" s="30">
        <f>Costing!O95</f>
        <v>0</v>
      </c>
      <c r="E127" s="30">
        <f>Costing!Q95</f>
        <v>30.630000000000003</v>
      </c>
      <c r="F127" t="s">
        <v>3</v>
      </c>
      <c r="G127" t="s">
        <v>110</v>
      </c>
      <c r="H127" s="421">
        <f>Costing!R95*100</f>
        <v>100</v>
      </c>
      <c r="I127" t="s">
        <v>89</v>
      </c>
      <c r="J127" t="s">
        <v>97</v>
      </c>
      <c r="K127" t="s">
        <v>90</v>
      </c>
      <c r="L127" t="s">
        <v>108</v>
      </c>
      <c r="M127" t="str">
        <f t="shared" si="93"/>
        <v/>
      </c>
      <c r="N127" s="50">
        <f t="shared" si="90"/>
        <v>0</v>
      </c>
      <c r="O127" s="45" t="s">
        <v>166</v>
      </c>
      <c r="P127" s="422">
        <f t="shared" si="89"/>
        <v>0</v>
      </c>
      <c r="Q127" s="29" t="s">
        <v>108</v>
      </c>
    </row>
    <row r="128" spans="1:17" x14ac:dyDescent="0.2">
      <c r="A128" t="str">
        <f>'Customer Summary'!$C$10</f>
        <v>Floor Joists &amp; Floor Decking</v>
      </c>
      <c r="C128" t="str">
        <f>Costing!M96</f>
        <v>Wall plate 100x25</v>
      </c>
      <c r="D128" s="30">
        <f>Costing!O96</f>
        <v>0</v>
      </c>
      <c r="E128" s="30">
        <f>Costing!Q96</f>
        <v>30.630000000000003</v>
      </c>
      <c r="F128" t="s">
        <v>3</v>
      </c>
      <c r="G128" t="s">
        <v>110</v>
      </c>
      <c r="H128" s="421">
        <f>Costing!R96*100</f>
        <v>100</v>
      </c>
      <c r="I128" t="s">
        <v>89</v>
      </c>
      <c r="J128" t="s">
        <v>97</v>
      </c>
      <c r="K128" t="s">
        <v>90</v>
      </c>
      <c r="L128" t="s">
        <v>108</v>
      </c>
      <c r="M128" t="str">
        <f t="shared" si="93"/>
        <v/>
      </c>
      <c r="N128" s="50">
        <f t="shared" si="90"/>
        <v>0</v>
      </c>
      <c r="O128" s="45" t="s">
        <v>166</v>
      </c>
      <c r="P128" s="422">
        <f t="shared" si="89"/>
        <v>0</v>
      </c>
      <c r="Q128" s="29" t="s">
        <v>108</v>
      </c>
    </row>
    <row r="129" spans="1:17" x14ac:dyDescent="0.2">
      <c r="A129" t="str">
        <f>'Customer Summary'!$C$10</f>
        <v>Floor Joists &amp; Floor Decking</v>
      </c>
      <c r="C129" t="str">
        <f>Costing!M97</f>
        <v>Bower beams (pair)</v>
      </c>
      <c r="D129" s="30">
        <f>Costing!O97</f>
        <v>0</v>
      </c>
      <c r="E129" s="30">
        <f>Costing!Q97</f>
        <v>30.630000000000003</v>
      </c>
      <c r="F129" t="s">
        <v>3</v>
      </c>
      <c r="G129" t="s">
        <v>110</v>
      </c>
      <c r="H129" s="421">
        <f>Costing!R97*100</f>
        <v>100</v>
      </c>
      <c r="I129" t="s">
        <v>89</v>
      </c>
      <c r="J129" t="s">
        <v>97</v>
      </c>
      <c r="K129" t="s">
        <v>90</v>
      </c>
      <c r="L129" t="s">
        <v>108</v>
      </c>
      <c r="M129" t="str">
        <f t="shared" si="93"/>
        <v/>
      </c>
      <c r="N129" s="50">
        <f t="shared" si="90"/>
        <v>0</v>
      </c>
      <c r="O129" s="45" t="s">
        <v>166</v>
      </c>
      <c r="P129" s="422">
        <f t="shared" si="89"/>
        <v>0</v>
      </c>
      <c r="Q129" s="29" t="s">
        <v>108</v>
      </c>
    </row>
    <row r="130" spans="1:17" x14ac:dyDescent="0.2">
      <c r="A130" t="str">
        <f>'Customer Summary'!$C$10</f>
        <v>Floor Joists &amp; Floor Decking</v>
      </c>
      <c r="C130" t="str">
        <f>Costing!M98</f>
        <v>Flitch plates (pair)</v>
      </c>
      <c r="D130" s="30">
        <f>Costing!O98</f>
        <v>0</v>
      </c>
      <c r="E130" s="30">
        <f>Costing!Q98</f>
        <v>30.630000000000003</v>
      </c>
      <c r="F130" t="s">
        <v>3</v>
      </c>
      <c r="G130" t="s">
        <v>110</v>
      </c>
      <c r="H130" s="421">
        <f>Costing!R98*100</f>
        <v>100</v>
      </c>
      <c r="I130" t="s">
        <v>89</v>
      </c>
      <c r="J130" t="s">
        <v>97</v>
      </c>
      <c r="K130" t="s">
        <v>90</v>
      </c>
      <c r="L130" t="s">
        <v>108</v>
      </c>
      <c r="M130" t="str">
        <f t="shared" si="93"/>
        <v/>
      </c>
      <c r="N130" s="50">
        <f t="shared" si="90"/>
        <v>0</v>
      </c>
      <c r="O130" s="45" t="s">
        <v>166</v>
      </c>
      <c r="P130" s="422">
        <f t="shared" si="89"/>
        <v>0</v>
      </c>
      <c r="Q130" s="29" t="s">
        <v>108</v>
      </c>
    </row>
    <row r="131" spans="1:17" x14ac:dyDescent="0.2">
      <c r="A131" t="str">
        <f>'Customer Summary'!$C$10</f>
        <v>Floor Joists &amp; Floor Decking</v>
      </c>
      <c r="C131" t="str">
        <f>Costing!M99</f>
        <v>Difficulty hours (additional hours if required)</v>
      </c>
      <c r="D131" s="30">
        <f>Costing!O99</f>
        <v>0</v>
      </c>
      <c r="E131" s="30">
        <f>Costing!Q99</f>
        <v>30.630000000000003</v>
      </c>
      <c r="F131" t="s">
        <v>3</v>
      </c>
      <c r="G131" t="s">
        <v>110</v>
      </c>
      <c r="H131" s="421">
        <f>Costing!R99*100</f>
        <v>100</v>
      </c>
      <c r="I131" t="s">
        <v>89</v>
      </c>
      <c r="J131" t="s">
        <v>97</v>
      </c>
      <c r="K131" t="s">
        <v>90</v>
      </c>
      <c r="L131" t="s">
        <v>108</v>
      </c>
      <c r="M131" t="str">
        <f t="shared" ref="M131" si="94">IF(J131="MTL","Preservation Shop","")</f>
        <v/>
      </c>
      <c r="N131" s="50">
        <f t="shared" ref="N131" si="95">D131*E131</f>
        <v>0</v>
      </c>
      <c r="O131" s="45" t="s">
        <v>166</v>
      </c>
      <c r="P131" s="422">
        <f t="shared" si="89"/>
        <v>0</v>
      </c>
      <c r="Q131" s="29" t="s">
        <v>108</v>
      </c>
    </row>
    <row r="132" spans="1:17" x14ac:dyDescent="0.2">
      <c r="A132" t="str">
        <f>'Customer Summary'!$C$10</f>
        <v>Floor Joists &amp; Floor Decking</v>
      </c>
      <c r="C132" t="str">
        <f>Costing!B101</f>
        <v>Install Weyrock flooring 18mm (M2)</v>
      </c>
      <c r="D132" s="30">
        <f>Costing!F101</f>
        <v>1</v>
      </c>
      <c r="E132" s="30">
        <f>Costing!I101</f>
        <v>18</v>
      </c>
      <c r="F132" t="str">
        <f>Costing!G101</f>
        <v>M2</v>
      </c>
      <c r="G132" t="s">
        <v>112</v>
      </c>
      <c r="H132" s="421">
        <f>Costing!J101*100</f>
        <v>30</v>
      </c>
      <c r="I132" t="s">
        <v>89</v>
      </c>
      <c r="J132" t="s">
        <v>99</v>
      </c>
      <c r="K132" t="s">
        <v>90</v>
      </c>
      <c r="L132" t="s">
        <v>108</v>
      </c>
      <c r="M132" t="str">
        <f t="shared" ref="M132:M188" si="96">IF(J132="MTL","Preservation Shop","")</f>
        <v>Preservation Shop</v>
      </c>
      <c r="N132" s="50">
        <f t="shared" si="90"/>
        <v>18</v>
      </c>
      <c r="O132" s="45" t="s">
        <v>166</v>
      </c>
      <c r="P132" s="422">
        <f t="shared" si="89"/>
        <v>23.400000000000002</v>
      </c>
      <c r="Q132" s="29" t="s">
        <v>108</v>
      </c>
    </row>
    <row r="133" spans="1:17" x14ac:dyDescent="0.2">
      <c r="A133" t="str">
        <f>'Customer Summary'!$C$10</f>
        <v>Floor Joists &amp; Floor Decking</v>
      </c>
      <c r="C133" t="str">
        <f>Costing!B102</f>
        <v>Install Weyrock flooring 22mm (M2)</v>
      </c>
      <c r="D133" s="30">
        <f>Costing!F102</f>
        <v>1</v>
      </c>
      <c r="E133" s="30">
        <f>Costing!I102</f>
        <v>22</v>
      </c>
      <c r="F133" t="str">
        <f>Costing!G102</f>
        <v>M2</v>
      </c>
      <c r="G133" t="s">
        <v>112</v>
      </c>
      <c r="H133" s="421">
        <f>Costing!J102*100</f>
        <v>30</v>
      </c>
      <c r="I133" t="s">
        <v>89</v>
      </c>
      <c r="J133" t="s">
        <v>99</v>
      </c>
      <c r="K133" t="s">
        <v>90</v>
      </c>
      <c r="L133" t="s">
        <v>108</v>
      </c>
      <c r="M133" t="str">
        <f t="shared" si="96"/>
        <v>Preservation Shop</v>
      </c>
      <c r="N133" s="50">
        <f t="shared" si="90"/>
        <v>22</v>
      </c>
      <c r="O133" s="45" t="s">
        <v>166</v>
      </c>
      <c r="P133" s="422">
        <f t="shared" si="89"/>
        <v>28.6</v>
      </c>
      <c r="Q133" s="29" t="s">
        <v>108</v>
      </c>
    </row>
    <row r="134" spans="1:17" x14ac:dyDescent="0.2">
      <c r="A134" t="str">
        <f>'Customer Summary'!$C$10</f>
        <v>Floor Joists &amp; Floor Decking</v>
      </c>
      <c r="C134" t="str">
        <f>Costing!B103</f>
        <v>Install std T&amp;G Floorboards (M2)</v>
      </c>
      <c r="D134" s="30">
        <f>Costing!F103</f>
        <v>1</v>
      </c>
      <c r="E134" s="30">
        <f>Costing!I103</f>
        <v>46.3</v>
      </c>
      <c r="F134" t="str">
        <f>Costing!G103</f>
        <v>M2</v>
      </c>
      <c r="G134" t="s">
        <v>112</v>
      </c>
      <c r="H134" s="421">
        <f>Costing!J103*100</f>
        <v>30</v>
      </c>
      <c r="I134" t="s">
        <v>89</v>
      </c>
      <c r="J134" t="s">
        <v>99</v>
      </c>
      <c r="K134" t="s">
        <v>90</v>
      </c>
      <c r="L134" t="s">
        <v>108</v>
      </c>
      <c r="M134" t="str">
        <f t="shared" si="96"/>
        <v>Preservation Shop</v>
      </c>
      <c r="N134" s="50">
        <f t="shared" si="90"/>
        <v>46.3</v>
      </c>
      <c r="O134" s="45" t="s">
        <v>166</v>
      </c>
      <c r="P134" s="422">
        <f t="shared" si="89"/>
        <v>60.19</v>
      </c>
      <c r="Q134" s="29" t="s">
        <v>108</v>
      </c>
    </row>
    <row r="135" spans="1:17" x14ac:dyDescent="0.2">
      <c r="A135" t="str">
        <f>'Customer Summary'!$C$10</f>
        <v>Floor Joists &amp; Floor Decking</v>
      </c>
      <c r="C135" t="str">
        <f>Costing!B104</f>
        <v>Install Victorian T&amp;G Floorboards (M2)</v>
      </c>
      <c r="D135" s="30">
        <f>Costing!F104</f>
        <v>1</v>
      </c>
      <c r="E135" s="30">
        <f>Costing!I104</f>
        <v>52.800000000000004</v>
      </c>
      <c r="F135" t="str">
        <f>Costing!G104</f>
        <v>M2</v>
      </c>
      <c r="G135" t="s">
        <v>112</v>
      </c>
      <c r="H135" s="421">
        <f>Costing!J104*100</f>
        <v>30</v>
      </c>
      <c r="I135" t="s">
        <v>89</v>
      </c>
      <c r="J135" t="s">
        <v>99</v>
      </c>
      <c r="K135" t="s">
        <v>90</v>
      </c>
      <c r="L135" t="s">
        <v>108</v>
      </c>
      <c r="M135" t="str">
        <f t="shared" ref="M135" si="97">IF(J135="MTL","Preservation Shop","")</f>
        <v>Preservation Shop</v>
      </c>
      <c r="N135" s="50">
        <f t="shared" ref="N135" si="98">D135*E135</f>
        <v>52.800000000000004</v>
      </c>
      <c r="O135" s="45" t="s">
        <v>166</v>
      </c>
      <c r="P135" s="422">
        <f t="shared" si="89"/>
        <v>68.640000000000015</v>
      </c>
      <c r="Q135" s="29" t="s">
        <v>108</v>
      </c>
    </row>
    <row r="136" spans="1:17" x14ac:dyDescent="0.2">
      <c r="A136" t="str">
        <f>'Customer Summary'!$C$10</f>
        <v>Floor Joists &amp; Floor Decking</v>
      </c>
      <c r="C136" t="str">
        <f>Costing!B105</f>
        <v>Install Engineered Flooring sheet (M2)</v>
      </c>
      <c r="D136" s="30">
        <f>Costing!F105</f>
        <v>1</v>
      </c>
      <c r="E136" s="30">
        <f>Costing!I105</f>
        <v>49.99</v>
      </c>
      <c r="F136" t="str">
        <f>Costing!G105</f>
        <v>M2</v>
      </c>
      <c r="G136" t="s">
        <v>112</v>
      </c>
      <c r="H136" s="421">
        <f>Costing!J105*100</f>
        <v>30</v>
      </c>
      <c r="I136" t="s">
        <v>89</v>
      </c>
      <c r="J136" t="s">
        <v>99</v>
      </c>
      <c r="K136" t="s">
        <v>90</v>
      </c>
      <c r="L136" t="s">
        <v>108</v>
      </c>
      <c r="M136" t="str">
        <f t="shared" ref="M136" si="99">IF(J136="MTL","Preservation Shop","")</f>
        <v>Preservation Shop</v>
      </c>
      <c r="N136" s="50">
        <f t="shared" ref="N136" si="100">D136*E136</f>
        <v>49.99</v>
      </c>
      <c r="O136" s="45" t="s">
        <v>166</v>
      </c>
      <c r="P136" s="422">
        <f t="shared" si="89"/>
        <v>64.987000000000009</v>
      </c>
      <c r="Q136" s="29" t="s">
        <v>108</v>
      </c>
    </row>
    <row r="137" spans="1:17" x14ac:dyDescent="0.2">
      <c r="A137" t="str">
        <f>'Customer Summary'!$C$10</f>
        <v>Floor Joists &amp; Floor Decking</v>
      </c>
      <c r="C137" t="str">
        <f>Costing!B106</f>
        <v>Install Structural Engineered Flooring sheet (M2) onto joists</v>
      </c>
      <c r="D137" s="30">
        <f>Costing!F106</f>
        <v>1</v>
      </c>
      <c r="E137" s="30">
        <f>Costing!I106</f>
        <v>52.800000000000004</v>
      </c>
      <c r="F137" t="str">
        <f>Costing!G106</f>
        <v>M2</v>
      </c>
      <c r="G137" t="s">
        <v>112</v>
      </c>
      <c r="H137" s="421">
        <f>Costing!J106*100</f>
        <v>30</v>
      </c>
      <c r="I137" t="s">
        <v>89</v>
      </c>
      <c r="J137" t="s">
        <v>99</v>
      </c>
      <c r="K137" t="s">
        <v>90</v>
      </c>
      <c r="L137" t="s">
        <v>108</v>
      </c>
      <c r="M137" t="str">
        <f t="shared" ref="M137" si="101">IF(J137="MTL","Preservation Shop","")</f>
        <v>Preservation Shop</v>
      </c>
      <c r="N137" s="50">
        <f t="shared" ref="N137" si="102">D137*E137</f>
        <v>52.800000000000004</v>
      </c>
      <c r="O137" s="45" t="s">
        <v>166</v>
      </c>
      <c r="P137" s="422">
        <f t="shared" ref="P137" si="103">N137*(1+(H137/100))</f>
        <v>68.640000000000015</v>
      </c>
      <c r="Q137" s="29" t="s">
        <v>108</v>
      </c>
    </row>
    <row r="138" spans="1:17" x14ac:dyDescent="0.2">
      <c r="A138" t="str">
        <f>'Customer Summary'!$C$10</f>
        <v>Floor Joists &amp; Floor Decking</v>
      </c>
      <c r="C138" t="str">
        <f>Costing!B107</f>
        <v>Provide insulation to suspended flooring</v>
      </c>
      <c r="D138" s="30">
        <f>Costing!F107</f>
        <v>0</v>
      </c>
      <c r="E138" s="30">
        <f>Costing!I107</f>
        <v>6.8000000000000007</v>
      </c>
      <c r="F138" t="str">
        <f>Costing!G107</f>
        <v>M2</v>
      </c>
      <c r="G138" t="s">
        <v>112</v>
      </c>
      <c r="H138" s="421">
        <f>Costing!J107*100</f>
        <v>30</v>
      </c>
      <c r="I138" t="s">
        <v>89</v>
      </c>
      <c r="J138" t="s">
        <v>99</v>
      </c>
      <c r="K138" t="s">
        <v>90</v>
      </c>
      <c r="L138" t="s">
        <v>108</v>
      </c>
      <c r="M138" t="str">
        <f t="shared" si="96"/>
        <v>Preservation Shop</v>
      </c>
      <c r="N138" s="50">
        <f t="shared" si="90"/>
        <v>0</v>
      </c>
      <c r="O138" s="45" t="s">
        <v>166</v>
      </c>
      <c r="P138" s="422">
        <f t="shared" si="89"/>
        <v>0</v>
      </c>
      <c r="Q138" s="29" t="s">
        <v>108</v>
      </c>
    </row>
    <row r="139" spans="1:17" x14ac:dyDescent="0.2">
      <c r="A139" t="str">
        <f>'Customer Summary'!$C$10</f>
        <v>Floor Joists &amp; Floor Decking</v>
      </c>
      <c r="C139" t="str">
        <f>Costing!B108</f>
        <v>Difficulty hours (additional hours if required)</v>
      </c>
      <c r="D139" s="30">
        <f>Costing!F108</f>
        <v>0</v>
      </c>
      <c r="E139" s="30">
        <f>Costing!H108</f>
        <v>0</v>
      </c>
      <c r="F139" t="str">
        <f>Costing!G108</f>
        <v>Hours</v>
      </c>
      <c r="G139" t="s">
        <v>112</v>
      </c>
      <c r="H139" s="421">
        <f>Costing!J108*100</f>
        <v>0</v>
      </c>
      <c r="I139" t="s">
        <v>89</v>
      </c>
      <c r="J139" t="s">
        <v>99</v>
      </c>
      <c r="K139" t="s">
        <v>90</v>
      </c>
      <c r="L139" t="s">
        <v>108</v>
      </c>
      <c r="M139" t="str">
        <f t="shared" ref="M139" si="104">IF(J139="MTL","Preservation Shop","")</f>
        <v>Preservation Shop</v>
      </c>
      <c r="N139" s="50">
        <f t="shared" ref="N139" si="105">D139*E139</f>
        <v>0</v>
      </c>
      <c r="O139" s="45" t="s">
        <v>166</v>
      </c>
      <c r="P139" s="422">
        <f t="shared" si="89"/>
        <v>0</v>
      </c>
      <c r="Q139" s="29" t="s">
        <v>108</v>
      </c>
    </row>
    <row r="140" spans="1:17" x14ac:dyDescent="0.2">
      <c r="A140" t="str">
        <f>'Customer Summary'!$C$10</f>
        <v>Floor Joists &amp; Floor Decking</v>
      </c>
      <c r="C140" s="9" t="str">
        <f>Costing!M101</f>
        <v>Install Weyrock flooring 18mm (M2)</v>
      </c>
      <c r="D140" s="30">
        <f>Costing!O101</f>
        <v>0.4</v>
      </c>
      <c r="E140" s="30">
        <f>Costing!Q101</f>
        <v>30.630000000000003</v>
      </c>
      <c r="F140" t="s">
        <v>3</v>
      </c>
      <c r="G140" t="s">
        <v>110</v>
      </c>
      <c r="H140" s="421">
        <f>Costing!R101*100</f>
        <v>100</v>
      </c>
      <c r="I140" t="s">
        <v>89</v>
      </c>
      <c r="J140" t="s">
        <v>97</v>
      </c>
      <c r="K140" t="s">
        <v>90</v>
      </c>
      <c r="L140" t="s">
        <v>108</v>
      </c>
      <c r="M140" t="str">
        <f t="shared" si="96"/>
        <v/>
      </c>
      <c r="N140" s="50">
        <f t="shared" si="90"/>
        <v>12.252000000000002</v>
      </c>
      <c r="O140" s="45" t="s">
        <v>166</v>
      </c>
      <c r="P140" s="422">
        <f t="shared" si="89"/>
        <v>24.504000000000005</v>
      </c>
      <c r="Q140" s="29" t="s">
        <v>108</v>
      </c>
    </row>
    <row r="141" spans="1:17" x14ac:dyDescent="0.2">
      <c r="A141" t="str">
        <f>'Customer Summary'!$C$10</f>
        <v>Floor Joists &amp; Floor Decking</v>
      </c>
      <c r="C141" s="9" t="str">
        <f>Costing!M102</f>
        <v>Install Weyrock flooring 22mm (M2)</v>
      </c>
      <c r="D141" s="30">
        <f>Costing!O102</f>
        <v>0.42499999999999999</v>
      </c>
      <c r="E141" s="30">
        <f>Costing!Q102</f>
        <v>30.630000000000003</v>
      </c>
      <c r="F141" t="s">
        <v>3</v>
      </c>
      <c r="G141" t="s">
        <v>110</v>
      </c>
      <c r="H141" s="421">
        <f>Costing!R102*100</f>
        <v>100</v>
      </c>
      <c r="I141" t="s">
        <v>89</v>
      </c>
      <c r="J141" t="s">
        <v>97</v>
      </c>
      <c r="K141" t="s">
        <v>90</v>
      </c>
      <c r="L141" t="s">
        <v>108</v>
      </c>
      <c r="M141" t="str">
        <f t="shared" si="96"/>
        <v/>
      </c>
      <c r="N141" s="50">
        <f t="shared" si="90"/>
        <v>13.017750000000001</v>
      </c>
      <c r="O141" s="45" t="s">
        <v>166</v>
      </c>
      <c r="P141" s="422">
        <f t="shared" si="89"/>
        <v>26.035500000000003</v>
      </c>
      <c r="Q141" s="29" t="s">
        <v>108</v>
      </c>
    </row>
    <row r="142" spans="1:17" x14ac:dyDescent="0.2">
      <c r="A142" t="str">
        <f>'Customer Summary'!$C$10</f>
        <v>Floor Joists &amp; Floor Decking</v>
      </c>
      <c r="C142" s="9" t="str">
        <f>Costing!M103</f>
        <v>Install std T&amp;G Floorboards (M2)</v>
      </c>
      <c r="D142" s="30">
        <f>Costing!O103</f>
        <v>0.6</v>
      </c>
      <c r="E142" s="30">
        <f>Costing!Q103</f>
        <v>30.630000000000003</v>
      </c>
      <c r="F142" t="s">
        <v>3</v>
      </c>
      <c r="G142" t="s">
        <v>110</v>
      </c>
      <c r="H142" s="421">
        <f>Costing!R103*100</f>
        <v>100</v>
      </c>
      <c r="I142" t="s">
        <v>89</v>
      </c>
      <c r="J142" t="s">
        <v>97</v>
      </c>
      <c r="K142" t="s">
        <v>90</v>
      </c>
      <c r="L142" t="s">
        <v>108</v>
      </c>
      <c r="M142" t="str">
        <f t="shared" si="96"/>
        <v/>
      </c>
      <c r="N142" s="50">
        <f t="shared" si="90"/>
        <v>18.378</v>
      </c>
      <c r="O142" s="45" t="s">
        <v>166</v>
      </c>
      <c r="P142" s="422">
        <f t="shared" si="89"/>
        <v>36.756</v>
      </c>
      <c r="Q142" s="29" t="s">
        <v>108</v>
      </c>
    </row>
    <row r="143" spans="1:17" x14ac:dyDescent="0.2">
      <c r="A143" t="str">
        <f>'Customer Summary'!$C$10</f>
        <v>Floor Joists &amp; Floor Decking</v>
      </c>
      <c r="C143" s="9" t="str">
        <f>Costing!M104</f>
        <v>Install Victorian T&amp;G Floorboards (M2)</v>
      </c>
      <c r="D143" s="30">
        <f>Costing!O104</f>
        <v>0.6</v>
      </c>
      <c r="E143" s="30">
        <f>Costing!Q104</f>
        <v>30.630000000000003</v>
      </c>
      <c r="F143" t="s">
        <v>3</v>
      </c>
      <c r="G143" t="s">
        <v>110</v>
      </c>
      <c r="H143" s="421">
        <f>Costing!R104*100</f>
        <v>100</v>
      </c>
      <c r="I143" t="s">
        <v>89</v>
      </c>
      <c r="J143" t="s">
        <v>97</v>
      </c>
      <c r="K143" t="s">
        <v>90</v>
      </c>
      <c r="L143" t="s">
        <v>108</v>
      </c>
      <c r="M143" t="str">
        <f t="shared" ref="M143" si="106">IF(J143="MTL","Preservation Shop","")</f>
        <v/>
      </c>
      <c r="N143" s="50">
        <f t="shared" ref="N143" si="107">D143*E143</f>
        <v>18.378</v>
      </c>
      <c r="O143" s="45" t="s">
        <v>166</v>
      </c>
      <c r="P143" s="422">
        <f t="shared" si="89"/>
        <v>36.756</v>
      </c>
      <c r="Q143" s="29" t="s">
        <v>108</v>
      </c>
    </row>
    <row r="144" spans="1:17" x14ac:dyDescent="0.2">
      <c r="A144" t="str">
        <f>'Customer Summary'!$C$10</f>
        <v>Floor Joists &amp; Floor Decking</v>
      </c>
      <c r="C144" s="9" t="str">
        <f>Costing!M105</f>
        <v>Install Engineered Flooring sheet (M2)</v>
      </c>
      <c r="D144" s="30">
        <f>Costing!O105</f>
        <v>0.4</v>
      </c>
      <c r="E144" s="30">
        <f>Costing!Q105</f>
        <v>30.630000000000003</v>
      </c>
      <c r="F144" t="s">
        <v>3</v>
      </c>
      <c r="G144" t="s">
        <v>110</v>
      </c>
      <c r="H144" s="421">
        <f>Costing!R105*100</f>
        <v>100</v>
      </c>
      <c r="I144" t="s">
        <v>89</v>
      </c>
      <c r="J144" t="s">
        <v>97</v>
      </c>
      <c r="K144" t="s">
        <v>90</v>
      </c>
      <c r="L144" t="s">
        <v>108</v>
      </c>
      <c r="M144" t="str">
        <f t="shared" ref="M144" si="108">IF(J144="MTL","Preservation Shop","")</f>
        <v/>
      </c>
      <c r="N144" s="50">
        <f t="shared" ref="N144" si="109">D144*E144</f>
        <v>12.252000000000002</v>
      </c>
      <c r="O144" s="45" t="s">
        <v>166</v>
      </c>
      <c r="P144" s="422">
        <f t="shared" si="89"/>
        <v>24.504000000000005</v>
      </c>
      <c r="Q144" s="29" t="s">
        <v>108</v>
      </c>
    </row>
    <row r="145" spans="1:17" x14ac:dyDescent="0.2">
      <c r="A145" t="str">
        <f>'Customer Summary'!$C$10</f>
        <v>Floor Joists &amp; Floor Decking</v>
      </c>
      <c r="C145" s="9" t="str">
        <f>Costing!M106</f>
        <v>Install Structural Engineered Flooring sheet (M2) onto joists</v>
      </c>
      <c r="D145" s="30">
        <f>Costing!O106</f>
        <v>0.9</v>
      </c>
      <c r="E145" s="30">
        <f>Costing!Q106</f>
        <v>30.630000000000003</v>
      </c>
      <c r="F145" t="s">
        <v>3</v>
      </c>
      <c r="G145" t="s">
        <v>110</v>
      </c>
      <c r="H145" s="421">
        <f>Costing!R106*100</f>
        <v>100</v>
      </c>
      <c r="I145" t="s">
        <v>89</v>
      </c>
      <c r="J145" t="s">
        <v>97</v>
      </c>
      <c r="K145" t="s">
        <v>90</v>
      </c>
      <c r="L145" t="s">
        <v>108</v>
      </c>
      <c r="M145" t="str">
        <f t="shared" ref="M145" si="110">IF(J145="MTL","Preservation Shop","")</f>
        <v/>
      </c>
      <c r="N145" s="50">
        <f t="shared" ref="N145" si="111">D145*E145</f>
        <v>27.567000000000004</v>
      </c>
      <c r="O145" s="45" t="s">
        <v>166</v>
      </c>
      <c r="P145" s="422">
        <f t="shared" ref="P145" si="112">N145*(1+(H145/100))</f>
        <v>55.134000000000007</v>
      </c>
      <c r="Q145" s="29" t="s">
        <v>108</v>
      </c>
    </row>
    <row r="146" spans="1:17" x14ac:dyDescent="0.2">
      <c r="A146" t="str">
        <f>'Customer Summary'!$C$10</f>
        <v>Floor Joists &amp; Floor Decking</v>
      </c>
      <c r="C146" s="9" t="str">
        <f>Costing!M107</f>
        <v>Provide insulation to suspended flooring</v>
      </c>
      <c r="D146" s="30">
        <f>Costing!O107</f>
        <v>0</v>
      </c>
      <c r="E146" s="30">
        <f>Costing!Q107</f>
        <v>30.630000000000003</v>
      </c>
      <c r="F146" t="s">
        <v>3</v>
      </c>
      <c r="G146" t="s">
        <v>110</v>
      </c>
      <c r="H146" s="421">
        <f>Costing!R107*100</f>
        <v>100</v>
      </c>
      <c r="I146" t="s">
        <v>89</v>
      </c>
      <c r="J146" t="s">
        <v>97</v>
      </c>
      <c r="K146" t="s">
        <v>90</v>
      </c>
      <c r="L146" t="s">
        <v>108</v>
      </c>
      <c r="M146" t="str">
        <f t="shared" si="96"/>
        <v/>
      </c>
      <c r="N146" s="50">
        <f t="shared" si="90"/>
        <v>0</v>
      </c>
      <c r="O146" s="45" t="s">
        <v>166</v>
      </c>
      <c r="P146" s="422">
        <f t="shared" si="89"/>
        <v>0</v>
      </c>
      <c r="Q146" s="29" t="s">
        <v>108</v>
      </c>
    </row>
    <row r="147" spans="1:17" x14ac:dyDescent="0.2">
      <c r="A147" t="str">
        <f>'Customer Summary'!$C$10</f>
        <v>Floor Joists &amp; Floor Decking</v>
      </c>
      <c r="C147" s="9" t="str">
        <f>Costing!M108</f>
        <v>Difficulty hours (additional hours if required)</v>
      </c>
      <c r="D147" s="30">
        <f>Costing!O108</f>
        <v>0</v>
      </c>
      <c r="E147" s="30">
        <f>Costing!Q108</f>
        <v>30.630000000000003</v>
      </c>
      <c r="F147" t="s">
        <v>3</v>
      </c>
      <c r="G147" t="s">
        <v>110</v>
      </c>
      <c r="H147" s="421">
        <f>Costing!R108*100</f>
        <v>100</v>
      </c>
      <c r="I147" t="s">
        <v>89</v>
      </c>
      <c r="J147" t="s">
        <v>97</v>
      </c>
      <c r="K147" t="s">
        <v>90</v>
      </c>
      <c r="L147" t="s">
        <v>108</v>
      </c>
      <c r="M147" t="str">
        <f t="shared" ref="M147" si="113">IF(J147="MTL","Preservation Shop","")</f>
        <v/>
      </c>
      <c r="N147" s="50">
        <f t="shared" ref="N147" si="114">D147*E147</f>
        <v>0</v>
      </c>
      <c r="O147" s="45" t="s">
        <v>166</v>
      </c>
      <c r="P147" s="422">
        <f t="shared" si="89"/>
        <v>0</v>
      </c>
      <c r="Q147" s="29" t="s">
        <v>108</v>
      </c>
    </row>
    <row r="148" spans="1:17" s="47" customFormat="1" x14ac:dyDescent="0.2">
      <c r="A148" s="47" t="str">
        <f>'Customer Summary'!$C$10</f>
        <v>Floor Joists &amp; Floor Decking</v>
      </c>
      <c r="C148" s="47" t="str">
        <f>_xlfn.CONCAT(A148," - Materials")</f>
        <v>Floor Joists &amp; Floor Decking - Materials</v>
      </c>
      <c r="D148" s="48">
        <v>1</v>
      </c>
      <c r="E148" s="48">
        <f>N148</f>
        <v>241.89000000000001</v>
      </c>
      <c r="F148" s="47" t="s">
        <v>165</v>
      </c>
      <c r="G148" s="47" t="s">
        <v>112</v>
      </c>
      <c r="H148" s="48">
        <f>((P148-N148)/N148)*100</f>
        <v>29.999999999999989</v>
      </c>
      <c r="I148" s="47" t="s">
        <v>89</v>
      </c>
      <c r="J148" s="47" t="s">
        <v>99</v>
      </c>
      <c r="K148" s="47" t="s">
        <v>90</v>
      </c>
      <c r="L148" s="47" t="str">
        <f>'Customer Summary'!D10</f>
        <v>No</v>
      </c>
      <c r="M148" s="47" t="str">
        <f t="shared" si="96"/>
        <v>Preservation Shop</v>
      </c>
      <c r="N148" s="51">
        <f>SUM(N110:N120)+SUM(N132:N139)</f>
        <v>241.89000000000001</v>
      </c>
      <c r="O148" s="49" t="str">
        <f t="shared" ref="O148" si="115">IF(N148=0,"DELETE","LEAVE")</f>
        <v>LEAVE</v>
      </c>
      <c r="P148" s="51">
        <f>SUM(P110:P120)+SUM(P132:P139)</f>
        <v>314.45699999999999</v>
      </c>
      <c r="Q148" s="49" t="s">
        <v>90</v>
      </c>
    </row>
    <row r="149" spans="1:17" s="47" customFormat="1" x14ac:dyDescent="0.2">
      <c r="A149" s="47" t="str">
        <f>'Customer Summary'!$C$10</f>
        <v>Floor Joists &amp; Floor Decking</v>
      </c>
      <c r="C149" s="47" t="str">
        <f>_xlfn.CONCAT(A149," - Labour")</f>
        <v>Floor Joists &amp; Floor Decking - Labour</v>
      </c>
      <c r="D149" s="48">
        <f>SUM(D121:D131,D140:D147)</f>
        <v>3.3249999999999997</v>
      </c>
      <c r="E149" s="48">
        <f>N149/D149</f>
        <v>30.630000000000003</v>
      </c>
      <c r="F149" s="47" t="s">
        <v>3</v>
      </c>
      <c r="G149" s="47" t="s">
        <v>110</v>
      </c>
      <c r="H149" s="48">
        <f>((P149-N149)/N149)*100</f>
        <v>100</v>
      </c>
      <c r="I149" s="47" t="s">
        <v>89</v>
      </c>
      <c r="J149" s="47" t="s">
        <v>97</v>
      </c>
      <c r="K149" s="47" t="s">
        <v>90</v>
      </c>
      <c r="L149" s="47" t="str">
        <f>L148</f>
        <v>No</v>
      </c>
      <c r="M149" s="47" t="str">
        <f t="shared" si="96"/>
        <v/>
      </c>
      <c r="N149" s="51">
        <f>SUM(N121:N131)+SUM(N140:N147)</f>
        <v>101.84475</v>
      </c>
      <c r="O149" s="49" t="str">
        <f>IF(N149=0,"DELETE","LEAVE")</f>
        <v>LEAVE</v>
      </c>
      <c r="P149" s="51">
        <f>SUM(P121:P131)+SUM(P140:P147)</f>
        <v>203.68950000000001</v>
      </c>
      <c r="Q149" s="49" t="s">
        <v>90</v>
      </c>
    </row>
    <row r="150" spans="1:17" x14ac:dyDescent="0.2">
      <c r="A150" s="41"/>
      <c r="B150" s="41"/>
      <c r="C150" s="41"/>
      <c r="D150" s="42"/>
      <c r="E150" s="42"/>
      <c r="F150" s="41"/>
      <c r="G150" s="41"/>
      <c r="H150" s="42"/>
      <c r="I150" s="41"/>
      <c r="J150" s="41"/>
      <c r="K150" s="41"/>
      <c r="L150" s="41"/>
      <c r="M150" s="41"/>
      <c r="N150" s="43"/>
      <c r="O150" s="44" t="s">
        <v>166</v>
      </c>
      <c r="P150" s="43"/>
      <c r="Q150" s="43"/>
    </row>
    <row r="151" spans="1:17" x14ac:dyDescent="0.2">
      <c r="A151" t="str">
        <f>'Customer Summary'!$C$11</f>
        <v>Airbricks</v>
      </c>
      <c r="C151" s="9" t="str">
        <f>Costing!B112</f>
        <v>Clean out airbrick/fit new face</v>
      </c>
      <c r="D151" s="30">
        <f>Costing!F112</f>
        <v>0</v>
      </c>
      <c r="E151" s="30">
        <f>Costing!I112</f>
        <v>16</v>
      </c>
      <c r="F151" t="str">
        <f>Costing!G112</f>
        <v>Each</v>
      </c>
      <c r="G151" t="s">
        <v>112</v>
      </c>
      <c r="H151" s="421">
        <f>Costing!J112*100</f>
        <v>30</v>
      </c>
      <c r="I151" t="s">
        <v>89</v>
      </c>
      <c r="J151" t="s">
        <v>99</v>
      </c>
      <c r="K151" t="s">
        <v>90</v>
      </c>
      <c r="L151" t="s">
        <v>108</v>
      </c>
      <c r="M151" t="str">
        <f t="shared" si="96"/>
        <v>Preservation Shop</v>
      </c>
      <c r="N151" s="50">
        <f t="shared" si="90"/>
        <v>0</v>
      </c>
      <c r="O151" s="45" t="s">
        <v>166</v>
      </c>
      <c r="P151" s="422">
        <f t="shared" ref="P151:P156" si="116">N151*(1+(H151/100))</f>
        <v>0</v>
      </c>
      <c r="Q151" s="29" t="s">
        <v>108</v>
      </c>
    </row>
    <row r="152" spans="1:17" x14ac:dyDescent="0.2">
      <c r="A152" t="str">
        <f>'Customer Summary'!$C$11</f>
        <v>Airbricks</v>
      </c>
      <c r="C152" s="9" t="str">
        <f>Costing!B113</f>
        <v>Lift / upgrade existing airbrick/fit new face</v>
      </c>
      <c r="D152" s="30">
        <f>Costing!F113</f>
        <v>0</v>
      </c>
      <c r="E152" s="30">
        <f>Costing!I113</f>
        <v>16</v>
      </c>
      <c r="F152" t="str">
        <f>Costing!G113</f>
        <v>Each</v>
      </c>
      <c r="G152" t="s">
        <v>112</v>
      </c>
      <c r="H152" s="421">
        <f>Costing!J113*100</f>
        <v>30</v>
      </c>
      <c r="I152" t="s">
        <v>89</v>
      </c>
      <c r="J152" t="s">
        <v>99</v>
      </c>
      <c r="K152" t="s">
        <v>90</v>
      </c>
      <c r="L152" t="s">
        <v>108</v>
      </c>
      <c r="M152" t="str">
        <f t="shared" si="96"/>
        <v>Preservation Shop</v>
      </c>
      <c r="N152" s="50">
        <f t="shared" si="90"/>
        <v>0</v>
      </c>
      <c r="O152" s="45" t="s">
        <v>166</v>
      </c>
      <c r="P152" s="422">
        <f t="shared" si="116"/>
        <v>0</v>
      </c>
      <c r="Q152" s="29" t="s">
        <v>108</v>
      </c>
    </row>
    <row r="153" spans="1:17" x14ac:dyDescent="0.2">
      <c r="A153" t="str">
        <f>'Customer Summary'!$C$11</f>
        <v>Airbricks</v>
      </c>
      <c r="C153" s="9" t="str">
        <f>Costing!B114</f>
        <v>Install additional  airbrick</v>
      </c>
      <c r="D153" s="30">
        <f>Costing!F114</f>
        <v>0</v>
      </c>
      <c r="E153" s="30">
        <f>Costing!I114</f>
        <v>16</v>
      </c>
      <c r="F153" t="str">
        <f>Costing!G114</f>
        <v>Each</v>
      </c>
      <c r="G153" t="s">
        <v>112</v>
      </c>
      <c r="H153" s="421">
        <f>Costing!J114*100</f>
        <v>30</v>
      </c>
      <c r="I153" t="s">
        <v>89</v>
      </c>
      <c r="J153" t="s">
        <v>99</v>
      </c>
      <c r="K153" t="s">
        <v>90</v>
      </c>
      <c r="L153" t="s">
        <v>108</v>
      </c>
      <c r="M153" t="str">
        <f t="shared" si="96"/>
        <v>Preservation Shop</v>
      </c>
      <c r="N153" s="50">
        <f t="shared" si="90"/>
        <v>0</v>
      </c>
      <c r="O153" s="45" t="s">
        <v>166</v>
      </c>
      <c r="P153" s="422">
        <f t="shared" si="116"/>
        <v>0</v>
      </c>
      <c r="Q153" s="29" t="s">
        <v>108</v>
      </c>
    </row>
    <row r="154" spans="1:17" x14ac:dyDescent="0.2">
      <c r="A154" t="str">
        <f>'Customer Summary'!$C$11</f>
        <v>Airbricks</v>
      </c>
      <c r="C154" t="str">
        <f>Costing!M112</f>
        <v>Clean out airbrick/fit new face</v>
      </c>
      <c r="D154" s="30">
        <f>Costing!O112</f>
        <v>0</v>
      </c>
      <c r="E154" s="30">
        <f>Costing!Q112</f>
        <v>30.630000000000003</v>
      </c>
      <c r="F154" t="s">
        <v>3</v>
      </c>
      <c r="G154" t="s">
        <v>110</v>
      </c>
      <c r="H154" s="421">
        <f>Costing!R112*100</f>
        <v>100</v>
      </c>
      <c r="I154" t="s">
        <v>89</v>
      </c>
      <c r="J154" t="s">
        <v>97</v>
      </c>
      <c r="K154" t="s">
        <v>90</v>
      </c>
      <c r="L154" t="s">
        <v>108</v>
      </c>
      <c r="M154" t="str">
        <f t="shared" si="96"/>
        <v/>
      </c>
      <c r="N154" s="50">
        <f t="shared" si="90"/>
        <v>0</v>
      </c>
      <c r="O154" s="45" t="s">
        <v>166</v>
      </c>
      <c r="P154" s="422">
        <f t="shared" si="116"/>
        <v>0</v>
      </c>
      <c r="Q154" s="29" t="s">
        <v>108</v>
      </c>
    </row>
    <row r="155" spans="1:17" x14ac:dyDescent="0.2">
      <c r="A155" t="str">
        <f>'Customer Summary'!$C$11</f>
        <v>Airbricks</v>
      </c>
      <c r="C155" t="str">
        <f>Costing!M113</f>
        <v>Lift / upgrade existing airbrick/fit new face</v>
      </c>
      <c r="D155" s="30">
        <f>Costing!O113</f>
        <v>0</v>
      </c>
      <c r="E155" s="30">
        <f>Costing!Q113</f>
        <v>30.630000000000003</v>
      </c>
      <c r="F155" t="s">
        <v>3</v>
      </c>
      <c r="G155" t="s">
        <v>110</v>
      </c>
      <c r="H155" s="421">
        <f>Costing!R113*100</f>
        <v>100</v>
      </c>
      <c r="I155" t="s">
        <v>89</v>
      </c>
      <c r="J155" t="s">
        <v>97</v>
      </c>
      <c r="K155" t="s">
        <v>90</v>
      </c>
      <c r="L155" t="s">
        <v>108</v>
      </c>
      <c r="M155" t="str">
        <f t="shared" si="96"/>
        <v/>
      </c>
      <c r="N155" s="50">
        <f t="shared" si="90"/>
        <v>0</v>
      </c>
      <c r="O155" s="45" t="s">
        <v>166</v>
      </c>
      <c r="P155" s="422">
        <f t="shared" si="116"/>
        <v>0</v>
      </c>
      <c r="Q155" s="29" t="s">
        <v>108</v>
      </c>
    </row>
    <row r="156" spans="1:17" x14ac:dyDescent="0.2">
      <c r="A156" t="str">
        <f>'Customer Summary'!$C$11</f>
        <v>Airbricks</v>
      </c>
      <c r="C156" t="str">
        <f>Costing!M114</f>
        <v>Install additional  airbrick</v>
      </c>
      <c r="D156" s="30">
        <f>Costing!O114</f>
        <v>0</v>
      </c>
      <c r="E156" s="30">
        <f>Costing!Q114</f>
        <v>30.630000000000003</v>
      </c>
      <c r="F156" t="s">
        <v>3</v>
      </c>
      <c r="G156" t="s">
        <v>110</v>
      </c>
      <c r="H156" s="421">
        <f>Costing!R114*100</f>
        <v>100</v>
      </c>
      <c r="I156" t="s">
        <v>89</v>
      </c>
      <c r="J156" t="s">
        <v>97</v>
      </c>
      <c r="K156" t="s">
        <v>90</v>
      </c>
      <c r="L156" t="s">
        <v>108</v>
      </c>
      <c r="M156" t="str">
        <f t="shared" si="96"/>
        <v/>
      </c>
      <c r="N156" s="50">
        <f t="shared" si="90"/>
        <v>0</v>
      </c>
      <c r="O156" s="45" t="s">
        <v>166</v>
      </c>
      <c r="P156" s="422">
        <f t="shared" si="116"/>
        <v>0</v>
      </c>
      <c r="Q156" s="29" t="s">
        <v>108</v>
      </c>
    </row>
    <row r="157" spans="1:17" s="47" customFormat="1" x14ac:dyDescent="0.2">
      <c r="A157" s="47" t="str">
        <f>'Customer Summary'!$C$11</f>
        <v>Airbricks</v>
      </c>
      <c r="C157" s="47" t="str">
        <f>_xlfn.CONCAT(A157," - Materials")</f>
        <v>Airbricks - Materials</v>
      </c>
      <c r="D157" s="48">
        <v>1</v>
      </c>
      <c r="E157" s="48">
        <f>N157</f>
        <v>0</v>
      </c>
      <c r="F157" s="47" t="s">
        <v>165</v>
      </c>
      <c r="G157" s="47" t="s">
        <v>112</v>
      </c>
      <c r="H157" s="48" t="e">
        <f>((P157-N157)/N157)*100</f>
        <v>#DIV/0!</v>
      </c>
      <c r="I157" s="47" t="s">
        <v>89</v>
      </c>
      <c r="J157" s="47" t="s">
        <v>99</v>
      </c>
      <c r="K157" s="47" t="s">
        <v>90</v>
      </c>
      <c r="L157" s="47" t="str">
        <f>'Customer Summary'!D11</f>
        <v>No</v>
      </c>
      <c r="M157" s="47" t="str">
        <f t="shared" ref="M157:M158" si="117">IF(J157="MTL","Preservation Shop","")</f>
        <v>Preservation Shop</v>
      </c>
      <c r="N157" s="51">
        <f>SUM(N151:N153)</f>
        <v>0</v>
      </c>
      <c r="O157" s="49" t="str">
        <f t="shared" ref="O157" si="118">IF(N157=0,"DELETE","LEAVE")</f>
        <v>DELETE</v>
      </c>
      <c r="P157" s="51">
        <f>SUM(P151:P153)</f>
        <v>0</v>
      </c>
      <c r="Q157" s="49" t="s">
        <v>90</v>
      </c>
    </row>
    <row r="158" spans="1:17" s="47" customFormat="1" x14ac:dyDescent="0.2">
      <c r="A158" s="47" t="str">
        <f>'Customer Summary'!$C$11</f>
        <v>Airbricks</v>
      </c>
      <c r="C158" s="47" t="str">
        <f>_xlfn.CONCAT(A158," - Labour")</f>
        <v>Airbricks - Labour</v>
      </c>
      <c r="D158" s="48">
        <f>SUM(D154:D156)</f>
        <v>0</v>
      </c>
      <c r="E158" s="48" t="e">
        <f>N158/D158</f>
        <v>#DIV/0!</v>
      </c>
      <c r="F158" s="47" t="s">
        <v>3</v>
      </c>
      <c r="G158" s="47" t="s">
        <v>110</v>
      </c>
      <c r="H158" s="48" t="e">
        <f>((P158-N158)/N158)*100</f>
        <v>#DIV/0!</v>
      </c>
      <c r="I158" s="47" t="s">
        <v>89</v>
      </c>
      <c r="J158" s="47" t="s">
        <v>97</v>
      </c>
      <c r="K158" s="47" t="s">
        <v>90</v>
      </c>
      <c r="L158" s="47" t="str">
        <f>L157</f>
        <v>No</v>
      </c>
      <c r="M158" s="47" t="str">
        <f t="shared" si="117"/>
        <v/>
      </c>
      <c r="N158" s="51">
        <f>SUM(N154:N156)</f>
        <v>0</v>
      </c>
      <c r="O158" s="49" t="str">
        <f>IF(N158=0,"DELETE","LEAVE")</f>
        <v>DELETE</v>
      </c>
      <c r="P158" s="51">
        <f>SUM(P154:P156)</f>
        <v>0</v>
      </c>
      <c r="Q158" s="49" t="s">
        <v>90</v>
      </c>
    </row>
    <row r="159" spans="1:17" x14ac:dyDescent="0.2">
      <c r="A159" s="41"/>
      <c r="B159" s="41"/>
      <c r="C159" s="41"/>
      <c r="D159" s="42"/>
      <c r="E159" s="42"/>
      <c r="F159" s="41"/>
      <c r="G159" s="41"/>
      <c r="H159" s="42"/>
      <c r="I159" s="41"/>
      <c r="J159" s="41"/>
      <c r="K159" s="41"/>
      <c r="L159" s="41"/>
      <c r="M159" s="41"/>
      <c r="N159" s="43"/>
      <c r="O159" s="44" t="s">
        <v>166</v>
      </c>
      <c r="P159" s="43"/>
      <c r="Q159" s="43"/>
    </row>
    <row r="160" spans="1:17" x14ac:dyDescent="0.2">
      <c r="A160" t="str">
        <f>'Customer Summary'!$C$12</f>
        <v>Spray treatments</v>
      </c>
      <c r="C160" s="9" t="str">
        <f>Costing!B118</f>
        <v>Fog sub floor void with anti fungal treatment</v>
      </c>
      <c r="D160" s="30">
        <f>Costing!F118</f>
        <v>0</v>
      </c>
      <c r="E160" s="30">
        <f>Costing!I118</f>
        <v>0</v>
      </c>
      <c r="F160" t="str">
        <f>Costing!G118</f>
        <v>M2</v>
      </c>
      <c r="G160" t="s">
        <v>112</v>
      </c>
      <c r="H160" s="421">
        <f>Costing!J118*100</f>
        <v>30</v>
      </c>
      <c r="I160" t="s">
        <v>89</v>
      </c>
      <c r="J160" t="s">
        <v>99</v>
      </c>
      <c r="K160" t="s">
        <v>90</v>
      </c>
      <c r="L160" t="s">
        <v>108</v>
      </c>
      <c r="M160" t="str">
        <f t="shared" ref="M160:M165" si="119">IF(J160="MTL","Preservation Shop","")</f>
        <v>Preservation Shop</v>
      </c>
      <c r="N160" s="50">
        <f t="shared" ref="N160:N162" si="120">D160*E160</f>
        <v>0</v>
      </c>
      <c r="O160" s="45" t="s">
        <v>166</v>
      </c>
      <c r="P160" s="422">
        <f t="shared" ref="P160:P163" si="121">N160*(1+(H160/100))</f>
        <v>0</v>
      </c>
      <c r="Q160" s="29" t="s">
        <v>108</v>
      </c>
    </row>
    <row r="161" spans="1:17" x14ac:dyDescent="0.2">
      <c r="A161" t="str">
        <f>'Customer Summary'!$C$12</f>
        <v>Spray treatments</v>
      </c>
      <c r="C161" s="9" t="str">
        <f>Costing!B119</f>
        <v>Difficulty hours (additional hours if required)</v>
      </c>
      <c r="D161" s="30">
        <f>Costing!F119</f>
        <v>0</v>
      </c>
      <c r="E161" s="30">
        <f>Costing!I119</f>
        <v>0</v>
      </c>
      <c r="F161" t="str">
        <f>Costing!G119</f>
        <v>Hours</v>
      </c>
      <c r="G161" t="s">
        <v>112</v>
      </c>
      <c r="H161" s="421">
        <f>Costing!J119*100</f>
        <v>0</v>
      </c>
      <c r="I161" t="s">
        <v>89</v>
      </c>
      <c r="J161" t="s">
        <v>99</v>
      </c>
      <c r="K161" t="s">
        <v>90</v>
      </c>
      <c r="L161" t="s">
        <v>108</v>
      </c>
      <c r="M161" t="str">
        <f t="shared" ref="M161" si="122">IF(J161="MTL","Preservation Shop","")</f>
        <v>Preservation Shop</v>
      </c>
      <c r="N161" s="50">
        <f t="shared" ref="N161" si="123">D161*E161</f>
        <v>0</v>
      </c>
      <c r="O161" s="45" t="s">
        <v>166</v>
      </c>
      <c r="P161" s="422">
        <f t="shared" si="121"/>
        <v>0</v>
      </c>
      <c r="Q161" s="29" t="s">
        <v>108</v>
      </c>
    </row>
    <row r="162" spans="1:17" x14ac:dyDescent="0.2">
      <c r="A162" t="str">
        <f>'Customer Summary'!$C$12</f>
        <v>Spray treatments</v>
      </c>
      <c r="C162" t="str">
        <f>Costing!M118</f>
        <v>Fog sub floor void with anti fungal treatment</v>
      </c>
      <c r="D162" s="30">
        <f>Costing!O118</f>
        <v>0</v>
      </c>
      <c r="E162" s="30">
        <f>Costing!Q118</f>
        <v>30.630000000000003</v>
      </c>
      <c r="F162" t="s">
        <v>3</v>
      </c>
      <c r="G162" t="s">
        <v>110</v>
      </c>
      <c r="H162" s="421">
        <f>Costing!R118*100</f>
        <v>100</v>
      </c>
      <c r="I162" t="s">
        <v>89</v>
      </c>
      <c r="J162" t="s">
        <v>97</v>
      </c>
      <c r="K162" t="s">
        <v>90</v>
      </c>
      <c r="L162" t="s">
        <v>108</v>
      </c>
      <c r="M162" t="str">
        <f t="shared" si="119"/>
        <v/>
      </c>
      <c r="N162" s="50">
        <f t="shared" si="120"/>
        <v>0</v>
      </c>
      <c r="O162" s="45" t="s">
        <v>166</v>
      </c>
      <c r="P162" s="422">
        <f t="shared" si="121"/>
        <v>0</v>
      </c>
      <c r="Q162" s="29" t="s">
        <v>108</v>
      </c>
    </row>
    <row r="163" spans="1:17" x14ac:dyDescent="0.2">
      <c r="A163" t="str">
        <f>'Customer Summary'!$C$12</f>
        <v>Spray treatments</v>
      </c>
      <c r="C163" t="str">
        <f>Costing!M119</f>
        <v>Difficulty hours (additional hours if required)</v>
      </c>
      <c r="D163" s="30">
        <f>Costing!O119</f>
        <v>0</v>
      </c>
      <c r="E163" s="30">
        <f>Costing!Q119</f>
        <v>30.630000000000003</v>
      </c>
      <c r="F163" t="s">
        <v>3</v>
      </c>
      <c r="G163" t="s">
        <v>110</v>
      </c>
      <c r="H163" s="421">
        <f>Costing!R119*100</f>
        <v>100</v>
      </c>
      <c r="I163" t="s">
        <v>89</v>
      </c>
      <c r="J163" t="s">
        <v>97</v>
      </c>
      <c r="K163" t="s">
        <v>90</v>
      </c>
      <c r="L163" t="s">
        <v>108</v>
      </c>
      <c r="M163" t="str">
        <f t="shared" ref="M163" si="124">IF(J163="MTL","Preservation Shop","")</f>
        <v/>
      </c>
      <c r="N163" s="50">
        <f t="shared" ref="N163" si="125">D163*E163</f>
        <v>0</v>
      </c>
      <c r="O163" s="45" t="s">
        <v>166</v>
      </c>
      <c r="P163" s="422">
        <f t="shared" si="121"/>
        <v>0</v>
      </c>
      <c r="Q163" s="29" t="s">
        <v>108</v>
      </c>
    </row>
    <row r="164" spans="1:17" s="47" customFormat="1" x14ac:dyDescent="0.2">
      <c r="A164" s="47" t="str">
        <f>'Customer Summary'!$C$12</f>
        <v>Spray treatments</v>
      </c>
      <c r="C164" s="47" t="str">
        <f>_xlfn.CONCAT(A164," - Materials")</f>
        <v>Spray treatments - Materials</v>
      </c>
      <c r="D164" s="48">
        <v>1</v>
      </c>
      <c r="E164" s="48">
        <f>N164</f>
        <v>0</v>
      </c>
      <c r="F164" s="47" t="s">
        <v>165</v>
      </c>
      <c r="G164" s="47" t="s">
        <v>112</v>
      </c>
      <c r="H164" s="48" t="e">
        <f>((P164-N164)/N164)*100</f>
        <v>#DIV/0!</v>
      </c>
      <c r="I164" s="47" t="s">
        <v>89</v>
      </c>
      <c r="J164" s="47" t="s">
        <v>99</v>
      </c>
      <c r="K164" s="47" t="s">
        <v>90</v>
      </c>
      <c r="L164" s="47" t="str">
        <f>'Customer Summary'!D12</f>
        <v>No</v>
      </c>
      <c r="M164" s="47" t="str">
        <f t="shared" si="119"/>
        <v>Preservation Shop</v>
      </c>
      <c r="N164" s="51">
        <f>SUM(N160:N161)</f>
        <v>0</v>
      </c>
      <c r="O164" s="49" t="str">
        <f t="shared" ref="O164" si="126">IF(N164=0,"DELETE","LEAVE")</f>
        <v>DELETE</v>
      </c>
      <c r="P164" s="51">
        <f>SUM(P160:P161)</f>
        <v>0</v>
      </c>
      <c r="Q164" s="49" t="s">
        <v>90</v>
      </c>
    </row>
    <row r="165" spans="1:17" s="47" customFormat="1" x14ac:dyDescent="0.2">
      <c r="A165" s="47" t="str">
        <f>'Customer Summary'!$C$12</f>
        <v>Spray treatments</v>
      </c>
      <c r="C165" s="47" t="str">
        <f>_xlfn.CONCAT(A165," - Labour")</f>
        <v>Spray treatments - Labour</v>
      </c>
      <c r="D165" s="48">
        <f>SUM(D162:D163)</f>
        <v>0</v>
      </c>
      <c r="E165" s="48" t="e">
        <f>N165/D165</f>
        <v>#DIV/0!</v>
      </c>
      <c r="F165" s="47" t="s">
        <v>3</v>
      </c>
      <c r="G165" s="47" t="s">
        <v>110</v>
      </c>
      <c r="H165" s="48" t="e">
        <f>((P165-N165)/N165)*100</f>
        <v>#DIV/0!</v>
      </c>
      <c r="I165" s="47" t="s">
        <v>89</v>
      </c>
      <c r="J165" s="47" t="s">
        <v>97</v>
      </c>
      <c r="K165" s="47" t="s">
        <v>90</v>
      </c>
      <c r="L165" s="47" t="str">
        <f>L164</f>
        <v>No</v>
      </c>
      <c r="M165" s="47" t="str">
        <f t="shared" si="119"/>
        <v/>
      </c>
      <c r="N165" s="51">
        <f>SUM(N162:N163)</f>
        <v>0</v>
      </c>
      <c r="O165" s="49" t="str">
        <f>IF(N165=0,"DELETE","LEAVE")</f>
        <v>DELETE</v>
      </c>
      <c r="P165" s="51">
        <f>SUM(P162:P163)</f>
        <v>0</v>
      </c>
      <c r="Q165" s="49" t="s">
        <v>90</v>
      </c>
    </row>
    <row r="166" spans="1:17" x14ac:dyDescent="0.2">
      <c r="A166" s="41"/>
      <c r="B166" s="41"/>
      <c r="C166" s="41"/>
      <c r="D166" s="42"/>
      <c r="E166" s="42"/>
      <c r="F166" s="41"/>
      <c r="G166" s="41"/>
      <c r="H166" s="42"/>
      <c r="I166" s="41"/>
      <c r="J166" s="41"/>
      <c r="K166" s="41"/>
      <c r="L166" s="41"/>
      <c r="M166" s="41"/>
      <c r="N166" s="43"/>
      <c r="O166" s="44" t="s">
        <v>166</v>
      </c>
      <c r="P166" s="43"/>
      <c r="Q166" s="43"/>
    </row>
    <row r="167" spans="1:17" x14ac:dyDescent="0.2">
      <c r="A167" t="str">
        <f>'Customer Summary'!$C$13</f>
        <v>Drains</v>
      </c>
      <c r="C167" s="9" t="str">
        <f>Costing!B123</f>
        <v>Aco Drain per linear meter</v>
      </c>
      <c r="D167" s="30">
        <f>Costing!F123</f>
        <v>0</v>
      </c>
      <c r="E167" s="30">
        <f>Costing!I123</f>
        <v>8</v>
      </c>
      <c r="F167" t="str">
        <f>Costing!G123</f>
        <v>LM</v>
      </c>
      <c r="G167" t="s">
        <v>112</v>
      </c>
      <c r="H167" s="421">
        <f>Costing!J123*100</f>
        <v>30</v>
      </c>
      <c r="I167" t="s">
        <v>89</v>
      </c>
      <c r="J167" t="s">
        <v>99</v>
      </c>
      <c r="K167" t="s">
        <v>90</v>
      </c>
      <c r="L167" t="s">
        <v>108</v>
      </c>
      <c r="M167" t="str">
        <f t="shared" ref="M167:M172" si="127">IF(J167="MTL","Preservation Shop","")</f>
        <v>Preservation Shop</v>
      </c>
      <c r="N167" s="50">
        <f t="shared" ref="N167:N170" si="128">D167*E167</f>
        <v>0</v>
      </c>
      <c r="O167" s="45" t="s">
        <v>166</v>
      </c>
      <c r="P167" s="422">
        <f t="shared" ref="P167:P170" si="129">N167*(1+(H167/100))</f>
        <v>0</v>
      </c>
      <c r="Q167" s="29" t="s">
        <v>108</v>
      </c>
    </row>
    <row r="168" spans="1:17" x14ac:dyDescent="0.2">
      <c r="A168" t="str">
        <f>'Customer Summary'!$C$13</f>
        <v>Drains</v>
      </c>
      <c r="C168" s="9" t="str">
        <f>Costing!B124</f>
        <v>French Drain per linear meter</v>
      </c>
      <c r="D168" s="30">
        <f>Costing!F124</f>
        <v>0</v>
      </c>
      <c r="E168" s="30">
        <f>Costing!I124</f>
        <v>2.41</v>
      </c>
      <c r="F168" t="str">
        <f>Costing!G124</f>
        <v>LM</v>
      </c>
      <c r="G168" t="s">
        <v>112</v>
      </c>
      <c r="H168" s="421">
        <f>Costing!J124*100</f>
        <v>30</v>
      </c>
      <c r="I168" t="s">
        <v>89</v>
      </c>
      <c r="J168" t="s">
        <v>99</v>
      </c>
      <c r="K168" t="s">
        <v>90</v>
      </c>
      <c r="L168" t="s">
        <v>108</v>
      </c>
      <c r="M168" t="str">
        <f t="shared" si="127"/>
        <v>Preservation Shop</v>
      </c>
      <c r="N168" s="50">
        <f t="shared" si="128"/>
        <v>0</v>
      </c>
      <c r="O168" s="45" t="s">
        <v>166</v>
      </c>
      <c r="P168" s="422">
        <f t="shared" si="129"/>
        <v>0</v>
      </c>
      <c r="Q168" s="29" t="s">
        <v>108</v>
      </c>
    </row>
    <row r="169" spans="1:17" x14ac:dyDescent="0.2">
      <c r="A169" t="str">
        <f>'Customer Summary'!$C$13</f>
        <v>Drains</v>
      </c>
      <c r="C169" t="str">
        <f>Costing!M123</f>
        <v>Aco Drain per linear meter</v>
      </c>
      <c r="D169" s="30">
        <f>Costing!O123</f>
        <v>0</v>
      </c>
      <c r="E169" s="30">
        <f>Costing!Q123</f>
        <v>30.630000000000003</v>
      </c>
      <c r="F169" t="s">
        <v>3</v>
      </c>
      <c r="G169" t="s">
        <v>110</v>
      </c>
      <c r="H169" s="421">
        <f>Costing!R123*100</f>
        <v>100</v>
      </c>
      <c r="I169" t="s">
        <v>89</v>
      </c>
      <c r="J169" t="s">
        <v>97</v>
      </c>
      <c r="K169" t="s">
        <v>90</v>
      </c>
      <c r="L169" t="s">
        <v>108</v>
      </c>
      <c r="M169" t="str">
        <f t="shared" si="127"/>
        <v/>
      </c>
      <c r="N169" s="50">
        <f t="shared" si="128"/>
        <v>0</v>
      </c>
      <c r="O169" s="45" t="s">
        <v>166</v>
      </c>
      <c r="P169" s="422">
        <f t="shared" si="129"/>
        <v>0</v>
      </c>
      <c r="Q169" s="29" t="s">
        <v>108</v>
      </c>
    </row>
    <row r="170" spans="1:17" x14ac:dyDescent="0.2">
      <c r="A170" t="str">
        <f>'Customer Summary'!$C$13</f>
        <v>Drains</v>
      </c>
      <c r="C170" t="str">
        <f>Costing!M124</f>
        <v>French Drain per linear meter</v>
      </c>
      <c r="D170" s="30">
        <f>Costing!O124</f>
        <v>0</v>
      </c>
      <c r="E170" s="30">
        <f>Costing!Q124</f>
        <v>30.630000000000003</v>
      </c>
      <c r="F170" t="s">
        <v>3</v>
      </c>
      <c r="G170" t="s">
        <v>110</v>
      </c>
      <c r="H170" s="421">
        <f>Costing!R124*100</f>
        <v>100</v>
      </c>
      <c r="I170" t="s">
        <v>89</v>
      </c>
      <c r="J170" t="s">
        <v>97</v>
      </c>
      <c r="K170" t="s">
        <v>90</v>
      </c>
      <c r="L170" t="s">
        <v>108</v>
      </c>
      <c r="M170" t="str">
        <f t="shared" si="127"/>
        <v/>
      </c>
      <c r="N170" s="50">
        <f t="shared" si="128"/>
        <v>0</v>
      </c>
      <c r="O170" s="45" t="s">
        <v>166</v>
      </c>
      <c r="P170" s="422">
        <f t="shared" si="129"/>
        <v>0</v>
      </c>
      <c r="Q170" s="29" t="s">
        <v>108</v>
      </c>
    </row>
    <row r="171" spans="1:17" s="47" customFormat="1" x14ac:dyDescent="0.2">
      <c r="A171" s="47" t="str">
        <f>'Customer Summary'!$C$13</f>
        <v>Drains</v>
      </c>
      <c r="C171" s="47" t="str">
        <f>_xlfn.CONCAT(A171," - Materials")</f>
        <v>Drains - Materials</v>
      </c>
      <c r="D171" s="48">
        <v>1</v>
      </c>
      <c r="E171" s="48">
        <f>N171</f>
        <v>0</v>
      </c>
      <c r="F171" s="47" t="s">
        <v>165</v>
      </c>
      <c r="G171" s="47" t="s">
        <v>112</v>
      </c>
      <c r="H171" s="48" t="e">
        <f>((P171-N171)/N171)*100</f>
        <v>#DIV/0!</v>
      </c>
      <c r="I171" s="47" t="s">
        <v>89</v>
      </c>
      <c r="J171" s="47" t="s">
        <v>99</v>
      </c>
      <c r="K171" s="47" t="s">
        <v>90</v>
      </c>
      <c r="L171" s="47" t="str">
        <f>'Customer Summary'!D13</f>
        <v>Yes</v>
      </c>
      <c r="M171" s="47" t="str">
        <f t="shared" si="127"/>
        <v>Preservation Shop</v>
      </c>
      <c r="N171" s="51">
        <f>SUM(N167:N168)</f>
        <v>0</v>
      </c>
      <c r="O171" s="49" t="str">
        <f t="shared" ref="O171" si="130">IF(N171=0,"DELETE","LEAVE")</f>
        <v>DELETE</v>
      </c>
      <c r="P171" s="51">
        <f>SUM(P167:P168)</f>
        <v>0</v>
      </c>
      <c r="Q171" s="49" t="s">
        <v>90</v>
      </c>
    </row>
    <row r="172" spans="1:17" s="47" customFormat="1" x14ac:dyDescent="0.2">
      <c r="A172" s="47" t="str">
        <f>'Customer Summary'!$C$13</f>
        <v>Drains</v>
      </c>
      <c r="C172" s="47" t="str">
        <f>_xlfn.CONCAT(A172," - Labour")</f>
        <v>Drains - Labour</v>
      </c>
      <c r="D172" s="48">
        <f>SUM(D169:D170)</f>
        <v>0</v>
      </c>
      <c r="E172" s="48" t="e">
        <f>N172/D172</f>
        <v>#DIV/0!</v>
      </c>
      <c r="F172" s="47" t="s">
        <v>3</v>
      </c>
      <c r="G172" s="47" t="s">
        <v>110</v>
      </c>
      <c r="H172" s="48" t="e">
        <f>((P172-N172)/N172)*100</f>
        <v>#DIV/0!</v>
      </c>
      <c r="I172" s="47" t="s">
        <v>89</v>
      </c>
      <c r="J172" s="47" t="s">
        <v>97</v>
      </c>
      <c r="K172" s="47" t="s">
        <v>90</v>
      </c>
      <c r="L172" s="47" t="str">
        <f>L171</f>
        <v>Yes</v>
      </c>
      <c r="M172" s="47" t="str">
        <f t="shared" si="127"/>
        <v/>
      </c>
      <c r="N172" s="51">
        <f>SUM(N169:N170)</f>
        <v>0</v>
      </c>
      <c r="O172" s="49" t="str">
        <f>IF(N172=0,"DELETE","LEAVE")</f>
        <v>DELETE</v>
      </c>
      <c r="P172" s="51">
        <f>SUM(P169:P170)</f>
        <v>0</v>
      </c>
      <c r="Q172" s="49" t="s">
        <v>90</v>
      </c>
    </row>
    <row r="173" spans="1:17" x14ac:dyDescent="0.2">
      <c r="A173" s="41"/>
      <c r="B173" s="41"/>
      <c r="C173" s="41"/>
      <c r="D173" s="42"/>
      <c r="E173" s="42"/>
      <c r="F173" s="41"/>
      <c r="G173" s="41"/>
      <c r="H173" s="42"/>
      <c r="I173" s="41"/>
      <c r="J173" s="41"/>
      <c r="K173" s="41"/>
      <c r="L173" s="41"/>
      <c r="M173" s="41"/>
      <c r="N173" s="43"/>
      <c r="O173" s="44" t="s">
        <v>166</v>
      </c>
      <c r="P173" s="43"/>
      <c r="Q173" s="43"/>
    </row>
    <row r="174" spans="1:17" x14ac:dyDescent="0.2">
      <c r="A174" t="str">
        <f>'Customer Summary'!$C$14</f>
        <v>External Wall - Aquaban Water Repellent Treatments</v>
      </c>
      <c r="C174" s="9" t="str">
        <f>Costing!B128</f>
        <v>Aquaban water repellent system</v>
      </c>
      <c r="D174" s="30">
        <f>Costing!F128</f>
        <v>0</v>
      </c>
      <c r="E174" s="30">
        <f>Costing!I128</f>
        <v>0</v>
      </c>
      <c r="F174" t="str">
        <f>Costing!G128</f>
        <v>M2</v>
      </c>
      <c r="G174" t="s">
        <v>112</v>
      </c>
      <c r="H174" s="421">
        <f>Costing!J128*100</f>
        <v>30</v>
      </c>
      <c r="I174" t="s">
        <v>89</v>
      </c>
      <c r="J174" t="s">
        <v>99</v>
      </c>
      <c r="K174" t="s">
        <v>90</v>
      </c>
      <c r="L174" t="s">
        <v>108</v>
      </c>
      <c r="M174" t="str">
        <f t="shared" ref="M174:M177" si="131">IF(J174="MTL","Preservation Shop","")</f>
        <v>Preservation Shop</v>
      </c>
      <c r="N174" s="50">
        <f t="shared" ref="N174:N175" si="132">D174*E174</f>
        <v>0</v>
      </c>
      <c r="O174" s="45" t="s">
        <v>166</v>
      </c>
      <c r="P174" s="422">
        <f t="shared" ref="P174:P175" si="133">N174*(1+(H174/100))</f>
        <v>0</v>
      </c>
      <c r="Q174" s="29" t="s">
        <v>108</v>
      </c>
    </row>
    <row r="175" spans="1:17" x14ac:dyDescent="0.2">
      <c r="A175" t="str">
        <f>'Customer Summary'!$C$14</f>
        <v>External Wall - Aquaban Water Repellent Treatments</v>
      </c>
      <c r="C175" t="str">
        <f>Costing!M128</f>
        <v>Aquaban water repellent system</v>
      </c>
      <c r="D175" s="30">
        <f>Costing!O128</f>
        <v>0</v>
      </c>
      <c r="E175" s="30">
        <f>Costing!Q128</f>
        <v>30.630000000000003</v>
      </c>
      <c r="F175" t="s">
        <v>3</v>
      </c>
      <c r="G175" t="s">
        <v>110</v>
      </c>
      <c r="H175" s="421">
        <f>Costing!R128*100</f>
        <v>100</v>
      </c>
      <c r="I175" t="s">
        <v>89</v>
      </c>
      <c r="J175" t="s">
        <v>97</v>
      </c>
      <c r="K175" t="s">
        <v>90</v>
      </c>
      <c r="L175" t="s">
        <v>108</v>
      </c>
      <c r="M175" t="str">
        <f t="shared" si="131"/>
        <v/>
      </c>
      <c r="N175" s="50">
        <f t="shared" si="132"/>
        <v>0</v>
      </c>
      <c r="O175" s="45" t="s">
        <v>166</v>
      </c>
      <c r="P175" s="422">
        <f t="shared" si="133"/>
        <v>0</v>
      </c>
      <c r="Q175" s="29" t="s">
        <v>108</v>
      </c>
    </row>
    <row r="176" spans="1:17" s="47" customFormat="1" x14ac:dyDescent="0.2">
      <c r="A176" s="47" t="str">
        <f>'Customer Summary'!$C$14</f>
        <v>External Wall - Aquaban Water Repellent Treatments</v>
      </c>
      <c r="C176" s="47" t="str">
        <f>_xlfn.CONCAT(A176," - Materials")</f>
        <v>External Wall - Aquaban Water Repellent Treatments - Materials</v>
      </c>
      <c r="D176" s="48">
        <v>1</v>
      </c>
      <c r="E176" s="48">
        <f>N176</f>
        <v>0</v>
      </c>
      <c r="F176" s="47" t="s">
        <v>165</v>
      </c>
      <c r="G176" s="47" t="s">
        <v>112</v>
      </c>
      <c r="H176" s="48" t="e">
        <f>((P176-N176)/N176)*100</f>
        <v>#DIV/0!</v>
      </c>
      <c r="I176" s="47" t="s">
        <v>89</v>
      </c>
      <c r="J176" s="47" t="s">
        <v>99</v>
      </c>
      <c r="K176" s="47" t="s">
        <v>90</v>
      </c>
      <c r="L176" s="47" t="str">
        <f>'Customer Summary'!D14</f>
        <v>Yes</v>
      </c>
      <c r="M176" s="47" t="str">
        <f t="shared" si="131"/>
        <v>Preservation Shop</v>
      </c>
      <c r="N176" s="51">
        <f>SUM(N174:N174)</f>
        <v>0</v>
      </c>
      <c r="O176" s="49" t="str">
        <f t="shared" ref="O176" si="134">IF(N176=0,"DELETE","LEAVE")</f>
        <v>DELETE</v>
      </c>
      <c r="P176" s="51">
        <f>SUM(P174:P174)</f>
        <v>0</v>
      </c>
      <c r="Q176" s="49" t="s">
        <v>90</v>
      </c>
    </row>
    <row r="177" spans="1:17" s="47" customFormat="1" x14ac:dyDescent="0.2">
      <c r="A177" s="47" t="str">
        <f>'Customer Summary'!$C$14</f>
        <v>External Wall - Aquaban Water Repellent Treatments</v>
      </c>
      <c r="C177" s="47" t="str">
        <f>_xlfn.CONCAT(A177," - Labour")</f>
        <v>External Wall - Aquaban Water Repellent Treatments - Labour</v>
      </c>
      <c r="D177" s="48">
        <f>SUM(D175)</f>
        <v>0</v>
      </c>
      <c r="E177" s="48" t="e">
        <f>N177/D177</f>
        <v>#DIV/0!</v>
      </c>
      <c r="F177" s="47" t="s">
        <v>3</v>
      </c>
      <c r="G177" s="47" t="s">
        <v>110</v>
      </c>
      <c r="H177" s="48" t="e">
        <f>((P177-N177)/N177)*100</f>
        <v>#DIV/0!</v>
      </c>
      <c r="I177" s="47" t="s">
        <v>89</v>
      </c>
      <c r="J177" s="47" t="s">
        <v>97</v>
      </c>
      <c r="K177" s="47" t="s">
        <v>90</v>
      </c>
      <c r="L177" s="47" t="str">
        <f>L176</f>
        <v>Yes</v>
      </c>
      <c r="M177" s="47" t="str">
        <f t="shared" si="131"/>
        <v/>
      </c>
      <c r="N177" s="51">
        <f>SUM(N175:N175)</f>
        <v>0</v>
      </c>
      <c r="O177" s="49" t="str">
        <f>IF(N177=0,"DELETE","LEAVE")</f>
        <v>DELETE</v>
      </c>
      <c r="P177" s="51">
        <f>SUM(P175:P175)</f>
        <v>0</v>
      </c>
      <c r="Q177" s="49" t="s">
        <v>90</v>
      </c>
    </row>
    <row r="178" spans="1:17" x14ac:dyDescent="0.2">
      <c r="A178" s="41"/>
      <c r="B178" s="41"/>
      <c r="C178" s="41"/>
      <c r="D178" s="42"/>
      <c r="E178" s="42"/>
      <c r="F178" s="41"/>
      <c r="G178" s="41"/>
      <c r="H178" s="42"/>
      <c r="I178" s="41"/>
      <c r="J178" s="41"/>
      <c r="K178" s="41"/>
      <c r="L178" s="41"/>
      <c r="M178" s="41"/>
      <c r="N178" s="43"/>
      <c r="O178" s="44" t="s">
        <v>166</v>
      </c>
      <c r="P178" s="43"/>
      <c r="Q178" s="43"/>
    </row>
    <row r="179" spans="1:17" x14ac:dyDescent="0.2">
      <c r="A179" t="str">
        <f>'Customer Summary'!$C$15</f>
        <v>Asbestos Testing</v>
      </c>
      <c r="C179" s="9" t="str">
        <f>Costing!B132</f>
        <v>Asbestos Testing</v>
      </c>
      <c r="D179" s="30">
        <f>Costing!F132</f>
        <v>0</v>
      </c>
      <c r="E179" s="30">
        <f>Costing!I132</f>
        <v>30</v>
      </c>
      <c r="F179" t="str">
        <f>Costing!G132</f>
        <v>Each</v>
      </c>
      <c r="G179" t="s">
        <v>112</v>
      </c>
      <c r="H179" s="421">
        <f>Costing!J132*100</f>
        <v>30</v>
      </c>
      <c r="I179" t="s">
        <v>89</v>
      </c>
      <c r="J179" t="s">
        <v>99</v>
      </c>
      <c r="K179" t="s">
        <v>90</v>
      </c>
      <c r="L179" t="s">
        <v>108</v>
      </c>
      <c r="M179" t="str">
        <f t="shared" ref="M179:M182" si="135">IF(J179="MTL","Preservation Shop","")</f>
        <v>Preservation Shop</v>
      </c>
      <c r="N179" s="50">
        <f t="shared" ref="N179:N180" si="136">D179*E179</f>
        <v>0</v>
      </c>
      <c r="O179" s="45" t="s">
        <v>166</v>
      </c>
      <c r="P179" s="422">
        <f t="shared" ref="P179:P180" si="137">N179*(1+(H179/100))</f>
        <v>0</v>
      </c>
      <c r="Q179" s="29" t="s">
        <v>108</v>
      </c>
    </row>
    <row r="180" spans="1:17" x14ac:dyDescent="0.2">
      <c r="A180" t="str">
        <f>'Customer Summary'!$C$15</f>
        <v>Asbestos Testing</v>
      </c>
      <c r="C180" t="str">
        <f>Costing!M132</f>
        <v>Asbestos Testing</v>
      </c>
      <c r="D180" s="30">
        <f>Costing!O132</f>
        <v>0</v>
      </c>
      <c r="E180" s="30">
        <f>Costing!Q132</f>
        <v>30.630000000000003</v>
      </c>
      <c r="F180" t="s">
        <v>3</v>
      </c>
      <c r="G180" t="s">
        <v>110</v>
      </c>
      <c r="H180" s="421">
        <f>Costing!R132*100</f>
        <v>100</v>
      </c>
      <c r="I180" t="s">
        <v>89</v>
      </c>
      <c r="J180" t="s">
        <v>97</v>
      </c>
      <c r="K180" t="s">
        <v>90</v>
      </c>
      <c r="L180" t="s">
        <v>108</v>
      </c>
      <c r="M180" t="str">
        <f t="shared" si="135"/>
        <v/>
      </c>
      <c r="N180" s="50">
        <f t="shared" si="136"/>
        <v>0</v>
      </c>
      <c r="O180" s="45" t="s">
        <v>166</v>
      </c>
      <c r="P180" s="422">
        <f t="shared" si="137"/>
        <v>0</v>
      </c>
      <c r="Q180" s="29" t="s">
        <v>108</v>
      </c>
    </row>
    <row r="181" spans="1:17" s="47" customFormat="1" x14ac:dyDescent="0.2">
      <c r="A181" s="47" t="str">
        <f>'Customer Summary'!$C$15</f>
        <v>Asbestos Testing</v>
      </c>
      <c r="C181" s="47" t="str">
        <f>_xlfn.CONCAT(A181," - Materials")</f>
        <v>Asbestos Testing - Materials</v>
      </c>
      <c r="D181" s="48">
        <v>1</v>
      </c>
      <c r="E181" s="48">
        <f>N181</f>
        <v>0</v>
      </c>
      <c r="F181" s="47" t="s">
        <v>165</v>
      </c>
      <c r="G181" s="47" t="s">
        <v>112</v>
      </c>
      <c r="H181" s="48" t="e">
        <f>((P181-N181)/N181)*100</f>
        <v>#DIV/0!</v>
      </c>
      <c r="I181" s="47" t="s">
        <v>89</v>
      </c>
      <c r="J181" s="47" t="s">
        <v>99</v>
      </c>
      <c r="K181" s="47" t="s">
        <v>90</v>
      </c>
      <c r="L181" s="47" t="str">
        <f>'Customer Summary'!D15</f>
        <v>Yes</v>
      </c>
      <c r="M181" s="47" t="str">
        <f t="shared" si="135"/>
        <v>Preservation Shop</v>
      </c>
      <c r="N181" s="51">
        <f>SUM(N179:N179)</f>
        <v>0</v>
      </c>
      <c r="O181" s="49" t="str">
        <f t="shared" ref="O181" si="138">IF(N181=0,"DELETE","LEAVE")</f>
        <v>DELETE</v>
      </c>
      <c r="P181" s="51">
        <f>SUM(P179:P179)</f>
        <v>0</v>
      </c>
      <c r="Q181" s="49" t="s">
        <v>90</v>
      </c>
    </row>
    <row r="182" spans="1:17" s="47" customFormat="1" x14ac:dyDescent="0.2">
      <c r="A182" s="47" t="str">
        <f>'Customer Summary'!$C$15</f>
        <v>Asbestos Testing</v>
      </c>
      <c r="C182" s="47" t="str">
        <f>_xlfn.CONCAT(A182," - Labour")</f>
        <v>Asbestos Testing - Labour</v>
      </c>
      <c r="D182" s="48">
        <f>SUM(D180)</f>
        <v>0</v>
      </c>
      <c r="E182" s="48" t="e">
        <f>N182/D182</f>
        <v>#DIV/0!</v>
      </c>
      <c r="F182" s="47" t="s">
        <v>3</v>
      </c>
      <c r="G182" s="47" t="s">
        <v>110</v>
      </c>
      <c r="H182" s="48" t="e">
        <f>((P182-N182)/N182)*100</f>
        <v>#DIV/0!</v>
      </c>
      <c r="I182" s="47" t="s">
        <v>89</v>
      </c>
      <c r="J182" s="47" t="s">
        <v>97</v>
      </c>
      <c r="K182" s="47" t="s">
        <v>90</v>
      </c>
      <c r="L182" s="47" t="str">
        <f>L181</f>
        <v>Yes</v>
      </c>
      <c r="M182" s="47" t="str">
        <f t="shared" si="135"/>
        <v/>
      </c>
      <c r="N182" s="51">
        <f>SUM(N180:N180)</f>
        <v>0</v>
      </c>
      <c r="O182" s="49" t="str">
        <f>IF(N182=0,"DELETE","LEAVE")</f>
        <v>DELETE</v>
      </c>
      <c r="P182" s="51">
        <f>SUM(P180:P180)</f>
        <v>0</v>
      </c>
      <c r="Q182" s="49" t="s">
        <v>90</v>
      </c>
    </row>
    <row r="183" spans="1:17" x14ac:dyDescent="0.2">
      <c r="A183" s="41"/>
      <c r="B183" s="41"/>
      <c r="C183" s="41"/>
      <c r="D183" s="42"/>
      <c r="E183" s="42"/>
      <c r="F183" s="41"/>
      <c r="G183" s="41"/>
      <c r="H183" s="42"/>
      <c r="I183" s="41"/>
      <c r="J183" s="41"/>
      <c r="K183" s="41"/>
      <c r="L183" s="41"/>
      <c r="M183" s="41"/>
      <c r="N183" s="43"/>
      <c r="O183" s="44" t="s">
        <v>166</v>
      </c>
      <c r="P183" s="43"/>
      <c r="Q183" s="43"/>
    </row>
    <row r="184" spans="1:17" x14ac:dyDescent="0.2">
      <c r="A184" t="str">
        <f>'Customer Summary'!$C$16</f>
        <v>Project Specific Overheads</v>
      </c>
      <c r="C184" t="s">
        <v>652</v>
      </c>
      <c r="D184" s="30">
        <f>Costing!F136</f>
        <v>0</v>
      </c>
      <c r="E184" s="30">
        <f>Costing!I136</f>
        <v>270</v>
      </c>
      <c r="F184" t="s">
        <v>119</v>
      </c>
      <c r="G184" t="s">
        <v>124</v>
      </c>
      <c r="H184" s="421">
        <f>Costing!J136*100</f>
        <v>30</v>
      </c>
      <c r="I184" t="s">
        <v>89</v>
      </c>
      <c r="J184" t="s">
        <v>101</v>
      </c>
      <c r="K184" t="s">
        <v>90</v>
      </c>
      <c r="L184" t="s">
        <v>108</v>
      </c>
      <c r="M184" t="str">
        <f t="shared" si="96"/>
        <v/>
      </c>
      <c r="N184" s="50">
        <f t="shared" si="90"/>
        <v>0</v>
      </c>
      <c r="O184" s="45" t="s">
        <v>166</v>
      </c>
      <c r="P184" s="422">
        <f t="shared" ref="P184:P186" si="139">N184*(1+(H184/100))</f>
        <v>0</v>
      </c>
      <c r="Q184" s="29" t="s">
        <v>108</v>
      </c>
    </row>
    <row r="185" spans="1:17" x14ac:dyDescent="0.2">
      <c r="A185" t="str">
        <f>'Customer Summary'!$C$16</f>
        <v>Project Specific Overheads</v>
      </c>
      <c r="C185" t="s">
        <v>653</v>
      </c>
      <c r="D185" s="30" t="e">
        <f>Costing!K146*Costing!K147*2</f>
        <v>#DIV/0!</v>
      </c>
      <c r="E185" s="30">
        <f>Costing!J155</f>
        <v>0.5</v>
      </c>
      <c r="F185" t="s">
        <v>125</v>
      </c>
      <c r="G185" t="s">
        <v>123</v>
      </c>
      <c r="H185" s="421">
        <v>0</v>
      </c>
      <c r="I185" t="s">
        <v>89</v>
      </c>
      <c r="J185" t="s">
        <v>101</v>
      </c>
      <c r="K185" t="s">
        <v>90</v>
      </c>
      <c r="L185" t="s">
        <v>108</v>
      </c>
      <c r="M185" t="str">
        <f t="shared" si="96"/>
        <v/>
      </c>
      <c r="N185" s="50" t="e">
        <f t="shared" si="90"/>
        <v>#DIV/0!</v>
      </c>
      <c r="O185" s="45" t="s">
        <v>166</v>
      </c>
      <c r="P185" s="422" t="e">
        <f t="shared" si="139"/>
        <v>#DIV/0!</v>
      </c>
      <c r="Q185" s="29" t="s">
        <v>108</v>
      </c>
    </row>
    <row r="186" spans="1:17" x14ac:dyDescent="0.2">
      <c r="A186" t="str">
        <f>'Customer Summary'!$C$16</f>
        <v>Project Specific Overheads</v>
      </c>
      <c r="C186" t="s">
        <v>654</v>
      </c>
      <c r="D186" s="30" t="e">
        <f>Costing!O141</f>
        <v>#DIV/0!</v>
      </c>
      <c r="E186" s="30">
        <f>Costing!C155</f>
        <v>30.63</v>
      </c>
      <c r="F186" t="s">
        <v>3</v>
      </c>
      <c r="G186" t="s">
        <v>123</v>
      </c>
      <c r="H186" s="421">
        <v>0</v>
      </c>
      <c r="I186" t="s">
        <v>89</v>
      </c>
      <c r="J186" t="s">
        <v>97</v>
      </c>
      <c r="K186" t="s">
        <v>90</v>
      </c>
      <c r="L186" t="s">
        <v>108</v>
      </c>
      <c r="M186" t="str">
        <f t="shared" si="96"/>
        <v/>
      </c>
      <c r="N186" s="50" t="e">
        <f t="shared" si="90"/>
        <v>#DIV/0!</v>
      </c>
      <c r="O186" s="45" t="s">
        <v>166</v>
      </c>
      <c r="P186" s="422" t="e">
        <f t="shared" si="139"/>
        <v>#DIV/0!</v>
      </c>
      <c r="Q186" s="29" t="s">
        <v>108</v>
      </c>
    </row>
    <row r="187" spans="1:17" s="47" customFormat="1" ht="48" x14ac:dyDescent="0.2">
      <c r="A187" s="47" t="str">
        <f>'Customer Summary'!$C$16</f>
        <v>Project Specific Overheads</v>
      </c>
      <c r="B187" s="413" t="s">
        <v>667</v>
      </c>
      <c r="C187" s="47" t="str">
        <f>_xlfn.CONCAT(A187," - Materials")</f>
        <v>Project Specific Overheads - Materials</v>
      </c>
      <c r="D187" s="48">
        <v>1</v>
      </c>
      <c r="E187" s="48" t="e">
        <f>N187</f>
        <v>#DIV/0!</v>
      </c>
      <c r="F187" s="47" t="s">
        <v>165</v>
      </c>
      <c r="G187" s="47" t="s">
        <v>112</v>
      </c>
      <c r="H187" s="48" t="e">
        <f>((P187-N187)/N187)*100</f>
        <v>#DIV/0!</v>
      </c>
      <c r="I187" s="47" t="s">
        <v>89</v>
      </c>
      <c r="J187" s="47" t="s">
        <v>99</v>
      </c>
      <c r="K187" s="47" t="s">
        <v>90</v>
      </c>
      <c r="L187" s="47" t="s">
        <v>108</v>
      </c>
      <c r="M187" s="47" t="str">
        <f t="shared" si="96"/>
        <v>Preservation Shop</v>
      </c>
      <c r="N187" s="51" t="e">
        <f>SUM(N184:N185)</f>
        <v>#DIV/0!</v>
      </c>
      <c r="O187" s="49" t="e">
        <f>IF(N187=0,"DELETE","LEAVE")</f>
        <v>#DIV/0!</v>
      </c>
      <c r="P187" s="51" t="e">
        <f>SUM(P184:P185)</f>
        <v>#DIV/0!</v>
      </c>
      <c r="Q187" s="49" t="s">
        <v>90</v>
      </c>
    </row>
    <row r="188" spans="1:17" s="47" customFormat="1" ht="48" x14ac:dyDescent="0.2">
      <c r="A188" s="47" t="str">
        <f>'Customer Summary'!$C$16</f>
        <v>Project Specific Overheads</v>
      </c>
      <c r="B188" s="413" t="s">
        <v>667</v>
      </c>
      <c r="C188" s="47" t="str">
        <f>_xlfn.CONCAT(A188," - Labour")</f>
        <v>Project Specific Overheads - Labour</v>
      </c>
      <c r="D188" s="48" t="e">
        <f>D186</f>
        <v>#DIV/0!</v>
      </c>
      <c r="E188" s="48">
        <f>E186</f>
        <v>30.63</v>
      </c>
      <c r="F188" s="47" t="str">
        <f>F186</f>
        <v>Hours</v>
      </c>
      <c r="G188" s="47" t="s">
        <v>110</v>
      </c>
      <c r="H188" s="48">
        <f>H186</f>
        <v>0</v>
      </c>
      <c r="I188" s="47" t="s">
        <v>89</v>
      </c>
      <c r="J188" s="47" t="str">
        <f>J186</f>
        <v>LBR</v>
      </c>
      <c r="K188" s="47" t="str">
        <f>K186</f>
        <v>Yes</v>
      </c>
      <c r="L188" s="47" t="s">
        <v>108</v>
      </c>
      <c r="M188" s="47" t="str">
        <f t="shared" si="96"/>
        <v/>
      </c>
      <c r="N188" s="51" t="e">
        <f>N186</f>
        <v>#DIV/0!</v>
      </c>
      <c r="O188" s="49" t="e">
        <f>IF(N188=0,"DELETE","LEAVE")</f>
        <v>#DIV/0!</v>
      </c>
      <c r="P188" s="51" t="e">
        <f>P186</f>
        <v>#DIV/0!</v>
      </c>
      <c r="Q188" s="49" t="s">
        <v>90</v>
      </c>
    </row>
  </sheetData>
  <sheetProtection formatRows="0" autoFilter="0"/>
  <autoFilter ref="A1:M186" xr:uid="{8F3B4B7D-5AB5-4DF4-8195-A9BF0A2E5FD5}"/>
  <phoneticPr fontId="23" type="noConversion"/>
  <dataValidations count="2">
    <dataValidation type="list" allowBlank="1" showInputMessage="1" showErrorMessage="1" sqref="Q160:Q165 Q29:Q60 Q105:Q108 Q62:Q73 Q167:Q172 Q75:Q86 Q179:Q182 Q151:Q158 Q2:Q27 Q88:Q103 Q184:Q188 Q174:Q177 Q110:Q149" xr:uid="{10C77FD9-9A13-47BB-8BB2-19CA9C935189}">
      <formula1>"No,Yes"</formula1>
    </dataValidation>
    <dataValidation type="list" allowBlank="1" showInputMessage="1" showErrorMessage="1" sqref="L2:L188" xr:uid="{33D80CD8-FD11-41AE-94C1-D290654E356B}">
      <formula1>"Yes,No"</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A1190EED-6DB0-4081-B691-382CF2189CE2}">
          <x14:formula1>
            <xm:f>'Data Lists'!$A$6:$A$10</xm:f>
          </x14:formula1>
          <xm:sqref>J2:J188</xm:sqref>
        </x14:dataValidation>
        <x14:dataValidation type="list" allowBlank="1" showInputMessage="1" showErrorMessage="1" xr:uid="{D7AEBC26-C6F8-467F-A76C-ED9271CCF8C1}">
          <x14:formula1>
            <xm:f>'Data Lists'!$A$44:$A$51</xm:f>
          </x14:formula1>
          <xm:sqref>G2:G188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2AD2C-B5F0-4D4D-B4D1-2E3B2434118F}">
  <sheetPr codeName="Sheet13">
    <pageSetUpPr fitToPage="1"/>
  </sheetPr>
  <dimension ref="B1:R71"/>
  <sheetViews>
    <sheetView topLeftCell="C1" zoomScale="90" zoomScaleNormal="90" workbookViewId="0">
      <selection activeCell="J27" sqref="J27"/>
    </sheetView>
  </sheetViews>
  <sheetFormatPr baseColWidth="10" defaultColWidth="8.83203125" defaultRowHeight="15" outlineLevelCol="1" x14ac:dyDescent="0.2"/>
  <cols>
    <col min="1" max="1" width="1.5" customWidth="1"/>
    <col min="3" max="3" width="1.5" customWidth="1"/>
    <col min="4" max="4" width="59" customWidth="1"/>
    <col min="5" max="5" width="10.6640625" customWidth="1"/>
    <col min="6" max="6" width="14.5" customWidth="1"/>
    <col min="7" max="7" width="40.6640625" customWidth="1"/>
    <col min="8" max="8" width="31.33203125" customWidth="1"/>
    <col min="9" max="9" width="65.83203125" customWidth="1" outlineLevel="1"/>
    <col min="10" max="10" width="52.33203125" style="140" customWidth="1" outlineLevel="1"/>
    <col min="11" max="11" width="1.5" customWidth="1" outlineLevel="1"/>
    <col min="12" max="12" width="14.5" customWidth="1" outlineLevel="1"/>
    <col min="13" max="13" width="14.83203125" customWidth="1" outlineLevel="1"/>
    <col min="14" max="14" width="1.5" customWidth="1" outlineLevel="1"/>
    <col min="15" max="15" width="19.5" customWidth="1" outlineLevel="1"/>
    <col min="16" max="16" width="1.5" customWidth="1" outlineLevel="1"/>
    <col min="17" max="17" width="19.5" customWidth="1" outlineLevel="1"/>
  </cols>
  <sheetData>
    <row r="1" spans="2:17" ht="26" x14ac:dyDescent="0.2">
      <c r="D1" s="131" t="s">
        <v>518</v>
      </c>
    </row>
    <row r="2" spans="2:17" ht="16" thickBot="1" x14ac:dyDescent="0.25"/>
    <row r="3" spans="2:17" s="14" customFormat="1" ht="14" x14ac:dyDescent="0.15">
      <c r="D3" s="680" t="s">
        <v>136</v>
      </c>
      <c r="E3" s="681"/>
      <c r="F3" s="681"/>
      <c r="G3" s="682"/>
      <c r="I3" s="693" t="s">
        <v>592</v>
      </c>
      <c r="J3" s="693"/>
      <c r="K3" s="693"/>
      <c r="L3" s="693"/>
      <c r="M3" s="693"/>
      <c r="N3" s="693"/>
      <c r="O3" s="693"/>
    </row>
    <row r="4" spans="2:17" s="14" customFormat="1" x14ac:dyDescent="0.2">
      <c r="D4" s="130" t="s">
        <v>504</v>
      </c>
      <c r="E4" s="653" t="str">
        <f>Costing!E4</f>
        <v/>
      </c>
      <c r="F4" s="654"/>
      <c r="G4" s="694"/>
      <c r="I4" s="693"/>
      <c r="J4" s="693"/>
      <c r="K4" s="693"/>
      <c r="L4" s="693"/>
      <c r="M4" s="693"/>
      <c r="N4" s="693"/>
      <c r="O4" s="693"/>
    </row>
    <row r="5" spans="2:17" s="14" customFormat="1" x14ac:dyDescent="0.2">
      <c r="D5" s="130" t="s">
        <v>499</v>
      </c>
      <c r="E5" s="653" t="str">
        <f>Costing!E7</f>
        <v/>
      </c>
      <c r="F5" s="654"/>
      <c r="G5" s="694"/>
      <c r="I5" s="693"/>
      <c r="J5" s="693"/>
      <c r="K5" s="693"/>
      <c r="L5" s="693"/>
      <c r="M5" s="693"/>
      <c r="N5" s="693"/>
      <c r="O5" s="693"/>
    </row>
    <row r="6" spans="2:17" s="14" customFormat="1" ht="16" x14ac:dyDescent="0.2">
      <c r="D6" s="129" t="s">
        <v>498</v>
      </c>
      <c r="E6" s="653" t="str">
        <f>Costing!E8</f>
        <v/>
      </c>
      <c r="F6" s="654"/>
      <c r="G6" s="694"/>
      <c r="I6" s="693"/>
      <c r="J6" s="693"/>
      <c r="K6" s="693"/>
      <c r="L6" s="693"/>
      <c r="M6" s="693"/>
      <c r="N6" s="693"/>
      <c r="O6" s="693"/>
    </row>
    <row r="7" spans="2:17" s="14" customFormat="1" x14ac:dyDescent="0.2">
      <c r="D7" s="130" t="s">
        <v>497</v>
      </c>
      <c r="E7" s="653" t="str">
        <f>Costing!E9</f>
        <v/>
      </c>
      <c r="F7" s="654"/>
      <c r="G7" s="694"/>
      <c r="I7" s="693"/>
      <c r="J7" s="693"/>
      <c r="K7" s="693"/>
      <c r="L7" s="693"/>
      <c r="M7" s="693"/>
      <c r="N7" s="693"/>
      <c r="O7" s="693"/>
    </row>
    <row r="8" spans="2:17" s="14" customFormat="1" x14ac:dyDescent="0.2">
      <c r="D8" s="130" t="s">
        <v>496</v>
      </c>
      <c r="E8" s="653" t="str">
        <f>Costing!E10</f>
        <v/>
      </c>
      <c r="F8" s="654"/>
      <c r="G8" s="694"/>
      <c r="I8" s="693"/>
      <c r="J8" s="693"/>
      <c r="K8" s="693"/>
      <c r="L8" s="693"/>
      <c r="M8" s="693"/>
      <c r="N8" s="693"/>
      <c r="O8" s="693"/>
    </row>
    <row r="9" spans="2:17" s="14" customFormat="1" ht="16" thickBot="1" x14ac:dyDescent="0.25">
      <c r="D9" s="133" t="s">
        <v>495</v>
      </c>
      <c r="E9" s="683" t="str">
        <f>Costing!E11</f>
        <v/>
      </c>
      <c r="F9" s="684"/>
      <c r="G9" s="685"/>
      <c r="I9" s="693"/>
      <c r="J9" s="693"/>
      <c r="K9" s="693"/>
      <c r="L9" s="693"/>
      <c r="M9" s="693"/>
      <c r="N9" s="693"/>
      <c r="O9" s="693"/>
    </row>
    <row r="10" spans="2:17" s="14" customFormat="1" x14ac:dyDescent="0.2">
      <c r="B10" s="155" t="s">
        <v>593</v>
      </c>
      <c r="D10"/>
      <c r="E10"/>
      <c r="F10"/>
      <c r="G10"/>
      <c r="J10" s="135"/>
    </row>
    <row r="11" spans="2:17" s="14" customFormat="1" ht="21" customHeight="1" x14ac:dyDescent="0.2">
      <c r="B11" s="150">
        <f>B13</f>
        <v>0</v>
      </c>
      <c r="D11" s="444" t="s">
        <v>556</v>
      </c>
      <c r="E11" s="444"/>
      <c r="F11" s="444"/>
      <c r="G11" s="444"/>
      <c r="J11" s="146"/>
      <c r="L11" s="686" t="s">
        <v>542</v>
      </c>
      <c r="M11" s="686"/>
      <c r="N11" s="151"/>
      <c r="O11" s="150" t="s">
        <v>545</v>
      </c>
      <c r="P11" s="151"/>
    </row>
    <row r="12" spans="2:17" s="14" customFormat="1" ht="14" x14ac:dyDescent="0.2">
      <c r="B12" s="150">
        <f>B11</f>
        <v>0</v>
      </c>
      <c r="D12" s="180" t="s">
        <v>93</v>
      </c>
      <c r="E12" s="181" t="s">
        <v>503</v>
      </c>
      <c r="F12" s="181" t="s">
        <v>122</v>
      </c>
      <c r="G12" s="182" t="s">
        <v>524</v>
      </c>
      <c r="I12" s="136" t="s">
        <v>597</v>
      </c>
      <c r="J12" s="143" t="s">
        <v>539</v>
      </c>
      <c r="L12" s="149" t="s">
        <v>546</v>
      </c>
      <c r="M12" s="149" t="s">
        <v>520</v>
      </c>
      <c r="N12" s="147"/>
      <c r="O12" s="149" t="s">
        <v>543</v>
      </c>
      <c r="P12" s="147"/>
      <c r="Q12" s="132" t="s">
        <v>544</v>
      </c>
    </row>
    <row r="13" spans="2:17" s="14" customFormat="1" ht="32" x14ac:dyDescent="0.2">
      <c r="B13" s="12">
        <f>IF(E13&gt;0,1,0)</f>
        <v>0</v>
      </c>
      <c r="D13" s="178" t="s">
        <v>553</v>
      </c>
      <c r="E13" s="154">
        <f>Costing!F25</f>
        <v>0</v>
      </c>
      <c r="F13" s="148" t="s">
        <v>555</v>
      </c>
      <c r="G13" s="137"/>
      <c r="I13" s="138" t="s">
        <v>537</v>
      </c>
      <c r="J13" s="144" t="s">
        <v>554</v>
      </c>
      <c r="L13" s="141">
        <v>4.16</v>
      </c>
      <c r="M13" s="141">
        <f>L13*E13</f>
        <v>0</v>
      </c>
      <c r="N13" s="147"/>
      <c r="O13" s="156">
        <f>Costing!K25</f>
        <v>0</v>
      </c>
      <c r="P13" s="147"/>
      <c r="Q13" s="141">
        <f>O13-M13</f>
        <v>0</v>
      </c>
    </row>
    <row r="14" spans="2:17" s="14" customFormat="1" ht="21" customHeight="1" x14ac:dyDescent="0.2">
      <c r="B14" s="150">
        <f>IF(SUM(B16:B18)&gt;0,1,0)</f>
        <v>0</v>
      </c>
      <c r="D14" s="444" t="s">
        <v>522</v>
      </c>
      <c r="E14" s="444"/>
      <c r="F14" s="444"/>
      <c r="G14" s="444"/>
      <c r="J14" s="146"/>
      <c r="L14" s="686" t="s">
        <v>542</v>
      </c>
      <c r="M14" s="686"/>
      <c r="N14" s="147"/>
      <c r="O14" s="150" t="s">
        <v>545</v>
      </c>
      <c r="P14" s="147"/>
    </row>
    <row r="15" spans="2:17" s="14" customFormat="1" ht="14" x14ac:dyDescent="0.2">
      <c r="B15" s="150">
        <f>B14</f>
        <v>0</v>
      </c>
      <c r="D15" s="180" t="s">
        <v>93</v>
      </c>
      <c r="E15" s="181" t="s">
        <v>503</v>
      </c>
      <c r="F15" s="181" t="s">
        <v>122</v>
      </c>
      <c r="G15" s="182" t="s">
        <v>524</v>
      </c>
      <c r="I15" s="136" t="s">
        <v>521</v>
      </c>
      <c r="J15" s="143" t="s">
        <v>539</v>
      </c>
      <c r="L15" s="149" t="s">
        <v>546</v>
      </c>
      <c r="M15" s="149" t="s">
        <v>520</v>
      </c>
      <c r="N15" s="147"/>
      <c r="O15" s="149" t="s">
        <v>543</v>
      </c>
      <c r="P15" s="147"/>
      <c r="Q15" s="132" t="s">
        <v>544</v>
      </c>
    </row>
    <row r="16" spans="2:17" s="14" customFormat="1" ht="32" x14ac:dyDescent="0.2">
      <c r="B16" s="12">
        <f t="shared" ref="B16:B18" si="0">IF(E16&gt;0,1,0)</f>
        <v>0</v>
      </c>
      <c r="D16" s="178" t="s">
        <v>519</v>
      </c>
      <c r="E16" s="154">
        <f>IF(Costing!F40=0,0,IF(Costing!F40/(10*0.115)*1.1&lt;0.5,1,IF(MOD(Costing!F40/(10*0.115),1)&gt;=0.5,ROUNDUP(Costing!F40/(10*0.115),0),ROUNDDOWN(Costing!F40/(10*0.115),0))))</f>
        <v>0</v>
      </c>
      <c r="F16" s="148" t="s">
        <v>526</v>
      </c>
      <c r="G16" s="137"/>
      <c r="I16" s="138" t="s">
        <v>598</v>
      </c>
      <c r="J16" s="144" t="s">
        <v>532</v>
      </c>
      <c r="L16" s="141">
        <v>13.93</v>
      </c>
      <c r="M16" s="141">
        <f>L16*E16</f>
        <v>0</v>
      </c>
      <c r="N16" s="147"/>
      <c r="O16" s="687">
        <f>Costing!K40</f>
        <v>0</v>
      </c>
      <c r="P16" s="147"/>
      <c r="Q16" s="687">
        <f>O16-M16-M17</f>
        <v>0</v>
      </c>
    </row>
    <row r="17" spans="2:18" s="14" customFormat="1" ht="32" x14ac:dyDescent="0.2">
      <c r="B17" s="12">
        <f t="shared" si="0"/>
        <v>0</v>
      </c>
      <c r="D17" s="178" t="s">
        <v>527</v>
      </c>
      <c r="E17" s="154">
        <f>_xlfn.CEILING.MATH(((Costing!D40/6*50)),50)</f>
        <v>0</v>
      </c>
      <c r="F17" s="148" t="s">
        <v>600</v>
      </c>
      <c r="G17" s="137"/>
      <c r="I17" s="138" t="s">
        <v>599</v>
      </c>
      <c r="J17" s="144" t="s">
        <v>533</v>
      </c>
      <c r="L17" s="152">
        <f>4.29/100</f>
        <v>4.2900000000000001E-2</v>
      </c>
      <c r="M17" s="152">
        <f>L17*E17</f>
        <v>0</v>
      </c>
      <c r="N17" s="147"/>
      <c r="O17" s="689"/>
      <c r="P17" s="147"/>
      <c r="Q17" s="689"/>
    </row>
    <row r="18" spans="2:18" s="14" customFormat="1" ht="16" x14ac:dyDescent="0.2">
      <c r="B18" s="12">
        <f t="shared" si="0"/>
        <v>0</v>
      </c>
      <c r="D18" s="139" t="str">
        <f>_xlfn.CONCAT("Mursec Eco Unit | Type: ",Costing!D42, " | Radius (mtr): ",Costing!E42)</f>
        <v xml:space="preserve">Mursec Eco Unit | Type:  | Radius (mtr): </v>
      </c>
      <c r="E18" s="154">
        <f>Costing!F42</f>
        <v>0</v>
      </c>
      <c r="F18" s="148" t="s">
        <v>119</v>
      </c>
      <c r="G18" s="137"/>
      <c r="I18" s="138" t="s">
        <v>537</v>
      </c>
      <c r="J18" s="145" t="s">
        <v>106</v>
      </c>
      <c r="L18" s="141" t="s">
        <v>106</v>
      </c>
      <c r="M18" s="141" t="s">
        <v>106</v>
      </c>
      <c r="N18" s="147"/>
      <c r="O18" s="141" t="s">
        <v>106</v>
      </c>
      <c r="P18" s="147"/>
      <c r="Q18" s="141" t="s">
        <v>106</v>
      </c>
    </row>
    <row r="19" spans="2:18" s="14" customFormat="1" ht="21" customHeight="1" x14ac:dyDescent="0.2">
      <c r="B19" s="12">
        <f>IF(SUM(B21:B29)&gt;0,1,0)</f>
        <v>0</v>
      </c>
      <c r="D19" s="444" t="s">
        <v>523</v>
      </c>
      <c r="E19" s="444"/>
      <c r="F19" s="444"/>
      <c r="G19" s="444"/>
      <c r="J19" s="146"/>
      <c r="N19" s="147"/>
      <c r="O19" s="150" t="s">
        <v>545</v>
      </c>
      <c r="P19" s="147"/>
    </row>
    <row r="20" spans="2:18" s="14" customFormat="1" ht="14" x14ac:dyDescent="0.2">
      <c r="B20" s="12">
        <f>B19</f>
        <v>0</v>
      </c>
      <c r="D20" s="180" t="s">
        <v>93</v>
      </c>
      <c r="E20" s="181" t="s">
        <v>503</v>
      </c>
      <c r="F20" s="181" t="s">
        <v>122</v>
      </c>
      <c r="G20" s="182" t="s">
        <v>524</v>
      </c>
      <c r="I20" s="136" t="s">
        <v>521</v>
      </c>
      <c r="J20" s="143" t="s">
        <v>539</v>
      </c>
      <c r="L20" s="132" t="s">
        <v>546</v>
      </c>
      <c r="M20" s="132" t="s">
        <v>520</v>
      </c>
      <c r="N20" s="147"/>
      <c r="O20" s="132" t="s">
        <v>543</v>
      </c>
      <c r="P20" s="147"/>
      <c r="Q20" s="132" t="s">
        <v>544</v>
      </c>
    </row>
    <row r="21" spans="2:18" s="14" customFormat="1" ht="32" x14ac:dyDescent="0.2">
      <c r="B21" s="12">
        <f t="shared" ref="B21:B29" si="1">IF(E21&gt;0,1,0)</f>
        <v>0</v>
      </c>
      <c r="D21" s="178" t="s">
        <v>620</v>
      </c>
      <c r="E21" s="154">
        <f>_xlfn.CEILING.MATH((Costing!F44),5)</f>
        <v>0</v>
      </c>
      <c r="F21" s="148" t="s">
        <v>116</v>
      </c>
      <c r="G21" s="137"/>
      <c r="I21" s="138" t="s">
        <v>601</v>
      </c>
      <c r="J21" s="144" t="s">
        <v>525</v>
      </c>
      <c r="L21" s="142">
        <f>20.83/5</f>
        <v>4.1659999999999995</v>
      </c>
      <c r="M21" s="142">
        <f t="shared" ref="M21:M29" si="2">L21*E21</f>
        <v>0</v>
      </c>
      <c r="N21" s="147"/>
      <c r="O21" s="141">
        <f>Costing!K44</f>
        <v>0</v>
      </c>
      <c r="P21" s="147"/>
      <c r="Q21" s="141">
        <f>O21-M21</f>
        <v>0</v>
      </c>
    </row>
    <row r="22" spans="2:18" s="14" customFormat="1" ht="32" x14ac:dyDescent="0.2">
      <c r="B22" s="12">
        <f t="shared" ref="B22" si="3">IF(E22&gt;0,1,0)</f>
        <v>0</v>
      </c>
      <c r="D22" s="178" t="s">
        <v>621</v>
      </c>
      <c r="E22" s="154">
        <f>_xlfn.CEILING.MATH((Costing!F45),5)</f>
        <v>0</v>
      </c>
      <c r="F22" s="148" t="s">
        <v>116</v>
      </c>
      <c r="G22" s="137"/>
      <c r="I22" s="138" t="s">
        <v>601</v>
      </c>
      <c r="J22" s="144" t="s">
        <v>525</v>
      </c>
      <c r="L22" s="142">
        <f>26.67/6</f>
        <v>4.4450000000000003</v>
      </c>
      <c r="M22" s="142">
        <f t="shared" ref="M22" si="4">L22*E22</f>
        <v>0</v>
      </c>
      <c r="N22" s="147"/>
      <c r="O22" s="141">
        <f>Costing!K45</f>
        <v>0</v>
      </c>
      <c r="P22" s="147"/>
      <c r="Q22" s="141">
        <f>O22-M22</f>
        <v>0</v>
      </c>
    </row>
    <row r="23" spans="2:18" s="14" customFormat="1" ht="32" x14ac:dyDescent="0.2">
      <c r="B23" s="12">
        <f t="shared" ref="B23" si="5">IF(E23&gt;0,1,0)</f>
        <v>0</v>
      </c>
      <c r="D23" s="178" t="str">
        <f>_xlfn.CONCAT("Wykamol CM3 Mesh Cavity Drain Membrane - 2mtr
For area of: [Length:",Costing!D46," mtrs] &amp; [Height: ",Costing!E46," mtrs]")</f>
        <v>Wykamol CM3 Mesh Cavity Drain Membrane - 2mtr
For area of: [Length: mtrs] &amp; [Height:  mtrs]</v>
      </c>
      <c r="E23" s="154">
        <f>_xlfn.CEILING.MATH((Costing!F49),5)</f>
        <v>0</v>
      </c>
      <c r="F23" s="148" t="s">
        <v>116</v>
      </c>
      <c r="G23" s="137"/>
      <c r="I23" s="138" t="s">
        <v>601</v>
      </c>
      <c r="J23" s="144" t="s">
        <v>525</v>
      </c>
      <c r="L23" s="142">
        <f>44.17/10</f>
        <v>4.4169999999999998</v>
      </c>
      <c r="M23" s="142">
        <f t="shared" ref="M23" si="6">L23*E23</f>
        <v>0</v>
      </c>
      <c r="N23" s="147"/>
      <c r="O23" s="141">
        <f>Costing!K46</f>
        <v>0</v>
      </c>
      <c r="P23" s="147"/>
      <c r="Q23" s="141">
        <f>O23-M23</f>
        <v>0</v>
      </c>
    </row>
    <row r="24" spans="2:18" s="14" customFormat="1" ht="32" x14ac:dyDescent="0.2">
      <c r="B24" s="12">
        <f t="shared" si="1"/>
        <v>0</v>
      </c>
      <c r="D24" s="178" t="s">
        <v>528</v>
      </c>
      <c r="E24" s="154">
        <f>_xlfn.CEILING.MATH(((SUM(Costing!F44:F48)*10)),20)</f>
        <v>0</v>
      </c>
      <c r="F24" s="148" t="s">
        <v>602</v>
      </c>
      <c r="G24" s="137"/>
      <c r="I24" s="138" t="s">
        <v>536</v>
      </c>
      <c r="J24" s="144" t="s">
        <v>530</v>
      </c>
      <c r="L24" s="157">
        <f>9.33/100</f>
        <v>9.3299999999999994E-2</v>
      </c>
      <c r="M24" s="157">
        <f t="shared" si="2"/>
        <v>0</v>
      </c>
      <c r="N24" s="147"/>
      <c r="O24" s="141">
        <f>Costing!K50</f>
        <v>0</v>
      </c>
      <c r="P24" s="147"/>
      <c r="Q24" s="141">
        <f>O24-M24</f>
        <v>0</v>
      </c>
    </row>
    <row r="25" spans="2:18" s="14" customFormat="1" ht="32" x14ac:dyDescent="0.2">
      <c r="B25" s="12">
        <f t="shared" si="1"/>
        <v>0</v>
      </c>
      <c r="D25" s="178" t="s">
        <v>529</v>
      </c>
      <c r="E25" s="154">
        <f>ROUNDUP((Costing!F51)/22,0)</f>
        <v>0</v>
      </c>
      <c r="F25" s="148" t="s">
        <v>549</v>
      </c>
      <c r="G25" s="137"/>
      <c r="H25" s="401" t="s">
        <v>595</v>
      </c>
      <c r="I25" s="138" t="s">
        <v>605</v>
      </c>
      <c r="J25" s="144" t="s">
        <v>531</v>
      </c>
      <c r="L25" s="142">
        <v>19.16</v>
      </c>
      <c r="M25" s="142">
        <f t="shared" si="2"/>
        <v>0</v>
      </c>
      <c r="N25" s="147"/>
      <c r="O25" s="141">
        <f>Costing!K51</f>
        <v>0</v>
      </c>
      <c r="P25" s="147"/>
      <c r="Q25" s="141">
        <f t="shared" ref="Q25:Q29" si="7">O25-M25</f>
        <v>0</v>
      </c>
      <c r="R25" s="153"/>
    </row>
    <row r="26" spans="2:18" s="14" customFormat="1" ht="48" x14ac:dyDescent="0.2">
      <c r="B26" s="12">
        <f t="shared" si="1"/>
        <v>0</v>
      </c>
      <c r="D26" s="178" t="s">
        <v>535</v>
      </c>
      <c r="E26" s="179">
        <f>ROUNDUP((Costing!F52/80),1)</f>
        <v>0</v>
      </c>
      <c r="F26" s="148" t="s">
        <v>538</v>
      </c>
      <c r="G26" s="137"/>
      <c r="H26" s="401" t="s">
        <v>606</v>
      </c>
      <c r="I26" s="138" t="s">
        <v>607</v>
      </c>
      <c r="J26" s="144" t="s">
        <v>534</v>
      </c>
      <c r="L26" s="142">
        <v>23.33</v>
      </c>
      <c r="M26" s="142">
        <f t="shared" si="2"/>
        <v>0</v>
      </c>
      <c r="N26" s="147"/>
      <c r="O26" s="141">
        <f>Costing!K52</f>
        <v>0</v>
      </c>
      <c r="P26" s="147"/>
      <c r="Q26" s="141">
        <f t="shared" si="7"/>
        <v>0</v>
      </c>
      <c r="R26" s="153"/>
    </row>
    <row r="27" spans="2:18" s="14" customFormat="1" ht="32" x14ac:dyDescent="0.2">
      <c r="B27" s="12">
        <f t="shared" si="1"/>
        <v>0</v>
      </c>
      <c r="D27" s="178" t="s">
        <v>551</v>
      </c>
      <c r="E27" s="154">
        <f>ROUNDUP((Costing!F53+Costing!F64+Costing!F71)/12,0)</f>
        <v>0</v>
      </c>
      <c r="F27" s="148" t="s">
        <v>541</v>
      </c>
      <c r="G27" s="137"/>
      <c r="I27" s="138" t="s">
        <v>614</v>
      </c>
      <c r="J27" s="144" t="s">
        <v>540</v>
      </c>
      <c r="L27" s="142">
        <v>24.51</v>
      </c>
      <c r="M27" s="142">
        <f t="shared" si="2"/>
        <v>0</v>
      </c>
      <c r="N27" s="147"/>
      <c r="O27" s="141">
        <f>Costing!K53</f>
        <v>0</v>
      </c>
      <c r="P27" s="147"/>
      <c r="Q27" s="141">
        <f t="shared" si="7"/>
        <v>0</v>
      </c>
      <c r="R27" s="153"/>
    </row>
    <row r="28" spans="2:18" s="14" customFormat="1" ht="32" x14ac:dyDescent="0.2">
      <c r="B28" s="12">
        <f t="shared" si="1"/>
        <v>0</v>
      </c>
      <c r="D28" s="178" t="s">
        <v>603</v>
      </c>
      <c r="E28" s="154">
        <f>ROUNDUP(((Costing!F55/5)),0)</f>
        <v>0</v>
      </c>
      <c r="F28" s="148" t="s">
        <v>550</v>
      </c>
      <c r="G28" s="137"/>
      <c r="H28" s="401" t="s">
        <v>595</v>
      </c>
      <c r="I28" s="138" t="s">
        <v>604</v>
      </c>
      <c r="J28" s="144" t="s">
        <v>547</v>
      </c>
      <c r="L28" s="142">
        <v>10.83</v>
      </c>
      <c r="M28" s="142">
        <f t="shared" si="2"/>
        <v>0</v>
      </c>
      <c r="N28" s="147"/>
      <c r="O28" s="141">
        <f>Costing!K55</f>
        <v>0</v>
      </c>
      <c r="P28" s="147"/>
      <c r="Q28" s="141">
        <f>O28-M28</f>
        <v>0</v>
      </c>
      <c r="R28" s="153"/>
    </row>
    <row r="29" spans="2:18" s="14" customFormat="1" ht="29.25" customHeight="1" x14ac:dyDescent="0.2">
      <c r="B29" s="12">
        <f t="shared" si="1"/>
        <v>0</v>
      </c>
      <c r="D29" s="178" t="s">
        <v>552</v>
      </c>
      <c r="E29" s="154">
        <f>ROUNDUP((Costing!F56/5),0)</f>
        <v>0</v>
      </c>
      <c r="F29" s="148" t="s">
        <v>550</v>
      </c>
      <c r="G29" s="137"/>
      <c r="H29" s="401" t="s">
        <v>595</v>
      </c>
      <c r="I29" s="138" t="s">
        <v>604</v>
      </c>
      <c r="J29" s="144" t="s">
        <v>548</v>
      </c>
      <c r="L29" s="142">
        <v>10.33</v>
      </c>
      <c r="M29" s="142">
        <f t="shared" si="2"/>
        <v>0</v>
      </c>
      <c r="N29" s="147"/>
      <c r="O29" s="141">
        <f>Costing!K56</f>
        <v>0</v>
      </c>
      <c r="P29" s="147"/>
      <c r="Q29" s="141">
        <f t="shared" si="7"/>
        <v>0</v>
      </c>
      <c r="R29" s="153"/>
    </row>
    <row r="30" spans="2:18" s="14" customFormat="1" ht="21" customHeight="1" x14ac:dyDescent="0.2">
      <c r="B30" s="150">
        <f>IF(SUM(B32:B36)&gt;0,1,0)</f>
        <v>0</v>
      </c>
      <c r="D30" s="444" t="s">
        <v>19</v>
      </c>
      <c r="E30" s="444"/>
      <c r="F30" s="444"/>
      <c r="G30" s="444"/>
      <c r="J30" s="146"/>
      <c r="N30" s="147"/>
      <c r="O30" s="150" t="s">
        <v>545</v>
      </c>
      <c r="P30" s="147"/>
      <c r="R30" s="153"/>
    </row>
    <row r="31" spans="2:18" s="14" customFormat="1" ht="14" x14ac:dyDescent="0.2">
      <c r="B31" s="150">
        <f>B30</f>
        <v>0</v>
      </c>
      <c r="D31" s="180" t="s">
        <v>93</v>
      </c>
      <c r="E31" s="181" t="s">
        <v>503</v>
      </c>
      <c r="F31" s="181" t="s">
        <v>122</v>
      </c>
      <c r="G31" s="182" t="s">
        <v>524</v>
      </c>
      <c r="I31" s="136" t="s">
        <v>521</v>
      </c>
      <c r="J31" s="143" t="s">
        <v>539</v>
      </c>
      <c r="L31" s="132" t="s">
        <v>546</v>
      </c>
      <c r="M31" s="132" t="s">
        <v>520</v>
      </c>
      <c r="N31" s="147"/>
      <c r="O31" s="132" t="s">
        <v>543</v>
      </c>
      <c r="P31" s="147"/>
      <c r="Q31" s="132" t="s">
        <v>544</v>
      </c>
      <c r="R31" s="153"/>
    </row>
    <row r="32" spans="2:18" s="14" customFormat="1" ht="45" customHeight="1" x14ac:dyDescent="0.2">
      <c r="B32" s="12">
        <f t="shared" ref="B32:B36" si="8">IF(E32&gt;0,1,0)</f>
        <v>0</v>
      </c>
      <c r="D32" s="178" t="s">
        <v>561</v>
      </c>
      <c r="E32" s="154">
        <f>ROUNDUP((Costing!F61/8),0)</f>
        <v>0</v>
      </c>
      <c r="F32" s="148" t="s">
        <v>538</v>
      </c>
      <c r="G32" s="137"/>
      <c r="I32" s="690" t="s">
        <v>609</v>
      </c>
      <c r="J32" s="144" t="s">
        <v>557</v>
      </c>
      <c r="L32" s="142">
        <v>16.66</v>
      </c>
      <c r="M32" s="142">
        <f t="shared" ref="M32:M35" si="9">L32*E32</f>
        <v>0</v>
      </c>
      <c r="N32" s="147"/>
      <c r="O32" s="687">
        <f>Costing!K61</f>
        <v>0</v>
      </c>
      <c r="P32" s="147"/>
      <c r="Q32" s="687">
        <f>O32-SUM(M32:M34)</f>
        <v>0</v>
      </c>
      <c r="R32" s="153"/>
    </row>
    <row r="33" spans="2:18" s="14" customFormat="1" x14ac:dyDescent="0.2">
      <c r="B33" s="12">
        <f t="shared" si="8"/>
        <v>0</v>
      </c>
      <c r="D33" s="178" t="s">
        <v>608</v>
      </c>
      <c r="E33" s="154">
        <f>ROUNDUP(Costing!F61,0)</f>
        <v>0</v>
      </c>
      <c r="F33" s="148" t="s">
        <v>562</v>
      </c>
      <c r="G33" s="137"/>
      <c r="I33" s="691"/>
      <c r="J33" s="110" t="s">
        <v>565</v>
      </c>
      <c r="L33" s="142">
        <f>3.35/6*5</f>
        <v>2.791666666666667</v>
      </c>
      <c r="M33" s="142">
        <f t="shared" ref="M33" si="10">L33*E33</f>
        <v>0</v>
      </c>
      <c r="N33" s="147"/>
      <c r="O33" s="688"/>
      <c r="P33" s="147"/>
      <c r="Q33" s="688"/>
      <c r="R33" s="153"/>
    </row>
    <row r="34" spans="2:18" s="14" customFormat="1" ht="16" x14ac:dyDescent="0.2">
      <c r="B34" s="12">
        <f t="shared" si="8"/>
        <v>0</v>
      </c>
      <c r="D34" s="178" t="s">
        <v>563</v>
      </c>
      <c r="E34" s="154">
        <f>ROUNDUP((Costing!F61/4),0)</f>
        <v>0</v>
      </c>
      <c r="F34" s="148" t="s">
        <v>562</v>
      </c>
      <c r="G34" s="137"/>
      <c r="I34" s="692"/>
      <c r="J34" s="144" t="s">
        <v>564</v>
      </c>
      <c r="L34" s="142">
        <v>7.69</v>
      </c>
      <c r="M34" s="142">
        <f t="shared" ref="M34" si="11">L34*E34</f>
        <v>0</v>
      </c>
      <c r="N34" s="147"/>
      <c r="O34" s="689"/>
      <c r="P34" s="147"/>
      <c r="Q34" s="689"/>
      <c r="R34" s="153"/>
    </row>
    <row r="35" spans="2:18" s="14" customFormat="1" ht="32" x14ac:dyDescent="0.2">
      <c r="B35" s="12">
        <f t="shared" si="8"/>
        <v>0</v>
      </c>
      <c r="D35" s="178" t="s">
        <v>566</v>
      </c>
      <c r="E35" s="154">
        <f>ROUNDUP((Costing!F62/7),0)</f>
        <v>0</v>
      </c>
      <c r="F35" s="148" t="s">
        <v>567</v>
      </c>
      <c r="G35" s="137"/>
      <c r="I35" s="138" t="s">
        <v>560</v>
      </c>
      <c r="J35" s="144" t="s">
        <v>558</v>
      </c>
      <c r="L35" s="142">
        <v>21.7</v>
      </c>
      <c r="M35" s="142">
        <f t="shared" si="9"/>
        <v>0</v>
      </c>
      <c r="N35" s="147"/>
      <c r="O35" s="141">
        <f>Costing!K62</f>
        <v>0</v>
      </c>
      <c r="P35" s="147"/>
      <c r="Q35" s="141">
        <f>O35-M35</f>
        <v>0</v>
      </c>
      <c r="R35" s="153"/>
    </row>
    <row r="36" spans="2:18" s="14" customFormat="1" ht="32" x14ac:dyDescent="0.2">
      <c r="B36" s="12">
        <f t="shared" si="8"/>
        <v>0</v>
      </c>
      <c r="D36" s="178" t="s">
        <v>568</v>
      </c>
      <c r="E36" s="154">
        <f>ROUNDUP(((Costing!F63/3)),0)</f>
        <v>0</v>
      </c>
      <c r="F36" s="148" t="s">
        <v>569</v>
      </c>
      <c r="G36" s="137"/>
      <c r="I36" s="138" t="s">
        <v>574</v>
      </c>
      <c r="J36" s="144" t="s">
        <v>559</v>
      </c>
      <c r="L36" s="142">
        <v>16.25</v>
      </c>
      <c r="M36" s="142">
        <f t="shared" ref="M36" si="12">L36*E36</f>
        <v>0</v>
      </c>
      <c r="N36" s="147"/>
      <c r="O36" s="141">
        <f>Costing!K63</f>
        <v>0</v>
      </c>
      <c r="P36" s="147"/>
      <c r="Q36" s="141">
        <f>O36-M36</f>
        <v>0</v>
      </c>
      <c r="R36" s="153"/>
    </row>
    <row r="37" spans="2:18" s="14" customFormat="1" ht="21" customHeight="1" x14ac:dyDescent="0.2">
      <c r="B37" s="150">
        <f>IF(SUM(B39:B41)&gt;0,1,0)</f>
        <v>0</v>
      </c>
      <c r="D37" s="444" t="s">
        <v>477</v>
      </c>
      <c r="E37" s="444"/>
      <c r="F37" s="444"/>
      <c r="G37" s="444"/>
      <c r="J37" s="146"/>
      <c r="N37" s="147"/>
      <c r="O37" s="150" t="s">
        <v>545</v>
      </c>
      <c r="P37" s="147"/>
      <c r="R37" s="153"/>
    </row>
    <row r="38" spans="2:18" s="14" customFormat="1" ht="14" x14ac:dyDescent="0.2">
      <c r="B38" s="150">
        <f>B37</f>
        <v>0</v>
      </c>
      <c r="D38" s="180" t="s">
        <v>93</v>
      </c>
      <c r="E38" s="181" t="s">
        <v>503</v>
      </c>
      <c r="F38" s="181" t="s">
        <v>122</v>
      </c>
      <c r="G38" s="182" t="s">
        <v>524</v>
      </c>
      <c r="I38" s="136" t="s">
        <v>521</v>
      </c>
      <c r="J38" s="143" t="s">
        <v>539</v>
      </c>
      <c r="L38" s="132" t="s">
        <v>546</v>
      </c>
      <c r="M38" s="132" t="s">
        <v>520</v>
      </c>
      <c r="N38" s="147"/>
      <c r="O38" s="132" t="s">
        <v>543</v>
      </c>
      <c r="P38" s="147"/>
      <c r="Q38" s="132" t="s">
        <v>544</v>
      </c>
      <c r="R38" s="153"/>
    </row>
    <row r="39" spans="2:18" s="14" customFormat="1" ht="16" x14ac:dyDescent="0.2">
      <c r="B39" s="12">
        <f t="shared" ref="B39:B41" si="13">IF(E39&gt;0,1,0)</f>
        <v>0</v>
      </c>
      <c r="D39" s="178" t="str">
        <f>Costing!B69</f>
        <v>EP40 2 Pack resin Primer</v>
      </c>
      <c r="E39" s="154">
        <f>ROUNDUP((Costing!F69/30),0)</f>
        <v>0</v>
      </c>
      <c r="F39" s="148" t="s">
        <v>538</v>
      </c>
      <c r="G39" s="137"/>
      <c r="H39" s="402"/>
      <c r="I39" s="138" t="s">
        <v>573</v>
      </c>
      <c r="J39" s="144" t="s">
        <v>570</v>
      </c>
      <c r="L39" s="142">
        <v>56.7</v>
      </c>
      <c r="M39" s="142">
        <f t="shared" ref="M39:M40" si="14">L39*E39</f>
        <v>0</v>
      </c>
      <c r="N39" s="147"/>
      <c r="O39" s="141">
        <f>Costing!K69</f>
        <v>0</v>
      </c>
      <c r="P39" s="147"/>
      <c r="Q39" s="141">
        <f>O39-M39</f>
        <v>0</v>
      </c>
      <c r="R39" s="153"/>
    </row>
    <row r="40" spans="2:18" s="14" customFormat="1" ht="32" x14ac:dyDescent="0.2">
      <c r="B40" s="12">
        <f t="shared" si="13"/>
        <v>0</v>
      </c>
      <c r="D40" s="178" t="str">
        <f>Costing!B70</f>
        <v>EP40 2 Pack resin top coat</v>
      </c>
      <c r="E40" s="154">
        <f>ROUNDUP(((Costing!F70/30)),0)</f>
        <v>0</v>
      </c>
      <c r="F40" s="148" t="s">
        <v>538</v>
      </c>
      <c r="G40" s="137"/>
      <c r="H40" s="402"/>
      <c r="I40" s="138" t="s">
        <v>573</v>
      </c>
      <c r="J40" s="144" t="s">
        <v>571</v>
      </c>
      <c r="L40" s="142">
        <v>63.7</v>
      </c>
      <c r="M40" s="142">
        <f t="shared" si="14"/>
        <v>0</v>
      </c>
      <c r="N40" s="147"/>
      <c r="O40" s="141">
        <f>Costing!K70</f>
        <v>0</v>
      </c>
      <c r="P40" s="147"/>
      <c r="Q40" s="141">
        <f>O40-M40</f>
        <v>0</v>
      </c>
      <c r="R40" s="153"/>
    </row>
    <row r="41" spans="2:18" s="14" customFormat="1" ht="16" x14ac:dyDescent="0.2">
      <c r="B41" s="12">
        <f t="shared" si="13"/>
        <v>0</v>
      </c>
      <c r="D41" s="178" t="str">
        <f>Costing!B72</f>
        <v>Grip grit</v>
      </c>
      <c r="E41" s="154">
        <f>ROUNDUP(((Costing!F72/30)*1.1),0)</f>
        <v>0</v>
      </c>
      <c r="F41" s="148" t="s">
        <v>585</v>
      </c>
      <c r="G41" s="137"/>
      <c r="H41" s="402"/>
      <c r="I41" s="138" t="s">
        <v>575</v>
      </c>
      <c r="J41" s="144" t="s">
        <v>572</v>
      </c>
      <c r="L41" s="142">
        <v>2.08</v>
      </c>
      <c r="M41" s="142">
        <f t="shared" ref="M41" si="15">L41*E41</f>
        <v>0</v>
      </c>
      <c r="N41" s="147"/>
      <c r="O41" s="141">
        <f>Costing!K72</f>
        <v>0</v>
      </c>
      <c r="P41" s="147"/>
      <c r="Q41" s="141">
        <f>O41-M41</f>
        <v>0</v>
      </c>
      <c r="R41" s="153"/>
    </row>
    <row r="42" spans="2:18" s="14" customFormat="1" ht="21" customHeight="1" x14ac:dyDescent="0.2">
      <c r="B42" s="150">
        <f>IF(SUM(B44:B50)&gt;0,1,0)</f>
        <v>0</v>
      </c>
      <c r="D42" s="444" t="s">
        <v>379</v>
      </c>
      <c r="E42" s="444"/>
      <c r="F42" s="444"/>
      <c r="G42" s="444"/>
      <c r="J42" s="146"/>
      <c r="N42" s="147"/>
      <c r="O42" s="150" t="s">
        <v>545</v>
      </c>
      <c r="P42" s="147"/>
      <c r="R42" s="153"/>
    </row>
    <row r="43" spans="2:18" s="14" customFormat="1" ht="14" x14ac:dyDescent="0.2">
      <c r="B43" s="150">
        <f>B42</f>
        <v>0</v>
      </c>
      <c r="D43" s="180" t="s">
        <v>93</v>
      </c>
      <c r="E43" s="181" t="s">
        <v>503</v>
      </c>
      <c r="F43" s="181" t="s">
        <v>122</v>
      </c>
      <c r="G43" s="182" t="s">
        <v>524</v>
      </c>
      <c r="I43" s="136" t="s">
        <v>521</v>
      </c>
      <c r="J43" s="143" t="s">
        <v>539</v>
      </c>
      <c r="L43" s="132" t="s">
        <v>546</v>
      </c>
      <c r="M43" s="132" t="s">
        <v>520</v>
      </c>
      <c r="N43" s="147"/>
      <c r="O43" s="132" t="s">
        <v>543</v>
      </c>
      <c r="P43" s="147"/>
      <c r="Q43" s="132" t="s">
        <v>544</v>
      </c>
      <c r="R43" s="153"/>
    </row>
    <row r="44" spans="2:18" s="14" customFormat="1" ht="16" x14ac:dyDescent="0.2">
      <c r="B44" s="12">
        <f t="shared" ref="B44:B50" si="16">IF(E44&gt;0,1,0)</f>
        <v>0</v>
      </c>
      <c r="D44" s="178" t="s">
        <v>502</v>
      </c>
      <c r="E44" s="154">
        <f>ROUNDUP(Costing!F78/1.098,0)</f>
        <v>0</v>
      </c>
      <c r="F44" s="148" t="s">
        <v>119</v>
      </c>
      <c r="G44" s="137"/>
      <c r="H44" s="402"/>
      <c r="I44" s="138" t="s">
        <v>576</v>
      </c>
      <c r="J44" s="110" t="s">
        <v>565</v>
      </c>
      <c r="L44" s="142">
        <v>8.24</v>
      </c>
      <c r="M44" s="142">
        <f>L44*E44</f>
        <v>0</v>
      </c>
      <c r="N44" s="147"/>
      <c r="O44" s="141">
        <f>Costing!K78</f>
        <v>0</v>
      </c>
      <c r="P44" s="147"/>
      <c r="Q44" s="141">
        <f>O44-M44</f>
        <v>0</v>
      </c>
      <c r="R44" s="153" t="e">
        <f>Q44/O44</f>
        <v>#DIV/0!</v>
      </c>
    </row>
    <row r="45" spans="2:18" s="14" customFormat="1" ht="16" x14ac:dyDescent="0.2">
      <c r="B45" s="12">
        <f t="shared" si="16"/>
        <v>0</v>
      </c>
      <c r="D45" s="178" t="s">
        <v>616</v>
      </c>
      <c r="E45" s="154">
        <f>Costing!F81</f>
        <v>0</v>
      </c>
      <c r="F45" s="148" t="s">
        <v>119</v>
      </c>
      <c r="G45" s="137"/>
      <c r="H45" s="402"/>
      <c r="I45" s="138" t="s">
        <v>537</v>
      </c>
      <c r="J45" s="110" t="s">
        <v>565</v>
      </c>
      <c r="L45" s="142">
        <f>1.2/6*5</f>
        <v>0.99999999999999989</v>
      </c>
      <c r="M45" s="142">
        <f t="shared" ref="M45:M50" si="17">L45*E45</f>
        <v>0</v>
      </c>
      <c r="N45" s="147"/>
      <c r="O45" s="141">
        <f>Costing!T81</f>
        <v>0</v>
      </c>
      <c r="P45" s="147"/>
      <c r="Q45" s="141">
        <f>O45-M45</f>
        <v>0</v>
      </c>
      <c r="R45" s="153"/>
    </row>
    <row r="46" spans="2:18" s="14" customFormat="1" ht="16" x14ac:dyDescent="0.2">
      <c r="B46" s="12">
        <f t="shared" ref="B46" si="18">IF(E46&gt;0,1,0)</f>
        <v>0</v>
      </c>
      <c r="D46" s="178" t="s">
        <v>617</v>
      </c>
      <c r="E46" s="154">
        <f>Costing!F82</f>
        <v>0</v>
      </c>
      <c r="F46" s="148" t="s">
        <v>119</v>
      </c>
      <c r="G46" s="137"/>
      <c r="H46" s="402"/>
      <c r="I46" s="138" t="s">
        <v>537</v>
      </c>
      <c r="J46" s="110" t="s">
        <v>565</v>
      </c>
      <c r="L46" s="142">
        <f>1.99/6*5</f>
        <v>1.6583333333333332</v>
      </c>
      <c r="M46" s="142">
        <f t="shared" si="17"/>
        <v>0</v>
      </c>
      <c r="N46" s="147"/>
      <c r="O46" s="141">
        <f>Costing!T82</f>
        <v>0</v>
      </c>
      <c r="P46" s="147"/>
      <c r="Q46" s="141">
        <f>O46-M46</f>
        <v>0</v>
      </c>
      <c r="R46" s="153"/>
    </row>
    <row r="47" spans="2:18" s="14" customFormat="1" ht="16" x14ac:dyDescent="0.2">
      <c r="B47" s="12">
        <f t="shared" ref="B47" si="19">IF(E47&gt;0,1,0)</f>
        <v>0</v>
      </c>
      <c r="D47" s="178" t="s">
        <v>618</v>
      </c>
      <c r="E47" s="154">
        <f>Costing!F83</f>
        <v>0</v>
      </c>
      <c r="F47" s="148" t="s">
        <v>119</v>
      </c>
      <c r="G47" s="137"/>
      <c r="H47" s="402"/>
      <c r="I47" s="138" t="s">
        <v>537</v>
      </c>
      <c r="J47" s="110" t="s">
        <v>565</v>
      </c>
      <c r="L47" s="142">
        <f>2.99/6*5</f>
        <v>2.4916666666666667</v>
      </c>
      <c r="M47" s="142">
        <f t="shared" si="17"/>
        <v>0</v>
      </c>
      <c r="N47" s="147"/>
      <c r="O47" s="141">
        <f>Costing!T83</f>
        <v>0</v>
      </c>
      <c r="P47" s="147"/>
      <c r="Q47" s="141">
        <f>O47-M47</f>
        <v>0</v>
      </c>
      <c r="R47" s="153"/>
    </row>
    <row r="48" spans="2:18" s="14" customFormat="1" ht="32" x14ac:dyDescent="0.2">
      <c r="B48" s="12">
        <f t="shared" si="16"/>
        <v>0</v>
      </c>
      <c r="D48" s="178" t="s">
        <v>581</v>
      </c>
      <c r="E48" s="154">
        <f>ROUNDUP(Costing!F80/10,0)</f>
        <v>0</v>
      </c>
      <c r="F48" s="148" t="s">
        <v>541</v>
      </c>
      <c r="G48" s="137"/>
      <c r="H48" s="402"/>
      <c r="I48" s="138" t="s">
        <v>577</v>
      </c>
      <c r="J48" s="144" t="s">
        <v>580</v>
      </c>
      <c r="L48" s="142">
        <v>12.074999999999999</v>
      </c>
      <c r="M48" s="142">
        <f t="shared" si="17"/>
        <v>0</v>
      </c>
      <c r="N48" s="147"/>
      <c r="O48" s="141">
        <f>Costing!K80</f>
        <v>0</v>
      </c>
      <c r="P48" s="147"/>
      <c r="Q48" s="141">
        <f>O48-M48</f>
        <v>0</v>
      </c>
      <c r="R48" s="153" t="e">
        <f>Q48/O48</f>
        <v>#DIV/0!</v>
      </c>
    </row>
    <row r="49" spans="2:18" s="14" customFormat="1" ht="32" x14ac:dyDescent="0.2">
      <c r="B49" s="12">
        <f t="shared" si="16"/>
        <v>0</v>
      </c>
      <c r="D49" s="178" t="s">
        <v>501</v>
      </c>
      <c r="E49" s="179">
        <f>_xlfn.CEILING.MATH(Costing!F79/7.125,0.5)</f>
        <v>0</v>
      </c>
      <c r="F49" s="148" t="s">
        <v>619</v>
      </c>
      <c r="G49" s="137"/>
      <c r="I49" s="138" t="s">
        <v>578</v>
      </c>
      <c r="J49" s="144" t="s">
        <v>583</v>
      </c>
      <c r="L49" s="142">
        <f>196.67/7.125</f>
        <v>27.602807017543856</v>
      </c>
      <c r="M49" s="142">
        <f t="shared" si="17"/>
        <v>0</v>
      </c>
      <c r="N49" s="147"/>
      <c r="O49" s="687">
        <f>Costing!K79</f>
        <v>0</v>
      </c>
      <c r="P49" s="147"/>
      <c r="Q49" s="687">
        <f>O49-M49-M50</f>
        <v>0</v>
      </c>
    </row>
    <row r="50" spans="2:18" s="14" customFormat="1" ht="32" x14ac:dyDescent="0.2">
      <c r="B50" s="12">
        <f t="shared" si="16"/>
        <v>0</v>
      </c>
      <c r="D50" s="178" t="s">
        <v>500</v>
      </c>
      <c r="E50" s="154">
        <f>ROUNDUP(Costing!F79/7.125,0)</f>
        <v>0</v>
      </c>
      <c r="F50" s="148" t="s">
        <v>582</v>
      </c>
      <c r="G50" s="137"/>
      <c r="H50" s="402"/>
      <c r="I50" s="138" t="s">
        <v>579</v>
      </c>
      <c r="J50" s="144" t="s">
        <v>584</v>
      </c>
      <c r="L50" s="142">
        <v>38.5</v>
      </c>
      <c r="M50" s="142">
        <f t="shared" si="17"/>
        <v>0</v>
      </c>
      <c r="N50" s="147"/>
      <c r="O50" s="689"/>
      <c r="P50" s="147"/>
      <c r="Q50" s="689"/>
    </row>
    <row r="51" spans="2:18" s="14" customFormat="1" ht="21" customHeight="1" x14ac:dyDescent="0.2">
      <c r="B51" s="150">
        <f>B53</f>
        <v>0</v>
      </c>
      <c r="D51" s="444" t="s">
        <v>372</v>
      </c>
      <c r="E51" s="444"/>
      <c r="F51" s="444"/>
      <c r="G51" s="444"/>
      <c r="J51" s="146"/>
      <c r="N51" s="147"/>
      <c r="O51" s="150" t="s">
        <v>545</v>
      </c>
      <c r="P51" s="147"/>
    </row>
    <row r="52" spans="2:18" s="14" customFormat="1" ht="14" x14ac:dyDescent="0.2">
      <c r="B52" s="150">
        <f>B51</f>
        <v>0</v>
      </c>
      <c r="D52" s="180" t="s">
        <v>93</v>
      </c>
      <c r="E52" s="181" t="s">
        <v>503</v>
      </c>
      <c r="F52" s="181" t="s">
        <v>122</v>
      </c>
      <c r="G52" s="182" t="s">
        <v>524</v>
      </c>
      <c r="I52" s="136" t="s">
        <v>521</v>
      </c>
      <c r="J52" s="143" t="s">
        <v>539</v>
      </c>
      <c r="L52" s="132" t="s">
        <v>546</v>
      </c>
      <c r="M52" s="132" t="s">
        <v>520</v>
      </c>
      <c r="N52" s="147"/>
      <c r="O52" s="132" t="s">
        <v>543</v>
      </c>
      <c r="P52" s="147"/>
      <c r="Q52" s="132" t="s">
        <v>544</v>
      </c>
    </row>
    <row r="53" spans="2:18" s="14" customFormat="1" ht="32" x14ac:dyDescent="0.2">
      <c r="B53" s="12">
        <f>IF(E53&gt;0,1,0)</f>
        <v>0</v>
      </c>
      <c r="D53" s="178" t="s">
        <v>586</v>
      </c>
      <c r="E53" s="154">
        <f>(Costing!F112+Costing!F113+Costing!F114)*2</f>
        <v>0</v>
      </c>
      <c r="F53" s="148" t="s">
        <v>119</v>
      </c>
      <c r="G53" s="137"/>
      <c r="I53" s="138" t="s">
        <v>610</v>
      </c>
      <c r="J53" s="144" t="s">
        <v>587</v>
      </c>
      <c r="L53" s="142">
        <v>1.66</v>
      </c>
      <c r="M53" s="142">
        <f t="shared" ref="M53" si="20">L53*E53</f>
        <v>0</v>
      </c>
      <c r="N53" s="147"/>
      <c r="O53" s="141">
        <f>Costing!K112+Costing!K113+Costing!K114</f>
        <v>0</v>
      </c>
      <c r="P53" s="147"/>
      <c r="Q53" s="141">
        <f>O53-M53</f>
        <v>0</v>
      </c>
    </row>
    <row r="54" spans="2:18" s="14" customFormat="1" ht="21" customHeight="1" x14ac:dyDescent="0.2">
      <c r="B54" s="150">
        <f>B56</f>
        <v>0</v>
      </c>
      <c r="D54" s="444" t="s">
        <v>588</v>
      </c>
      <c r="E54" s="444"/>
      <c r="F54" s="444"/>
      <c r="G54" s="444"/>
      <c r="J54" s="146"/>
      <c r="N54" s="147"/>
      <c r="O54" s="150" t="s">
        <v>545</v>
      </c>
      <c r="P54" s="147"/>
    </row>
    <row r="55" spans="2:18" s="14" customFormat="1" ht="14" x14ac:dyDescent="0.2">
      <c r="B55" s="150">
        <f>B54</f>
        <v>0</v>
      </c>
      <c r="D55" s="180" t="s">
        <v>93</v>
      </c>
      <c r="E55" s="181" t="s">
        <v>503</v>
      </c>
      <c r="F55" s="181" t="s">
        <v>122</v>
      </c>
      <c r="G55" s="182" t="s">
        <v>524</v>
      </c>
      <c r="I55" s="136" t="s">
        <v>521</v>
      </c>
      <c r="J55" s="143" t="s">
        <v>539</v>
      </c>
      <c r="L55" s="132" t="s">
        <v>546</v>
      </c>
      <c r="M55" s="132" t="s">
        <v>520</v>
      </c>
      <c r="N55" s="147"/>
      <c r="O55" s="132" t="s">
        <v>543</v>
      </c>
      <c r="P55" s="147"/>
      <c r="Q55" s="132" t="s">
        <v>544</v>
      </c>
    </row>
    <row r="56" spans="2:18" s="14" customFormat="1" ht="32" x14ac:dyDescent="0.2">
      <c r="B56" s="12">
        <f>IF(E56&gt;0,1,0)</f>
        <v>0</v>
      </c>
      <c r="D56" s="178" t="s">
        <v>589</v>
      </c>
      <c r="E56" s="154">
        <f>ROUNDUP((Costing!F118/100),0)</f>
        <v>0</v>
      </c>
      <c r="F56" s="148" t="s">
        <v>590</v>
      </c>
      <c r="G56" s="137"/>
      <c r="H56" s="402"/>
      <c r="I56" s="138" t="s">
        <v>627</v>
      </c>
      <c r="J56" s="144" t="s">
        <v>591</v>
      </c>
      <c r="L56" s="142">
        <v>20.97</v>
      </c>
      <c r="M56" s="142">
        <f t="shared" ref="M56" si="21">L56*E56</f>
        <v>0</v>
      </c>
      <c r="N56" s="147"/>
      <c r="O56" s="141">
        <f>Costing!K118</f>
        <v>0</v>
      </c>
      <c r="P56" s="147"/>
      <c r="Q56" s="141">
        <f>O56-M56</f>
        <v>0</v>
      </c>
    </row>
    <row r="57" spans="2:18" s="14" customFormat="1" ht="21" customHeight="1" x14ac:dyDescent="0.2">
      <c r="B57" s="150">
        <f>B59</f>
        <v>0</v>
      </c>
      <c r="D57" s="444" t="s">
        <v>417</v>
      </c>
      <c r="E57" s="444"/>
      <c r="F57" s="444"/>
      <c r="G57" s="444"/>
      <c r="J57" s="146"/>
      <c r="N57" s="147"/>
      <c r="O57" s="150" t="s">
        <v>545</v>
      </c>
      <c r="P57" s="147"/>
    </row>
    <row r="58" spans="2:18" s="14" customFormat="1" ht="14" x14ac:dyDescent="0.2">
      <c r="B58" s="150">
        <f>B57</f>
        <v>0</v>
      </c>
      <c r="D58" s="180" t="s">
        <v>93</v>
      </c>
      <c r="E58" s="181" t="s">
        <v>503</v>
      </c>
      <c r="F58" s="181" t="s">
        <v>122</v>
      </c>
      <c r="G58" s="182" t="s">
        <v>524</v>
      </c>
      <c r="I58" s="136" t="s">
        <v>521</v>
      </c>
      <c r="J58" s="143" t="s">
        <v>539</v>
      </c>
      <c r="L58" s="132" t="s">
        <v>546</v>
      </c>
      <c r="M58" s="132" t="s">
        <v>520</v>
      </c>
      <c r="N58" s="147"/>
      <c r="O58" s="132" t="s">
        <v>543</v>
      </c>
      <c r="P58" s="147"/>
      <c r="Q58" s="132" t="s">
        <v>544</v>
      </c>
    </row>
    <row r="59" spans="2:18" s="14" customFormat="1" ht="32" x14ac:dyDescent="0.2">
      <c r="B59" s="12">
        <f>IF(E59&gt;0,1,0)</f>
        <v>0</v>
      </c>
      <c r="D59" s="178" t="s">
        <v>612</v>
      </c>
      <c r="E59" s="154">
        <f>ROUNDUP((Costing!F128/25),0)</f>
        <v>0</v>
      </c>
      <c r="F59" s="148" t="s">
        <v>538</v>
      </c>
      <c r="G59" s="137"/>
      <c r="H59" s="402"/>
      <c r="I59" s="138" t="s">
        <v>613</v>
      </c>
      <c r="J59" s="144" t="s">
        <v>611</v>
      </c>
      <c r="L59" s="142">
        <v>12.5</v>
      </c>
      <c r="M59" s="142">
        <f t="shared" ref="M59" si="22">L59*E59</f>
        <v>0</v>
      </c>
      <c r="N59" s="147"/>
      <c r="O59" s="141">
        <f>Costing!K128</f>
        <v>0</v>
      </c>
      <c r="P59" s="147"/>
      <c r="Q59" s="141">
        <f>O59-M59</f>
        <v>0</v>
      </c>
    </row>
    <row r="60" spans="2:18" s="14" customFormat="1" x14ac:dyDescent="0.2">
      <c r="D60"/>
      <c r="E60"/>
      <c r="F60"/>
      <c r="G60"/>
      <c r="J60" s="135"/>
    </row>
    <row r="61" spans="2:18" x14ac:dyDescent="0.2">
      <c r="R61" s="14"/>
    </row>
    <row r="62" spans="2:18" x14ac:dyDescent="0.2">
      <c r="R62" s="14"/>
    </row>
    <row r="63" spans="2:18" s="14" customFormat="1" x14ac:dyDescent="0.2">
      <c r="D63"/>
      <c r="E63"/>
      <c r="F63"/>
      <c r="G63"/>
      <c r="J63" s="135"/>
    </row>
    <row r="64" spans="2:18" s="14" customFormat="1" x14ac:dyDescent="0.2">
      <c r="D64"/>
      <c r="E64"/>
      <c r="F64"/>
      <c r="G64"/>
      <c r="J64" s="135"/>
    </row>
    <row r="65" spans="4:10" s="14" customFormat="1" x14ac:dyDescent="0.2">
      <c r="D65"/>
      <c r="E65"/>
      <c r="F65"/>
      <c r="G65"/>
      <c r="J65" s="135"/>
    </row>
    <row r="66" spans="4:10" s="14" customFormat="1" x14ac:dyDescent="0.2">
      <c r="D66"/>
      <c r="E66"/>
      <c r="F66"/>
      <c r="G66"/>
      <c r="J66" s="135"/>
    </row>
    <row r="67" spans="4:10" s="14" customFormat="1" x14ac:dyDescent="0.2">
      <c r="D67"/>
      <c r="E67"/>
      <c r="F67"/>
      <c r="G67"/>
      <c r="J67" s="135"/>
    </row>
    <row r="68" spans="4:10" s="14" customFormat="1" x14ac:dyDescent="0.2">
      <c r="D68"/>
      <c r="E68"/>
      <c r="F68"/>
      <c r="G68"/>
      <c r="J68" s="135"/>
    </row>
    <row r="69" spans="4:10" s="14" customFormat="1" x14ac:dyDescent="0.2">
      <c r="D69"/>
      <c r="E69"/>
      <c r="F69"/>
      <c r="G69"/>
      <c r="J69" s="135"/>
    </row>
    <row r="70" spans="4:10" s="14" customFormat="1" x14ac:dyDescent="0.2">
      <c r="D70"/>
      <c r="E70"/>
      <c r="F70"/>
      <c r="G70"/>
      <c r="J70" s="135"/>
    </row>
    <row r="71" spans="4:10" s="14" customFormat="1" x14ac:dyDescent="0.2">
      <c r="D71"/>
      <c r="E71"/>
      <c r="F71"/>
      <c r="G71"/>
      <c r="J71" s="135"/>
    </row>
  </sheetData>
  <sheetProtection formatRows="0" autoFilter="0"/>
  <autoFilter ref="B10:G59" xr:uid="{46A2AD2C-B5F0-4D4D-B4D1-2E3B2434118F}"/>
  <mergeCells count="26">
    <mergeCell ref="Q49:Q50"/>
    <mergeCell ref="D30:G30"/>
    <mergeCell ref="D54:G54"/>
    <mergeCell ref="D57:G57"/>
    <mergeCell ref="I3:O9"/>
    <mergeCell ref="O49:O50"/>
    <mergeCell ref="D42:G42"/>
    <mergeCell ref="D51:G51"/>
    <mergeCell ref="D19:G19"/>
    <mergeCell ref="E4:G4"/>
    <mergeCell ref="E5:G5"/>
    <mergeCell ref="E6:G6"/>
    <mergeCell ref="E7:G7"/>
    <mergeCell ref="E8:G8"/>
    <mergeCell ref="D14:G14"/>
    <mergeCell ref="O32:O34"/>
    <mergeCell ref="Q32:Q34"/>
    <mergeCell ref="I32:I34"/>
    <mergeCell ref="D37:G37"/>
    <mergeCell ref="O16:O17"/>
    <mergeCell ref="Q16:Q17"/>
    <mergeCell ref="D3:G3"/>
    <mergeCell ref="E9:G9"/>
    <mergeCell ref="L14:M14"/>
    <mergeCell ref="L11:M11"/>
    <mergeCell ref="D11:G11"/>
  </mergeCells>
  <phoneticPr fontId="23" type="noConversion"/>
  <conditionalFormatting sqref="Q13 Q16:Q17 Q39:Q41 Q21:Q29">
    <cfRule type="cellIs" dxfId="3" priority="3" operator="greaterThanOrEqual">
      <formula>0</formula>
    </cfRule>
    <cfRule type="cellIs" dxfId="2" priority="4" operator="lessThan">
      <formula>0</formula>
    </cfRule>
  </conditionalFormatting>
  <conditionalFormatting sqref="Q32 Q35:Q36 Q53 Q56 Q59 Q44:Q49">
    <cfRule type="cellIs" dxfId="1" priority="1" operator="greaterThanOrEqual">
      <formula>0</formula>
    </cfRule>
    <cfRule type="cellIs" dxfId="0" priority="2" operator="lessThan">
      <formula>0</formula>
    </cfRule>
  </conditionalFormatting>
  <hyperlinks>
    <hyperlink ref="J24" r:id="rId1" xr:uid="{EE2C7780-C1C7-42A1-A20B-6D453748101E}"/>
    <hyperlink ref="J21" r:id="rId2" xr:uid="{7829EFFA-403F-4C07-9F34-C8B22C013EA1}"/>
    <hyperlink ref="J25" r:id="rId3" xr:uid="{BC3B8116-832D-4A71-BA92-44F922B5FEB1}"/>
    <hyperlink ref="J16" r:id="rId4" xr:uid="{C4331B89-B69B-4ED9-95AA-C55DCF2A0449}"/>
    <hyperlink ref="J17" r:id="rId5" xr:uid="{26F77F40-0535-4FC8-84A4-71AF23B50E09}"/>
    <hyperlink ref="J26" r:id="rId6" xr:uid="{366DF6AD-7910-4838-95F6-31107A086BD6}"/>
    <hyperlink ref="J27" r:id="rId7" xr:uid="{B02A2DAE-848F-4576-82D8-DD4ED7E40D95}"/>
    <hyperlink ref="J28" r:id="rId8" xr:uid="{96D4A978-8798-4F1B-BF8D-659F4CD9328B}"/>
    <hyperlink ref="J29" r:id="rId9" xr:uid="{535ECA57-33B5-4176-B43B-1C7EDCB8B33F}"/>
    <hyperlink ref="J13" r:id="rId10" xr:uid="{466B3033-1DA3-48C1-AE9B-A60B3454F1E7}"/>
    <hyperlink ref="J32" r:id="rId11" xr:uid="{03C922AA-D44E-4C4C-985B-8ACCD060C8AF}"/>
    <hyperlink ref="J34" r:id="rId12" xr:uid="{51E3DF9B-8E25-4A58-97B6-3DD4C4546C77}"/>
    <hyperlink ref="J35" r:id="rId13" xr:uid="{3DBF65A3-0706-4885-8015-89CA029873C0}"/>
    <hyperlink ref="J36" r:id="rId14" xr:uid="{027099E9-2875-4A6B-9932-8A49CE4E20E7}"/>
    <hyperlink ref="J39" r:id="rId15" xr:uid="{FC6A10A4-FF4F-4F06-B0DC-7AAF5C99E144}"/>
    <hyperlink ref="J40" r:id="rId16" xr:uid="{607791E4-DC99-46AC-B74A-55F4F10E8091}"/>
    <hyperlink ref="J41" r:id="rId17" xr:uid="{059EC0E2-F5D6-4EF4-ADF0-B319DB75FE71}"/>
    <hyperlink ref="J48" r:id="rId18" xr:uid="{6AE775E7-00BB-4409-A156-63CF5741A9E8}"/>
    <hyperlink ref="J49" r:id="rId19" xr:uid="{5BA065EA-2EDF-4A32-B14A-C0C115D59D72}"/>
    <hyperlink ref="J50" r:id="rId20" xr:uid="{E8D5FD88-4214-472B-A566-8E734DF769DC}"/>
    <hyperlink ref="J53" r:id="rId21" xr:uid="{DA157D9F-0835-46F0-876E-055980539E25}"/>
    <hyperlink ref="J56" r:id="rId22" xr:uid="{808A4864-CB38-4D7E-B4AD-4D5A63ACA971}"/>
    <hyperlink ref="J59" r:id="rId23" xr:uid="{747E8EF2-487C-4D36-87EF-054052B4000A}"/>
    <hyperlink ref="J22" r:id="rId24" xr:uid="{A6EF6224-AB55-4FBC-AC03-18209CE224EE}"/>
    <hyperlink ref="J23" r:id="rId25" xr:uid="{8966CB52-D81F-4DD3-8987-ACDDC71B2FC6}"/>
  </hyperlinks>
  <pageMargins left="0.23622047244094491" right="0.23622047244094491" top="0.74803149606299213" bottom="0.74803149606299213" header="0.31496062992125984" footer="0.31496062992125984"/>
  <pageSetup paperSize="9" scale="79" fitToHeight="2" orientation="portrait" r:id="rId26"/>
  <legacyDrawing r:id="rId2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9C54F6-F3F2-4E4B-8C03-811950F717B0}">
  <sheetPr codeName="Sheet3"/>
  <dimension ref="A1:B131"/>
  <sheetViews>
    <sheetView workbookViewId="0">
      <selection activeCell="A26" sqref="A26"/>
    </sheetView>
  </sheetViews>
  <sheetFormatPr baseColWidth="10" defaultColWidth="9.1640625" defaultRowHeight="15" x14ac:dyDescent="0.2"/>
  <cols>
    <col min="1" max="1" width="167.5" style="1" bestFit="1" customWidth="1"/>
    <col min="2" max="2" width="50.33203125" style="1" customWidth="1"/>
    <col min="3" max="16384" width="9.1640625" style="1"/>
  </cols>
  <sheetData>
    <row r="1" spans="1:2" ht="21" x14ac:dyDescent="0.25">
      <c r="A1" s="8" t="s">
        <v>115</v>
      </c>
    </row>
    <row r="2" spans="1:2" ht="16" thickBot="1" x14ac:dyDescent="0.25"/>
    <row r="3" spans="1:2" x14ac:dyDescent="0.2">
      <c r="A3" s="697" t="s">
        <v>91</v>
      </c>
      <c r="B3" s="698"/>
    </row>
    <row r="4" spans="1:2" ht="19" x14ac:dyDescent="0.25">
      <c r="A4" s="699" t="s">
        <v>92</v>
      </c>
      <c r="B4" s="700"/>
    </row>
    <row r="5" spans="1:2" x14ac:dyDescent="0.2">
      <c r="A5" s="2" t="s">
        <v>93</v>
      </c>
      <c r="B5" s="3" t="s">
        <v>94</v>
      </c>
    </row>
    <row r="6" spans="1:2" x14ac:dyDescent="0.2">
      <c r="A6" s="4" t="s">
        <v>95</v>
      </c>
      <c r="B6" s="5" t="s">
        <v>96</v>
      </c>
    </row>
    <row r="7" spans="1:2" x14ac:dyDescent="0.2">
      <c r="A7" s="4" t="s">
        <v>97</v>
      </c>
      <c r="B7" s="5" t="s">
        <v>98</v>
      </c>
    </row>
    <row r="8" spans="1:2" x14ac:dyDescent="0.2">
      <c r="A8" s="4" t="s">
        <v>99</v>
      </c>
      <c r="B8" s="5" t="s">
        <v>100</v>
      </c>
    </row>
    <row r="9" spans="1:2" x14ac:dyDescent="0.2">
      <c r="A9" s="4" t="s">
        <v>101</v>
      </c>
      <c r="B9" s="5" t="s">
        <v>102</v>
      </c>
    </row>
    <row r="10" spans="1:2" ht="16" thickBot="1" x14ac:dyDescent="0.25">
      <c r="A10" s="6" t="s">
        <v>103</v>
      </c>
      <c r="B10" s="7" t="s">
        <v>104</v>
      </c>
    </row>
    <row r="11" spans="1:2" ht="16" thickBot="1" x14ac:dyDescent="0.25"/>
    <row r="12" spans="1:2" x14ac:dyDescent="0.2">
      <c r="A12" s="697" t="s">
        <v>132</v>
      </c>
      <c r="B12" s="698"/>
    </row>
    <row r="13" spans="1:2" ht="19" x14ac:dyDescent="0.25">
      <c r="A13" s="699" t="s">
        <v>105</v>
      </c>
      <c r="B13" s="700"/>
    </row>
    <row r="14" spans="1:2" x14ac:dyDescent="0.2">
      <c r="A14" s="2" t="s">
        <v>93</v>
      </c>
      <c r="B14" s="3" t="s">
        <v>94</v>
      </c>
    </row>
    <row r="15" spans="1:2" x14ac:dyDescent="0.2">
      <c r="A15" s="4" t="str">
        <f>'Customer Summary'!C4</f>
        <v>Stripping out of items as required to proceed with works</v>
      </c>
      <c r="B15" s="5" t="s">
        <v>106</v>
      </c>
    </row>
    <row r="16" spans="1:2" x14ac:dyDescent="0.2">
      <c r="A16" s="4" t="str">
        <f>'Customer Summary'!C5</f>
        <v>Walls (Install membrane system)</v>
      </c>
      <c r="B16" s="5" t="s">
        <v>106</v>
      </c>
    </row>
    <row r="17" spans="1:2" x14ac:dyDescent="0.2">
      <c r="A17" s="4" t="str">
        <f>'Customer Summary'!C6</f>
        <v>Cementitious tanking system</v>
      </c>
      <c r="B17" s="5" t="s">
        <v>106</v>
      </c>
    </row>
    <row r="18" spans="1:2" x14ac:dyDescent="0.2">
      <c r="A18" s="4" t="str">
        <f>'Customer Summary'!C7</f>
        <v xml:space="preserve">Floor - Liquid Resin floor Membranes </v>
      </c>
      <c r="B18" s="5" t="s">
        <v>106</v>
      </c>
    </row>
    <row r="19" spans="1:2" x14ac:dyDescent="0.2">
      <c r="A19" s="4" t="str">
        <f>'Customer Summary'!C8</f>
        <v>Plastering &amp; finishing</v>
      </c>
      <c r="B19" s="5" t="s">
        <v>106</v>
      </c>
    </row>
    <row r="20" spans="1:2" x14ac:dyDescent="0.2">
      <c r="A20" s="4" t="str">
        <f>'Customer Summary'!C9</f>
        <v>Warmline Internal Wall Insulation</v>
      </c>
      <c r="B20" s="5" t="s">
        <v>106</v>
      </c>
    </row>
    <row r="21" spans="1:2" x14ac:dyDescent="0.2">
      <c r="A21" s="4" t="str">
        <f>'Customer Summary'!C10</f>
        <v>Floor Joists &amp; Floor Decking</v>
      </c>
      <c r="B21" s="5" t="s">
        <v>106</v>
      </c>
    </row>
    <row r="22" spans="1:2" x14ac:dyDescent="0.2">
      <c r="A22" s="4" t="str">
        <f>'Customer Summary'!C11</f>
        <v>Airbricks</v>
      </c>
      <c r="B22" s="5" t="s">
        <v>106</v>
      </c>
    </row>
    <row r="23" spans="1:2" x14ac:dyDescent="0.2">
      <c r="A23" s="4" t="str">
        <f>'Customer Summary'!C12</f>
        <v>Spray treatments</v>
      </c>
      <c r="B23" s="5" t="s">
        <v>106</v>
      </c>
    </row>
    <row r="24" spans="1:2" x14ac:dyDescent="0.2">
      <c r="A24" s="4" t="str">
        <f>'Customer Summary'!C13</f>
        <v>Drains</v>
      </c>
      <c r="B24" s="5" t="s">
        <v>106</v>
      </c>
    </row>
    <row r="25" spans="1:2" x14ac:dyDescent="0.2">
      <c r="A25" s="4" t="str">
        <f>'Customer Summary'!C14</f>
        <v>External Wall - Aquaban Water Repellent Treatments</v>
      </c>
      <c r="B25" s="5" t="s">
        <v>106</v>
      </c>
    </row>
    <row r="26" spans="1:2" x14ac:dyDescent="0.2">
      <c r="A26" s="4" t="str">
        <f>'Customer Summary'!C15</f>
        <v>Asbestos Testing</v>
      </c>
      <c r="B26" s="5" t="s">
        <v>106</v>
      </c>
    </row>
    <row r="27" spans="1:2" x14ac:dyDescent="0.2">
      <c r="A27" s="4" t="str">
        <f>'Customer Summary'!C16</f>
        <v>Project Specific Overheads</v>
      </c>
      <c r="B27" s="5" t="s">
        <v>106</v>
      </c>
    </row>
    <row r="28" spans="1:2" x14ac:dyDescent="0.2">
      <c r="A28" s="4"/>
      <c r="B28" s="5"/>
    </row>
    <row r="29" spans="1:2" x14ac:dyDescent="0.2">
      <c r="A29" s="4"/>
      <c r="B29" s="5"/>
    </row>
    <row r="30" spans="1:2" x14ac:dyDescent="0.2">
      <c r="A30" s="4"/>
      <c r="B30" s="5"/>
    </row>
    <row r="31" spans="1:2" x14ac:dyDescent="0.2">
      <c r="A31" s="4"/>
      <c r="B31" s="5"/>
    </row>
    <row r="32" spans="1:2" x14ac:dyDescent="0.2">
      <c r="A32" s="4"/>
      <c r="B32" s="5"/>
    </row>
    <row r="33" spans="1:2" x14ac:dyDescent="0.2">
      <c r="A33" s="4"/>
      <c r="B33" s="5"/>
    </row>
    <row r="34" spans="1:2" x14ac:dyDescent="0.2">
      <c r="A34" s="4"/>
      <c r="B34" s="5"/>
    </row>
    <row r="35" spans="1:2" x14ac:dyDescent="0.2">
      <c r="A35" s="4"/>
      <c r="B35" s="5"/>
    </row>
    <row r="36" spans="1:2" x14ac:dyDescent="0.2">
      <c r="A36" s="4"/>
      <c r="B36" s="5"/>
    </row>
    <row r="37" spans="1:2" x14ac:dyDescent="0.2">
      <c r="A37" s="4"/>
      <c r="B37" s="5"/>
    </row>
    <row r="38" spans="1:2" x14ac:dyDescent="0.2">
      <c r="A38" s="4"/>
      <c r="B38" s="5"/>
    </row>
    <row r="39" spans="1:2" ht="16" thickBot="1" x14ac:dyDescent="0.25">
      <c r="A39" s="6"/>
      <c r="B39" s="7"/>
    </row>
    <row r="40" spans="1:2" ht="16" thickBot="1" x14ac:dyDescent="0.25"/>
    <row r="41" spans="1:2" x14ac:dyDescent="0.2">
      <c r="A41" s="697" t="s">
        <v>133</v>
      </c>
      <c r="B41" s="698"/>
    </row>
    <row r="42" spans="1:2" ht="19" x14ac:dyDescent="0.25">
      <c r="A42" s="699" t="s">
        <v>107</v>
      </c>
      <c r="B42" s="700"/>
    </row>
    <row r="43" spans="1:2" x14ac:dyDescent="0.2">
      <c r="A43" s="2" t="s">
        <v>93</v>
      </c>
      <c r="B43" s="3" t="s">
        <v>94</v>
      </c>
    </row>
    <row r="44" spans="1:2" x14ac:dyDescent="0.2">
      <c r="A44" s="4" t="s">
        <v>109</v>
      </c>
      <c r="B44" s="5" t="s">
        <v>106</v>
      </c>
    </row>
    <row r="45" spans="1:2" x14ac:dyDescent="0.2">
      <c r="A45" s="4" t="s">
        <v>110</v>
      </c>
      <c r="B45" s="5" t="s">
        <v>106</v>
      </c>
    </row>
    <row r="46" spans="1:2" x14ac:dyDescent="0.2">
      <c r="A46" s="4" t="s">
        <v>112</v>
      </c>
      <c r="B46" s="5" t="s">
        <v>106</v>
      </c>
    </row>
    <row r="47" spans="1:2" x14ac:dyDescent="0.2">
      <c r="A47" s="4" t="s">
        <v>113</v>
      </c>
      <c r="B47" s="5" t="s">
        <v>106</v>
      </c>
    </row>
    <row r="48" spans="1:2" x14ac:dyDescent="0.2">
      <c r="A48" s="10" t="s">
        <v>114</v>
      </c>
      <c r="B48" s="5" t="s">
        <v>106</v>
      </c>
    </row>
    <row r="49" spans="1:2" x14ac:dyDescent="0.2">
      <c r="A49" s="10" t="s">
        <v>123</v>
      </c>
      <c r="B49" s="5" t="s">
        <v>106</v>
      </c>
    </row>
    <row r="50" spans="1:2" x14ac:dyDescent="0.2">
      <c r="A50" s="10" t="s">
        <v>124</v>
      </c>
      <c r="B50" s="5" t="s">
        <v>106</v>
      </c>
    </row>
    <row r="51" spans="1:2" ht="16" thickBot="1" x14ac:dyDescent="0.25">
      <c r="A51" s="6"/>
      <c r="B51" s="7"/>
    </row>
    <row r="52" spans="1:2" ht="16" thickBot="1" x14ac:dyDescent="0.25"/>
    <row r="53" spans="1:2" x14ac:dyDescent="0.2">
      <c r="A53" s="697" t="s">
        <v>117</v>
      </c>
      <c r="B53" s="698"/>
    </row>
    <row r="54" spans="1:2" ht="19" x14ac:dyDescent="0.25">
      <c r="A54" s="699" t="s">
        <v>118</v>
      </c>
      <c r="B54" s="700"/>
    </row>
    <row r="55" spans="1:2" x14ac:dyDescent="0.2">
      <c r="A55" s="2" t="s">
        <v>93</v>
      </c>
      <c r="B55" s="3" t="s">
        <v>94</v>
      </c>
    </row>
    <row r="56" spans="1:2" x14ac:dyDescent="0.2">
      <c r="A56" s="4" t="s">
        <v>119</v>
      </c>
      <c r="B56" s="5" t="s">
        <v>106</v>
      </c>
    </row>
    <row r="57" spans="1:2" x14ac:dyDescent="0.2">
      <c r="A57" s="4" t="s">
        <v>116</v>
      </c>
      <c r="B57" s="5" t="s">
        <v>106</v>
      </c>
    </row>
    <row r="58" spans="1:2" x14ac:dyDescent="0.2">
      <c r="A58" s="4" t="s">
        <v>120</v>
      </c>
      <c r="B58" s="5" t="s">
        <v>106</v>
      </c>
    </row>
    <row r="59" spans="1:2" x14ac:dyDescent="0.2">
      <c r="A59" s="4" t="s">
        <v>3</v>
      </c>
      <c r="B59" s="5" t="s">
        <v>106</v>
      </c>
    </row>
    <row r="60" spans="1:2" x14ac:dyDescent="0.2">
      <c r="A60" s="10" t="s">
        <v>121</v>
      </c>
      <c r="B60" s="5" t="s">
        <v>106</v>
      </c>
    </row>
    <row r="61" spans="1:2" x14ac:dyDescent="0.2">
      <c r="A61" s="10" t="s">
        <v>125</v>
      </c>
      <c r="B61" s="5" t="s">
        <v>106</v>
      </c>
    </row>
    <row r="62" spans="1:2" x14ac:dyDescent="0.2">
      <c r="A62" s="10" t="s">
        <v>129</v>
      </c>
      <c r="B62" s="11" t="s">
        <v>106</v>
      </c>
    </row>
    <row r="63" spans="1:2" x14ac:dyDescent="0.2">
      <c r="A63" s="10" t="s">
        <v>130</v>
      </c>
      <c r="B63" s="11" t="s">
        <v>106</v>
      </c>
    </row>
    <row r="64" spans="1:2" ht="16" thickBot="1" x14ac:dyDescent="0.25">
      <c r="A64" s="6" t="s">
        <v>430</v>
      </c>
      <c r="B64" s="7" t="s">
        <v>106</v>
      </c>
    </row>
    <row r="65" spans="1:2" ht="16" thickBot="1" x14ac:dyDescent="0.25"/>
    <row r="66" spans="1:2" x14ac:dyDescent="0.2">
      <c r="A66" s="695" t="s">
        <v>141</v>
      </c>
      <c r="B66" s="696"/>
    </row>
    <row r="67" spans="1:2" x14ac:dyDescent="0.2">
      <c r="A67" s="4" t="s">
        <v>142</v>
      </c>
      <c r="B67" s="5" t="s">
        <v>145</v>
      </c>
    </row>
    <row r="68" spans="1:2" x14ac:dyDescent="0.2">
      <c r="A68" s="4" t="s">
        <v>143</v>
      </c>
      <c r="B68" s="25" t="s">
        <v>672</v>
      </c>
    </row>
    <row r="69" spans="1:2" ht="16" thickBot="1" x14ac:dyDescent="0.25">
      <c r="A69" s="6" t="s">
        <v>144</v>
      </c>
      <c r="B69" s="7" t="str">
        <f>CONCATENATE(B67,B68)</f>
        <v>CF-Damp-02-10-25-08-38-34</v>
      </c>
    </row>
    <row r="70" spans="1:2" ht="16" thickBot="1" x14ac:dyDescent="0.25"/>
    <row r="71" spans="1:2" x14ac:dyDescent="0.2">
      <c r="A71" s="695" t="s">
        <v>361</v>
      </c>
      <c r="B71" s="696"/>
    </row>
    <row r="72" spans="1:2" x14ac:dyDescent="0.2">
      <c r="A72" s="4" t="s">
        <v>325</v>
      </c>
      <c r="B72" s="5" t="str">
        <f>CONCATENATE(Costing!E4,"-DAMP-REPORT-",B68)</f>
        <v>-DAMP-REPORT-02-10-25-08-38-34</v>
      </c>
    </row>
    <row r="73" spans="1:2" ht="16" thickBot="1" x14ac:dyDescent="0.25">
      <c r="A73" s="6" t="s">
        <v>360</v>
      </c>
      <c r="B73" s="7" t="str">
        <f>CONCATENATE(Costing!E4,"-ACCESS-EMAIL-",B68)</f>
        <v>-ACCESS-EMAIL-02-10-25-08-38-34</v>
      </c>
    </row>
    <row r="74" spans="1:2" ht="16" thickBot="1" x14ac:dyDescent="0.25"/>
    <row r="75" spans="1:2" x14ac:dyDescent="0.2">
      <c r="A75" s="122" t="s">
        <v>474</v>
      </c>
    </row>
    <row r="76" spans="1:2" x14ac:dyDescent="0.2">
      <c r="A76" s="120">
        <v>-5</v>
      </c>
    </row>
    <row r="77" spans="1:2" ht="16" thickBot="1" x14ac:dyDescent="0.25">
      <c r="A77" s="121">
        <f>A76+1</f>
        <v>-4</v>
      </c>
    </row>
    <row r="78" spans="1:2" ht="16" thickBot="1" x14ac:dyDescent="0.25">
      <c r="A78" s="121">
        <f t="shared" ref="A78:A131" si="0">A77+1</f>
        <v>-3</v>
      </c>
    </row>
    <row r="79" spans="1:2" ht="16" thickBot="1" x14ac:dyDescent="0.25">
      <c r="A79" s="121">
        <f t="shared" si="0"/>
        <v>-2</v>
      </c>
    </row>
    <row r="80" spans="1:2" ht="16" thickBot="1" x14ac:dyDescent="0.25">
      <c r="A80" s="121">
        <f t="shared" si="0"/>
        <v>-1</v>
      </c>
    </row>
    <row r="81" spans="1:1" ht="16" thickBot="1" x14ac:dyDescent="0.25">
      <c r="A81" s="121">
        <f t="shared" si="0"/>
        <v>0</v>
      </c>
    </row>
    <row r="82" spans="1:1" ht="16" thickBot="1" x14ac:dyDescent="0.25">
      <c r="A82" s="121">
        <f t="shared" si="0"/>
        <v>1</v>
      </c>
    </row>
    <row r="83" spans="1:1" ht="16" thickBot="1" x14ac:dyDescent="0.25">
      <c r="A83" s="121">
        <f t="shared" si="0"/>
        <v>2</v>
      </c>
    </row>
    <row r="84" spans="1:1" ht="16" thickBot="1" x14ac:dyDescent="0.25">
      <c r="A84" s="121">
        <f t="shared" si="0"/>
        <v>3</v>
      </c>
    </row>
    <row r="85" spans="1:1" ht="16" thickBot="1" x14ac:dyDescent="0.25">
      <c r="A85" s="121">
        <f t="shared" si="0"/>
        <v>4</v>
      </c>
    </row>
    <row r="86" spans="1:1" ht="16" thickBot="1" x14ac:dyDescent="0.25">
      <c r="A86" s="121">
        <f t="shared" si="0"/>
        <v>5</v>
      </c>
    </row>
    <row r="87" spans="1:1" ht="16" thickBot="1" x14ac:dyDescent="0.25">
      <c r="A87" s="121">
        <f t="shared" si="0"/>
        <v>6</v>
      </c>
    </row>
    <row r="88" spans="1:1" ht="16" thickBot="1" x14ac:dyDescent="0.25">
      <c r="A88" s="121">
        <f t="shared" si="0"/>
        <v>7</v>
      </c>
    </row>
    <row r="89" spans="1:1" ht="16" thickBot="1" x14ac:dyDescent="0.25">
      <c r="A89" s="121">
        <f t="shared" si="0"/>
        <v>8</v>
      </c>
    </row>
    <row r="90" spans="1:1" ht="16" thickBot="1" x14ac:dyDescent="0.25">
      <c r="A90" s="121">
        <f t="shared" si="0"/>
        <v>9</v>
      </c>
    </row>
    <row r="91" spans="1:1" ht="16" thickBot="1" x14ac:dyDescent="0.25">
      <c r="A91" s="121">
        <f t="shared" si="0"/>
        <v>10</v>
      </c>
    </row>
    <row r="92" spans="1:1" ht="16" thickBot="1" x14ac:dyDescent="0.25">
      <c r="A92" s="121">
        <f t="shared" si="0"/>
        <v>11</v>
      </c>
    </row>
    <row r="93" spans="1:1" ht="16" thickBot="1" x14ac:dyDescent="0.25">
      <c r="A93" s="121">
        <f t="shared" si="0"/>
        <v>12</v>
      </c>
    </row>
    <row r="94" spans="1:1" ht="16" thickBot="1" x14ac:dyDescent="0.25">
      <c r="A94" s="121">
        <f t="shared" si="0"/>
        <v>13</v>
      </c>
    </row>
    <row r="95" spans="1:1" ht="16" thickBot="1" x14ac:dyDescent="0.25">
      <c r="A95" s="121">
        <f t="shared" si="0"/>
        <v>14</v>
      </c>
    </row>
    <row r="96" spans="1:1" ht="16" thickBot="1" x14ac:dyDescent="0.25">
      <c r="A96" s="121">
        <f t="shared" si="0"/>
        <v>15</v>
      </c>
    </row>
    <row r="97" spans="1:1" ht="16" thickBot="1" x14ac:dyDescent="0.25">
      <c r="A97" s="121">
        <f t="shared" si="0"/>
        <v>16</v>
      </c>
    </row>
    <row r="98" spans="1:1" ht="16" thickBot="1" x14ac:dyDescent="0.25">
      <c r="A98" s="121">
        <f t="shared" si="0"/>
        <v>17</v>
      </c>
    </row>
    <row r="99" spans="1:1" ht="16" thickBot="1" x14ac:dyDescent="0.25">
      <c r="A99" s="121">
        <f t="shared" si="0"/>
        <v>18</v>
      </c>
    </row>
    <row r="100" spans="1:1" ht="16" thickBot="1" x14ac:dyDescent="0.25">
      <c r="A100" s="121">
        <f t="shared" si="0"/>
        <v>19</v>
      </c>
    </row>
    <row r="101" spans="1:1" ht="16" thickBot="1" x14ac:dyDescent="0.25">
      <c r="A101" s="121">
        <f t="shared" si="0"/>
        <v>20</v>
      </c>
    </row>
    <row r="102" spans="1:1" ht="16" thickBot="1" x14ac:dyDescent="0.25">
      <c r="A102" s="121">
        <f t="shared" si="0"/>
        <v>21</v>
      </c>
    </row>
    <row r="103" spans="1:1" ht="16" thickBot="1" x14ac:dyDescent="0.25">
      <c r="A103" s="121">
        <f t="shared" si="0"/>
        <v>22</v>
      </c>
    </row>
    <row r="104" spans="1:1" ht="16" thickBot="1" x14ac:dyDescent="0.25">
      <c r="A104" s="121">
        <f t="shared" si="0"/>
        <v>23</v>
      </c>
    </row>
    <row r="105" spans="1:1" ht="16" thickBot="1" x14ac:dyDescent="0.25">
      <c r="A105" s="121">
        <f t="shared" si="0"/>
        <v>24</v>
      </c>
    </row>
    <row r="106" spans="1:1" ht="16" thickBot="1" x14ac:dyDescent="0.25">
      <c r="A106" s="121">
        <f t="shared" si="0"/>
        <v>25</v>
      </c>
    </row>
    <row r="107" spans="1:1" ht="16" thickBot="1" x14ac:dyDescent="0.25">
      <c r="A107" s="121">
        <f t="shared" si="0"/>
        <v>26</v>
      </c>
    </row>
    <row r="108" spans="1:1" ht="16" thickBot="1" x14ac:dyDescent="0.25">
      <c r="A108" s="121">
        <f t="shared" si="0"/>
        <v>27</v>
      </c>
    </row>
    <row r="109" spans="1:1" ht="16" thickBot="1" x14ac:dyDescent="0.25">
      <c r="A109" s="121">
        <f t="shared" si="0"/>
        <v>28</v>
      </c>
    </row>
    <row r="110" spans="1:1" ht="16" thickBot="1" x14ac:dyDescent="0.25">
      <c r="A110" s="121">
        <f t="shared" si="0"/>
        <v>29</v>
      </c>
    </row>
    <row r="111" spans="1:1" ht="16" thickBot="1" x14ac:dyDescent="0.25">
      <c r="A111" s="121">
        <f t="shared" si="0"/>
        <v>30</v>
      </c>
    </row>
    <row r="112" spans="1:1" ht="16" thickBot="1" x14ac:dyDescent="0.25">
      <c r="A112" s="121">
        <f t="shared" si="0"/>
        <v>31</v>
      </c>
    </row>
    <row r="113" spans="1:1" ht="16" thickBot="1" x14ac:dyDescent="0.25">
      <c r="A113" s="121">
        <f t="shared" si="0"/>
        <v>32</v>
      </c>
    </row>
    <row r="114" spans="1:1" ht="16" thickBot="1" x14ac:dyDescent="0.25">
      <c r="A114" s="121">
        <f t="shared" si="0"/>
        <v>33</v>
      </c>
    </row>
    <row r="115" spans="1:1" ht="16" thickBot="1" x14ac:dyDescent="0.25">
      <c r="A115" s="121">
        <f t="shared" si="0"/>
        <v>34</v>
      </c>
    </row>
    <row r="116" spans="1:1" ht="16" thickBot="1" x14ac:dyDescent="0.25">
      <c r="A116" s="121">
        <f t="shared" si="0"/>
        <v>35</v>
      </c>
    </row>
    <row r="117" spans="1:1" ht="16" thickBot="1" x14ac:dyDescent="0.25">
      <c r="A117" s="121">
        <f t="shared" si="0"/>
        <v>36</v>
      </c>
    </row>
    <row r="118" spans="1:1" ht="16" thickBot="1" x14ac:dyDescent="0.25">
      <c r="A118" s="121">
        <f t="shared" si="0"/>
        <v>37</v>
      </c>
    </row>
    <row r="119" spans="1:1" ht="16" thickBot="1" x14ac:dyDescent="0.25">
      <c r="A119" s="121">
        <f t="shared" si="0"/>
        <v>38</v>
      </c>
    </row>
    <row r="120" spans="1:1" ht="16" thickBot="1" x14ac:dyDescent="0.25">
      <c r="A120" s="121">
        <f t="shared" si="0"/>
        <v>39</v>
      </c>
    </row>
    <row r="121" spans="1:1" ht="16" thickBot="1" x14ac:dyDescent="0.25">
      <c r="A121" s="121">
        <f t="shared" si="0"/>
        <v>40</v>
      </c>
    </row>
    <row r="122" spans="1:1" ht="16" thickBot="1" x14ac:dyDescent="0.25">
      <c r="A122" s="121">
        <f t="shared" si="0"/>
        <v>41</v>
      </c>
    </row>
    <row r="123" spans="1:1" ht="16" thickBot="1" x14ac:dyDescent="0.25">
      <c r="A123" s="121">
        <f t="shared" si="0"/>
        <v>42</v>
      </c>
    </row>
    <row r="124" spans="1:1" ht="16" thickBot="1" x14ac:dyDescent="0.25">
      <c r="A124" s="121">
        <f t="shared" si="0"/>
        <v>43</v>
      </c>
    </row>
    <row r="125" spans="1:1" ht="16" thickBot="1" x14ac:dyDescent="0.25">
      <c r="A125" s="121">
        <f t="shared" si="0"/>
        <v>44</v>
      </c>
    </row>
    <row r="126" spans="1:1" ht="16" thickBot="1" x14ac:dyDescent="0.25">
      <c r="A126" s="121">
        <f t="shared" si="0"/>
        <v>45</v>
      </c>
    </row>
    <row r="127" spans="1:1" ht="16" thickBot="1" x14ac:dyDescent="0.25">
      <c r="A127" s="121">
        <f t="shared" si="0"/>
        <v>46</v>
      </c>
    </row>
    <row r="128" spans="1:1" ht="16" thickBot="1" x14ac:dyDescent="0.25">
      <c r="A128" s="121">
        <f t="shared" si="0"/>
        <v>47</v>
      </c>
    </row>
    <row r="129" spans="1:1" ht="16" thickBot="1" x14ac:dyDescent="0.25">
      <c r="A129" s="121">
        <f t="shared" si="0"/>
        <v>48</v>
      </c>
    </row>
    <row r="130" spans="1:1" ht="16" thickBot="1" x14ac:dyDescent="0.25">
      <c r="A130" s="121">
        <f t="shared" si="0"/>
        <v>49</v>
      </c>
    </row>
    <row r="131" spans="1:1" ht="16" thickBot="1" x14ac:dyDescent="0.25">
      <c r="A131" s="121">
        <f t="shared" si="0"/>
        <v>50</v>
      </c>
    </row>
  </sheetData>
  <sheetProtection formatRows="0" autoFilter="0"/>
  <mergeCells count="10">
    <mergeCell ref="A71:B71"/>
    <mergeCell ref="A66:B66"/>
    <mergeCell ref="A53:B53"/>
    <mergeCell ref="A54:B54"/>
    <mergeCell ref="A3:B3"/>
    <mergeCell ref="A4:B4"/>
    <mergeCell ref="A12:B12"/>
    <mergeCell ref="A13:B13"/>
    <mergeCell ref="A41:B41"/>
    <mergeCell ref="A42:B42"/>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6832A9-5E6F-4162-82B9-BE79E9C70B35}">
  <sheetPr codeName="Sheet7"/>
  <dimension ref="A1:D33"/>
  <sheetViews>
    <sheetView topLeftCell="A15" workbookViewId="0">
      <selection activeCell="A29" sqref="A29:D29"/>
    </sheetView>
  </sheetViews>
  <sheetFormatPr baseColWidth="10" defaultColWidth="8.83203125" defaultRowHeight="15" x14ac:dyDescent="0.2"/>
  <cols>
    <col min="1" max="1" width="18.1640625" customWidth="1"/>
    <col min="2" max="2" width="19.1640625" style="29" customWidth="1"/>
    <col min="3" max="3" width="21.5" style="29" customWidth="1"/>
    <col min="4" max="4" width="81.5" style="29" customWidth="1"/>
  </cols>
  <sheetData>
    <row r="1" spans="1:4" ht="16" x14ac:dyDescent="0.2">
      <c r="A1" s="108" t="s">
        <v>427</v>
      </c>
      <c r="B1" s="108" t="s">
        <v>422</v>
      </c>
      <c r="C1" s="108" t="s">
        <v>429</v>
      </c>
      <c r="D1" s="109" t="s">
        <v>423</v>
      </c>
    </row>
    <row r="2" spans="1:4" ht="16" x14ac:dyDescent="0.2">
      <c r="A2" s="111">
        <v>45376</v>
      </c>
      <c r="B2" s="106">
        <v>21</v>
      </c>
      <c r="C2" s="106">
        <v>22</v>
      </c>
      <c r="D2" s="107" t="s">
        <v>424</v>
      </c>
    </row>
    <row r="3" spans="1:4" ht="16" x14ac:dyDescent="0.2">
      <c r="A3" s="111">
        <v>45376</v>
      </c>
      <c r="B3" s="106">
        <v>21</v>
      </c>
      <c r="C3" s="106">
        <v>22</v>
      </c>
      <c r="D3" s="107" t="s">
        <v>425</v>
      </c>
    </row>
    <row r="4" spans="1:4" ht="48" x14ac:dyDescent="0.2">
      <c r="A4" s="111">
        <v>45391</v>
      </c>
      <c r="B4" s="106">
        <v>22</v>
      </c>
      <c r="C4" s="106">
        <v>23</v>
      </c>
      <c r="D4" s="107" t="s">
        <v>426</v>
      </c>
    </row>
    <row r="5" spans="1:4" ht="32" x14ac:dyDescent="0.2">
      <c r="A5" s="111">
        <v>45393</v>
      </c>
      <c r="B5" s="106">
        <v>23</v>
      </c>
      <c r="C5" s="106">
        <v>24</v>
      </c>
      <c r="D5" s="107" t="s">
        <v>428</v>
      </c>
    </row>
    <row r="6" spans="1:4" x14ac:dyDescent="0.2">
      <c r="A6" s="111">
        <v>45405</v>
      </c>
      <c r="B6" s="106">
        <v>24</v>
      </c>
      <c r="C6" s="106">
        <v>25</v>
      </c>
      <c r="D6" s="110" t="s">
        <v>434</v>
      </c>
    </row>
    <row r="7" spans="1:4" x14ac:dyDescent="0.2">
      <c r="A7" s="111">
        <v>45419</v>
      </c>
      <c r="B7" s="106">
        <v>25</v>
      </c>
      <c r="C7" s="106">
        <v>26</v>
      </c>
      <c r="D7" s="110" t="s">
        <v>463</v>
      </c>
    </row>
    <row r="8" spans="1:4" ht="32" x14ac:dyDescent="0.2">
      <c r="A8" s="111">
        <v>45432</v>
      </c>
      <c r="B8" s="106">
        <v>26</v>
      </c>
      <c r="C8" s="106">
        <v>27</v>
      </c>
      <c r="D8" s="107" t="s">
        <v>466</v>
      </c>
    </row>
    <row r="9" spans="1:4" x14ac:dyDescent="0.2">
      <c r="A9" s="111">
        <v>45440</v>
      </c>
      <c r="B9" s="106">
        <v>27</v>
      </c>
      <c r="C9" s="106">
        <v>28</v>
      </c>
      <c r="D9" s="110" t="s">
        <v>469</v>
      </c>
    </row>
    <row r="10" spans="1:4" ht="64" x14ac:dyDescent="0.2">
      <c r="A10" s="111">
        <v>45457</v>
      </c>
      <c r="B10" s="106">
        <v>28</v>
      </c>
      <c r="C10" s="106">
        <v>29</v>
      </c>
      <c r="D10" s="107" t="s">
        <v>478</v>
      </c>
    </row>
    <row r="11" spans="1:4" ht="48" x14ac:dyDescent="0.2">
      <c r="A11" s="111">
        <v>45539</v>
      </c>
      <c r="B11" s="106">
        <v>29</v>
      </c>
      <c r="C11" s="106">
        <v>30</v>
      </c>
      <c r="D11" s="107" t="s">
        <v>492</v>
      </c>
    </row>
    <row r="12" spans="1:4" x14ac:dyDescent="0.2">
      <c r="A12" s="111">
        <v>45546</v>
      </c>
      <c r="B12" s="106">
        <v>30</v>
      </c>
      <c r="C12" s="106">
        <v>31</v>
      </c>
      <c r="D12" s="110" t="s">
        <v>493</v>
      </c>
    </row>
    <row r="13" spans="1:4" ht="48" x14ac:dyDescent="0.2">
      <c r="A13" s="111">
        <v>45562</v>
      </c>
      <c r="B13" s="106">
        <v>31</v>
      </c>
      <c r="C13" s="106">
        <v>32</v>
      </c>
      <c r="D13" s="107" t="s">
        <v>517</v>
      </c>
    </row>
    <row r="14" spans="1:4" ht="64" x14ac:dyDescent="0.2">
      <c r="A14" s="111">
        <v>45600</v>
      </c>
      <c r="B14" s="106">
        <v>32</v>
      </c>
      <c r="C14" s="106">
        <v>33</v>
      </c>
      <c r="D14" s="107" t="s">
        <v>630</v>
      </c>
    </row>
    <row r="15" spans="1:4" ht="96" x14ac:dyDescent="0.2">
      <c r="A15" s="111">
        <v>45607</v>
      </c>
      <c r="B15" s="106">
        <v>33</v>
      </c>
      <c r="C15" s="106">
        <v>34</v>
      </c>
      <c r="D15" s="107" t="s">
        <v>631</v>
      </c>
    </row>
    <row r="16" spans="1:4" x14ac:dyDescent="0.2">
      <c r="A16" s="111">
        <v>45609</v>
      </c>
      <c r="B16" s="106">
        <v>34</v>
      </c>
      <c r="C16" s="106">
        <v>35</v>
      </c>
      <c r="D16" s="110" t="s">
        <v>646</v>
      </c>
    </row>
    <row r="17" spans="1:4" x14ac:dyDescent="0.2">
      <c r="A17" s="111">
        <v>45610</v>
      </c>
      <c r="B17" s="106">
        <v>35</v>
      </c>
      <c r="C17" s="106">
        <v>36</v>
      </c>
      <c r="D17" s="110" t="s">
        <v>647</v>
      </c>
    </row>
    <row r="18" spans="1:4" ht="32" x14ac:dyDescent="0.2">
      <c r="A18" s="111">
        <v>45618</v>
      </c>
      <c r="B18" s="106">
        <v>36</v>
      </c>
      <c r="C18" s="106">
        <v>37</v>
      </c>
      <c r="D18" s="107" t="s">
        <v>649</v>
      </c>
    </row>
    <row r="19" spans="1:4" ht="32" x14ac:dyDescent="0.2">
      <c r="A19" s="111">
        <v>45637</v>
      </c>
      <c r="B19" s="106">
        <v>37</v>
      </c>
      <c r="C19" s="106">
        <v>38</v>
      </c>
      <c r="D19" s="107" t="s">
        <v>655</v>
      </c>
    </row>
    <row r="20" spans="1:4" ht="48" x14ac:dyDescent="0.2">
      <c r="A20" s="111">
        <v>45684</v>
      </c>
      <c r="B20" s="106">
        <v>38</v>
      </c>
      <c r="C20" s="106">
        <v>39</v>
      </c>
      <c r="D20" s="107" t="s">
        <v>661</v>
      </c>
    </row>
    <row r="21" spans="1:4" x14ac:dyDescent="0.2">
      <c r="A21" s="111">
        <v>45698</v>
      </c>
      <c r="B21" s="106">
        <v>39</v>
      </c>
      <c r="C21" s="106">
        <v>40</v>
      </c>
      <c r="D21" s="110" t="s">
        <v>664</v>
      </c>
    </row>
    <row r="22" spans="1:4" ht="32" x14ac:dyDescent="0.2">
      <c r="A22" s="111">
        <v>45754</v>
      </c>
      <c r="B22" s="106">
        <v>40</v>
      </c>
      <c r="C22" s="106">
        <v>41</v>
      </c>
      <c r="D22" s="107" t="s">
        <v>665</v>
      </c>
    </row>
    <row r="23" spans="1:4" ht="48" x14ac:dyDescent="0.2">
      <c r="A23" s="111">
        <v>45810</v>
      </c>
      <c r="B23" s="106">
        <v>41</v>
      </c>
      <c r="C23" s="106">
        <v>42</v>
      </c>
      <c r="D23" s="420" t="s">
        <v>669</v>
      </c>
    </row>
    <row r="24" spans="1:4" x14ac:dyDescent="0.2">
      <c r="A24" s="111">
        <v>45926</v>
      </c>
      <c r="B24" s="106">
        <v>42</v>
      </c>
      <c r="C24" s="106">
        <v>43</v>
      </c>
      <c r="D24" s="110" t="s">
        <v>671</v>
      </c>
    </row>
    <row r="25" spans="1:4" ht="32" x14ac:dyDescent="0.2">
      <c r="A25" s="111">
        <v>45932</v>
      </c>
      <c r="B25" s="106">
        <v>43</v>
      </c>
      <c r="C25" s="106">
        <v>44</v>
      </c>
      <c r="D25" s="107" t="s">
        <v>673</v>
      </c>
    </row>
    <row r="26" spans="1:4" x14ac:dyDescent="0.2">
      <c r="A26" s="111">
        <v>45974</v>
      </c>
      <c r="B26" s="106">
        <v>44</v>
      </c>
      <c r="C26" s="106">
        <v>45</v>
      </c>
      <c r="D26" s="110" t="s">
        <v>674</v>
      </c>
    </row>
    <row r="27" spans="1:4" x14ac:dyDescent="0.2">
      <c r="A27" s="111">
        <v>45988</v>
      </c>
      <c r="B27" s="106">
        <v>45</v>
      </c>
      <c r="C27" s="106">
        <v>46</v>
      </c>
      <c r="D27" s="110" t="s">
        <v>677</v>
      </c>
    </row>
    <row r="28" spans="1:4" x14ac:dyDescent="0.2">
      <c r="A28" s="111">
        <v>46007</v>
      </c>
      <c r="B28" s="106">
        <v>46</v>
      </c>
      <c r="C28" s="106">
        <v>47</v>
      </c>
      <c r="D28" s="110" t="s">
        <v>678</v>
      </c>
    </row>
    <row r="29" spans="1:4" x14ac:dyDescent="0.2">
      <c r="A29" s="111">
        <v>46044</v>
      </c>
      <c r="B29" s="106">
        <v>47</v>
      </c>
      <c r="C29" s="106">
        <v>48</v>
      </c>
      <c r="D29" s="110" t="s">
        <v>682</v>
      </c>
    </row>
    <row r="30" spans="1:4" x14ac:dyDescent="0.2">
      <c r="A30" s="111"/>
      <c r="B30" s="106"/>
      <c r="C30" s="106"/>
      <c r="D30" s="110"/>
    </row>
    <row r="31" spans="1:4" x14ac:dyDescent="0.2">
      <c r="A31" s="111"/>
      <c r="B31" s="106"/>
      <c r="C31" s="106"/>
      <c r="D31" s="110"/>
    </row>
    <row r="32" spans="1:4" x14ac:dyDescent="0.2">
      <c r="A32" s="111"/>
      <c r="B32" s="106"/>
      <c r="C32" s="106"/>
      <c r="D32" s="110"/>
    </row>
    <row r="33" spans="1:4" x14ac:dyDescent="0.2">
      <c r="A33" s="111"/>
      <c r="B33" s="106"/>
      <c r="C33" s="106"/>
      <c r="D33" s="110"/>
    </row>
  </sheetData>
  <sheetProtection formatRows="0" autoFilter="0"/>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3B6DF38673946941B312351CB883F9BC" ma:contentTypeVersion="18" ma:contentTypeDescription="Create a new document." ma:contentTypeScope="" ma:versionID="19a19941dc933f0640580ee2e6743334">
  <xsd:schema xmlns:xsd="http://www.w3.org/2001/XMLSchema" xmlns:xs="http://www.w3.org/2001/XMLSchema" xmlns:p="http://schemas.microsoft.com/office/2006/metadata/properties" xmlns:ns2="e9582abf-a26e-4e53-a6af-46f4bb06cdf8" xmlns:ns3="bd9bdd5b-38e0-4e09-b47e-ef3f4b20bf28" targetNamespace="http://schemas.microsoft.com/office/2006/metadata/properties" ma:root="true" ma:fieldsID="7746776fd820f6c1c65f006dbe75bdad" ns2:_="" ns3:_="">
    <xsd:import namespace="e9582abf-a26e-4e53-a6af-46f4bb06cdf8"/>
    <xsd:import namespace="bd9bdd5b-38e0-4e09-b47e-ef3f4b20bf28"/>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DateTaken" minOccurs="0"/>
                <xsd:element ref="ns2:MediaLengthInSeconds" minOccurs="0"/>
                <xsd:element ref="ns2:MediaServiceLocation"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582abf-a26e-4e53-a6af-46f4bb06cdf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Location" ma:index="18" nillable="true" ma:displayName="Location" ma:internalName="MediaServiceLocation" ma:readOnly="true">
      <xsd:simpleType>
        <xsd:restriction base="dms:Text"/>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ad53797e-f00b-41fd-a370-dc3893c9aeb4"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d9bdd5b-38e0-4e09-b47e-ef3f4b20bf28"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df07dafa-c3d5-4c14-9778-cb27d337d034}" ma:internalName="TaxCatchAll" ma:showField="CatchAllData" ma:web="bd9bdd5b-38e0-4e09-b47e-ef3f4b20bf28">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bd9bdd5b-38e0-4e09-b47e-ef3f4b20bf28" xsi:nil="true"/>
    <lcf76f155ced4ddcb4097134ff3c332f xmlns="e9582abf-a26e-4e53-a6af-46f4bb06cdf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F8EB907A-86D0-40F9-956A-B77DBB254B9F}">
  <ds:schemaRefs>
    <ds:schemaRef ds:uri="http://schemas.microsoft.com/sharepoint/v3/contenttype/forms"/>
  </ds:schemaRefs>
</ds:datastoreItem>
</file>

<file path=customXml/itemProps2.xml><?xml version="1.0" encoding="utf-8"?>
<ds:datastoreItem xmlns:ds="http://schemas.openxmlformats.org/officeDocument/2006/customXml" ds:itemID="{C503AF53-37ED-4DF3-951E-650FEE2A734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9582abf-a26e-4e53-a6af-46f4bb06cdf8"/>
    <ds:schemaRef ds:uri="bd9bdd5b-38e0-4e09-b47e-ef3f4b20bf2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1213E12-AFE3-4A1F-A1F9-1ADBED212105}">
  <ds:schemaRefs>
    <ds:schemaRef ds:uri="http://purl.org/dc/elements/1.1/"/>
    <ds:schemaRef ds:uri="http://purl.org/dc/dcmitype/"/>
    <ds:schemaRef ds:uri="http://schemas.microsoft.com/office/infopath/2007/PartnerControls"/>
    <ds:schemaRef ds:uri="e9582abf-a26e-4e53-a6af-46f4bb06cdf8"/>
    <ds:schemaRef ds:uri="http://schemas.openxmlformats.org/package/2006/metadata/core-properties"/>
    <ds:schemaRef ds:uri="http://schemas.microsoft.com/office/2006/metadata/properties"/>
    <ds:schemaRef ds:uri="http://purl.org/dc/terms/"/>
    <ds:schemaRef ds:uri="http://schemas.microsoft.com/office/2006/documentManagement/types"/>
    <ds:schemaRef ds:uri="bd9bdd5b-38e0-4e09-b47e-ef3f4b20bf28"/>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11</vt:i4>
      </vt:variant>
      <vt:variant>
        <vt:lpstr>Named Ranges</vt:lpstr>
      </vt:variant>
      <vt:variant>
        <vt:i4>5</vt:i4>
      </vt:variant>
    </vt:vector>
  </HeadingPairs>
  <TitlesOfParts>
    <vt:vector size="16" baseType="lpstr">
      <vt:lpstr>Report</vt:lpstr>
      <vt:lpstr>Costing</vt:lpstr>
      <vt:lpstr>Customer Summary</vt:lpstr>
      <vt:lpstr>Office Notes</vt:lpstr>
      <vt:lpstr>CAF1 Form</vt:lpstr>
      <vt:lpstr>Access Email Template</vt:lpstr>
      <vt:lpstr>Sub Contractor Costs</vt:lpstr>
      <vt:lpstr>CF CSV Upload</vt:lpstr>
      <vt:lpstr>Material-List</vt:lpstr>
      <vt:lpstr>Data Lists</vt:lpstr>
      <vt:lpstr>Changes</vt:lpstr>
      <vt:lpstr>'Access Email Template'!Print_Area</vt:lpstr>
      <vt:lpstr>'Customer Summary'!Print_Area</vt:lpstr>
      <vt:lpstr>'Material-List'!Print_Area</vt:lpstr>
      <vt:lpstr>Report!Print_Area</vt:lpstr>
      <vt:lpstr>'Sub Contractor Costs'!Print_Area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Davison</dc:creator>
  <cp:keywords/>
  <dc:description/>
  <cp:lastModifiedBy>Dominic Clauzel</cp:lastModifiedBy>
  <cp:lastPrinted>2024-11-11T11:34:12Z</cp:lastPrinted>
  <dcterms:created xsi:type="dcterms:W3CDTF">2023-05-12T08:29:56Z</dcterms:created>
  <dcterms:modified xsi:type="dcterms:W3CDTF">2026-02-17T23:44:15Z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0x0101003B6DF38673946941B312351CB883F9BC</vt:lpwstr>
  </property>
  <property fmtid="{D5CDD505-2E9C-101B-9397-08002B2CF9AE}" pid="3" name="MediaServiceImageTags">
    <vt:lpwstr/>
  </property>
</Properties>
</file>