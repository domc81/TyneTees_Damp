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ominicclauzel/Development/Tyne_Tees_Damp_Proofing/wetransfer_1-customer-details-for-linked-documents-xlsm_2026-01-30_0926/"/>
    </mc:Choice>
  </mc:AlternateContent>
  <xr:revisionPtr revIDLastSave="0" documentId="8_{5F6800F7-9C08-5248-A9C2-253C818B8EF6}" xr6:coauthVersionLast="47" xr6:coauthVersionMax="47" xr10:uidLastSave="{00000000-0000-0000-0000-000000000000}"/>
  <bookViews>
    <workbookView xWindow="0" yWindow="880" windowWidth="36000" windowHeight="22500" xr2:uid="{7B1D20A2-8231-4FBE-8D91-474C0BEE8B28}"/>
  </bookViews>
  <sheets>
    <sheet name="Report" sheetId="5" r:id="rId1"/>
    <sheet name="Costing" sheetId="1" r:id="rId2"/>
    <sheet name="Customer Summary" sheetId="4" r:id="rId3"/>
    <sheet name="Office Notes" sheetId="7" r:id="rId4"/>
    <sheet name="CAF1 Form" sheetId="10" r:id="rId5"/>
    <sheet name="Sub Contractor Costs" sheetId="8" r:id="rId6"/>
    <sheet name="Sub Contractor Mats" sheetId="9" r:id="rId7"/>
    <sheet name="CF CSV Upload" sheetId="2" r:id="rId8"/>
    <sheet name="Data Lists" sheetId="3" r:id="rId9"/>
    <sheet name="Changes" sheetId="6" r:id="rId10"/>
  </sheets>
  <externalReferences>
    <externalReference r:id="rId11"/>
  </externalReferences>
  <definedNames>
    <definedName name="_xlnm._FilterDatabase" localSheetId="7" hidden="1">'CF CSV Upload'!$A$1:$M$119</definedName>
    <definedName name="_xlnm._FilterDatabase" localSheetId="0" hidden="1">Report!$A$3:$AC$225</definedName>
    <definedName name="_xlnm.Print_Area" localSheetId="0">Report!$D$3:$P$225</definedName>
    <definedName name="_xlnm.Print_Area" localSheetId="5">'Sub Contractor Costs'!$B$2:$E$18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78" i="2" l="1"/>
  <c r="H78" i="2"/>
  <c r="E78" i="2"/>
  <c r="D78" i="2"/>
  <c r="N78" i="2" s="1"/>
  <c r="P78" i="2" s="1"/>
  <c r="C78" i="2"/>
  <c r="M62" i="2"/>
  <c r="H62" i="2"/>
  <c r="F62" i="2"/>
  <c r="E62" i="2"/>
  <c r="D62" i="2"/>
  <c r="N62" i="2" s="1"/>
  <c r="P62" i="2" s="1"/>
  <c r="C62" i="2"/>
  <c r="M61" i="2"/>
  <c r="H61" i="2"/>
  <c r="F61" i="2"/>
  <c r="E61" i="2"/>
  <c r="D61" i="2"/>
  <c r="N61" i="2" s="1"/>
  <c r="C61" i="2"/>
  <c r="M60" i="2"/>
  <c r="H60" i="2"/>
  <c r="F60" i="2"/>
  <c r="E60" i="2"/>
  <c r="D60" i="2"/>
  <c r="C60" i="2"/>
  <c r="M80" i="2"/>
  <c r="H80" i="2"/>
  <c r="E80" i="2"/>
  <c r="D80" i="2"/>
  <c r="N80" i="2" s="1"/>
  <c r="C80" i="2"/>
  <c r="M79" i="2"/>
  <c r="H79" i="2"/>
  <c r="E79" i="2"/>
  <c r="D79" i="2"/>
  <c r="C79" i="2"/>
  <c r="AT67" i="1"/>
  <c r="U67" i="1"/>
  <c r="Q67" i="1"/>
  <c r="P67" i="1"/>
  <c r="O67" i="1"/>
  <c r="V67" i="1" s="1"/>
  <c r="M67" i="1"/>
  <c r="I67" i="1"/>
  <c r="K67" i="1" s="1"/>
  <c r="AT66" i="1"/>
  <c r="U66" i="1"/>
  <c r="P66" i="1"/>
  <c r="Q66" i="1" s="1"/>
  <c r="O66" i="1"/>
  <c r="V66" i="1" s="1"/>
  <c r="M66" i="1"/>
  <c r="I66" i="1"/>
  <c r="K66" i="1" s="1"/>
  <c r="H117" i="2"/>
  <c r="H113" i="2"/>
  <c r="H112" i="2"/>
  <c r="H111" i="2"/>
  <c r="H110" i="2"/>
  <c r="H109" i="2"/>
  <c r="H108" i="2"/>
  <c r="H104" i="2"/>
  <c r="H103" i="2"/>
  <c r="H102" i="2"/>
  <c r="H101" i="2"/>
  <c r="H100" i="2"/>
  <c r="H99" i="2"/>
  <c r="H98" i="2"/>
  <c r="H97" i="2"/>
  <c r="H96" i="2"/>
  <c r="H95" i="2"/>
  <c r="H94" i="2"/>
  <c r="H93" i="2"/>
  <c r="H92" i="2"/>
  <c r="H91" i="2"/>
  <c r="H90" i="2"/>
  <c r="H89" i="2"/>
  <c r="H88" i="2"/>
  <c r="H87" i="2"/>
  <c r="H86" i="2"/>
  <c r="H85" i="2"/>
  <c r="H81" i="2"/>
  <c r="H77" i="2"/>
  <c r="H76" i="2"/>
  <c r="H75" i="2"/>
  <c r="H74" i="2"/>
  <c r="H73" i="2"/>
  <c r="H72" i="2"/>
  <c r="H71" i="2"/>
  <c r="H70" i="2"/>
  <c r="H69" i="2"/>
  <c r="H68" i="2"/>
  <c r="H67" i="2"/>
  <c r="H66" i="2"/>
  <c r="H65" i="2"/>
  <c r="H64" i="2"/>
  <c r="H63" i="2"/>
  <c r="H59" i="2"/>
  <c r="H58" i="2"/>
  <c r="H57" i="2"/>
  <c r="H56" i="2"/>
  <c r="H55" i="2"/>
  <c r="H54" i="2"/>
  <c r="H53" i="2"/>
  <c r="H52" i="2"/>
  <c r="H51" i="2"/>
  <c r="H50" i="2"/>
  <c r="H49" i="2"/>
  <c r="H48" i="2"/>
  <c r="H47" i="2"/>
  <c r="H46" i="2"/>
  <c r="H42" i="2"/>
  <c r="H41" i="2"/>
  <c r="H40" i="2"/>
  <c r="H39" i="2"/>
  <c r="H38" i="2"/>
  <c r="H37" i="2"/>
  <c r="H36" i="2"/>
  <c r="H35" i="2"/>
  <c r="H34" i="2"/>
  <c r="H33" i="2"/>
  <c r="H32" i="2"/>
  <c r="H31" i="2"/>
  <c r="H30" i="2"/>
  <c r="H29" i="2"/>
  <c r="H25" i="2"/>
  <c r="H24" i="2"/>
  <c r="H23" i="2"/>
  <c r="H22" i="2"/>
  <c r="H21" i="2"/>
  <c r="H20" i="2"/>
  <c r="H19" i="2"/>
  <c r="H18" i="2"/>
  <c r="H17" i="2"/>
  <c r="H16" i="2"/>
  <c r="H15" i="2"/>
  <c r="H14" i="2"/>
  <c r="H13" i="2"/>
  <c r="H12" i="2"/>
  <c r="H11" i="2"/>
  <c r="H10" i="2"/>
  <c r="H9" i="2"/>
  <c r="H8" i="2"/>
  <c r="H7" i="2"/>
  <c r="H6" i="2"/>
  <c r="H5" i="2"/>
  <c r="H4" i="2"/>
  <c r="H3" i="2"/>
  <c r="H2" i="2"/>
  <c r="AT65" i="1"/>
  <c r="U65" i="1"/>
  <c r="P65" i="1"/>
  <c r="Q65" i="1" s="1"/>
  <c r="O65" i="1"/>
  <c r="V65" i="1" s="1"/>
  <c r="M65" i="1"/>
  <c r="I65" i="1"/>
  <c r="K65" i="1" s="1"/>
  <c r="M42" i="2"/>
  <c r="M41" i="2"/>
  <c r="M40" i="2"/>
  <c r="M39" i="2"/>
  <c r="M35" i="2"/>
  <c r="F35" i="2"/>
  <c r="D35" i="2"/>
  <c r="C35" i="2"/>
  <c r="M34" i="2"/>
  <c r="F34" i="2"/>
  <c r="D34" i="2"/>
  <c r="C34" i="2"/>
  <c r="M33" i="2"/>
  <c r="F33" i="2"/>
  <c r="D33" i="2"/>
  <c r="C33" i="2"/>
  <c r="M32" i="2"/>
  <c r="F32" i="2"/>
  <c r="D32" i="2"/>
  <c r="C32" i="2"/>
  <c r="N41" i="1"/>
  <c r="H44" i="1"/>
  <c r="I44" i="1" s="1"/>
  <c r="K44" i="1" s="1"/>
  <c r="H43" i="1"/>
  <c r="I43" i="1" s="1"/>
  <c r="K43" i="1" s="1"/>
  <c r="H42" i="1"/>
  <c r="U42" i="1" s="1"/>
  <c r="AT42" i="1"/>
  <c r="P42" i="1"/>
  <c r="Q42" i="1" s="1"/>
  <c r="E39" i="2" s="1"/>
  <c r="O42" i="1"/>
  <c r="V42" i="1" s="1"/>
  <c r="M42" i="1"/>
  <c r="C39" i="2" s="1"/>
  <c r="AT43" i="1"/>
  <c r="P43" i="1"/>
  <c r="Q43" i="1" s="1"/>
  <c r="E40" i="2" s="1"/>
  <c r="O43" i="1"/>
  <c r="V43" i="1" s="1"/>
  <c r="M43" i="1"/>
  <c r="C40" i="2" s="1"/>
  <c r="AT44" i="1"/>
  <c r="P44" i="1"/>
  <c r="Q44" i="1" s="1"/>
  <c r="E41" i="2" s="1"/>
  <c r="O44" i="1"/>
  <c r="V44" i="1" s="1"/>
  <c r="M44" i="1"/>
  <c r="C41" i="2" s="1"/>
  <c r="M17" i="2"/>
  <c r="C3" i="2"/>
  <c r="C4" i="2"/>
  <c r="C5" i="2"/>
  <c r="C6" i="2"/>
  <c r="C2" i="2"/>
  <c r="M5" i="2"/>
  <c r="F5" i="2"/>
  <c r="D5" i="2"/>
  <c r="N25" i="1"/>
  <c r="H25" i="1"/>
  <c r="AT24" i="1"/>
  <c r="U24" i="1"/>
  <c r="P24" i="1"/>
  <c r="Q24" i="1" s="1"/>
  <c r="E17" i="2" s="1"/>
  <c r="O24" i="1"/>
  <c r="V24" i="1" s="1"/>
  <c r="M24" i="1"/>
  <c r="C17" i="2" s="1"/>
  <c r="I24" i="1"/>
  <c r="K24" i="1" s="1"/>
  <c r="M77" i="2"/>
  <c r="M59" i="2"/>
  <c r="F59" i="2"/>
  <c r="D59" i="2"/>
  <c r="C59" i="2"/>
  <c r="AT64" i="1"/>
  <c r="U64" i="1"/>
  <c r="P64" i="1"/>
  <c r="Q64" i="1" s="1"/>
  <c r="E77" i="2" s="1"/>
  <c r="O64" i="1"/>
  <c r="V64" i="1" s="1"/>
  <c r="M64" i="1"/>
  <c r="C77" i="2" s="1"/>
  <c r="I64" i="1"/>
  <c r="E59" i="2" s="1"/>
  <c r="P61" i="2" l="1"/>
  <c r="P80" i="2"/>
  <c r="N60" i="2"/>
  <c r="P60" i="2" s="1"/>
  <c r="N79" i="2"/>
  <c r="P79" i="2" s="1"/>
  <c r="S67" i="1"/>
  <c r="T67" i="1" s="1"/>
  <c r="S66" i="1"/>
  <c r="T66" i="1" s="1"/>
  <c r="U44" i="1"/>
  <c r="E5" i="2"/>
  <c r="N5" i="2" s="1"/>
  <c r="P5" i="2" s="1"/>
  <c r="S65" i="1"/>
  <c r="T65" i="1" s="1"/>
  <c r="D41" i="2"/>
  <c r="N41" i="2" s="1"/>
  <c r="P41" i="2" s="1"/>
  <c r="E33" i="2"/>
  <c r="N33" i="2" s="1"/>
  <c r="P33" i="2" s="1"/>
  <c r="E34" i="2"/>
  <c r="N34" i="2" s="1"/>
  <c r="P34" i="2" s="1"/>
  <c r="D40" i="2"/>
  <c r="N40" i="2" s="1"/>
  <c r="P40" i="2" s="1"/>
  <c r="D39" i="2"/>
  <c r="N39" i="2" s="1"/>
  <c r="P39" i="2" s="1"/>
  <c r="U43" i="1"/>
  <c r="I42" i="1"/>
  <c r="S42" i="1"/>
  <c r="S43" i="1"/>
  <c r="T43" i="1" s="1"/>
  <c r="S44" i="1"/>
  <c r="T44" i="1" s="1"/>
  <c r="D17" i="2"/>
  <c r="N17" i="2" s="1"/>
  <c r="P17" i="2" s="1"/>
  <c r="K64" i="1"/>
  <c r="S24" i="1"/>
  <c r="T24" i="1" s="1"/>
  <c r="N59" i="2"/>
  <c r="P59" i="2" s="1"/>
  <c r="D77" i="2"/>
  <c r="N77" i="2" s="1"/>
  <c r="P77" i="2" s="1"/>
  <c r="S64" i="1"/>
  <c r="K42" i="1" l="1"/>
  <c r="T42" i="1" s="1"/>
  <c r="E32" i="2"/>
  <c r="N32" i="2" s="1"/>
  <c r="P32" i="2" s="1"/>
  <c r="T64" i="1"/>
  <c r="N21" i="1"/>
  <c r="N22" i="1"/>
  <c r="O22" i="1" s="1"/>
  <c r="H41" i="1"/>
  <c r="H40" i="1"/>
  <c r="C110" i="1" l="1"/>
  <c r="E119" i="2" s="1"/>
  <c r="AT106" i="1"/>
  <c r="C11" i="8"/>
  <c r="C12" i="8"/>
  <c r="C13" i="8"/>
  <c r="C14" i="8"/>
  <c r="C15" i="8"/>
  <c r="B12" i="8"/>
  <c r="B13" i="8" s="1"/>
  <c r="B14" i="8" s="1"/>
  <c r="B15" i="8" s="1"/>
  <c r="A117" i="2" l="1"/>
  <c r="A118" i="2" s="1"/>
  <c r="A119" i="2" s="1"/>
  <c r="A120" i="2" s="1"/>
  <c r="A20" i="3"/>
  <c r="K121" i="2"/>
  <c r="J121" i="2"/>
  <c r="M121" i="2" s="1"/>
  <c r="H121" i="2"/>
  <c r="F121" i="2"/>
  <c r="E121" i="2"/>
  <c r="M120" i="2"/>
  <c r="V35" i="1"/>
  <c r="B9" i="4"/>
  <c r="L114" i="2"/>
  <c r="L115" i="2" s="1"/>
  <c r="A108" i="2"/>
  <c r="A109" i="2" s="1"/>
  <c r="A110" i="2" s="1"/>
  <c r="A111" i="2" s="1"/>
  <c r="A112" i="2" s="1"/>
  <c r="A113" i="2" s="1"/>
  <c r="A114" i="2" s="1"/>
  <c r="A115" i="2" s="1"/>
  <c r="L105" i="2"/>
  <c r="L106" i="2" s="1"/>
  <c r="A85" i="2"/>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L82" i="2"/>
  <c r="L83" i="2" s="1"/>
  <c r="A46" i="2"/>
  <c r="A47" i="2" s="1"/>
  <c r="A48" i="2" s="1"/>
  <c r="A49" i="2" s="1"/>
  <c r="A50" i="2" s="1"/>
  <c r="A51" i="2" s="1"/>
  <c r="A52" i="2" s="1"/>
  <c r="A53" i="2" s="1"/>
  <c r="A54" i="2" s="1"/>
  <c r="A55" i="2" s="1"/>
  <c r="A56" i="2" s="1"/>
  <c r="A57" i="2" s="1"/>
  <c r="A58" i="2" s="1"/>
  <c r="L43" i="2"/>
  <c r="L44" i="2" s="1"/>
  <c r="A29" i="2"/>
  <c r="A30" i="2" s="1"/>
  <c r="A31" i="2" s="1"/>
  <c r="A2" i="2"/>
  <c r="A3" i="2" s="1"/>
  <c r="A4" i="2" s="1"/>
  <c r="L26" i="2"/>
  <c r="L27" i="2" s="1"/>
  <c r="A16" i="3"/>
  <c r="A17" i="3"/>
  <c r="A18" i="3"/>
  <c r="A19" i="3"/>
  <c r="A15" i="3"/>
  <c r="A32" i="2" l="1"/>
  <c r="A33" i="2" s="1"/>
  <c r="A34" i="2" s="1"/>
  <c r="A35" i="2" s="1"/>
  <c r="A36" i="2" s="1"/>
  <c r="A37" i="2" s="1"/>
  <c r="A38" i="2" s="1"/>
  <c r="A6" i="2"/>
  <c r="A7" i="2" s="1"/>
  <c r="A8" i="2" s="1"/>
  <c r="A9" i="2" s="1"/>
  <c r="A10" i="2" s="1"/>
  <c r="A11" i="2" s="1"/>
  <c r="A12" i="2" s="1"/>
  <c r="A13" i="2" s="1"/>
  <c r="A14" i="2" s="1"/>
  <c r="A15" i="2" s="1"/>
  <c r="A5" i="2"/>
  <c r="A63" i="2"/>
  <c r="A64" i="2" s="1"/>
  <c r="A65" i="2" s="1"/>
  <c r="A66" i="2" s="1"/>
  <c r="A67" i="2" s="1"/>
  <c r="A68" i="2" s="1"/>
  <c r="A69" i="2" s="1"/>
  <c r="A70" i="2" s="1"/>
  <c r="A71" i="2" s="1"/>
  <c r="A72" i="2" s="1"/>
  <c r="A73" i="2" s="1"/>
  <c r="A74" i="2" s="1"/>
  <c r="A75" i="2" s="1"/>
  <c r="A76" i="2" s="1"/>
  <c r="A59" i="2"/>
  <c r="A121" i="2"/>
  <c r="C121" i="2" s="1"/>
  <c r="C120" i="2"/>
  <c r="A60" i="2" l="1"/>
  <c r="A61" i="2" s="1"/>
  <c r="A62" i="2" s="1"/>
  <c r="A39" i="2"/>
  <c r="A40" i="2" s="1"/>
  <c r="A41" i="2" s="1"/>
  <c r="A42" i="2" s="1"/>
  <c r="A43" i="2" s="1"/>
  <c r="A44" i="2" s="1"/>
  <c r="A16" i="2"/>
  <c r="A18" i="2" s="1"/>
  <c r="A19" i="2" s="1"/>
  <c r="A20" i="2" s="1"/>
  <c r="A21" i="2" s="1"/>
  <c r="A22" i="2" s="1"/>
  <c r="A23" i="2" s="1"/>
  <c r="A24" i="2" s="1"/>
  <c r="A25" i="2" s="1"/>
  <c r="A26" i="2" s="1"/>
  <c r="A27" i="2" s="1"/>
  <c r="A17" i="2"/>
  <c r="A81" i="2"/>
  <c r="A82" i="2" s="1"/>
  <c r="A83" i="2" s="1"/>
  <c r="A77" i="2"/>
  <c r="A78" i="2" s="1"/>
  <c r="P91" i="1"/>
  <c r="Q91" i="1" s="1"/>
  <c r="P87" i="1"/>
  <c r="P86" i="1"/>
  <c r="P85" i="1"/>
  <c r="P81" i="1"/>
  <c r="P80" i="1"/>
  <c r="P79" i="1"/>
  <c r="P78" i="1"/>
  <c r="P77" i="1"/>
  <c r="P76" i="1"/>
  <c r="P75" i="1"/>
  <c r="P74" i="1"/>
  <c r="P73" i="1"/>
  <c r="P72" i="1"/>
  <c r="P68" i="1"/>
  <c r="P63" i="1"/>
  <c r="P62" i="1"/>
  <c r="P61" i="1"/>
  <c r="P59" i="1"/>
  <c r="P58" i="1"/>
  <c r="P57" i="1"/>
  <c r="P56" i="1"/>
  <c r="P55" i="1"/>
  <c r="P54" i="1"/>
  <c r="P53" i="1"/>
  <c r="P52" i="1"/>
  <c r="P51" i="1"/>
  <c r="P50" i="1"/>
  <c r="P45" i="1"/>
  <c r="P41" i="1"/>
  <c r="P40" i="1"/>
  <c r="P39" i="1"/>
  <c r="P35" i="1"/>
  <c r="P34" i="1"/>
  <c r="P33" i="1"/>
  <c r="P32" i="1"/>
  <c r="P31" i="1"/>
  <c r="P30" i="1"/>
  <c r="P29" i="1"/>
  <c r="A79" i="2" l="1"/>
  <c r="A80" i="2" s="1"/>
  <c r="I91" i="1"/>
  <c r="E117" i="2" s="1"/>
  <c r="Q87" i="1"/>
  <c r="E113" i="2" s="1"/>
  <c r="Q86" i="1"/>
  <c r="E112" i="2" s="1"/>
  <c r="Q85" i="1"/>
  <c r="E111" i="2" s="1"/>
  <c r="I86" i="1"/>
  <c r="E109" i="2" s="1"/>
  <c r="I87" i="1"/>
  <c r="E110" i="2" s="1"/>
  <c r="I85" i="1"/>
  <c r="E108" i="2" s="1"/>
  <c r="Q72" i="1"/>
  <c r="E95" i="2" s="1"/>
  <c r="Q73" i="1"/>
  <c r="E96" i="2" s="1"/>
  <c r="Q74" i="1"/>
  <c r="E97" i="2" s="1"/>
  <c r="Q75" i="1"/>
  <c r="E98" i="2" s="1"/>
  <c r="Q76" i="1"/>
  <c r="E99" i="2" s="1"/>
  <c r="Q77" i="1"/>
  <c r="E100" i="2" s="1"/>
  <c r="Q78" i="1"/>
  <c r="E101" i="2" s="1"/>
  <c r="Q79" i="1"/>
  <c r="E102" i="2" s="1"/>
  <c r="Q80" i="1"/>
  <c r="E103" i="2" s="1"/>
  <c r="Q81" i="1"/>
  <c r="E104" i="2" s="1"/>
  <c r="I73" i="1"/>
  <c r="E86" i="2" s="1"/>
  <c r="I74" i="1"/>
  <c r="E87" i="2" s="1"/>
  <c r="I75" i="1"/>
  <c r="E88" i="2" s="1"/>
  <c r="I76" i="1"/>
  <c r="E89" i="2" s="1"/>
  <c r="I77" i="1"/>
  <c r="E90" i="2" s="1"/>
  <c r="I78" i="1"/>
  <c r="E91" i="2" s="1"/>
  <c r="I79" i="1"/>
  <c r="E92" i="2" s="1"/>
  <c r="I80" i="1"/>
  <c r="E93" i="2" s="1"/>
  <c r="I81" i="1"/>
  <c r="E94" i="2" s="1"/>
  <c r="I72" i="1"/>
  <c r="E85" i="2" s="1"/>
  <c r="Q50" i="1"/>
  <c r="E64" i="2" s="1"/>
  <c r="Q68" i="1"/>
  <c r="E81" i="2" s="1"/>
  <c r="Q63" i="1"/>
  <c r="E76" i="2" s="1"/>
  <c r="Q62" i="1"/>
  <c r="E75" i="2" s="1"/>
  <c r="Q61" i="1"/>
  <c r="E74" i="2" s="1"/>
  <c r="Q59" i="1"/>
  <c r="E73" i="2" s="1"/>
  <c r="Q58" i="1"/>
  <c r="E72" i="2" s="1"/>
  <c r="Q57" i="1"/>
  <c r="E71" i="2" s="1"/>
  <c r="Q56" i="1"/>
  <c r="E70" i="2" s="1"/>
  <c r="Q55" i="1"/>
  <c r="E69" i="2" s="1"/>
  <c r="Q54" i="1"/>
  <c r="E68" i="2" s="1"/>
  <c r="Q53" i="1"/>
  <c r="E67" i="2" s="1"/>
  <c r="Q52" i="1"/>
  <c r="E66" i="2" s="1"/>
  <c r="Q51" i="1"/>
  <c r="E65" i="2" s="1"/>
  <c r="I68" i="1"/>
  <c r="E63" i="2" s="1"/>
  <c r="I63" i="1"/>
  <c r="E58" i="2" s="1"/>
  <c r="I62" i="1"/>
  <c r="E57" i="2" s="1"/>
  <c r="I61" i="1"/>
  <c r="E56" i="2" s="1"/>
  <c r="I59" i="1"/>
  <c r="E55" i="2" s="1"/>
  <c r="I58" i="1"/>
  <c r="E54" i="2" s="1"/>
  <c r="I57" i="1"/>
  <c r="E53" i="2" s="1"/>
  <c r="I56" i="1"/>
  <c r="E52" i="2" s="1"/>
  <c r="I55" i="1"/>
  <c r="E51" i="2" s="1"/>
  <c r="I54" i="1"/>
  <c r="E50" i="2" s="1"/>
  <c r="I53" i="1"/>
  <c r="E49" i="2" s="1"/>
  <c r="I52" i="1"/>
  <c r="E48" i="2" s="1"/>
  <c r="I51" i="1"/>
  <c r="E47" i="2" s="1"/>
  <c r="I50" i="1"/>
  <c r="E46" i="2" s="1"/>
  <c r="Q40" i="1"/>
  <c r="E37" i="2" s="1"/>
  <c r="Q41" i="1"/>
  <c r="E38" i="2" s="1"/>
  <c r="Q45" i="1"/>
  <c r="E42" i="2" s="1"/>
  <c r="Q39" i="1"/>
  <c r="E36" i="2" s="1"/>
  <c r="I40" i="1"/>
  <c r="E30" i="2" s="1"/>
  <c r="I45" i="1"/>
  <c r="E35" i="2" s="1"/>
  <c r="N35" i="2" s="1"/>
  <c r="P35" i="2" s="1"/>
  <c r="I39" i="1"/>
  <c r="E29" i="2" s="1"/>
  <c r="Q30" i="1"/>
  <c r="E20" i="2" s="1"/>
  <c r="Q31" i="1"/>
  <c r="E21" i="2" s="1"/>
  <c r="Q32" i="1"/>
  <c r="E22" i="2" s="1"/>
  <c r="Q33" i="1"/>
  <c r="E23" i="2" s="1"/>
  <c r="Q34" i="1"/>
  <c r="E24" i="2" s="1"/>
  <c r="Q35" i="1"/>
  <c r="E25" i="2" s="1"/>
  <c r="Q29" i="1"/>
  <c r="E19" i="2" s="1"/>
  <c r="I30" i="1"/>
  <c r="E8" i="2" s="1"/>
  <c r="I31" i="1"/>
  <c r="E9" i="2" s="1"/>
  <c r="I32" i="1"/>
  <c r="E10" i="2" s="1"/>
  <c r="I33" i="1"/>
  <c r="E11" i="2" s="1"/>
  <c r="I34" i="1"/>
  <c r="E12" i="2" s="1"/>
  <c r="I29" i="1"/>
  <c r="E7" i="2" s="1"/>
  <c r="P22" i="1"/>
  <c r="Q22" i="1" s="1"/>
  <c r="E15" i="2" s="1"/>
  <c r="P23" i="1"/>
  <c r="Q23" i="1" s="1"/>
  <c r="E16" i="2" s="1"/>
  <c r="P25" i="1"/>
  <c r="Q25" i="1" s="1"/>
  <c r="E18" i="2" s="1"/>
  <c r="P21" i="1"/>
  <c r="Q21" i="1" s="1"/>
  <c r="E14" i="2" s="1"/>
  <c r="I23" i="1"/>
  <c r="I25" i="1"/>
  <c r="I21" i="1"/>
  <c r="A67" i="3"/>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U87" i="1"/>
  <c r="U86" i="1"/>
  <c r="U85" i="1"/>
  <c r="U81" i="1"/>
  <c r="U80" i="1"/>
  <c r="U79" i="1"/>
  <c r="U78" i="1"/>
  <c r="U77" i="1"/>
  <c r="U76" i="1"/>
  <c r="U75" i="1"/>
  <c r="U74" i="1"/>
  <c r="U73" i="1"/>
  <c r="U72" i="1"/>
  <c r="U68" i="1"/>
  <c r="U63" i="1"/>
  <c r="U62" i="1"/>
  <c r="U61" i="1"/>
  <c r="U45" i="1"/>
  <c r="U40" i="1"/>
  <c r="U39" i="1"/>
  <c r="U33" i="1"/>
  <c r="U32" i="1"/>
  <c r="U31" i="1"/>
  <c r="U30" i="1"/>
  <c r="U29" i="1"/>
  <c r="U25" i="1"/>
  <c r="U23" i="1"/>
  <c r="F6" i="2"/>
  <c r="D6" i="2"/>
  <c r="M18" i="2"/>
  <c r="M6" i="2"/>
  <c r="AT25" i="1"/>
  <c r="O25" i="1"/>
  <c r="M25" i="1"/>
  <c r="C18" i="2" s="1"/>
  <c r="V25" i="1" l="1"/>
  <c r="K73" i="1"/>
  <c r="K74" i="1"/>
  <c r="K75" i="1"/>
  <c r="K76" i="1"/>
  <c r="K77" i="1"/>
  <c r="K86" i="1"/>
  <c r="K45" i="1"/>
  <c r="S25" i="1"/>
  <c r="K78" i="1"/>
  <c r="K29" i="1"/>
  <c r="K79" i="1"/>
  <c r="K30" i="1"/>
  <c r="K80" i="1"/>
  <c r="K31" i="1"/>
  <c r="K81" i="1"/>
  <c r="K32" i="1"/>
  <c r="K85" i="1"/>
  <c r="K33" i="1"/>
  <c r="K61" i="1"/>
  <c r="K87" i="1"/>
  <c r="K62" i="1"/>
  <c r="K21" i="1"/>
  <c r="E2" i="2"/>
  <c r="K25" i="1"/>
  <c r="E6" i="2"/>
  <c r="N6" i="2" s="1"/>
  <c r="P6" i="2" s="1"/>
  <c r="K39" i="1"/>
  <c r="K63" i="1"/>
  <c r="K23" i="1"/>
  <c r="E4" i="2"/>
  <c r="K40" i="1"/>
  <c r="K68" i="1"/>
  <c r="K69" i="1" s="1"/>
  <c r="K72" i="1"/>
  <c r="K91" i="1"/>
  <c r="S35" i="1"/>
  <c r="D18" i="2"/>
  <c r="N18" i="2" s="1"/>
  <c r="P18" i="2" s="1"/>
  <c r="T25" i="1" l="1"/>
  <c r="B212" i="5" l="1"/>
  <c r="V212" i="5" s="1"/>
  <c r="V213" i="5"/>
  <c r="U91" i="1" l="1"/>
  <c r="O91" i="1"/>
  <c r="V91" i="1" s="1"/>
  <c r="M91" i="1"/>
  <c r="U90" i="1"/>
  <c r="M90" i="1"/>
  <c r="S91" i="1" l="1"/>
  <c r="T91" i="1" s="1"/>
  <c r="U84" i="1" l="1"/>
  <c r="M84" i="1"/>
  <c r="U71" i="1"/>
  <c r="M71" i="1"/>
  <c r="U60" i="1"/>
  <c r="M60" i="1"/>
  <c r="U48" i="1"/>
  <c r="M48" i="1"/>
  <c r="U38" i="1"/>
  <c r="M38" i="1"/>
  <c r="U28" i="1" l="1"/>
  <c r="M28" i="1"/>
  <c r="U20" i="1"/>
  <c r="M20" i="1"/>
  <c r="S22" i="1" l="1"/>
  <c r="V22" i="1"/>
  <c r="U22" i="1"/>
  <c r="I22" i="1"/>
  <c r="M87" i="1"/>
  <c r="M86" i="1"/>
  <c r="M85" i="1"/>
  <c r="M81" i="1"/>
  <c r="M80" i="1"/>
  <c r="M79" i="1"/>
  <c r="M78" i="1"/>
  <c r="M77" i="1"/>
  <c r="M76" i="1"/>
  <c r="M75" i="1"/>
  <c r="M74" i="1"/>
  <c r="M73" i="1"/>
  <c r="M72" i="1"/>
  <c r="M68" i="1"/>
  <c r="M63" i="1"/>
  <c r="M62" i="1"/>
  <c r="M61" i="1"/>
  <c r="M59" i="1"/>
  <c r="M58" i="1"/>
  <c r="M57" i="1"/>
  <c r="M56" i="1"/>
  <c r="M55" i="1"/>
  <c r="M54" i="1"/>
  <c r="M53" i="1"/>
  <c r="M52" i="1"/>
  <c r="M51" i="1"/>
  <c r="M50" i="1"/>
  <c r="M45" i="1"/>
  <c r="C42" i="2" s="1"/>
  <c r="M41" i="1"/>
  <c r="M40" i="1"/>
  <c r="M39" i="1"/>
  <c r="M35" i="1"/>
  <c r="M34" i="1"/>
  <c r="M33" i="1"/>
  <c r="M32" i="1"/>
  <c r="M31" i="1"/>
  <c r="M30" i="1"/>
  <c r="M29" i="1"/>
  <c r="M23" i="1"/>
  <c r="C16" i="2" s="1"/>
  <c r="M22" i="1"/>
  <c r="C15" i="2" s="1"/>
  <c r="M21" i="1"/>
  <c r="C14" i="2" s="1"/>
  <c r="A26" i="5"/>
  <c r="A25" i="5"/>
  <c r="V24" i="5"/>
  <c r="A23" i="5"/>
  <c r="V22" i="5"/>
  <c r="B21" i="5"/>
  <c r="B23" i="5" s="1"/>
  <c r="B24" i="5" s="1"/>
  <c r="B25" i="5" s="1"/>
  <c r="A21" i="5"/>
  <c r="A20" i="5"/>
  <c r="A19" i="5"/>
  <c r="V27" i="5"/>
  <c r="V28" i="5"/>
  <c r="V29" i="5"/>
  <c r="A18" i="5"/>
  <c r="V17" i="5"/>
  <c r="V16" i="5"/>
  <c r="A13" i="5"/>
  <c r="A14" i="5"/>
  <c r="B5" i="4"/>
  <c r="B6" i="4" s="1"/>
  <c r="B7" i="4" s="1"/>
  <c r="B8" i="4" s="1"/>
  <c r="K22" i="1" l="1"/>
  <c r="K26" i="1" s="1"/>
  <c r="E3" i="2"/>
  <c r="H32" i="5"/>
  <c r="A33" i="5"/>
  <c r="T22" i="1" l="1"/>
  <c r="E11" i="1"/>
  <c r="D9" i="8" s="1"/>
  <c r="E10" i="1"/>
  <c r="D8" i="8" s="1"/>
  <c r="E9" i="1"/>
  <c r="D7" i="8" s="1"/>
  <c r="E8" i="1"/>
  <c r="D6" i="8" s="1"/>
  <c r="E7" i="1"/>
  <c r="D5" i="8" s="1"/>
  <c r="E4" i="1"/>
  <c r="D4" i="8" s="1"/>
  <c r="V15" i="5" l="1"/>
  <c r="V177" i="5"/>
  <c r="V175" i="5"/>
  <c r="V170" i="5"/>
  <c r="V168" i="5"/>
  <c r="V163" i="5"/>
  <c r="V161" i="5"/>
  <c r="V147" i="5"/>
  <c r="V145" i="5"/>
  <c r="V140" i="5"/>
  <c r="V138" i="5"/>
  <c r="V133" i="5"/>
  <c r="V131" i="5"/>
  <c r="V121" i="5"/>
  <c r="V119" i="5"/>
  <c r="V114" i="5"/>
  <c r="V112" i="5"/>
  <c r="V107" i="5"/>
  <c r="V105" i="5"/>
  <c r="V95" i="5"/>
  <c r="V93" i="5"/>
  <c r="V88" i="5"/>
  <c r="V86" i="5"/>
  <c r="V81" i="5"/>
  <c r="V79" i="5"/>
  <c r="V69" i="5"/>
  <c r="V67" i="5"/>
  <c r="V62" i="5"/>
  <c r="V60" i="5"/>
  <c r="V55" i="5"/>
  <c r="V53" i="5"/>
  <c r="A38" i="5"/>
  <c r="V45" i="5" l="1"/>
  <c r="B44" i="5"/>
  <c r="A179" i="5"/>
  <c r="A178" i="5"/>
  <c r="A176" i="5"/>
  <c r="B174" i="5"/>
  <c r="B176" i="5" s="1"/>
  <c r="B177" i="5" s="1"/>
  <c r="A174" i="5"/>
  <c r="A173" i="5"/>
  <c r="A172" i="5"/>
  <c r="A171" i="5"/>
  <c r="A169" i="5"/>
  <c r="B167" i="5"/>
  <c r="B169" i="5" s="1"/>
  <c r="B170" i="5" s="1"/>
  <c r="A167" i="5"/>
  <c r="A166" i="5"/>
  <c r="A165" i="5"/>
  <c r="A164" i="5"/>
  <c r="A162" i="5"/>
  <c r="B160" i="5"/>
  <c r="B162" i="5" s="1"/>
  <c r="B163" i="5" s="1"/>
  <c r="A160" i="5"/>
  <c r="A159" i="5"/>
  <c r="A158" i="5"/>
  <c r="A149" i="5"/>
  <c r="A148" i="5"/>
  <c r="A146" i="5"/>
  <c r="B144" i="5"/>
  <c r="B146" i="5" s="1"/>
  <c r="B147" i="5" s="1"/>
  <c r="A144" i="5"/>
  <c r="A143" i="5"/>
  <c r="A142" i="5"/>
  <c r="A141" i="5"/>
  <c r="A139" i="5"/>
  <c r="B137" i="5"/>
  <c r="B139" i="5" s="1"/>
  <c r="B140" i="5" s="1"/>
  <c r="A137" i="5"/>
  <c r="A136" i="5"/>
  <c r="A135" i="5"/>
  <c r="A134" i="5"/>
  <c r="A132" i="5"/>
  <c r="B130" i="5"/>
  <c r="B132" i="5" s="1"/>
  <c r="B133" i="5" s="1"/>
  <c r="A130" i="5"/>
  <c r="A129" i="5"/>
  <c r="A128" i="5"/>
  <c r="A123" i="5"/>
  <c r="A122" i="5"/>
  <c r="A120" i="5"/>
  <c r="B118" i="5"/>
  <c r="B120" i="5" s="1"/>
  <c r="B121" i="5" s="1"/>
  <c r="A118" i="5"/>
  <c r="A117" i="5"/>
  <c r="A116" i="5"/>
  <c r="A115" i="5"/>
  <c r="A113" i="5"/>
  <c r="B111" i="5"/>
  <c r="B113" i="5" s="1"/>
  <c r="B114" i="5" s="1"/>
  <c r="A111" i="5"/>
  <c r="A110" i="5"/>
  <c r="A109" i="5"/>
  <c r="A108" i="5"/>
  <c r="A106" i="5"/>
  <c r="B104" i="5"/>
  <c r="B106" i="5" s="1"/>
  <c r="B107" i="5" s="1"/>
  <c r="A104" i="5"/>
  <c r="A103" i="5"/>
  <c r="A102" i="5"/>
  <c r="A97" i="5"/>
  <c r="A96" i="5"/>
  <c r="A94" i="5"/>
  <c r="B92" i="5"/>
  <c r="B94" i="5" s="1"/>
  <c r="B95" i="5" s="1"/>
  <c r="A92" i="5"/>
  <c r="A91" i="5"/>
  <c r="A90" i="5"/>
  <c r="A89" i="5"/>
  <c r="A87" i="5"/>
  <c r="B85" i="5"/>
  <c r="B87" i="5" s="1"/>
  <c r="B88" i="5" s="1"/>
  <c r="A85" i="5"/>
  <c r="A84" i="5"/>
  <c r="A83" i="5"/>
  <c r="A82" i="5"/>
  <c r="A80" i="5"/>
  <c r="B78" i="5"/>
  <c r="B80" i="5" s="1"/>
  <c r="B81" i="5" s="1"/>
  <c r="A78" i="5"/>
  <c r="A77" i="5"/>
  <c r="A76" i="5"/>
  <c r="A71" i="5"/>
  <c r="A70" i="5"/>
  <c r="A68" i="5"/>
  <c r="B66" i="5"/>
  <c r="B68" i="5" s="1"/>
  <c r="B69" i="5" s="1"/>
  <c r="A66" i="5"/>
  <c r="A65" i="5"/>
  <c r="A64" i="5"/>
  <c r="A63" i="5"/>
  <c r="A61" i="5"/>
  <c r="B59" i="5"/>
  <c r="B61" i="5" s="1"/>
  <c r="B62" i="5" s="1"/>
  <c r="A59" i="5"/>
  <c r="A58" i="5"/>
  <c r="A54" i="5"/>
  <c r="A56" i="5"/>
  <c r="A57" i="5"/>
  <c r="A50" i="5"/>
  <c r="A51" i="5"/>
  <c r="A52" i="5"/>
  <c r="B52" i="5"/>
  <c r="B54" i="5" s="1"/>
  <c r="B55" i="5" s="1"/>
  <c r="B56" i="5" s="1"/>
  <c r="B171" i="5" l="1"/>
  <c r="B178" i="5"/>
  <c r="B164" i="5"/>
  <c r="B141" i="5"/>
  <c r="B148" i="5"/>
  <c r="B134" i="5"/>
  <c r="B115" i="5"/>
  <c r="B122" i="5"/>
  <c r="B108" i="5"/>
  <c r="B89" i="5"/>
  <c r="B96" i="5"/>
  <c r="B82" i="5"/>
  <c r="B70" i="5"/>
  <c r="B63" i="5"/>
  <c r="B200" i="5" l="1"/>
  <c r="B199" i="5"/>
  <c r="B195" i="5"/>
  <c r="B211" i="5" s="1"/>
  <c r="V157" i="5"/>
  <c r="V156" i="5"/>
  <c r="V155" i="5"/>
  <c r="B202" i="5" l="1"/>
  <c r="B197" i="5"/>
  <c r="B203" i="5"/>
  <c r="B196" i="5"/>
  <c r="B204" i="5"/>
  <c r="B201" i="5"/>
  <c r="B205" i="5"/>
  <c r="B198" i="5"/>
  <c r="B206" i="5"/>
  <c r="B207" i="5"/>
  <c r="B208" i="5"/>
  <c r="B209" i="5"/>
  <c r="B210" i="5"/>
  <c r="V150" i="5"/>
  <c r="V127" i="5"/>
  <c r="V126" i="5"/>
  <c r="V125" i="5"/>
  <c r="V124" i="5"/>
  <c r="V101" i="5"/>
  <c r="V100" i="5"/>
  <c r="V99" i="5"/>
  <c r="V98" i="5"/>
  <c r="V75" i="5"/>
  <c r="V74" i="5"/>
  <c r="V73" i="5"/>
  <c r="V72" i="5"/>
  <c r="V46" i="5"/>
  <c r="V32" i="5"/>
  <c r="A195" i="5" l="1"/>
  <c r="A196" i="5"/>
  <c r="A197" i="5"/>
  <c r="A198" i="5"/>
  <c r="V41" i="5" l="1"/>
  <c r="A214" i="5" l="1"/>
  <c r="B180" i="5"/>
  <c r="V193" i="5"/>
  <c r="V49" i="5"/>
  <c r="V47" i="5"/>
  <c r="A4" i="5"/>
  <c r="A5" i="5"/>
  <c r="A6" i="5"/>
  <c r="A30" i="5"/>
  <c r="A31" i="5"/>
  <c r="A35" i="5"/>
  <c r="A36" i="5"/>
  <c r="A37" i="5"/>
  <c r="A39" i="5"/>
  <c r="V42" i="5"/>
  <c r="V181" i="5"/>
  <c r="V43" i="5"/>
  <c r="V151" i="5"/>
  <c r="V152" i="5"/>
  <c r="V153" i="5"/>
  <c r="V182" i="5"/>
  <c r="V183" i="5"/>
  <c r="V184" i="5"/>
  <c r="V185" i="5"/>
  <c r="V186" i="5"/>
  <c r="V187" i="5"/>
  <c r="V188" i="5"/>
  <c r="V189" i="5"/>
  <c r="V190" i="5"/>
  <c r="V191" i="5" l="1"/>
  <c r="V192" i="5"/>
  <c r="V194" i="5"/>
  <c r="V48" i="5"/>
  <c r="M115" i="2" l="1"/>
  <c r="M114" i="2"/>
  <c r="M106" i="2"/>
  <c r="M105" i="2"/>
  <c r="M44" i="2"/>
  <c r="M43" i="2"/>
  <c r="M27" i="2"/>
  <c r="M26" i="2"/>
  <c r="B11" i="1" l="1"/>
  <c r="B10" i="1"/>
  <c r="B9" i="1"/>
  <c r="B8" i="1"/>
  <c r="B7" i="1"/>
  <c r="D10" i="5"/>
  <c r="D9" i="5"/>
  <c r="V9" i="5" l="1"/>
  <c r="V10" i="5"/>
  <c r="AT9" i="1"/>
  <c r="AT10" i="1"/>
  <c r="K102" i="1" l="1"/>
  <c r="E14" i="1" l="1"/>
  <c r="D11" i="5"/>
  <c r="V11" i="5" s="1"/>
  <c r="D8" i="5"/>
  <c r="D7" i="5"/>
  <c r="G12" i="5"/>
  <c r="U41" i="1" l="1"/>
  <c r="I41" i="1"/>
  <c r="V12" i="5"/>
  <c r="V7" i="5"/>
  <c r="V8" i="5"/>
  <c r="B217" i="5"/>
  <c r="B220" i="5"/>
  <c r="B223" i="5"/>
  <c r="M73" i="2"/>
  <c r="C73" i="2"/>
  <c r="M72" i="2"/>
  <c r="M55" i="2"/>
  <c r="F55" i="2"/>
  <c r="C55" i="2"/>
  <c r="M54" i="2"/>
  <c r="F54" i="2"/>
  <c r="C54" i="2"/>
  <c r="C72" i="2"/>
  <c r="F59" i="1"/>
  <c r="F58" i="1"/>
  <c r="AT59" i="1"/>
  <c r="AT58" i="1"/>
  <c r="M99" i="2"/>
  <c r="C99" i="2"/>
  <c r="M89" i="2"/>
  <c r="F89" i="2"/>
  <c r="D89" i="2"/>
  <c r="C89" i="2"/>
  <c r="N76" i="1"/>
  <c r="K59" i="1" l="1"/>
  <c r="K58" i="1"/>
  <c r="E31" i="2"/>
  <c r="K41" i="1"/>
  <c r="U59" i="1"/>
  <c r="U58" i="1"/>
  <c r="W212" i="5"/>
  <c r="A212" i="5" s="1"/>
  <c r="W213" i="5"/>
  <c r="A213" i="5" s="1"/>
  <c r="W24" i="5"/>
  <c r="A24" i="5" s="1"/>
  <c r="W22" i="5"/>
  <c r="A22" i="5" s="1"/>
  <c r="W27" i="5"/>
  <c r="A27" i="5" s="1"/>
  <c r="W29" i="5"/>
  <c r="A29" i="5" s="1"/>
  <c r="W28" i="5"/>
  <c r="A28" i="5" s="1"/>
  <c r="W16" i="5"/>
  <c r="A16" i="5" s="1"/>
  <c r="W17" i="5"/>
  <c r="A17" i="5" s="1"/>
  <c r="A34" i="5"/>
  <c r="W15" i="5"/>
  <c r="A15" i="5" s="1"/>
  <c r="W8" i="5"/>
  <c r="A8" i="5" s="1"/>
  <c r="W170" i="5"/>
  <c r="A170" i="5" s="1"/>
  <c r="W112" i="5"/>
  <c r="A112" i="5" s="1"/>
  <c r="W177" i="5"/>
  <c r="A177" i="5" s="1"/>
  <c r="W105" i="5"/>
  <c r="A105" i="5" s="1"/>
  <c r="W140" i="5"/>
  <c r="A140" i="5" s="1"/>
  <c r="W131" i="5"/>
  <c r="A131" i="5" s="1"/>
  <c r="W119" i="5"/>
  <c r="A119" i="5" s="1"/>
  <c r="W175" i="5"/>
  <c r="A175" i="5" s="1"/>
  <c r="W95" i="5"/>
  <c r="A95" i="5" s="1"/>
  <c r="W133" i="5"/>
  <c r="A133" i="5" s="1"/>
  <c r="W163" i="5"/>
  <c r="A163" i="5" s="1"/>
  <c r="W93" i="5"/>
  <c r="A93" i="5" s="1"/>
  <c r="W69" i="5"/>
  <c r="A69" i="5" s="1"/>
  <c r="W62" i="5"/>
  <c r="A62" i="5" s="1"/>
  <c r="W168" i="5"/>
  <c r="A168" i="5" s="1"/>
  <c r="W88" i="5"/>
  <c r="A88" i="5" s="1"/>
  <c r="W79" i="5"/>
  <c r="A79" i="5" s="1"/>
  <c r="W114" i="5"/>
  <c r="A114" i="5" s="1"/>
  <c r="W147" i="5"/>
  <c r="A147" i="5" s="1"/>
  <c r="W86" i="5"/>
  <c r="A86" i="5" s="1"/>
  <c r="W67" i="5"/>
  <c r="A67" i="5" s="1"/>
  <c r="W60" i="5"/>
  <c r="A60" i="5" s="1"/>
  <c r="W107" i="5"/>
  <c r="A107" i="5" s="1"/>
  <c r="W161" i="5"/>
  <c r="A161" i="5" s="1"/>
  <c r="W81" i="5"/>
  <c r="A81" i="5" s="1"/>
  <c r="W138" i="5"/>
  <c r="A138" i="5" s="1"/>
  <c r="W145" i="5"/>
  <c r="A145" i="5" s="1"/>
  <c r="W121" i="5"/>
  <c r="A121" i="5" s="1"/>
  <c r="W192" i="5"/>
  <c r="A192" i="5" s="1"/>
  <c r="W127" i="5"/>
  <c r="W55" i="5"/>
  <c r="A55" i="5" s="1"/>
  <c r="W75" i="5"/>
  <c r="A75" i="5" s="1"/>
  <c r="W150" i="5"/>
  <c r="W98" i="5"/>
  <c r="W156" i="5"/>
  <c r="W47" i="5"/>
  <c r="W53" i="5"/>
  <c r="A53" i="5" s="1"/>
  <c r="W43" i="5"/>
  <c r="W41" i="5"/>
  <c r="W191" i="5"/>
  <c r="W126" i="5"/>
  <c r="W45" i="5"/>
  <c r="W46" i="5"/>
  <c r="W101" i="5"/>
  <c r="W194" i="5"/>
  <c r="A194" i="5" s="1"/>
  <c r="W157" i="5"/>
  <c r="W72" i="5"/>
  <c r="A72" i="5" s="1"/>
  <c r="W124" i="5"/>
  <c r="W32" i="5"/>
  <c r="A32" i="5" s="1"/>
  <c r="W49" i="5"/>
  <c r="W193" i="5"/>
  <c r="A193" i="5" s="1"/>
  <c r="W125" i="5"/>
  <c r="W99" i="5"/>
  <c r="W190" i="5"/>
  <c r="W100" i="5"/>
  <c r="W73" i="5"/>
  <c r="A73" i="5" s="1"/>
  <c r="W48" i="5"/>
  <c r="W155" i="5"/>
  <c r="W74" i="5"/>
  <c r="A74" i="5" s="1"/>
  <c r="W9" i="5"/>
  <c r="A9" i="5" s="1"/>
  <c r="W10" i="5"/>
  <c r="A10" i="5" s="1"/>
  <c r="W7" i="5"/>
  <c r="A7" i="5" s="1"/>
  <c r="W11" i="5"/>
  <c r="A11" i="5" s="1"/>
  <c r="W12" i="5"/>
  <c r="A12" i="5" s="1"/>
  <c r="B224" i="5"/>
  <c r="B221" i="5"/>
  <c r="B218" i="5"/>
  <c r="N89" i="2"/>
  <c r="P89" i="2" s="1"/>
  <c r="D55" i="2"/>
  <c r="N55" i="2" s="1"/>
  <c r="P55" i="2" s="1"/>
  <c r="D54" i="2"/>
  <c r="N54" i="2" s="1"/>
  <c r="P54" i="2" s="1"/>
  <c r="O59" i="1"/>
  <c r="O58" i="1"/>
  <c r="AT76" i="1"/>
  <c r="O76" i="1"/>
  <c r="S76" i="1" l="1"/>
  <c r="T76" i="1" s="1"/>
  <c r="V76" i="1"/>
  <c r="S59" i="1"/>
  <c r="T59" i="1" s="1"/>
  <c r="V59" i="1"/>
  <c r="S58" i="1"/>
  <c r="T58" i="1" s="1"/>
  <c r="V58" i="1"/>
  <c r="D72" i="2"/>
  <c r="N72" i="2" s="1"/>
  <c r="P72" i="2" s="1"/>
  <c r="D73" i="2"/>
  <c r="N73" i="2" s="1"/>
  <c r="P73" i="2" s="1"/>
  <c r="B219" i="5"/>
  <c r="B222" i="5"/>
  <c r="B225" i="5"/>
  <c r="D99" i="2"/>
  <c r="N99" i="2" s="1"/>
  <c r="P99" i="2" s="1"/>
  <c r="A125" i="5" l="1"/>
  <c r="A156" i="5"/>
  <c r="O45" i="1"/>
  <c r="D42" i="2" s="1"/>
  <c r="N42" i="2" s="1"/>
  <c r="P42" i="2" s="1"/>
  <c r="O41" i="1"/>
  <c r="AT45" i="1"/>
  <c r="S45" i="1" l="1"/>
  <c r="T45" i="1" s="1"/>
  <c r="V45" i="1"/>
  <c r="S41" i="1"/>
  <c r="T41" i="1" s="1"/>
  <c r="V41" i="1"/>
  <c r="A155" i="5"/>
  <c r="A126" i="5"/>
  <c r="A99" i="5"/>
  <c r="A222" i="5"/>
  <c r="A205" i="5"/>
  <c r="A100" i="5"/>
  <c r="A219" i="5"/>
  <c r="A49" i="5"/>
  <c r="A216" i="5"/>
  <c r="A157" i="5"/>
  <c r="A217" i="5"/>
  <c r="A43" i="5"/>
  <c r="A221" i="5"/>
  <c r="A206" i="5"/>
  <c r="A225" i="5"/>
  <c r="A223" i="5"/>
  <c r="W181" i="5"/>
  <c r="A181" i="5" s="1"/>
  <c r="A154" i="5"/>
  <c r="W186" i="5"/>
  <c r="A186" i="5" s="1"/>
  <c r="A211" i="5"/>
  <c r="A191" i="5"/>
  <c r="A190" i="5"/>
  <c r="W182" i="5"/>
  <c r="A182" i="5" s="1"/>
  <c r="A46" i="5"/>
  <c r="A215" i="5"/>
  <c r="A98" i="5"/>
  <c r="A180" i="5"/>
  <c r="A210" i="5"/>
  <c r="A150" i="5"/>
  <c r="W189" i="5"/>
  <c r="A189" i="5" s="1"/>
  <c r="A218" i="5"/>
  <c r="A207" i="5"/>
  <c r="W185" i="5"/>
  <c r="A185" i="5" s="1"/>
  <c r="A199" i="5"/>
  <c r="A201" i="5"/>
  <c r="A47" i="5"/>
  <c r="W187" i="5"/>
  <c r="A187" i="5" s="1"/>
  <c r="W188" i="5"/>
  <c r="A188" i="5" s="1"/>
  <c r="W42" i="5"/>
  <c r="A124" i="5"/>
  <c r="A208" i="5"/>
  <c r="A204" i="5"/>
  <c r="A41" i="5"/>
  <c r="A45" i="5"/>
  <c r="W152" i="5"/>
  <c r="A152" i="5" s="1"/>
  <c r="A44" i="5"/>
  <c r="A202" i="5"/>
  <c r="W151" i="5"/>
  <c r="A151" i="5" s="1"/>
  <c r="A40" i="5"/>
  <c r="A203" i="5"/>
  <c r="A48" i="5"/>
  <c r="A209" i="5"/>
  <c r="W184" i="5"/>
  <c r="A184" i="5" s="1"/>
  <c r="W153" i="5"/>
  <c r="A153" i="5" s="1"/>
  <c r="A101" i="5"/>
  <c r="A127" i="5"/>
  <c r="A220" i="5"/>
  <c r="A200" i="5"/>
  <c r="W183" i="5"/>
  <c r="A183" i="5" s="1"/>
  <c r="A224" i="5"/>
  <c r="A42" i="5" l="1"/>
  <c r="H1" i="5"/>
  <c r="B63" i="3"/>
  <c r="B60" i="3" l="1"/>
  <c r="D109" i="2" l="1"/>
  <c r="D110" i="2"/>
  <c r="D108" i="2"/>
  <c r="F117" i="2"/>
  <c r="D117" i="2"/>
  <c r="N117" i="2" l="1"/>
  <c r="P117" i="2" s="1"/>
  <c r="C112" i="2"/>
  <c r="C113" i="2"/>
  <c r="C111" i="2"/>
  <c r="F109" i="2"/>
  <c r="F110" i="2"/>
  <c r="F108" i="2"/>
  <c r="N109" i="2"/>
  <c r="P109" i="2" s="1"/>
  <c r="N110" i="2"/>
  <c r="P110" i="2" s="1"/>
  <c r="N108" i="2"/>
  <c r="P108" i="2" s="1"/>
  <c r="C109" i="2"/>
  <c r="C110" i="2"/>
  <c r="C108" i="2"/>
  <c r="C96" i="2"/>
  <c r="C97" i="2"/>
  <c r="C98" i="2"/>
  <c r="C100" i="2"/>
  <c r="C101" i="2"/>
  <c r="C102" i="2"/>
  <c r="C103" i="2"/>
  <c r="C104" i="2"/>
  <c r="C95" i="2"/>
  <c r="F86" i="2"/>
  <c r="F87" i="2"/>
  <c r="F88" i="2"/>
  <c r="F90" i="2"/>
  <c r="F91" i="2"/>
  <c r="F92" i="2"/>
  <c r="F93" i="2"/>
  <c r="F94" i="2"/>
  <c r="F85" i="2"/>
  <c r="D86" i="2"/>
  <c r="D87" i="2"/>
  <c r="D88" i="2"/>
  <c r="D90" i="2"/>
  <c r="N90" i="2" s="1"/>
  <c r="P90" i="2" s="1"/>
  <c r="D91" i="2"/>
  <c r="D92" i="2"/>
  <c r="D93" i="2"/>
  <c r="D94" i="2"/>
  <c r="D85" i="2"/>
  <c r="C94" i="2"/>
  <c r="C86" i="2"/>
  <c r="C87" i="2"/>
  <c r="C88" i="2"/>
  <c r="C90" i="2"/>
  <c r="C91" i="2"/>
  <c r="C92" i="2"/>
  <c r="C93" i="2"/>
  <c r="C85" i="2"/>
  <c r="M100" i="2"/>
  <c r="M98" i="2"/>
  <c r="M97" i="2"/>
  <c r="M96" i="2"/>
  <c r="M95" i="2"/>
  <c r="M94" i="2"/>
  <c r="M93" i="2"/>
  <c r="M92" i="2"/>
  <c r="M91" i="2"/>
  <c r="M90" i="2"/>
  <c r="M88" i="2"/>
  <c r="M87" i="2"/>
  <c r="M86" i="2"/>
  <c r="M85" i="2"/>
  <c r="M113" i="2"/>
  <c r="M112" i="2"/>
  <c r="M111" i="2"/>
  <c r="M110" i="2"/>
  <c r="M109" i="2"/>
  <c r="M108" i="2"/>
  <c r="M104" i="2"/>
  <c r="M103" i="2"/>
  <c r="M102" i="2"/>
  <c r="M101" i="2"/>
  <c r="M119" i="2"/>
  <c r="M118" i="2"/>
  <c r="M117" i="2"/>
  <c r="C75" i="2"/>
  <c r="C76" i="2"/>
  <c r="C81" i="2"/>
  <c r="C74" i="2"/>
  <c r="C70" i="2"/>
  <c r="C71" i="2"/>
  <c r="F57" i="2"/>
  <c r="F58" i="2"/>
  <c r="F63" i="2"/>
  <c r="F56" i="2"/>
  <c r="D57" i="2"/>
  <c r="D58" i="2"/>
  <c r="D63" i="2"/>
  <c r="D56" i="2"/>
  <c r="C57" i="2"/>
  <c r="C58" i="2"/>
  <c r="C63" i="2"/>
  <c r="C56" i="2"/>
  <c r="M53" i="2"/>
  <c r="M52" i="2"/>
  <c r="M51" i="2"/>
  <c r="M50" i="2"/>
  <c r="M49" i="2"/>
  <c r="M48" i="2"/>
  <c r="M47" i="2"/>
  <c r="M46" i="2"/>
  <c r="F47" i="2"/>
  <c r="F48" i="2"/>
  <c r="F49" i="2"/>
  <c r="F50" i="2"/>
  <c r="F51" i="2"/>
  <c r="F52" i="2"/>
  <c r="F53" i="2"/>
  <c r="F46" i="2"/>
  <c r="C47" i="2"/>
  <c r="C48" i="2"/>
  <c r="C49" i="2"/>
  <c r="C50" i="2"/>
  <c r="C51" i="2"/>
  <c r="C52" i="2"/>
  <c r="C53" i="2"/>
  <c r="C46" i="2"/>
  <c r="N88" i="2" l="1"/>
  <c r="P88" i="2" s="1"/>
  <c r="N86" i="2"/>
  <c r="P86" i="2" s="1"/>
  <c r="N114" i="2"/>
  <c r="N63" i="2"/>
  <c r="P63" i="2" s="1"/>
  <c r="N87" i="2"/>
  <c r="P87" i="2" s="1"/>
  <c r="N58" i="2"/>
  <c r="P58" i="2" s="1"/>
  <c r="N56" i="2"/>
  <c r="P56" i="2" s="1"/>
  <c r="N57" i="2"/>
  <c r="P57" i="2" s="1"/>
  <c r="N85" i="2"/>
  <c r="P85" i="2" s="1"/>
  <c r="N94" i="2"/>
  <c r="P94" i="2" s="1"/>
  <c r="N93" i="2"/>
  <c r="P93" i="2" s="1"/>
  <c r="N92" i="2"/>
  <c r="P92" i="2" s="1"/>
  <c r="N91" i="2"/>
  <c r="P91" i="2" s="1"/>
  <c r="C37" i="2"/>
  <c r="C38" i="2"/>
  <c r="C36" i="2"/>
  <c r="F30" i="2"/>
  <c r="F31" i="2"/>
  <c r="F29" i="2"/>
  <c r="D30" i="2"/>
  <c r="D31" i="2"/>
  <c r="D29" i="2"/>
  <c r="C30" i="2"/>
  <c r="C31" i="2"/>
  <c r="C29" i="2"/>
  <c r="M19" i="2"/>
  <c r="M20" i="2"/>
  <c r="M21" i="2"/>
  <c r="M22" i="2"/>
  <c r="M23" i="2"/>
  <c r="M24" i="2"/>
  <c r="M25" i="2"/>
  <c r="M29" i="2"/>
  <c r="M30" i="2"/>
  <c r="M31" i="2"/>
  <c r="M36" i="2"/>
  <c r="M37" i="2"/>
  <c r="M38" i="2"/>
  <c r="M56" i="2"/>
  <c r="M57" i="2"/>
  <c r="M58" i="2"/>
  <c r="M63" i="2"/>
  <c r="M64" i="2"/>
  <c r="M65" i="2"/>
  <c r="M66" i="2"/>
  <c r="M67" i="2"/>
  <c r="M68" i="2"/>
  <c r="M69" i="2"/>
  <c r="M70" i="2"/>
  <c r="M71" i="2"/>
  <c r="M74" i="2"/>
  <c r="M75" i="2"/>
  <c r="M76" i="2"/>
  <c r="M81" i="2"/>
  <c r="D25" i="2"/>
  <c r="C20" i="2"/>
  <c r="C21" i="2"/>
  <c r="C22" i="2"/>
  <c r="C23" i="2"/>
  <c r="C24" i="2"/>
  <c r="C25" i="2"/>
  <c r="C19" i="2"/>
  <c r="M13" i="2"/>
  <c r="M12" i="2"/>
  <c r="M11" i="2"/>
  <c r="M10" i="2"/>
  <c r="M9" i="2"/>
  <c r="M8" i="2"/>
  <c r="F8" i="2"/>
  <c r="F9" i="2"/>
  <c r="F10" i="2"/>
  <c r="F11" i="2"/>
  <c r="F12" i="2"/>
  <c r="F13" i="2"/>
  <c r="F7" i="2"/>
  <c r="D8" i="2"/>
  <c r="D9" i="2"/>
  <c r="D10" i="2"/>
  <c r="D11" i="2"/>
  <c r="D7" i="2"/>
  <c r="C8" i="2"/>
  <c r="C9" i="2"/>
  <c r="C10" i="2"/>
  <c r="C11" i="2"/>
  <c r="C12" i="2"/>
  <c r="C13" i="2"/>
  <c r="C7" i="2"/>
  <c r="F3" i="2"/>
  <c r="F4" i="2"/>
  <c r="F2" i="2"/>
  <c r="D3" i="2"/>
  <c r="D4" i="2"/>
  <c r="D2" i="2"/>
  <c r="N105" i="2" l="1"/>
  <c r="P114" i="2"/>
  <c r="H114" i="2" s="1"/>
  <c r="M82" i="2"/>
  <c r="O114" i="2"/>
  <c r="E114" i="2"/>
  <c r="M83" i="2"/>
  <c r="N9" i="2"/>
  <c r="P9" i="2" s="1"/>
  <c r="N7" i="2"/>
  <c r="P7" i="2" s="1"/>
  <c r="N11" i="2"/>
  <c r="P11" i="2" s="1"/>
  <c r="N10" i="2"/>
  <c r="P10" i="2" s="1"/>
  <c r="N29" i="2"/>
  <c r="P29" i="2" s="1"/>
  <c r="N31" i="2"/>
  <c r="P31" i="2" s="1"/>
  <c r="N8" i="2"/>
  <c r="P8" i="2" s="1"/>
  <c r="N25" i="2"/>
  <c r="P25" i="2" s="1"/>
  <c r="N2" i="2"/>
  <c r="P2" i="2" s="1"/>
  <c r="N30" i="2"/>
  <c r="P30" i="2" s="1"/>
  <c r="N4" i="2"/>
  <c r="P4" i="2" s="1"/>
  <c r="N3" i="2"/>
  <c r="P3" i="2" s="1"/>
  <c r="AT103" i="1"/>
  <c r="AT102" i="1"/>
  <c r="AT91" i="1"/>
  <c r="AT87" i="1"/>
  <c r="AT86" i="1"/>
  <c r="AT85" i="1"/>
  <c r="AT81" i="1"/>
  <c r="AT80" i="1"/>
  <c r="AT79" i="1"/>
  <c r="AT78" i="1"/>
  <c r="AT77" i="1"/>
  <c r="AT75" i="1"/>
  <c r="AT74" i="1"/>
  <c r="AT73" i="1"/>
  <c r="AT72" i="1"/>
  <c r="AT68" i="1"/>
  <c r="AT63" i="1"/>
  <c r="AT62" i="1"/>
  <c r="AT61" i="1"/>
  <c r="AT40" i="1"/>
  <c r="AT51" i="1"/>
  <c r="AT52" i="1"/>
  <c r="AT53" i="1"/>
  <c r="AT54" i="1"/>
  <c r="AT55" i="1"/>
  <c r="AT56" i="1"/>
  <c r="AT57" i="1"/>
  <c r="AT50" i="1"/>
  <c r="AT41" i="1"/>
  <c r="AT39" i="1"/>
  <c r="AT33" i="1"/>
  <c r="AT32" i="1"/>
  <c r="AT31" i="1"/>
  <c r="AT30" i="1"/>
  <c r="AT29" i="1"/>
  <c r="AT21" i="1"/>
  <c r="AT22" i="1"/>
  <c r="AT23" i="1"/>
  <c r="A107" i="1"/>
  <c r="A108" i="1"/>
  <c r="A109" i="1"/>
  <c r="A5" i="1"/>
  <c r="A6" i="1"/>
  <c r="A12" i="1"/>
  <c r="A13" i="1"/>
  <c r="A3" i="1"/>
  <c r="AT14" i="1"/>
  <c r="AT11" i="1"/>
  <c r="AT8" i="1"/>
  <c r="AT7" i="1"/>
  <c r="AT4" i="1"/>
  <c r="O80" i="1"/>
  <c r="AU67" i="1" l="1"/>
  <c r="A67" i="1" s="1"/>
  <c r="AU66" i="1"/>
  <c r="A66" i="1" s="1"/>
  <c r="AU65" i="1"/>
  <c r="A65" i="1" s="1"/>
  <c r="AU42" i="1"/>
  <c r="A42" i="1" s="1"/>
  <c r="AU43" i="1"/>
  <c r="A43" i="1" s="1"/>
  <c r="AU44" i="1"/>
  <c r="A44" i="1" s="1"/>
  <c r="AU24" i="1"/>
  <c r="A24" i="1" s="1"/>
  <c r="AU64" i="1"/>
  <c r="A64" i="1" s="1"/>
  <c r="AU106" i="1"/>
  <c r="A106" i="1" s="1"/>
  <c r="S80" i="1"/>
  <c r="T80" i="1" s="1"/>
  <c r="V80" i="1"/>
  <c r="AU25" i="1"/>
  <c r="A25" i="1" s="1"/>
  <c r="D103" i="2"/>
  <c r="N103" i="2" s="1"/>
  <c r="P103" i="2" s="1"/>
  <c r="AU21" i="1"/>
  <c r="A21" i="1" s="1"/>
  <c r="P105" i="2"/>
  <c r="H105" i="2" s="1"/>
  <c r="N43" i="2"/>
  <c r="AU10" i="1"/>
  <c r="A10" i="1" s="1"/>
  <c r="AU9" i="1"/>
  <c r="A9" i="1" s="1"/>
  <c r="AU58" i="1"/>
  <c r="A58" i="1" s="1"/>
  <c r="AU59" i="1"/>
  <c r="A59" i="1" s="1"/>
  <c r="AU76" i="1"/>
  <c r="A76" i="1" s="1"/>
  <c r="AU45" i="1"/>
  <c r="A45" i="1" s="1"/>
  <c r="AU102" i="1"/>
  <c r="A102" i="1" s="1"/>
  <c r="AU103" i="1"/>
  <c r="A103" i="1" s="1"/>
  <c r="AU91" i="1"/>
  <c r="A91" i="1" s="1"/>
  <c r="AU85" i="1"/>
  <c r="A85" i="1" s="1"/>
  <c r="AU86" i="1"/>
  <c r="A86" i="1" s="1"/>
  <c r="AU79" i="1"/>
  <c r="A79" i="1" s="1"/>
  <c r="AU63" i="1"/>
  <c r="A63" i="1" s="1"/>
  <c r="AU87" i="1"/>
  <c r="A87" i="1" s="1"/>
  <c r="AU72" i="1"/>
  <c r="A72" i="1" s="1"/>
  <c r="AU68" i="1"/>
  <c r="A68" i="1" s="1"/>
  <c r="AU81" i="1"/>
  <c r="A81" i="1" s="1"/>
  <c r="AU73" i="1"/>
  <c r="A73" i="1" s="1"/>
  <c r="AU74" i="1"/>
  <c r="A74" i="1" s="1"/>
  <c r="AU75" i="1"/>
  <c r="A75" i="1" s="1"/>
  <c r="AU61" i="1"/>
  <c r="A61" i="1" s="1"/>
  <c r="AU77" i="1"/>
  <c r="A77" i="1" s="1"/>
  <c r="AU62" i="1"/>
  <c r="A62" i="1" s="1"/>
  <c r="AU78" i="1"/>
  <c r="A78" i="1" s="1"/>
  <c r="AU80" i="1"/>
  <c r="A80" i="1" s="1"/>
  <c r="AU50" i="1"/>
  <c r="A50" i="1" s="1"/>
  <c r="AU51" i="1"/>
  <c r="A51" i="1" s="1"/>
  <c r="AU55" i="1"/>
  <c r="A55" i="1" s="1"/>
  <c r="AU54" i="1"/>
  <c r="A54" i="1" s="1"/>
  <c r="AU53" i="1"/>
  <c r="A53" i="1" s="1"/>
  <c r="AU52" i="1"/>
  <c r="A52" i="1" s="1"/>
  <c r="AU57" i="1"/>
  <c r="A57" i="1" s="1"/>
  <c r="AU56" i="1"/>
  <c r="A56" i="1" s="1"/>
  <c r="AU41" i="1"/>
  <c r="A41" i="1" s="1"/>
  <c r="AU39" i="1"/>
  <c r="A39" i="1" s="1"/>
  <c r="AU40" i="1"/>
  <c r="A40" i="1" s="1"/>
  <c r="AU29" i="1"/>
  <c r="A29" i="1" s="1"/>
  <c r="AU30" i="1"/>
  <c r="A30" i="1" s="1"/>
  <c r="AU31" i="1"/>
  <c r="A31" i="1" s="1"/>
  <c r="AU32" i="1"/>
  <c r="A32" i="1" s="1"/>
  <c r="AU33" i="1"/>
  <c r="A33" i="1" s="1"/>
  <c r="A34" i="1"/>
  <c r="AU23" i="1"/>
  <c r="A23" i="1" s="1"/>
  <c r="AU22" i="1"/>
  <c r="A22" i="1" s="1"/>
  <c r="A35" i="1"/>
  <c r="A84" i="1"/>
  <c r="A99" i="1"/>
  <c r="A46" i="1"/>
  <c r="A26" i="1"/>
  <c r="A88" i="1"/>
  <c r="A90" i="1"/>
  <c r="A69" i="1"/>
  <c r="A98" i="1"/>
  <c r="A95" i="1"/>
  <c r="A94" i="1"/>
  <c r="A38" i="1"/>
  <c r="A15" i="1"/>
  <c r="A71" i="1"/>
  <c r="A48" i="1"/>
  <c r="A93" i="1"/>
  <c r="A101" i="1"/>
  <c r="A110" i="1"/>
  <c r="A100" i="1"/>
  <c r="A20" i="1"/>
  <c r="A18" i="1"/>
  <c r="A17" i="1"/>
  <c r="A82" i="1"/>
  <c r="A60" i="1"/>
  <c r="A36" i="1"/>
  <c r="A28" i="1"/>
  <c r="A16" i="1"/>
  <c r="A97" i="1"/>
  <c r="A104" i="1"/>
  <c r="A96" i="1"/>
  <c r="A49" i="1"/>
  <c r="P43" i="2" l="1"/>
  <c r="H43" i="2" s="1"/>
  <c r="E43" i="2"/>
  <c r="O43" i="2"/>
  <c r="C65" i="2"/>
  <c r="C66" i="2"/>
  <c r="C67" i="2"/>
  <c r="C68" i="2"/>
  <c r="C69" i="2"/>
  <c r="C64" i="2"/>
  <c r="F56" i="1"/>
  <c r="M7" i="2"/>
  <c r="M16" i="2"/>
  <c r="M15" i="2"/>
  <c r="M14" i="2"/>
  <c r="M4" i="2"/>
  <c r="M3" i="2"/>
  <c r="M2" i="2"/>
  <c r="U56" i="1" l="1"/>
  <c r="K56" i="1"/>
  <c r="D52" i="2"/>
  <c r="N52" i="2" s="1"/>
  <c r="P52" i="2" s="1"/>
  <c r="AU4" i="1"/>
  <c r="AU14" i="1"/>
  <c r="A14" i="1" s="1"/>
  <c r="AU7" i="1"/>
  <c r="A7" i="1" s="1"/>
  <c r="AU8" i="1"/>
  <c r="A8" i="1" s="1"/>
  <c r="AU11" i="1"/>
  <c r="A11" i="1" s="1"/>
  <c r="O56" i="1"/>
  <c r="S56" i="1" l="1"/>
  <c r="T56" i="1" s="1"/>
  <c r="V56" i="1"/>
  <c r="D70" i="2"/>
  <c r="N70" i="2" s="1"/>
  <c r="P70" i="2" s="1"/>
  <c r="A4" i="1"/>
  <c r="E1" i="1"/>
  <c r="B1" i="4" s="1"/>
  <c r="O79" i="1" l="1"/>
  <c r="S79" i="1" l="1"/>
  <c r="T79" i="1" s="1"/>
  <c r="V79" i="1"/>
  <c r="D102" i="2"/>
  <c r="N102" i="2" s="1"/>
  <c r="P102" i="2" s="1"/>
  <c r="O81" i="1"/>
  <c r="O75" i="1"/>
  <c r="K82" i="1"/>
  <c r="O39" i="1"/>
  <c r="O40" i="1"/>
  <c r="S81" i="1" l="1"/>
  <c r="T81" i="1" s="1"/>
  <c r="V81" i="1"/>
  <c r="S75" i="1"/>
  <c r="T75" i="1" s="1"/>
  <c r="V75" i="1"/>
  <c r="S40" i="1"/>
  <c r="T40" i="1" s="1"/>
  <c r="V40" i="1"/>
  <c r="S39" i="1"/>
  <c r="T39" i="1" s="1"/>
  <c r="V39" i="1"/>
  <c r="U46" i="1"/>
  <c r="D98" i="2"/>
  <c r="N98" i="2" s="1"/>
  <c r="P98" i="2" s="1"/>
  <c r="O46" i="1"/>
  <c r="G12" i="8" s="1"/>
  <c r="K46" i="1"/>
  <c r="D104" i="2"/>
  <c r="N104" i="2" s="1"/>
  <c r="P104" i="2" s="1"/>
  <c r="D37" i="2"/>
  <c r="N37" i="2" s="1"/>
  <c r="P37" i="2" s="1"/>
  <c r="D38" i="2"/>
  <c r="N38" i="2" s="1"/>
  <c r="P38" i="2" s="1"/>
  <c r="D36" i="2"/>
  <c r="O87" i="1"/>
  <c r="O86" i="1"/>
  <c r="O85" i="1"/>
  <c r="S87" i="1" l="1"/>
  <c r="T87" i="1" s="1"/>
  <c r="V87" i="1"/>
  <c r="S86" i="1"/>
  <c r="T86" i="1" s="1"/>
  <c r="V86" i="1"/>
  <c r="S85" i="1"/>
  <c r="T85" i="1" s="1"/>
  <c r="V85" i="1"/>
  <c r="S46" i="1"/>
  <c r="U88" i="1"/>
  <c r="N36" i="2"/>
  <c r="D44" i="2"/>
  <c r="V46" i="1"/>
  <c r="D12" i="8" s="1"/>
  <c r="T46" i="1"/>
  <c r="O88" i="1"/>
  <c r="G15" i="8" s="1"/>
  <c r="K88" i="1"/>
  <c r="D111" i="2"/>
  <c r="D112" i="2"/>
  <c r="N112" i="2" s="1"/>
  <c r="P112" i="2" s="1"/>
  <c r="D113" i="2"/>
  <c r="N113" i="2" s="1"/>
  <c r="P113" i="2" s="1"/>
  <c r="P36" i="2" l="1"/>
  <c r="P44" i="2" s="1"/>
  <c r="S88" i="1"/>
  <c r="N44" i="2"/>
  <c r="E44" i="2" s="1"/>
  <c r="N111" i="2"/>
  <c r="D115" i="2"/>
  <c r="T88" i="1"/>
  <c r="V88" i="1"/>
  <c r="D15" i="8" s="1"/>
  <c r="O68" i="1"/>
  <c r="O72" i="1"/>
  <c r="O73" i="1"/>
  <c r="O74" i="1"/>
  <c r="O77" i="1"/>
  <c r="O78" i="1"/>
  <c r="F5" i="4" l="1"/>
  <c r="E5" i="4" s="1"/>
  <c r="H44" i="2"/>
  <c r="P111" i="2"/>
  <c r="P115" i="2" s="1"/>
  <c r="S78" i="1"/>
  <c r="T78" i="1" s="1"/>
  <c r="V78" i="1"/>
  <c r="S77" i="1"/>
  <c r="T77" i="1" s="1"/>
  <c r="V77" i="1"/>
  <c r="S74" i="1"/>
  <c r="T74" i="1" s="1"/>
  <c r="V74" i="1"/>
  <c r="S73" i="1"/>
  <c r="T73" i="1" s="1"/>
  <c r="V73" i="1"/>
  <c r="S72" i="1"/>
  <c r="T72" i="1" s="1"/>
  <c r="V72" i="1"/>
  <c r="S68" i="1"/>
  <c r="T68" i="1" s="1"/>
  <c r="V68" i="1"/>
  <c r="N115" i="2"/>
  <c r="E115" i="2" s="1"/>
  <c r="O44" i="2"/>
  <c r="U82" i="1"/>
  <c r="D97" i="2"/>
  <c r="N97" i="2" s="1"/>
  <c r="P97" i="2" s="1"/>
  <c r="D101" i="2"/>
  <c r="N101" i="2" s="1"/>
  <c r="P101" i="2" s="1"/>
  <c r="D100" i="2"/>
  <c r="N100" i="2" s="1"/>
  <c r="P100" i="2" s="1"/>
  <c r="O82" i="1"/>
  <c r="G14" i="8" s="1"/>
  <c r="D95" i="2"/>
  <c r="D96" i="2"/>
  <c r="N96" i="2" s="1"/>
  <c r="P96" i="2" s="1"/>
  <c r="D81" i="2"/>
  <c r="N81" i="2" s="1"/>
  <c r="P81" i="2" s="1"/>
  <c r="O61" i="1"/>
  <c r="F51" i="1"/>
  <c r="F52" i="1"/>
  <c r="F53" i="1"/>
  <c r="F54" i="1"/>
  <c r="F55" i="1"/>
  <c r="F57" i="1"/>
  <c r="F50" i="1"/>
  <c r="F8" i="4" l="1"/>
  <c r="E8" i="4" s="1"/>
  <c r="H115" i="2"/>
  <c r="S61" i="1"/>
  <c r="T61" i="1" s="1"/>
  <c r="V61" i="1"/>
  <c r="K57" i="1"/>
  <c r="U52" i="1"/>
  <c r="K52" i="1"/>
  <c r="U51" i="1"/>
  <c r="K51" i="1"/>
  <c r="U50" i="1"/>
  <c r="K50" i="1"/>
  <c r="U55" i="1"/>
  <c r="K55" i="1"/>
  <c r="U54" i="1"/>
  <c r="K54" i="1"/>
  <c r="U53" i="1"/>
  <c r="K53" i="1"/>
  <c r="O115" i="2"/>
  <c r="D53" i="2"/>
  <c r="N53" i="2" s="1"/>
  <c r="P53" i="2" s="1"/>
  <c r="U57" i="1"/>
  <c r="S82" i="1"/>
  <c r="N95" i="2"/>
  <c r="D106" i="2"/>
  <c r="T82" i="1"/>
  <c r="V82" i="1"/>
  <c r="D14" i="8" s="1"/>
  <c r="O50" i="1"/>
  <c r="D46" i="2"/>
  <c r="N46" i="2" s="1"/>
  <c r="D51" i="2"/>
  <c r="N51" i="2" s="1"/>
  <c r="P51" i="2" s="1"/>
  <c r="D47" i="2"/>
  <c r="N47" i="2" s="1"/>
  <c r="P47" i="2" s="1"/>
  <c r="D74" i="2"/>
  <c r="D50" i="2"/>
  <c r="N50" i="2" s="1"/>
  <c r="P50" i="2" s="1"/>
  <c r="D49" i="2"/>
  <c r="N49" i="2" s="1"/>
  <c r="P49" i="2" s="1"/>
  <c r="D48" i="2"/>
  <c r="N48" i="2" s="1"/>
  <c r="P48" i="2" s="1"/>
  <c r="O57" i="1"/>
  <c r="O52" i="1"/>
  <c r="O51" i="1"/>
  <c r="O55" i="1"/>
  <c r="O53" i="1"/>
  <c r="O54" i="1"/>
  <c r="P46" i="2" l="1"/>
  <c r="N82" i="2"/>
  <c r="N106" i="2"/>
  <c r="E106" i="2" s="1"/>
  <c r="P95" i="2"/>
  <c r="P106" i="2" s="1"/>
  <c r="S57" i="1"/>
  <c r="T57" i="1" s="1"/>
  <c r="V57" i="1"/>
  <c r="S55" i="1"/>
  <c r="T55" i="1" s="1"/>
  <c r="V55" i="1"/>
  <c r="S54" i="1"/>
  <c r="T54" i="1" s="1"/>
  <c r="V54" i="1"/>
  <c r="S53" i="1"/>
  <c r="T53" i="1" s="1"/>
  <c r="V53" i="1"/>
  <c r="S52" i="1"/>
  <c r="T52" i="1" s="1"/>
  <c r="V52" i="1"/>
  <c r="S51" i="1"/>
  <c r="T51" i="1" s="1"/>
  <c r="V51" i="1"/>
  <c r="S50" i="1"/>
  <c r="T50" i="1" s="1"/>
  <c r="V50" i="1"/>
  <c r="N74" i="2"/>
  <c r="P74" i="2" s="1"/>
  <c r="D67" i="2"/>
  <c r="N67" i="2" s="1"/>
  <c r="P67" i="2" s="1"/>
  <c r="D66" i="2"/>
  <c r="N66" i="2" s="1"/>
  <c r="P66" i="2" s="1"/>
  <c r="O105" i="2"/>
  <c r="E105" i="2"/>
  <c r="D64" i="2"/>
  <c r="N64" i="2" s="1"/>
  <c r="P64" i="2" s="1"/>
  <c r="D69" i="2"/>
  <c r="N69" i="2" s="1"/>
  <c r="P69" i="2" s="1"/>
  <c r="D71" i="2"/>
  <c r="N71" i="2" s="1"/>
  <c r="P71" i="2" s="1"/>
  <c r="D68" i="2"/>
  <c r="N68" i="2" s="1"/>
  <c r="P68" i="2" s="1"/>
  <c r="D65" i="2"/>
  <c r="N65" i="2" s="1"/>
  <c r="P65" i="2" s="1"/>
  <c r="O106" i="2" l="1"/>
  <c r="H106" i="2"/>
  <c r="F7" i="4"/>
  <c r="E7" i="4" s="1"/>
  <c r="P82" i="2"/>
  <c r="H82" i="2" s="1"/>
  <c r="O82" i="2"/>
  <c r="E82" i="2"/>
  <c r="O62" i="1"/>
  <c r="O63" i="1"/>
  <c r="S63" i="1" l="1"/>
  <c r="T63" i="1" s="1"/>
  <c r="V63" i="1"/>
  <c r="S62" i="1"/>
  <c r="T62" i="1" s="1"/>
  <c r="V62" i="1"/>
  <c r="U69" i="1"/>
  <c r="O69" i="1"/>
  <c r="G13" i="8" s="1"/>
  <c r="D75" i="2"/>
  <c r="D76" i="2"/>
  <c r="N76" i="2" s="1"/>
  <c r="P76" i="2" s="1"/>
  <c r="S69" i="1" l="1"/>
  <c r="N75" i="2"/>
  <c r="P75" i="2" s="1"/>
  <c r="D83" i="2"/>
  <c r="V69" i="1"/>
  <c r="D13" i="8" s="1"/>
  <c r="T69" i="1"/>
  <c r="O21" i="1"/>
  <c r="U21" i="1"/>
  <c r="U26" i="1" s="1"/>
  <c r="O30" i="1"/>
  <c r="O31" i="1"/>
  <c r="O32" i="1"/>
  <c r="F34" i="1"/>
  <c r="O29" i="1"/>
  <c r="O33" i="1"/>
  <c r="O23" i="1"/>
  <c r="S33" i="1" l="1"/>
  <c r="T33" i="1" s="1"/>
  <c r="V33" i="1"/>
  <c r="S32" i="1"/>
  <c r="T32" i="1" s="1"/>
  <c r="V32" i="1"/>
  <c r="S31" i="1"/>
  <c r="T31" i="1" s="1"/>
  <c r="V31" i="1"/>
  <c r="S30" i="1"/>
  <c r="T30" i="1" s="1"/>
  <c r="V30" i="1"/>
  <c r="S29" i="1"/>
  <c r="T29" i="1" s="1"/>
  <c r="V29" i="1"/>
  <c r="S23" i="1"/>
  <c r="T23" i="1" s="1"/>
  <c r="V23" i="1"/>
  <c r="S21" i="1"/>
  <c r="T21" i="1" s="1"/>
  <c r="V21" i="1"/>
  <c r="N83" i="2"/>
  <c r="O83" i="2" s="1"/>
  <c r="U34" i="1"/>
  <c r="K34" i="1"/>
  <c r="P83" i="2"/>
  <c r="D15" i="2"/>
  <c r="N15" i="2" s="1"/>
  <c r="P15" i="2" s="1"/>
  <c r="D16" i="2"/>
  <c r="N16" i="2" s="1"/>
  <c r="P16" i="2" s="1"/>
  <c r="D14" i="2"/>
  <c r="D21" i="2"/>
  <c r="N21" i="2" s="1"/>
  <c r="P21" i="2" s="1"/>
  <c r="D23" i="2"/>
  <c r="N23" i="2" s="1"/>
  <c r="P23" i="2" s="1"/>
  <c r="D20" i="2"/>
  <c r="N20" i="2" s="1"/>
  <c r="P20" i="2" s="1"/>
  <c r="D19" i="2"/>
  <c r="D12" i="2"/>
  <c r="N12" i="2" s="1"/>
  <c r="P12" i="2" s="1"/>
  <c r="D22" i="2"/>
  <c r="N22" i="2" s="1"/>
  <c r="P22" i="2" s="1"/>
  <c r="O26" i="1"/>
  <c r="F35" i="1"/>
  <c r="O34" i="1"/>
  <c r="F6" i="4" l="1"/>
  <c r="E6" i="4" s="1"/>
  <c r="H83" i="2"/>
  <c r="S34" i="1"/>
  <c r="T34" i="1" s="1"/>
  <c r="V34" i="1"/>
  <c r="S26" i="1"/>
  <c r="T26" i="1"/>
  <c r="N14" i="2"/>
  <c r="P14" i="2" s="1"/>
  <c r="E83" i="2"/>
  <c r="V26" i="1"/>
  <c r="N19" i="2"/>
  <c r="P19" i="2" s="1"/>
  <c r="O36" i="1"/>
  <c r="G11" i="8" s="1"/>
  <c r="G17" i="8" s="1"/>
  <c r="H35" i="1"/>
  <c r="I35" i="1" s="1"/>
  <c r="E13" i="2" s="1"/>
  <c r="D13" i="2"/>
  <c r="D24" i="2"/>
  <c r="N24" i="2" s="1"/>
  <c r="P24" i="2" s="1"/>
  <c r="S36" i="1" l="1"/>
  <c r="K95" i="1" s="1"/>
  <c r="O95" i="1"/>
  <c r="H95" i="1" s="1"/>
  <c r="D27" i="2"/>
  <c r="N27" i="2"/>
  <c r="P27" i="2"/>
  <c r="K35" i="1"/>
  <c r="T35" i="1" s="1"/>
  <c r="T36" i="1" s="1"/>
  <c r="U35" i="1"/>
  <c r="U36" i="1" s="1"/>
  <c r="U95" i="1" s="1"/>
  <c r="V36" i="1"/>
  <c r="V95" i="1" s="1"/>
  <c r="N13" i="2"/>
  <c r="N26" i="2" l="1"/>
  <c r="E26" i="2" s="1"/>
  <c r="P13" i="2"/>
  <c r="H27" i="2"/>
  <c r="D11" i="8"/>
  <c r="D17" i="8" s="1"/>
  <c r="K36" i="1"/>
  <c r="K94" i="1" s="1"/>
  <c r="E27" i="2"/>
  <c r="K101" i="1"/>
  <c r="D118" i="2" s="1"/>
  <c r="P26" i="2" l="1"/>
  <c r="H26" i="2" s="1"/>
  <c r="O26" i="2"/>
  <c r="O27" i="2"/>
  <c r="O96" i="1"/>
  <c r="D119" i="2" s="1"/>
  <c r="N118" i="2"/>
  <c r="V97" i="1"/>
  <c r="N120" i="2" l="1"/>
  <c r="E120" i="2" s="1"/>
  <c r="P118" i="2"/>
  <c r="F4" i="4"/>
  <c r="E4" i="4" s="1"/>
  <c r="N119" i="2"/>
  <c r="D121" i="2"/>
  <c r="V98" i="1"/>
  <c r="O97" i="1"/>
  <c r="F110" i="1"/>
  <c r="O120" i="2" l="1"/>
  <c r="N121" i="2"/>
  <c r="O121" i="2" s="1"/>
  <c r="P119" i="2"/>
  <c r="P121" i="2" s="1"/>
  <c r="K96" i="1"/>
  <c r="K97" i="1" s="1"/>
  <c r="K110" i="1"/>
  <c r="H110" i="1"/>
  <c r="P120" i="2"/>
  <c r="H120" i="2" s="1"/>
  <c r="U102" i="1" l="1"/>
  <c r="U103" i="1" s="1"/>
  <c r="U104" i="1" s="1"/>
  <c r="F9" i="4"/>
  <c r="E9" i="4" s="1"/>
  <c r="E11" i="4" s="1"/>
  <c r="E12" i="4" s="1"/>
  <c r="K98" i="1"/>
  <c r="K99" i="1" s="1"/>
  <c r="F11" i="4" l="1"/>
  <c r="F12" i="4" s="1"/>
  <c r="F13" i="4" s="1"/>
  <c r="F16" i="4" s="1"/>
  <c r="F15" i="4" s="1"/>
  <c r="E13" i="4"/>
  <c r="E16" i="4" s="1"/>
  <c r="E15"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H24" authorId="0" shapeId="0" xr:uid="{BE030018-FB0C-4A7D-9315-6B03C2DF01B3}">
      <text>
        <r>
          <rPr>
            <b/>
            <sz val="9"/>
            <color indexed="81"/>
            <rFont val="Tahoma"/>
            <family val="2"/>
          </rPr>
          <t>Wayne Neesam:</t>
        </r>
        <r>
          <rPr>
            <sz val="9"/>
            <color indexed="81"/>
            <rFont val="Tahoma"/>
            <family val="2"/>
          </rPr>
          <t xml:space="preserve">
approx 2 bags per m2</t>
        </r>
      </text>
    </comment>
    <comment ref="H40" authorId="0" shapeId="0" xr:uid="{F2CFDDB7-4474-4E60-8B91-F5F85A221AED}">
      <text>
        <r>
          <rPr>
            <b/>
            <sz val="9"/>
            <color indexed="81"/>
            <rFont val="Tahoma"/>
            <family val="2"/>
          </rPr>
          <t>Wayne Neesam:</t>
        </r>
        <r>
          <rPr>
            <sz val="9"/>
            <color indexed="81"/>
            <rFont val="Tahoma"/>
            <family val="2"/>
          </rPr>
          <t xml:space="preserve">
Added on 30% wastage for the boards rather than standard 10%</t>
        </r>
      </text>
    </comment>
    <comment ref="H41" authorId="0" shapeId="0" xr:uid="{D459E37E-6921-4F1F-9D46-A5EA86DB5F88}">
      <text>
        <r>
          <rPr>
            <b/>
            <sz val="9"/>
            <color indexed="81"/>
            <rFont val="Tahoma"/>
            <family val="2"/>
          </rPr>
          <t>Wayne Neesam:</t>
        </r>
        <r>
          <rPr>
            <sz val="9"/>
            <color indexed="81"/>
            <rFont val="Tahoma"/>
            <family val="2"/>
          </rPr>
          <t xml:space="preserve">
Price is dynamic based upon full 25kg bag which cover 10m2 which is what the contractors purchase.</t>
        </r>
      </text>
    </comment>
    <comment ref="N42" authorId="0" shapeId="0" xr:uid="{C88787EA-78EB-477F-B157-FFF9236C2A56}">
      <text>
        <r>
          <rPr>
            <b/>
            <sz val="9"/>
            <color indexed="81"/>
            <rFont val="Tahoma"/>
            <family val="2"/>
          </rPr>
          <t>Wayne Neesam:</t>
        </r>
        <r>
          <rPr>
            <sz val="9"/>
            <color indexed="81"/>
            <rFont val="Tahoma"/>
            <family val="2"/>
          </rPr>
          <t xml:space="preserve">
Built into the hours for skimming</t>
        </r>
      </text>
    </comment>
    <comment ref="N43" authorId="0" shapeId="0" xr:uid="{9ED94738-21C9-4882-8C83-902D32577AC9}">
      <text>
        <r>
          <rPr>
            <b/>
            <sz val="9"/>
            <color indexed="81"/>
            <rFont val="Tahoma"/>
            <family val="2"/>
          </rPr>
          <t>Wayne Neesam:</t>
        </r>
        <r>
          <rPr>
            <sz val="9"/>
            <color indexed="81"/>
            <rFont val="Tahoma"/>
            <family val="2"/>
          </rPr>
          <t xml:space="preserve">
Built into the hours for skimming</t>
        </r>
      </text>
    </comment>
    <comment ref="N44" authorId="0" shapeId="0" xr:uid="{25E1B778-4B19-406C-8DFE-4ABB28189F0C}">
      <text>
        <r>
          <rPr>
            <b/>
            <sz val="9"/>
            <color indexed="81"/>
            <rFont val="Tahoma"/>
            <family val="2"/>
          </rPr>
          <t>Wayne Neesam:</t>
        </r>
        <r>
          <rPr>
            <sz val="9"/>
            <color indexed="81"/>
            <rFont val="Tahoma"/>
            <family val="2"/>
          </rPr>
          <t xml:space="preserve">
Built into the hours for skimming</t>
        </r>
      </text>
    </comment>
  </commentList>
</comments>
</file>

<file path=xl/sharedStrings.xml><?xml version="1.0" encoding="utf-8"?>
<sst xmlns="http://schemas.openxmlformats.org/spreadsheetml/2006/main" count="1820" uniqueCount="400">
  <si>
    <t>Materials</t>
  </si>
  <si>
    <t>Mats Tot</t>
  </si>
  <si>
    <t>Hours</t>
  </si>
  <si>
    <t>Strip out</t>
  </si>
  <si>
    <t>Removal of stud walls etc (Bag &amp; cart away)</t>
  </si>
  <si>
    <t>Preparatory work</t>
  </si>
  <si>
    <t>Plastering/finishing</t>
  </si>
  <si>
    <t>Construct stud wall to perimiter</t>
  </si>
  <si>
    <t>Skimming walls (multi finish plaster)</t>
  </si>
  <si>
    <t>Labour hours sub total</t>
  </si>
  <si>
    <t>Rubbish removal skips</t>
  </si>
  <si>
    <t>Materials sub tot</t>
  </si>
  <si>
    <t>Labour sub tot</t>
  </si>
  <si>
    <t xml:space="preserve"> Price</t>
  </si>
  <si>
    <t>Vat</t>
  </si>
  <si>
    <t>Area/No.</t>
  </si>
  <si>
    <t>M/U</t>
  </si>
  <si>
    <t>LMU</t>
  </si>
  <si>
    <t>Plasterboarding (inc dab/screws)</t>
  </si>
  <si>
    <t>Total price inc vat</t>
  </si>
  <si>
    <t>Skip hire 8yd</t>
  </si>
  <si>
    <t>Travel</t>
  </si>
  <si>
    <t>No of days</t>
  </si>
  <si>
    <t xml:space="preserve">Bag up debris &amp; cart outside </t>
  </si>
  <si>
    <t>Disposal via licensed transfer agent</t>
  </si>
  <si>
    <t>Tot</t>
  </si>
  <si>
    <t>Scrape back/clear sub floors</t>
  </si>
  <si>
    <t>Strip out existing timber floor (GF)</t>
  </si>
  <si>
    <t>Remove socket fronts and isolate</t>
  </si>
  <si>
    <t>Remove plaster/render (Walls)</t>
  </si>
  <si>
    <t>TT Totals</t>
  </si>
  <si>
    <t>Total hours</t>
  </si>
  <si>
    <t>Skirting board removal &amp; set aside</t>
  </si>
  <si>
    <t>mens travel</t>
  </si>
  <si>
    <t>Total</t>
  </si>
  <si>
    <t>Approx Travel cost</t>
  </si>
  <si>
    <t>No of men travelling</t>
  </si>
  <si>
    <t>Length</t>
  </si>
  <si>
    <t>Wall plate 100x25</t>
  </si>
  <si>
    <t>Install Weyrock flooring 18mm (M2)</t>
  </si>
  <si>
    <t>Install Weyrock flooring 22mm (M2)</t>
  </si>
  <si>
    <t>Install std T&amp;G Floorboards (M2)</t>
  </si>
  <si>
    <t>Install victorian T&amp;G Floorboards (M2)</t>
  </si>
  <si>
    <t>Floor Joists LM @ 400mm centres</t>
  </si>
  <si>
    <t>Joists Size</t>
  </si>
  <si>
    <t>Flooring deck type (M2)</t>
  </si>
  <si>
    <t>Contractor Totals</t>
  </si>
  <si>
    <t>Vehicle cost</t>
  </si>
  <si>
    <t>Survey sheet end</t>
  </si>
  <si>
    <t xml:space="preserve">Quantity </t>
  </si>
  <si>
    <t>Clear debris from sub floor</t>
  </si>
  <si>
    <t xml:space="preserve">Timber treatments </t>
  </si>
  <si>
    <t>40.1 Gel injection @100mm centres, plug with dowel</t>
  </si>
  <si>
    <t>Clean out airbrick/fit new face</t>
  </si>
  <si>
    <t>Install additional  airbrick</t>
  </si>
  <si>
    <t>Airbricks</t>
  </si>
  <si>
    <t>Plaster &amp; lath removal )&amp; de-nail  (Ceilings)</t>
  </si>
  <si>
    <t>Joists/Timbers, 125 x 50</t>
  </si>
  <si>
    <t>Joists/Timbers, 100 x 50</t>
  </si>
  <si>
    <t>Joists/Timbers, 150 x 50</t>
  </si>
  <si>
    <t>Joists/Timbers, 175 x 50</t>
  </si>
  <si>
    <t>Joists/Timbers, 200 x 50</t>
  </si>
  <si>
    <t>Joists/Timbers, 225 x 50</t>
  </si>
  <si>
    <t>Fogging floor area</t>
  </si>
  <si>
    <t>Lifting loft insulation</t>
  </si>
  <si>
    <t>Relaying loft insulation</t>
  </si>
  <si>
    <t>Protective treatment to new timbers installation</t>
  </si>
  <si>
    <t>Distance in miles from office to job (one way)</t>
  </si>
  <si>
    <t>Men, Hours travel</t>
  </si>
  <si>
    <t>Section</t>
  </si>
  <si>
    <t>Item Name</t>
  </si>
  <si>
    <t>Quantity</t>
  </si>
  <si>
    <t>Unit Cost</t>
  </si>
  <si>
    <t>Unit</t>
  </si>
  <si>
    <t>Cost Code</t>
  </si>
  <si>
    <t>Markup</t>
  </si>
  <si>
    <t>Markup Type</t>
  </si>
  <si>
    <t>Item Type</t>
  </si>
  <si>
    <t>Is Taxable</t>
  </si>
  <si>
    <t>Is Optional</t>
  </si>
  <si>
    <t>Assigned To</t>
  </si>
  <si>
    <t>%</t>
  </si>
  <si>
    <t>MTL</t>
  </si>
  <si>
    <t>Yes</t>
  </si>
  <si>
    <t>No</t>
  </si>
  <si>
    <t>LBR</t>
  </si>
  <si>
    <t>M2</t>
  </si>
  <si>
    <t>Each</t>
  </si>
  <si>
    <t>Waste Removal</t>
  </si>
  <si>
    <t>Other</t>
  </si>
  <si>
    <t>Travel Costs</t>
  </si>
  <si>
    <t>Miles</t>
  </si>
  <si>
    <t>Data Lists For Contractor Foreman</t>
  </si>
  <si>
    <t>These are used to differentiate between the types of items and used for the labor calculations.</t>
  </si>
  <si>
    <t>Contractor Foreman Item Types</t>
  </si>
  <si>
    <t>Item</t>
  </si>
  <si>
    <t>Comments</t>
  </si>
  <si>
    <t>EQUIP</t>
  </si>
  <si>
    <t>Equipment Items</t>
  </si>
  <si>
    <t>Labor items</t>
  </si>
  <si>
    <t>Material Items</t>
  </si>
  <si>
    <t>Other Items</t>
  </si>
  <si>
    <t>SUB</t>
  </si>
  <si>
    <t>Subcontractors</t>
  </si>
  <si>
    <t>This is used to 'Group' items in a logical order on the estimate.</t>
  </si>
  <si>
    <t>Sections</t>
  </si>
  <si>
    <t>n/a</t>
  </si>
  <si>
    <t>This is used in the projects to determine costs by the 'Cost Code' category (lets you see which areas you are over or under budget on).</t>
  </si>
  <si>
    <t>Cost Codes</t>
  </si>
  <si>
    <t>This is used to on the items for costing reference</t>
  </si>
  <si>
    <t>Unit of measures</t>
  </si>
  <si>
    <t>M3</t>
  </si>
  <si>
    <t>LM</t>
  </si>
  <si>
    <t>Bags</t>
  </si>
  <si>
    <t>Pairs</t>
  </si>
  <si>
    <t>Woodworm Equipment</t>
  </si>
  <si>
    <t>Woodworm Labour</t>
  </si>
  <si>
    <t>Woodworm Materials</t>
  </si>
  <si>
    <t>Woodworm Other</t>
  </si>
  <si>
    <t>Woodworm Sub Contractors</t>
  </si>
  <si>
    <t>Timber Treatments</t>
  </si>
  <si>
    <t>UOM</t>
  </si>
  <si>
    <t>Treat and endwrap joist</t>
  </si>
  <si>
    <t>Fogging staircase - open rear treads Per step</t>
  </si>
  <si>
    <t>Fogging staircase - rear closed, drill and plug per step</t>
  </si>
  <si>
    <t>Fogging loft area (calculated from floor area of loft)</t>
  </si>
  <si>
    <t xml:space="preserve">Base Labour Hourly rate </t>
  </si>
  <si>
    <t>Sheet Validation</t>
  </si>
  <si>
    <t>Sheet Validation to right</t>
  </si>
  <si>
    <t>Check if any data is entered</t>
  </si>
  <si>
    <t>Check if field needs to be completed</t>
  </si>
  <si>
    <t>Enquiry Details</t>
  </si>
  <si>
    <t>Enquiry number</t>
  </si>
  <si>
    <t>Site Details</t>
  </si>
  <si>
    <t>Survey Carried Out By</t>
  </si>
  <si>
    <t>Surveyor</t>
  </si>
  <si>
    <t>WOODWORM SHEET</t>
  </si>
  <si>
    <t>Floor Joists &amp; Floor Decking</t>
  </si>
  <si>
    <t>CSV Import File Name Creator</t>
  </si>
  <si>
    <t>CSV File Name</t>
  </si>
  <si>
    <t>Current Date</t>
  </si>
  <si>
    <t>Full File Name</t>
  </si>
  <si>
    <t>CF-Woodworm-</t>
  </si>
  <si>
    <t>Difficulty hours (fireplace, corners etc)</t>
  </si>
  <si>
    <t>Fogging boarded area</t>
  </si>
  <si>
    <t>Bower beams (pair)</t>
  </si>
  <si>
    <t>Flitch plates (pair)</t>
  </si>
  <si>
    <t>CF IGNORE - LINE VALUE</t>
  </si>
  <si>
    <t>CF IGNORE - Zero value Section Validation</t>
  </si>
  <si>
    <t>Customer Pricing Summary</t>
  </si>
  <si>
    <t>#</t>
  </si>
  <si>
    <t>Area of Works</t>
  </si>
  <si>
    <t>Totals</t>
  </si>
  <si>
    <t>Sub Total</t>
  </si>
  <si>
    <t>Vat at 20%</t>
  </si>
  <si>
    <t>Start of works deposit at 30%</t>
  </si>
  <si>
    <t>CF IGNORE - LINE VALUE FOR CUSTOMER SUMMARY</t>
  </si>
  <si>
    <t>For Office Only</t>
  </si>
  <si>
    <t xml:space="preserve">Tax: VAT (20%)	</t>
  </si>
  <si>
    <t>CF IGNORE - INCLUDE PRICE IN CUSTOMER SUMMARY</t>
  </si>
  <si>
    <t>DELETE</t>
  </si>
  <si>
    <t>Stripping out - Materials</t>
  </si>
  <si>
    <t>EACH</t>
  </si>
  <si>
    <t>Stripping out - Labour</t>
  </si>
  <si>
    <t>Plastering/finishing  - Materials</t>
  </si>
  <si>
    <t>Plastering/finishing  - Labour</t>
  </si>
  <si>
    <t>Floor Joists &amp; Floor Decking  - Materials</t>
  </si>
  <si>
    <t>Floor Joists &amp; Floor Decking  - Labour</t>
  </si>
  <si>
    <t>Timber Treatments  - Materials</t>
  </si>
  <si>
    <t>Timber Treatments  - Labour</t>
  </si>
  <si>
    <t>Airbricks/Spray treatments  - Materials</t>
  </si>
  <si>
    <t>Airbricks/Spray treatments  - Labour</t>
  </si>
  <si>
    <t>Report</t>
  </si>
  <si>
    <t>Reported Problem</t>
  </si>
  <si>
    <t>We must draw to your attention to the scope of our inspection. The inspection was solely to identify evidence of problems which were within those areas pointed out to us at the time of our visit which are listed above. Any areas not specifically referred to in this report have not been included and are not covered by the report or estimate.</t>
  </si>
  <si>
    <t>Inspection</t>
  </si>
  <si>
    <r>
      <t>Our inspection confirmed an active infestation of common furniture beetle (</t>
    </r>
    <r>
      <rPr>
        <i/>
        <sz val="11"/>
        <color theme="1"/>
        <rFont val="Arial"/>
        <family val="2"/>
      </rPr>
      <t>anobium punctatum - picture below</t>
    </r>
    <r>
      <rPr>
        <i/>
        <sz val="11"/>
        <rFont val="Arial"/>
        <family val="2"/>
      </rPr>
      <t>).</t>
    </r>
  </si>
  <si>
    <t>Common furniture beetle                        (anobium punctatum)</t>
  </si>
  <si>
    <t>Carry out treatment for woodboring insects using  our environmentally friendly (water based with no solvents or propellants) micro biocidal fluid fogging system.</t>
  </si>
  <si>
    <t>Roof void</t>
  </si>
  <si>
    <t>Treat all roof timbers and ceiling studs to the loft area.</t>
  </si>
  <si>
    <t xml:space="preserve">Treatment </t>
  </si>
  <si>
    <t>We will apply new generation, Microtec woodworm treatment chemicals using our specialist Electronic aerosol micro spray system. This system allows the work to be carried out with minimum disruption. Treatment by electro-aerosol allows the chemical to permeate all connected voids with extremely high surface coverage even to remote areas.</t>
  </si>
  <si>
    <t xml:space="preserve">     Protective clothing</t>
  </si>
  <si>
    <t xml:space="preserve"> Electro-aerosol applicator</t>
  </si>
  <si>
    <t>Atomised micro-spray fogging</t>
  </si>
  <si>
    <t>Insulation</t>
  </si>
  <si>
    <t>Loft Insulation (where possible) will be lifted to one side of the roof void area to expose timbers below, that area will be treated. The insulation will then be transferred to the treated side, the newly exposed area will then be treated, following which the insulation will be re-distributed as evenly as possible.</t>
  </si>
  <si>
    <t>Exclusion Zone</t>
  </si>
  <si>
    <t>There will be no permitted entry to the areas of treatment, during the treatment and for 1 hour after completion of treatment works. Exclusion will be to the whole of all rooms treated and if communal areas such as halls, landings are treated we advise vacating the whole property. This applies to humans and all animals/pets.</t>
  </si>
  <si>
    <t>Fish tanks should be covered and sealed for the same duration. We advise that fish are removed and kept away from the area and that the tank water is changed prior to return of the fish.</t>
  </si>
  <si>
    <t>General</t>
  </si>
  <si>
    <t>Ancillary Items</t>
  </si>
  <si>
    <t>No allowance has been made in our estimate for the removal or replacement of floor coverings, furnishings, furniture, roof void stored contents and any other items that may obstruct our work. Whilst we will be happy to roll back and loosely relay carpets, you should arrange for rooms to be cleared of anything delicate or of value, prior to our arrival on site. Unless otherwise agreed in writing, any time spent clearing areas to enable work to proceed will be charged for at our standard hourly day rates and added to your final account.</t>
  </si>
  <si>
    <t>Extent of Survey</t>
  </si>
  <si>
    <t>The areas we have reported upon are those inspected in accordance with your instructions. If there are any omissions or if you believe that we have misinterpreted your survey instruction, please let us know at once. Where treatment has been recommended, unless otherwise stated above, this is on the understanding that the specified area has not previously been treated and guaranteed.</t>
  </si>
  <si>
    <t xml:space="preserve">You should be aware that we have reported upon problems evident to us at the time of our inspection. We are not commenting in any general sense on the risks of dampness, fungal decay or any other defect not evident at the time of inspection, or that may develop in the future. </t>
  </si>
  <si>
    <t>Payment</t>
  </si>
  <si>
    <t xml:space="preserve">Steven Robinson </t>
  </si>
  <si>
    <t>Steve Robinson A.Inst.SSE</t>
  </si>
  <si>
    <t>Remedial Consultant</t>
  </si>
  <si>
    <t>Graeme Hazel</t>
  </si>
  <si>
    <t xml:space="preserve">Mike Davison </t>
  </si>
  <si>
    <t>Mike Davison CSSW, M.Inst.SSE</t>
  </si>
  <si>
    <t>Technical Director</t>
  </si>
  <si>
    <t>Woodworm suspected  to:</t>
  </si>
  <si>
    <t>The Scope</t>
  </si>
  <si>
    <t>Always show</t>
  </si>
  <si>
    <t>Report produced under the guidance of Tyne Tees Damp Proofing Ltd by:</t>
  </si>
  <si>
    <t>Visibility</t>
  </si>
  <si>
    <t>Always Hide</t>
  </si>
  <si>
    <t>Show dependant on Surveyor</t>
  </si>
  <si>
    <t>Always Show</t>
  </si>
  <si>
    <t>No further treatment is necessary.</t>
  </si>
  <si>
    <t>Our inspection confirmed an historic attack of common furniture beetle (anobium punctatum).</t>
  </si>
  <si>
    <t>Our surveyor did not identify any damage related to wood boring insects.</t>
  </si>
  <si>
    <t>Show if active infestation</t>
  </si>
  <si>
    <t>Ground floor rooms:</t>
  </si>
  <si>
    <t>An initial payment of 30% of the contract value will be payable in advance, this will give us confidence to order job specific materials, and to book the time for your project into our technicians schedules. The balance should always be paid in full within 7 days of completion.</t>
  </si>
  <si>
    <t>Determined by surveyor</t>
  </si>
  <si>
    <t>Proposal</t>
  </si>
  <si>
    <t>First floor rooms:</t>
  </si>
  <si>
    <t>Loft area/Attic rooms:</t>
  </si>
  <si>
    <t>Other reason (state below):</t>
  </si>
  <si>
    <t>Replace structurally compromised timbers to:</t>
  </si>
  <si>
    <t>Replace the loft insulation quilt.</t>
  </si>
  <si>
    <t>Carry out treatment for the eradication of woodworm infestation.</t>
  </si>
  <si>
    <t>Remove loft insulation and set aside to permit access to the roof base timbers.</t>
  </si>
  <si>
    <t>← please specify here</t>
  </si>
  <si>
    <t>Other rooms:</t>
  </si>
  <si>
    <t>Create discrete openings as required to facilitate treatment.</t>
  </si>
  <si>
    <t>It was not possible to inspect all timbers at the time of our visit. Some areas were inaccessible because of:</t>
  </si>
  <si>
    <t>Laminate/Wood overlay.</t>
  </si>
  <si>
    <t>Tacked or specialist carpet.</t>
  </si>
  <si>
    <t>Sealed natural floor.</t>
  </si>
  <si>
    <t>The infestation was noted to the following areas:</t>
  </si>
  <si>
    <t>PDF Report Name</t>
  </si>
  <si>
    <t>← Enter visibility</t>
  </si>
  <si>
    <t>Comments for Surveyors</t>
  </si>
  <si>
    <t>This line will NOT show on the report</t>
  </si>
  <si>
    <t>← Enter visibility &amp; room details here</t>
  </si>
  <si>
    <t>•</t>
  </si>
  <si>
    <t>Create access points to facilitate treatment of the staircase.</t>
  </si>
  <si>
    <t>Will always show</t>
  </si>
  <si>
    <t>Will always show (pre-populated)</t>
  </si>
  <si>
    <t>Will show if any of the 'proposed treatment' lines are marked as visible</t>
  </si>
  <si>
    <t>Will show if any of the 'Roof Void' title is marked as visible</t>
  </si>
  <si>
    <t>Use the alt key and the mouse to 'snap' the image to the top and bottom of the cell for alignment.</t>
  </si>
  <si>
    <t>↓ Image Section 1 ↓</t>
  </si>
  <si>
    <t>Hide</t>
  </si>
  <si>
    <t>← Enter Image Visibility</t>
  </si>
  <si>
    <t>← Add Images</t>
  </si>
  <si>
    <t>← Enter Images Descriptions</t>
  </si>
  <si>
    <t>↑ Image Section 1 ↑</t>
  </si>
  <si>
    <t>↓ Image Section 2 ↓</t>
  </si>
  <si>
    <t>↑ Image Section 2↑</t>
  </si>
  <si>
    <t>↓ Image Section 3 ↓</t>
  </si>
  <si>
    <t>↑ Image Section 3↑</t>
  </si>
  <si>
    <t>Will show if 'historic' or 'active' infestation</t>
  </si>
  <si>
    <t>Optional Item?</t>
  </si>
  <si>
    <r>
      <t xml:space="preserve">Price 
</t>
    </r>
    <r>
      <rPr>
        <b/>
        <sz val="8"/>
        <color rgb="FFFF0000"/>
        <rFont val="Calibri"/>
        <family val="2"/>
      </rPr>
      <t>(With Optional Items)</t>
    </r>
  </si>
  <si>
    <r>
      <t xml:space="preserve">Price 
</t>
    </r>
    <r>
      <rPr>
        <b/>
        <sz val="9"/>
        <rFont val="Calibri"/>
        <family val="2"/>
      </rPr>
      <t>(Without Optional items)</t>
    </r>
  </si>
  <si>
    <t>https://support.microsoft.com/en-gb/office/insert-move-or-delete-page-breaks-in-a-worksheet-ad3dc726-beec-4a4c-861f-ed640612bdc2</t>
  </si>
  <si>
    <t>Notes for office</t>
  </si>
  <si>
    <t>To understand page breaks the link below will be of assistance:</t>
  </si>
  <si>
    <t>Page Breaks:</t>
  </si>
  <si>
    <t>Image Best Practices:</t>
  </si>
  <si>
    <t>• Use the 'Alt' key to align an image to the bottom of the cell.</t>
  </si>
  <si>
    <t>• Try to keep images the same height especially if on the same row and ensure you use the 'alt' key to align the image to the bottom of the cell.</t>
  </si>
  <si>
    <t>• Try and keep the images a fraction smaller than the cell height to prevent overspill if the image cell falls on a page break.</t>
  </si>
  <si>
    <t>• Try and keep the images centrally above their descriptions.</t>
  </si>
  <si>
    <t>Client Name And Site Details</t>
  </si>
  <si>
    <t>Internal Reference ID:</t>
  </si>
  <si>
    <t>• To format an image right click on it to set the height and/or crop ( a good starting height is 6cm).</t>
  </si>
  <si>
    <t xml:space="preserve">Our findings and proposals are set out below and should be read in conjunction with the enclosed document 'General Notes for clients and Health and Safety precautions'. </t>
  </si>
  <si>
    <t xml:space="preserve">Office tasks when submitting an estimate </t>
  </si>
  <si>
    <t>You need to attach the following items to the estimate:</t>
  </si>
  <si>
    <r>
      <t xml:space="preserve">• </t>
    </r>
    <r>
      <rPr>
        <b/>
        <sz val="11"/>
        <color theme="1"/>
        <rFont val="Arial"/>
        <family val="2"/>
      </rPr>
      <t>The Survey Inspection Report</t>
    </r>
    <r>
      <rPr>
        <sz val="11"/>
        <color theme="1"/>
        <rFont val="Arial"/>
        <family val="2"/>
      </rPr>
      <t xml:space="preserve"> (generated from the Report tab in this document).</t>
    </r>
  </si>
  <si>
    <r>
      <t xml:space="preserve">• </t>
    </r>
    <r>
      <rPr>
        <b/>
        <sz val="11"/>
        <color theme="1"/>
        <rFont val="Arial"/>
        <family val="2"/>
      </rPr>
      <t>Our Terms and Conditions</t>
    </r>
    <r>
      <rPr>
        <sz val="11"/>
        <color theme="1"/>
        <rFont val="Arial"/>
        <family val="2"/>
      </rPr>
      <t xml:space="preserve"> (latest version always found in the folder '1.Current Documentation'). </t>
    </r>
  </si>
  <si>
    <r>
      <t xml:space="preserve">• </t>
    </r>
    <r>
      <rPr>
        <b/>
        <sz val="11"/>
        <color theme="1"/>
        <rFont val="Arial"/>
        <family val="2"/>
      </rPr>
      <t>General Notes for clients and Health and Safety precautions</t>
    </r>
    <r>
      <rPr>
        <sz val="11"/>
        <color theme="1"/>
        <rFont val="Arial"/>
        <family val="2"/>
      </rPr>
      <t xml:space="preserve"> (latest version always found in the folder '1.Current Documentation'). </t>
    </r>
  </si>
  <si>
    <t>Date of Inspection:</t>
  </si>
  <si>
    <t>← Enter date</t>
  </si>
  <si>
    <t xml:space="preserve">If the reported defect above, which pulls through from the master document, is no longer appropriate you can overwrite it by inputting a new one below otherwise leave it blank.  </t>
  </si>
  <si>
    <t>Plastering &amp; finishing</t>
  </si>
  <si>
    <t>Weather Conditions</t>
  </si>
  <si>
    <t>← Enter Data Here</t>
  </si>
  <si>
    <t xml:space="preserve">The weather conditions were: </t>
  </si>
  <si>
    <t xml:space="preserve">The weather temperature was: </t>
  </si>
  <si>
    <t>(°C).</t>
  </si>
  <si>
    <t>The Property</t>
  </si>
  <si>
    <t>The property is a:</t>
  </si>
  <si>
    <t>The property is constructed of :</t>
  </si>
  <si>
    <t>The property was built approximately :</t>
  </si>
  <si>
    <t>We would propose for the following works to be carried out:</t>
  </si>
  <si>
    <t>Show</t>
  </si>
  <si>
    <t>Front Elevation</t>
  </si>
  <si>
    <t>Rear Elevation</t>
  </si>
  <si>
    <t>Lift/upgrade existing airbrick/fit new face</t>
  </si>
  <si>
    <t>Labour</t>
  </si>
  <si>
    <t>Hour Mult</t>
  </si>
  <si>
    <t>Total Hours</t>
  </si>
  <si>
    <t>Lab Total</t>
  </si>
  <si>
    <t>Line total</t>
  </si>
  <si>
    <t>Contractor Materials</t>
  </si>
  <si>
    <t>Contractor hours pay</t>
  </si>
  <si>
    <r>
      <rPr>
        <b/>
        <sz val="10"/>
        <rFont val="Arial Narrow"/>
        <family val="2"/>
      </rPr>
      <t xml:space="preserve">The value of the csv import on upload should match the figures to the right </t>
    </r>
    <r>
      <rPr>
        <sz val="10"/>
        <rFont val="Arial Narrow"/>
        <family val="2"/>
      </rPr>
      <t xml:space="preserve">
</t>
    </r>
    <r>
      <rPr>
        <sz val="9"/>
        <rFont val="Arial Narrow"/>
        <family val="2"/>
      </rPr>
      <t>(this may be less than the totals to the left as optional items are not calculated up on the import until the customer selects them)</t>
    </r>
  </si>
  <si>
    <t>Remove radiators &amp; cap valves</t>
  </si>
  <si>
    <t>Additional Supporting Comments From Surveyor</t>
  </si>
  <si>
    <t>Date</t>
  </si>
  <si>
    <t>Version From</t>
  </si>
  <si>
    <t>Version To</t>
  </si>
  <si>
    <t>Change</t>
  </si>
  <si>
    <t>Added stripping wall paper to costing.</t>
  </si>
  <si>
    <t>Added Sub Contractor 'clarity' section on costing sheet - Vat registered and non vat registered</t>
  </si>
  <si>
    <t>Changed the refitting of ancilliaries (refit sockets, radiator and skirting boards) to be costed in chunks of 3 hours (approx half day).  E.g. If the total calculated hours equaled 2 hours then this would be would be charged as 3 hours and if it was 5 hours we would charge as 6.</t>
  </si>
  <si>
    <t>Add VBA to updated the file name (date) on each click as the file names only changed on open so if clicking multiple times it was trying to save the same file again which is confusing)</t>
  </si>
  <si>
    <t>Strip Wall Paper</t>
  </si>
  <si>
    <t>Added deposit value ex vat and inc vat for card readers.</t>
  </si>
  <si>
    <t>Ex. VAT</t>
  </si>
  <si>
    <t>Inc. VAT</t>
  </si>
  <si>
    <t>Default 
Mats Cost</t>
  </si>
  <si>
    <t>Adjusted 
Mats Cost</t>
  </si>
  <si>
    <t>Default 
Lab Cost</t>
  </si>
  <si>
    <t>Adjusted 
Lab Cost</t>
  </si>
  <si>
    <t>Section Price Adjustment % Values</t>
  </si>
  <si>
    <t>Section Price Adjustment %</t>
  </si>
  <si>
    <t>Costing: Added in percentage adjuster to sections.
Costing: Added in questions and conditional logic for skirting boards refit.</t>
  </si>
  <si>
    <t>Add notes below that the office need to consider when compiling the estimate and report.</t>
  </si>
  <si>
    <t>Removed the Office comments section at the bottom of the report as it is hiiden when the filter is applied so this is replaced with an 'Office Notes' tab.</t>
  </si>
  <si>
    <t>Sub Contractor Costs</t>
  </si>
  <si>
    <t>Client Name</t>
  </si>
  <si>
    <t>Sub Contractor Materials</t>
  </si>
  <si>
    <t>Enquiry ID:</t>
  </si>
  <si>
    <t>Added Sub Contractor Costs and Sub Contractor Mats Tabs</t>
  </si>
  <si>
    <t>Changed wording on Projects Specific Overheads to make it look more generic and to cover more areas and removed the vehicle costs statement.
Added the On Site Approval Form Tab.</t>
  </si>
  <si>
    <t>On Site Acceptance Form (CAF1).</t>
  </si>
  <si>
    <t>Address 1</t>
  </si>
  <si>
    <t>Address 2</t>
  </si>
  <si>
    <t>Address 3</t>
  </si>
  <si>
    <t>Address 4</t>
  </si>
  <si>
    <t>Postcode</t>
  </si>
  <si>
    <t>Operation</t>
  </si>
  <si>
    <t>I accept the company terms and conditions of contract which I have viewed at the link below and I have paid my deposit with this order.</t>
  </si>
  <si>
    <t>https://www.tyneteesdampproofing.co.uk/terms-and-conditions/</t>
  </si>
  <si>
    <t>I wish the work to commence before the 14 day cooling off period and waive my consumer rights (please sign to confirm)</t>
  </si>
  <si>
    <t>Signed:</t>
  </si>
  <si>
    <t>Date:</t>
  </si>
  <si>
    <t>Updated material pricing on:
Plasterboards &amp; Skimming.
Updated hourly rate from £30.00 to £30.63 to cover the Employers NI increase.</t>
  </si>
  <si>
    <t>Stripping out of items as required to proceed with works</t>
  </si>
  <si>
    <t>Project Specific Overheads</t>
  </si>
  <si>
    <t xml:space="preserve">Contractor Labour Hourly rate </t>
  </si>
  <si>
    <t>Section Description</t>
  </si>
  <si>
    <t>Skips</t>
  </si>
  <si>
    <t>Vehicle Costs (Fuel)</t>
  </si>
  <si>
    <t>Travel Costs for Tradesmen</t>
  </si>
  <si>
    <t>I wish to proceed with the woks specified below. (tick items required and total cost)</t>
  </si>
  <si>
    <t>Price</t>
  </si>
  <si>
    <t>Tick</t>
  </si>
  <si>
    <t>Damp Proofing</t>
  </si>
  <si>
    <t>Timber treatments/replacements</t>
  </si>
  <si>
    <t>Condensation</t>
  </si>
  <si>
    <t>Wall Ties</t>
  </si>
  <si>
    <t>Other works</t>
  </si>
  <si>
    <t>Subtotal</t>
  </si>
  <si>
    <t>VAT</t>
  </si>
  <si>
    <t>Deposit</t>
  </si>
  <si>
    <t>Project Details</t>
  </si>
  <si>
    <t xml:space="preserve">Area of Works </t>
  </si>
  <si>
    <t>Costs
(Ex VAT)</t>
  </si>
  <si>
    <t>Assigned to / Comments:</t>
  </si>
  <si>
    <t>Total Projected Hours</t>
  </si>
  <si>
    <t>tbc</t>
  </si>
  <si>
    <t>Stock lengths 2.4, 3.0, 3.6, 4.2, 4.8, 5.4</t>
  </si>
  <si>
    <t>Updated Contractor cost sheet with hours.
Amalgamated the strip out costs to one line.
Allowed the editing of the customer summary lines for the surveyors including being able to set something as optional.</t>
  </si>
  <si>
    <t>Added extra line in on costing for CM3 20 metre rolls</t>
  </si>
  <si>
    <t>Updated the wording etc on the 'Overheads' sections to only show as Lab and Mats and added the description field to the csv upload as the wording was being cut off in the title.</t>
  </si>
  <si>
    <t>Choose Estimate Cover Sheet Image To Use (dropdown)</t>
  </si>
  <si>
    <t>View Images (this link will take you to the the Estimates Coversheet Images Tab)</t>
  </si>
  <si>
    <t xml:space="preserve">Base Travel Hourly rate </t>
  </si>
  <si>
    <t>Added Estimate Coversheet Selections To Cost Sheet.</t>
  </si>
  <si>
    <t>Added more coversheet images</t>
  </si>
  <si>
    <t>(May cover any or all of the following: Covers Health &amp; Safety, Tooling Equipment, Access Equipment, Specialist Equipment, Waste Removal &amp; Disposal, Project Management Administration etc.)</t>
  </si>
  <si>
    <t>Provide insulation to suspended flooring</t>
  </si>
  <si>
    <t>Project Specifics Overhead description amended on csv upload for change to CF estimate to make it clear that the overheads may contain all or some of the items mentioned.
Added floor insulation line and updated plasterboard pricing.</t>
  </si>
  <si>
    <t>Antinox HD Floor Protection Boards – 2.4m x 1.2m</t>
  </si>
  <si>
    <t>Plastering Stop Bead - 3m length</t>
  </si>
  <si>
    <t>Plastering Thin Coat Angle/Corner Bead - 2.4m length</t>
  </si>
  <si>
    <t>Plastering Thin Coat Angle/Corner Bead - 3m length</t>
  </si>
  <si>
    <t>First Line of site address</t>
  </si>
  <si>
    <t>Town / City</t>
  </si>
  <si>
    <t>County</t>
  </si>
  <si>
    <t>Site Post Code</t>
  </si>
  <si>
    <t>Install Engineered Flooring sheet (M2)</t>
  </si>
  <si>
    <t>Added line for engineered flooring</t>
  </si>
  <si>
    <t>"Fixed margin value column on csv import for beta estimates.
Applied filter to costing sheet for the headers."</t>
  </si>
  <si>
    <t>02-10-25-11-02-46</t>
  </si>
  <si>
    <t>Updated master password.</t>
  </si>
  <si>
    <t>Install Structural Engineered Flooring sheet (M2) onto joists</t>
  </si>
  <si>
    <t>Difficulty hours (additional hours if required)</t>
  </si>
  <si>
    <t>Updated pricing on the flooring labour as we have been undercharging.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</si>
</sst>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quot;£&quot;* #,##0.00_-;_-&quot;£&quot;* &quot;-&quot;??_-;_-@_-"/>
    <numFmt numFmtId="165" formatCode="#,##0.00_ ;\-#,##0.00\ "/>
    <numFmt numFmtId="166" formatCode="0.0"/>
    <numFmt numFmtId="167" formatCode="0.0000000000"/>
    <numFmt numFmtId="168" formatCode="&quot;£&quot;#,##0.00"/>
  </numFmts>
  <fonts count="57" x14ac:knownFonts="1">
    <font>
      <sz val="11"/>
      <color theme="1"/>
      <name val="Calibri"/>
      <family val="2"/>
      <scheme val="minor"/>
    </font>
    <font>
      <sz val="11"/>
      <color theme="1"/>
      <name val="Calibri"/>
      <family val="2"/>
      <scheme val="minor"/>
    </font>
    <font>
      <sz val="10"/>
      <name val="Arial"/>
      <family val="2"/>
    </font>
    <font>
      <sz val="10"/>
      <name val="Arial Narrow"/>
      <family val="2"/>
    </font>
    <font>
      <b/>
      <u/>
      <sz val="10"/>
      <name val="Arial Narrow"/>
      <family val="2"/>
    </font>
    <font>
      <sz val="11"/>
      <color theme="1"/>
      <name val="Arial Narrow"/>
      <family val="2"/>
    </font>
    <font>
      <b/>
      <sz val="10"/>
      <name val="Arial Narrow"/>
      <family val="2"/>
    </font>
    <font>
      <sz val="10"/>
      <color theme="1"/>
      <name val="Arial Narrow"/>
      <family val="2"/>
    </font>
    <font>
      <sz val="10"/>
      <color indexed="8"/>
      <name val="Arial Narrow"/>
      <family val="2"/>
    </font>
    <font>
      <b/>
      <u/>
      <sz val="10"/>
      <color indexed="8"/>
      <name val="Arial Narrow"/>
      <family val="2"/>
    </font>
    <font>
      <sz val="9"/>
      <color rgb="FFFF0000"/>
      <name val="Arial Narrow"/>
      <family val="2"/>
    </font>
    <font>
      <sz val="9"/>
      <name val="Arial Narrow"/>
      <family val="2"/>
    </font>
    <font>
      <b/>
      <u/>
      <sz val="9"/>
      <name val="Arial Narrow"/>
      <family val="2"/>
    </font>
    <font>
      <sz val="9"/>
      <color theme="1"/>
      <name val="Arial Narrow"/>
      <family val="2"/>
    </font>
    <font>
      <sz val="9"/>
      <color indexed="8"/>
      <name val="Arial Narrow"/>
      <family val="2"/>
    </font>
    <font>
      <b/>
      <sz val="9"/>
      <name val="Arial Narrow"/>
      <family val="2"/>
    </font>
    <font>
      <sz val="12"/>
      <name val="Arial Narrow"/>
      <family val="2"/>
    </font>
    <font>
      <sz val="8"/>
      <name val="Arial Narrow"/>
      <family val="2"/>
    </font>
    <font>
      <b/>
      <sz val="11"/>
      <color theme="1"/>
      <name val="Calibri"/>
      <family val="2"/>
      <scheme val="minor"/>
    </font>
    <font>
      <b/>
      <sz val="16"/>
      <color theme="1"/>
      <name val="Calibri"/>
      <family val="2"/>
      <scheme val="minor"/>
    </font>
    <font>
      <b/>
      <sz val="14"/>
      <color theme="1"/>
      <name val="Calibri"/>
      <family val="2"/>
      <scheme val="minor"/>
    </font>
    <font>
      <b/>
      <sz val="10"/>
      <color rgb="FFFF0000"/>
      <name val="Arial Narrow"/>
      <family val="2"/>
    </font>
    <font>
      <sz val="11"/>
      <color theme="1"/>
      <name val="Arial"/>
      <family val="2"/>
    </font>
    <font>
      <b/>
      <sz val="14"/>
      <color theme="1"/>
      <name val="Arial"/>
      <family val="2"/>
    </font>
    <font>
      <b/>
      <sz val="16"/>
      <color theme="1"/>
      <name val="Arial"/>
      <family val="2"/>
    </font>
    <font>
      <b/>
      <sz val="10"/>
      <color theme="1"/>
      <name val="Arial"/>
      <family val="2"/>
    </font>
    <font>
      <sz val="10"/>
      <color theme="1"/>
      <name val="Arial"/>
      <family val="2"/>
    </font>
    <font>
      <b/>
      <sz val="12"/>
      <name val="Arial Narrow"/>
      <family val="2"/>
    </font>
    <font>
      <b/>
      <u/>
      <sz val="20"/>
      <color theme="1"/>
      <name val="Calibri"/>
      <family val="2"/>
      <scheme val="minor"/>
    </font>
    <font>
      <b/>
      <sz val="11"/>
      <name val="Calibri"/>
      <family val="2"/>
    </font>
    <font>
      <sz val="11"/>
      <color theme="0"/>
      <name val="Calibri"/>
      <family val="2"/>
      <scheme val="minor"/>
    </font>
    <font>
      <b/>
      <i/>
      <u/>
      <sz val="10"/>
      <name val="Arial Narrow"/>
      <family val="2"/>
    </font>
    <font>
      <b/>
      <u/>
      <sz val="16"/>
      <color theme="1"/>
      <name val="Arial"/>
      <family val="2"/>
    </font>
    <font>
      <b/>
      <u/>
      <sz val="11"/>
      <color theme="1"/>
      <name val="Arial"/>
      <family val="2"/>
    </font>
    <font>
      <b/>
      <sz val="11"/>
      <color theme="1"/>
      <name val="Arial"/>
      <family val="2"/>
    </font>
    <font>
      <i/>
      <sz val="11"/>
      <color theme="1"/>
      <name val="Arial"/>
      <family val="2"/>
    </font>
    <font>
      <i/>
      <sz val="11"/>
      <name val="Arial"/>
      <family val="2"/>
    </font>
    <font>
      <sz val="20"/>
      <color rgb="FF0070C0"/>
      <name val="Vladimir Script"/>
      <family val="4"/>
    </font>
    <font>
      <u/>
      <sz val="11"/>
      <color theme="1"/>
      <name val="Calibri"/>
      <family val="2"/>
      <scheme val="minor"/>
    </font>
    <font>
      <b/>
      <sz val="11"/>
      <color rgb="FFFF0000"/>
      <name val="Arial"/>
      <family val="2"/>
    </font>
    <font>
      <sz val="11"/>
      <name val="Calibri"/>
      <family val="2"/>
      <scheme val="minor"/>
    </font>
    <font>
      <b/>
      <sz val="11"/>
      <color theme="0" tint="-0.499984740745262"/>
      <name val="Arial"/>
      <family val="2"/>
    </font>
    <font>
      <b/>
      <i/>
      <sz val="11"/>
      <color theme="1"/>
      <name val="Calibri"/>
      <family val="2"/>
      <scheme val="minor"/>
    </font>
    <font>
      <sz val="11"/>
      <color theme="0"/>
      <name val="Arial"/>
      <family val="2"/>
    </font>
    <font>
      <b/>
      <sz val="9"/>
      <name val="Calibri"/>
      <family val="2"/>
    </font>
    <font>
      <b/>
      <sz val="8"/>
      <color rgb="FFFF0000"/>
      <name val="Calibri"/>
      <family val="2"/>
    </font>
    <font>
      <u/>
      <sz val="11"/>
      <color theme="10"/>
      <name val="Calibri"/>
      <family val="2"/>
      <scheme val="minor"/>
    </font>
    <font>
      <b/>
      <sz val="11"/>
      <color theme="0"/>
      <name val="Arial"/>
      <family val="2"/>
    </font>
    <font>
      <b/>
      <sz val="11"/>
      <name val="Arial"/>
      <family val="2"/>
    </font>
    <font>
      <b/>
      <sz val="10"/>
      <color indexed="8"/>
      <name val="Arial Narrow"/>
      <family val="2"/>
    </font>
    <font>
      <b/>
      <sz val="9"/>
      <color indexed="81"/>
      <name val="Tahoma"/>
      <family val="2"/>
    </font>
    <font>
      <sz val="9"/>
      <color indexed="81"/>
      <name val="Tahoma"/>
      <family val="2"/>
    </font>
    <font>
      <sz val="9"/>
      <color theme="1"/>
      <name val="Arial"/>
      <family val="2"/>
    </font>
    <font>
      <b/>
      <i/>
      <sz val="10"/>
      <name val="Arial Narrow"/>
      <family val="2"/>
    </font>
    <font>
      <b/>
      <sz val="20"/>
      <color theme="1"/>
      <name val="Aptos"/>
      <family val="2"/>
    </font>
    <font>
      <b/>
      <sz val="11"/>
      <color rgb="FFFF0000"/>
      <name val="Calibri"/>
      <family val="2"/>
      <scheme val="minor"/>
    </font>
    <font>
      <u/>
      <sz val="10"/>
      <color theme="1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theme="8" tint="0.59999389629810485"/>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right/>
      <top style="thin">
        <color theme="1"/>
      </top>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theme="1"/>
      </top>
      <bottom style="thin">
        <color theme="1"/>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theme="1"/>
      </top>
      <bottom style="thin">
        <color theme="1"/>
      </bottom>
      <diagonal/>
    </border>
    <border>
      <left/>
      <right style="thin">
        <color indexed="64"/>
      </right>
      <top style="thin">
        <color theme="1"/>
      </top>
      <bottom style="double">
        <color theme="1"/>
      </bottom>
      <diagonal/>
    </border>
    <border>
      <left/>
      <right style="thin">
        <color indexed="64"/>
      </right>
      <top style="double">
        <color theme="1"/>
      </top>
      <bottom style="double">
        <color theme="1"/>
      </bottom>
      <diagonal/>
    </border>
    <border>
      <left/>
      <right style="medium">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style="double">
        <color indexed="64"/>
      </bottom>
      <diagonal/>
    </border>
    <border>
      <left/>
      <right/>
      <top style="medium">
        <color indexed="64"/>
      </top>
      <bottom style="double">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thin">
        <color indexed="64"/>
      </bottom>
      <diagonal/>
    </border>
    <border>
      <left/>
      <right style="thin">
        <color indexed="64"/>
      </right>
      <top/>
      <bottom style="thin">
        <color theme="1"/>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theme="1"/>
      </left>
      <right/>
      <top style="thin">
        <color theme="1"/>
      </top>
      <bottom style="thin">
        <color theme="1"/>
      </bottom>
      <diagonal/>
    </border>
  </borders>
  <cellStyleXfs count="12">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0" fontId="2" fillId="0" borderId="0"/>
    <xf numFmtId="0" fontId="22" fillId="0" borderId="0"/>
    <xf numFmtId="0" fontId="46" fillId="0" borderId="0" applyNumberFormat="0" applyFill="0" applyBorder="0" applyAlignment="0" applyProtection="0"/>
  </cellStyleXfs>
  <cellXfs count="601">
    <xf numFmtId="0" fontId="0" fillId="0" borderId="0" xfId="0"/>
    <xf numFmtId="0" fontId="19" fillId="2" borderId="0" xfId="0" applyFont="1" applyFill="1"/>
    <xf numFmtId="0" fontId="0" fillId="2" borderId="0" xfId="0" applyFill="1"/>
    <xf numFmtId="0" fontId="18" fillId="2" borderId="30" xfId="0" applyFont="1" applyFill="1" applyBorder="1"/>
    <xf numFmtId="0" fontId="18" fillId="2" borderId="46" xfId="0" applyFont="1" applyFill="1" applyBorder="1"/>
    <xf numFmtId="0" fontId="0" fillId="2" borderId="30" xfId="0" applyFill="1" applyBorder="1"/>
    <xf numFmtId="0" fontId="0" fillId="2" borderId="46" xfId="0" applyFill="1" applyBorder="1"/>
    <xf numFmtId="0" fontId="0" fillId="2" borderId="47" xfId="0" applyFill="1" applyBorder="1"/>
    <xf numFmtId="0" fontId="0" fillId="2" borderId="48" xfId="0" applyFill="1" applyBorder="1"/>
    <xf numFmtId="0" fontId="0" fillId="2" borderId="49" xfId="0" applyFill="1" applyBorder="1"/>
    <xf numFmtId="0" fontId="0" fillId="2" borderId="50" xfId="0" applyFill="1" applyBorder="1"/>
    <xf numFmtId="2" fontId="11" fillId="2" borderId="24" xfId="2" applyNumberFormat="1" applyFont="1" applyFill="1" applyBorder="1" applyAlignment="1" applyProtection="1">
      <alignment horizontal="center" vertical="center"/>
      <protection locked="0"/>
    </xf>
    <xf numFmtId="164" fontId="22" fillId="0" borderId="0" xfId="8" applyFont="1" applyBorder="1" applyProtection="1"/>
    <xf numFmtId="166" fontId="11" fillId="2" borderId="24" xfId="2" applyNumberFormat="1" applyFont="1" applyFill="1" applyBorder="1" applyAlignment="1" applyProtection="1">
      <alignment horizontal="center" vertical="center"/>
      <protection locked="0"/>
    </xf>
    <xf numFmtId="0" fontId="3" fillId="0" borderId="0" xfId="2" applyFont="1" applyAlignment="1">
      <alignment vertical="center"/>
    </xf>
    <xf numFmtId="0" fontId="25" fillId="3" borderId="1" xfId="5" applyFont="1" applyFill="1" applyBorder="1" applyAlignment="1">
      <alignment horizontal="center" vertical="center" wrapText="1"/>
    </xf>
    <xf numFmtId="0" fontId="26" fillId="2" borderId="1" xfId="5" applyFont="1" applyFill="1" applyBorder="1" applyAlignment="1">
      <alignment horizontal="center" vertical="center" wrapText="1"/>
    </xf>
    <xf numFmtId="0" fontId="11" fillId="0" borderId="0" xfId="2" applyFont="1" applyAlignment="1">
      <alignment horizontal="center" vertical="center"/>
    </xf>
    <xf numFmtId="0" fontId="11" fillId="0" borderId="0" xfId="2" applyFont="1" applyAlignment="1">
      <alignment vertical="center"/>
    </xf>
    <xf numFmtId="164" fontId="11" fillId="0" borderId="0" xfId="1" applyFont="1" applyAlignment="1" applyProtection="1">
      <alignment vertical="center"/>
    </xf>
    <xf numFmtId="0" fontId="22" fillId="0" borderId="0" xfId="5" applyFont="1"/>
    <xf numFmtId="0" fontId="22" fillId="5" borderId="1" xfId="5" applyFont="1" applyFill="1" applyBorder="1" applyAlignment="1">
      <alignment horizontal="center" vertical="center"/>
    </xf>
    <xf numFmtId="0" fontId="21" fillId="0" borderId="0" xfId="2" applyFont="1" applyAlignment="1">
      <alignment vertical="center"/>
    </xf>
    <xf numFmtId="0" fontId="22" fillId="0" borderId="0" xfId="5" applyFont="1" applyAlignment="1">
      <alignment horizontal="center" vertical="center"/>
    </xf>
    <xf numFmtId="0" fontId="22" fillId="0" borderId="0" xfId="5" applyFont="1" applyAlignment="1">
      <alignment horizontal="center"/>
    </xf>
    <xf numFmtId="0" fontId="22" fillId="2" borderId="1" xfId="5" applyFont="1" applyFill="1" applyBorder="1" applyAlignment="1">
      <alignment horizontal="center" vertical="center"/>
    </xf>
    <xf numFmtId="0" fontId="16" fillId="0" borderId="0" xfId="2" applyFont="1" applyAlignment="1">
      <alignment vertical="center"/>
    </xf>
    <xf numFmtId="0" fontId="11" fillId="3" borderId="0" xfId="2" applyFont="1" applyFill="1" applyAlignment="1">
      <alignment horizontal="center" vertical="center"/>
    </xf>
    <xf numFmtId="0" fontId="3" fillId="3" borderId="17" xfId="2" applyFont="1" applyFill="1" applyBorder="1" applyAlignment="1">
      <alignment vertical="center"/>
    </xf>
    <xf numFmtId="2" fontId="11" fillId="3" borderId="0" xfId="2" applyNumberFormat="1" applyFont="1" applyFill="1" applyAlignment="1">
      <alignment horizontal="right" vertical="center"/>
    </xf>
    <xf numFmtId="0" fontId="11" fillId="3" borderId="22" xfId="2" applyFont="1" applyFill="1" applyBorder="1" applyAlignment="1">
      <alignment horizontal="center" vertical="center"/>
    </xf>
    <xf numFmtId="0" fontId="6" fillId="3" borderId="13" xfId="2" applyFont="1" applyFill="1" applyBorder="1" applyAlignment="1">
      <alignment vertical="center"/>
    </xf>
    <xf numFmtId="0" fontId="11" fillId="3" borderId="14" xfId="2" applyFont="1" applyFill="1" applyBorder="1" applyAlignment="1">
      <alignment horizontal="right" vertical="center"/>
    </xf>
    <xf numFmtId="164" fontId="11" fillId="4" borderId="35" xfId="1" applyFont="1" applyFill="1" applyBorder="1" applyAlignment="1" applyProtection="1">
      <alignment vertical="center"/>
    </xf>
    <xf numFmtId="166" fontId="11" fillId="3" borderId="3" xfId="2" applyNumberFormat="1" applyFont="1" applyFill="1" applyBorder="1" applyAlignment="1">
      <alignment horizontal="center" vertical="center"/>
    </xf>
    <xf numFmtId="164" fontId="14" fillId="3" borderId="3" xfId="1" applyFont="1" applyFill="1" applyBorder="1" applyAlignment="1" applyProtection="1">
      <alignment horizontal="left" vertical="center"/>
    </xf>
    <xf numFmtId="9" fontId="13" fillId="3" borderId="2" xfId="1" applyNumberFormat="1" applyFont="1" applyFill="1" applyBorder="1" applyAlignment="1" applyProtection="1">
      <alignment horizontal="center" vertical="center"/>
    </xf>
    <xf numFmtId="0" fontId="11" fillId="3" borderId="0" xfId="2" applyFont="1" applyFill="1" applyAlignment="1">
      <alignment horizontal="right" vertical="center"/>
    </xf>
    <xf numFmtId="9" fontId="13" fillId="3" borderId="1" xfId="1" applyNumberFormat="1" applyFont="1" applyFill="1" applyBorder="1" applyAlignment="1" applyProtection="1">
      <alignment horizontal="center" vertical="center"/>
    </xf>
    <xf numFmtId="164" fontId="13" fillId="3" borderId="3" xfId="1" applyFont="1" applyFill="1" applyBorder="1" applyAlignment="1" applyProtection="1">
      <alignment horizontal="center" vertical="center"/>
    </xf>
    <xf numFmtId="0" fontId="3" fillId="3" borderId="16" xfId="2" applyFont="1" applyFill="1" applyBorder="1" applyAlignment="1">
      <alignment vertical="center"/>
    </xf>
    <xf numFmtId="0" fontId="3" fillId="3" borderId="0" xfId="2" applyFont="1" applyFill="1" applyAlignment="1">
      <alignment vertical="center"/>
    </xf>
    <xf numFmtId="2" fontId="11" fillId="3" borderId="23" xfId="2" applyNumberFormat="1" applyFont="1" applyFill="1" applyBorder="1" applyAlignment="1">
      <alignment horizontal="right" vertical="center"/>
    </xf>
    <xf numFmtId="0" fontId="10" fillId="3" borderId="0" xfId="2" applyFont="1" applyFill="1" applyAlignment="1">
      <alignment horizontal="right" vertical="center"/>
    </xf>
    <xf numFmtId="0" fontId="11" fillId="3" borderId="0" xfId="2" applyFont="1" applyFill="1" applyAlignment="1">
      <alignment vertical="center"/>
    </xf>
    <xf numFmtId="2" fontId="11" fillId="3" borderId="29" xfId="2" applyNumberFormat="1" applyFont="1" applyFill="1" applyBorder="1" applyAlignment="1">
      <alignment horizontal="center" vertical="center"/>
    </xf>
    <xf numFmtId="2" fontId="11" fillId="3" borderId="26" xfId="2" applyNumberFormat="1" applyFont="1" applyFill="1" applyBorder="1" applyAlignment="1">
      <alignment horizontal="center" vertical="center"/>
    </xf>
    <xf numFmtId="2" fontId="11" fillId="3" borderId="0" xfId="2" applyNumberFormat="1" applyFont="1" applyFill="1" applyAlignment="1">
      <alignment horizontal="center" vertical="center"/>
    </xf>
    <xf numFmtId="164" fontId="13" fillId="3" borderId="0" xfId="1" applyFont="1" applyFill="1" applyBorder="1" applyAlignment="1" applyProtection="1">
      <alignment horizontal="center" vertical="center"/>
    </xf>
    <xf numFmtId="164" fontId="13" fillId="3" borderId="24" xfId="3" applyFont="1" applyFill="1" applyBorder="1" applyAlignment="1" applyProtection="1">
      <alignment horizontal="center" vertical="center"/>
    </xf>
    <xf numFmtId="164" fontId="3" fillId="3" borderId="17" xfId="1" applyFont="1" applyFill="1" applyBorder="1" applyAlignment="1" applyProtection="1">
      <alignment horizontal="center" vertical="center"/>
    </xf>
    <xf numFmtId="164" fontId="11" fillId="3" borderId="3" xfId="1" applyFont="1" applyFill="1" applyBorder="1" applyAlignment="1" applyProtection="1">
      <alignment horizontal="center" vertical="center"/>
    </xf>
    <xf numFmtId="164" fontId="11" fillId="3" borderId="0" xfId="1" applyFont="1" applyFill="1" applyBorder="1" applyAlignment="1" applyProtection="1">
      <alignment horizontal="center" vertical="center"/>
    </xf>
    <xf numFmtId="164" fontId="11" fillId="3" borderId="0" xfId="1" applyFont="1" applyFill="1" applyBorder="1" applyAlignment="1" applyProtection="1">
      <alignment horizontal="right" vertical="center"/>
    </xf>
    <xf numFmtId="0" fontId="15" fillId="3" borderId="28" xfId="2" applyFont="1" applyFill="1" applyBorder="1" applyAlignment="1">
      <alignment horizontal="center" vertical="center"/>
    </xf>
    <xf numFmtId="164" fontId="11" fillId="4" borderId="35" xfId="2" applyNumberFormat="1" applyFont="1" applyFill="1" applyBorder="1" applyAlignment="1">
      <alignment vertical="center"/>
    </xf>
    <xf numFmtId="164" fontId="11" fillId="0" borderId="0" xfId="2" applyNumberFormat="1" applyFont="1" applyAlignment="1">
      <alignment vertical="center"/>
    </xf>
    <xf numFmtId="164" fontId="11" fillId="3" borderId="1" xfId="1" applyFont="1" applyFill="1" applyBorder="1" applyAlignment="1" applyProtection="1">
      <alignment horizontal="left" vertical="center" wrapText="1"/>
    </xf>
    <xf numFmtId="0" fontId="13" fillId="0" borderId="0" xfId="0" applyFont="1" applyAlignment="1">
      <alignment horizontal="right" vertical="center"/>
    </xf>
    <xf numFmtId="0" fontId="13" fillId="0" borderId="0" xfId="0" applyFont="1" applyAlignment="1">
      <alignment horizontal="left" vertical="center"/>
    </xf>
    <xf numFmtId="0" fontId="11" fillId="3" borderId="1" xfId="2" applyFont="1" applyFill="1" applyBorder="1" applyAlignment="1">
      <alignment horizontal="center" vertical="center"/>
    </xf>
    <xf numFmtId="164" fontId="13" fillId="3" borderId="1" xfId="1" applyFont="1" applyFill="1" applyBorder="1" applyAlignment="1" applyProtection="1">
      <alignment horizontal="center" vertical="center"/>
    </xf>
    <xf numFmtId="0" fontId="11" fillId="3" borderId="17" xfId="2" applyFont="1" applyFill="1" applyBorder="1" applyAlignment="1">
      <alignment vertical="center"/>
    </xf>
    <xf numFmtId="164" fontId="11" fillId="3" borderId="17" xfId="2" applyNumberFormat="1" applyFont="1" applyFill="1" applyBorder="1" applyAlignment="1">
      <alignment vertical="center"/>
    </xf>
    <xf numFmtId="0" fontId="15" fillId="3" borderId="32" xfId="2" applyFont="1" applyFill="1" applyBorder="1" applyAlignment="1">
      <alignment horizontal="left" vertical="center"/>
    </xf>
    <xf numFmtId="0" fontId="15" fillId="3" borderId="43" xfId="2" applyFont="1" applyFill="1" applyBorder="1" applyAlignment="1">
      <alignment horizontal="left" vertical="center"/>
    </xf>
    <xf numFmtId="164" fontId="13" fillId="3" borderId="7" xfId="1" applyFont="1" applyFill="1" applyBorder="1" applyAlignment="1" applyProtection="1">
      <alignment horizontal="center" vertical="center"/>
    </xf>
    <xf numFmtId="9" fontId="13" fillId="3" borderId="3" xfId="1" applyNumberFormat="1" applyFont="1" applyFill="1" applyBorder="1" applyAlignment="1" applyProtection="1">
      <alignment horizontal="center" vertical="center"/>
    </xf>
    <xf numFmtId="0" fontId="3" fillId="3" borderId="0" xfId="2" applyFont="1" applyFill="1" applyAlignment="1">
      <alignment horizontal="right" vertical="center"/>
    </xf>
    <xf numFmtId="0" fontId="6" fillId="3" borderId="16" xfId="2" applyFont="1" applyFill="1" applyBorder="1" applyAlignment="1">
      <alignment horizontal="right" vertical="center"/>
    </xf>
    <xf numFmtId="0" fontId="3" fillId="3" borderId="8" xfId="2" applyFont="1" applyFill="1" applyBorder="1" applyAlignment="1">
      <alignment horizontal="center" vertical="center"/>
    </xf>
    <xf numFmtId="0" fontId="3" fillId="3" borderId="8" xfId="2" applyFont="1" applyFill="1" applyBorder="1" applyAlignment="1">
      <alignment horizontal="right" vertical="center"/>
    </xf>
    <xf numFmtId="0" fontId="3" fillId="3" borderId="12" xfId="2" applyFont="1" applyFill="1" applyBorder="1" applyAlignment="1">
      <alignment horizontal="right" vertical="center"/>
    </xf>
    <xf numFmtId="164" fontId="13" fillId="3" borderId="6" xfId="3" applyFont="1" applyFill="1" applyBorder="1" applyAlignment="1" applyProtection="1">
      <alignment horizontal="center" vertical="center"/>
    </xf>
    <xf numFmtId="2" fontId="3" fillId="3" borderId="17" xfId="2" applyNumberFormat="1" applyFont="1" applyFill="1" applyBorder="1" applyAlignment="1">
      <alignment horizontal="center" vertical="center"/>
    </xf>
    <xf numFmtId="0" fontId="3" fillId="3" borderId="11" xfId="2" applyFont="1" applyFill="1" applyBorder="1" applyAlignment="1">
      <alignment horizontal="right" vertical="center"/>
    </xf>
    <xf numFmtId="2" fontId="15" fillId="3" borderId="0" xfId="2" applyNumberFormat="1" applyFont="1" applyFill="1" applyAlignment="1">
      <alignment horizontal="right" vertical="center"/>
    </xf>
    <xf numFmtId="0" fontId="6" fillId="3" borderId="21" xfId="2" applyFont="1" applyFill="1" applyBorder="1" applyAlignment="1">
      <alignment horizontal="right" vertical="center"/>
    </xf>
    <xf numFmtId="0" fontId="11" fillId="3" borderId="22" xfId="2" applyFont="1" applyFill="1" applyBorder="1" applyAlignment="1">
      <alignment horizontal="right" vertical="center"/>
    </xf>
    <xf numFmtId="0" fontId="11" fillId="3" borderId="22" xfId="2" applyFont="1" applyFill="1" applyBorder="1" applyAlignment="1">
      <alignment vertical="center"/>
    </xf>
    <xf numFmtId="164" fontId="11" fillId="4" borderId="36" xfId="1" applyFont="1" applyFill="1" applyBorder="1" applyAlignment="1" applyProtection="1">
      <alignment vertical="center"/>
    </xf>
    <xf numFmtId="0" fontId="15" fillId="3" borderId="0" xfId="2" applyFont="1" applyFill="1" applyAlignment="1">
      <alignment horizontal="right" vertical="center"/>
    </xf>
    <xf numFmtId="164" fontId="11" fillId="3" borderId="40" xfId="2" applyNumberFormat="1" applyFont="1" applyFill="1" applyBorder="1" applyAlignment="1">
      <alignment vertical="center"/>
    </xf>
    <xf numFmtId="0" fontId="11" fillId="0" borderId="0" xfId="2" applyFont="1" applyAlignment="1">
      <alignment horizontal="right" vertical="center"/>
    </xf>
    <xf numFmtId="164" fontId="11" fillId="3" borderId="41" xfId="2" applyNumberFormat="1" applyFont="1" applyFill="1" applyBorder="1" applyAlignment="1">
      <alignment vertical="center"/>
    </xf>
    <xf numFmtId="0" fontId="12" fillId="3" borderId="0" xfId="2" applyFont="1" applyFill="1" applyAlignment="1">
      <alignment horizontal="right" vertical="center"/>
    </xf>
    <xf numFmtId="164" fontId="11" fillId="3" borderId="10" xfId="2" applyNumberFormat="1" applyFont="1" applyFill="1" applyBorder="1" applyAlignment="1">
      <alignment vertical="center"/>
    </xf>
    <xf numFmtId="2" fontId="3" fillId="3" borderId="35" xfId="2" applyNumberFormat="1" applyFont="1" applyFill="1" applyBorder="1" applyAlignment="1">
      <alignment horizontal="center" vertical="center"/>
    </xf>
    <xf numFmtId="1" fontId="10" fillId="3" borderId="9" xfId="2" applyNumberFormat="1" applyFont="1" applyFill="1" applyBorder="1" applyAlignment="1">
      <alignment horizontal="center" vertical="center"/>
    </xf>
    <xf numFmtId="0" fontId="3" fillId="3" borderId="21" xfId="2" applyFont="1" applyFill="1" applyBorder="1" applyAlignment="1">
      <alignment vertical="center"/>
    </xf>
    <xf numFmtId="0" fontId="3" fillId="3" borderId="22" xfId="2" applyFont="1" applyFill="1" applyBorder="1" applyAlignment="1">
      <alignment vertical="center"/>
    </xf>
    <xf numFmtId="0" fontId="3" fillId="3" borderId="22" xfId="2" applyFont="1" applyFill="1" applyBorder="1" applyAlignment="1">
      <alignment horizontal="right" vertical="center"/>
    </xf>
    <xf numFmtId="2" fontId="3" fillId="3" borderId="31" xfId="2" applyNumberFormat="1" applyFont="1" applyFill="1" applyBorder="1" applyAlignment="1">
      <alignment horizontal="center" vertical="center"/>
    </xf>
    <xf numFmtId="2" fontId="11" fillId="0" borderId="0" xfId="2" applyNumberFormat="1" applyFont="1" applyAlignment="1">
      <alignment horizontal="right" vertical="center"/>
    </xf>
    <xf numFmtId="0" fontId="11" fillId="0" borderId="0" xfId="2" applyFont="1" applyAlignment="1">
      <alignment vertical="center" wrapText="1"/>
    </xf>
    <xf numFmtId="0" fontId="11" fillId="0" borderId="0" xfId="2" applyFont="1" applyAlignment="1">
      <alignment horizontal="right" vertical="center" wrapText="1"/>
    </xf>
    <xf numFmtId="2" fontId="11" fillId="0" borderId="0" xfId="2" applyNumberFormat="1" applyFont="1" applyAlignment="1">
      <alignment horizontal="right" vertical="center" wrapText="1"/>
    </xf>
    <xf numFmtId="164" fontId="11" fillId="0" borderId="0" xfId="2" applyNumberFormat="1" applyFont="1" applyAlignment="1">
      <alignment vertical="center" wrapText="1"/>
    </xf>
    <xf numFmtId="164" fontId="11" fillId="0" borderId="0" xfId="1" applyFont="1" applyAlignment="1" applyProtection="1">
      <alignment vertical="center" wrapText="1"/>
    </xf>
    <xf numFmtId="0" fontId="10" fillId="0" borderId="0" xfId="2" applyFont="1" applyAlignment="1">
      <alignment horizontal="right" vertical="center"/>
    </xf>
    <xf numFmtId="2" fontId="11" fillId="2" borderId="27" xfId="2" applyNumberFormat="1" applyFont="1" applyFill="1" applyBorder="1" applyAlignment="1" applyProtection="1">
      <alignment horizontal="center" vertical="center"/>
      <protection locked="0"/>
    </xf>
    <xf numFmtId="2" fontId="11" fillId="2" borderId="28" xfId="2" applyNumberFormat="1" applyFont="1" applyFill="1" applyBorder="1" applyAlignment="1" applyProtection="1">
      <alignment horizontal="center" vertical="center"/>
      <protection locked="0"/>
    </xf>
    <xf numFmtId="0" fontId="11" fillId="0" borderId="9" xfId="2" applyFont="1" applyBorder="1" applyAlignment="1" applyProtection="1">
      <alignment horizontal="center" vertical="center"/>
      <protection locked="0"/>
    </xf>
    <xf numFmtId="166" fontId="13" fillId="3" borderId="3" xfId="0" applyNumberFormat="1" applyFont="1" applyFill="1" applyBorder="1" applyAlignment="1">
      <alignment horizontal="center" vertical="center"/>
    </xf>
    <xf numFmtId="166" fontId="13" fillId="3" borderId="1" xfId="0" applyNumberFormat="1" applyFont="1" applyFill="1" applyBorder="1" applyAlignment="1">
      <alignment horizontal="center" vertical="center"/>
    </xf>
    <xf numFmtId="164" fontId="3" fillId="0" borderId="0" xfId="2" applyNumberFormat="1" applyFont="1" applyAlignment="1">
      <alignment vertical="center"/>
    </xf>
    <xf numFmtId="164" fontId="13" fillId="0" borderId="0" xfId="0" applyNumberFormat="1" applyFont="1" applyAlignment="1">
      <alignment horizontal="left" vertical="center"/>
    </xf>
    <xf numFmtId="164" fontId="22" fillId="0" borderId="0" xfId="5" applyNumberFormat="1" applyFont="1"/>
    <xf numFmtId="0" fontId="3" fillId="5" borderId="0" xfId="2" applyFont="1" applyFill="1" applyAlignment="1">
      <alignment vertical="center"/>
    </xf>
    <xf numFmtId="22" fontId="0" fillId="2" borderId="46" xfId="0" applyNumberFormat="1" applyFill="1" applyBorder="1"/>
    <xf numFmtId="2" fontId="13" fillId="3" borderId="1" xfId="0" applyNumberFormat="1" applyFont="1" applyFill="1" applyBorder="1" applyAlignment="1">
      <alignment horizontal="center" vertical="center"/>
    </xf>
    <xf numFmtId="0" fontId="0" fillId="0" borderId="0" xfId="0" applyAlignment="1">
      <alignment horizontal="center"/>
    </xf>
    <xf numFmtId="167" fontId="0" fillId="0" borderId="0" xfId="0" applyNumberFormat="1"/>
    <xf numFmtId="0" fontId="11" fillId="3" borderId="9" xfId="2" applyFont="1" applyFill="1" applyBorder="1" applyAlignment="1">
      <alignment horizontal="center" vertical="center"/>
    </xf>
    <xf numFmtId="0" fontId="0" fillId="3" borderId="0" xfId="0" applyFill="1"/>
    <xf numFmtId="0" fontId="29" fillId="6" borderId="60" xfId="9" applyFont="1" applyFill="1" applyBorder="1" applyAlignment="1">
      <alignment horizontal="center" vertical="center"/>
    </xf>
    <xf numFmtId="0" fontId="29" fillId="6" borderId="62" xfId="9" applyFont="1" applyFill="1" applyBorder="1" applyAlignment="1">
      <alignment horizontal="center" vertical="center"/>
    </xf>
    <xf numFmtId="0" fontId="0" fillId="2" borderId="30" xfId="0" applyFill="1" applyBorder="1" applyAlignment="1">
      <alignment horizontal="center" vertical="center"/>
    </xf>
    <xf numFmtId="168" fontId="0" fillId="2" borderId="46" xfId="0" applyNumberFormat="1" applyFill="1" applyBorder="1" applyAlignment="1">
      <alignment horizontal="center" vertical="center"/>
    </xf>
    <xf numFmtId="168" fontId="0" fillId="3" borderId="0" xfId="0" applyNumberFormat="1" applyFill="1"/>
    <xf numFmtId="0" fontId="0" fillId="5" borderId="1" xfId="0" applyFill="1" applyBorder="1" applyAlignment="1">
      <alignment horizontal="right" indent="1"/>
    </xf>
    <xf numFmtId="168" fontId="0" fillId="5" borderId="46" xfId="0" applyNumberFormat="1" applyFill="1" applyBorder="1" applyAlignment="1">
      <alignment horizontal="center" vertical="center"/>
    </xf>
    <xf numFmtId="168" fontId="0" fillId="2" borderId="48" xfId="0" applyNumberFormat="1" applyFill="1" applyBorder="1" applyAlignment="1">
      <alignment horizontal="center" vertical="center"/>
    </xf>
    <xf numFmtId="0" fontId="6" fillId="3" borderId="1" xfId="2" applyFont="1" applyFill="1" applyBorder="1" applyAlignment="1">
      <alignment horizontal="center" vertical="center"/>
    </xf>
    <xf numFmtId="0" fontId="6" fillId="3" borderId="59" xfId="2" applyFont="1" applyFill="1" applyBorder="1" applyAlignment="1">
      <alignment horizontal="center" vertical="center"/>
    </xf>
    <xf numFmtId="0" fontId="0" fillId="5" borderId="0" xfId="0" applyFill="1"/>
    <xf numFmtId="167" fontId="0" fillId="5" borderId="0" xfId="0" applyNumberFormat="1" applyFill="1"/>
    <xf numFmtId="167" fontId="0" fillId="5" borderId="0" xfId="0" applyNumberFormat="1" applyFill="1" applyAlignment="1">
      <alignment horizontal="center"/>
    </xf>
    <xf numFmtId="0" fontId="30" fillId="5" borderId="0" xfId="0" applyFont="1" applyFill="1" applyAlignment="1">
      <alignment horizontal="center"/>
    </xf>
    <xf numFmtId="0" fontId="0" fillId="5" borderId="0" xfId="0" applyFill="1" applyAlignment="1">
      <alignment horizontal="center"/>
    </xf>
    <xf numFmtId="0" fontId="0" fillId="7" borderId="0" xfId="0" applyFill="1"/>
    <xf numFmtId="167" fontId="0" fillId="7" borderId="0" xfId="0" applyNumberFormat="1" applyFill="1"/>
    <xf numFmtId="167" fontId="0" fillId="7" borderId="0" xfId="0" applyNumberFormat="1" applyFill="1" applyAlignment="1">
      <alignment horizontal="center"/>
    </xf>
    <xf numFmtId="0" fontId="0" fillId="7" borderId="0" xfId="0" applyFill="1" applyAlignment="1">
      <alignment horizontal="center"/>
    </xf>
    <xf numFmtId="167" fontId="0" fillId="0" borderId="0" xfId="0" applyNumberFormat="1" applyAlignment="1">
      <alignment horizontal="center"/>
    </xf>
    <xf numFmtId="0" fontId="11" fillId="3" borderId="31" xfId="2" applyFont="1" applyFill="1" applyBorder="1" applyAlignment="1">
      <alignment horizontal="right" vertical="center"/>
    </xf>
    <xf numFmtId="164" fontId="11" fillId="4" borderId="64" xfId="2" applyNumberFormat="1" applyFont="1" applyFill="1" applyBorder="1" applyAlignment="1">
      <alignment vertical="center"/>
    </xf>
    <xf numFmtId="0" fontId="11" fillId="3" borderId="31" xfId="2" applyFont="1" applyFill="1" applyBorder="1" applyAlignment="1">
      <alignment vertical="center"/>
    </xf>
    <xf numFmtId="0" fontId="11" fillId="4" borderId="22" xfId="2" applyFont="1" applyFill="1" applyBorder="1" applyAlignment="1">
      <alignment vertical="center"/>
    </xf>
    <xf numFmtId="0" fontId="11" fillId="4" borderId="31" xfId="2" applyFont="1" applyFill="1" applyBorder="1" applyAlignment="1">
      <alignment vertical="center"/>
    </xf>
    <xf numFmtId="2" fontId="3" fillId="3" borderId="0" xfId="2" applyNumberFormat="1" applyFont="1" applyFill="1" applyAlignment="1">
      <alignment horizontal="center" vertical="center"/>
    </xf>
    <xf numFmtId="0" fontId="6" fillId="3" borderId="13" xfId="2" applyFont="1" applyFill="1" applyBorder="1" applyAlignment="1">
      <alignment horizontal="right" vertical="center"/>
    </xf>
    <xf numFmtId="2" fontId="11" fillId="3" borderId="55" xfId="2" applyNumberFormat="1" applyFont="1" applyFill="1" applyBorder="1" applyAlignment="1">
      <alignment horizontal="right" vertical="center"/>
    </xf>
    <xf numFmtId="0" fontId="10" fillId="3" borderId="14" xfId="2" applyFont="1" applyFill="1" applyBorder="1" applyAlignment="1">
      <alignment horizontal="right" vertical="center"/>
    </xf>
    <xf numFmtId="164" fontId="11" fillId="4" borderId="70" xfId="1" applyFont="1" applyFill="1" applyBorder="1" applyAlignment="1" applyProtection="1">
      <alignment vertical="center"/>
    </xf>
    <xf numFmtId="164" fontId="11" fillId="4" borderId="71" xfId="2" applyNumberFormat="1" applyFont="1" applyFill="1" applyBorder="1" applyAlignment="1">
      <alignment vertical="center"/>
    </xf>
    <xf numFmtId="164" fontId="11" fillId="4" borderId="0" xfId="2" applyNumberFormat="1" applyFont="1" applyFill="1" applyAlignment="1">
      <alignment vertical="center"/>
    </xf>
    <xf numFmtId="164" fontId="11" fillId="3" borderId="15" xfId="2" applyNumberFormat="1" applyFont="1" applyFill="1" applyBorder="1" applyAlignment="1">
      <alignment vertical="center"/>
    </xf>
    <xf numFmtId="0" fontId="22" fillId="4" borderId="0" xfId="5" applyFont="1" applyFill="1" applyAlignment="1">
      <alignment horizontal="center" vertical="center"/>
    </xf>
    <xf numFmtId="164" fontId="22" fillId="4" borderId="0" xfId="6" applyFont="1" applyFill="1" applyBorder="1"/>
    <xf numFmtId="0" fontId="22" fillId="4" borderId="0" xfId="5" applyFont="1" applyFill="1"/>
    <xf numFmtId="0" fontId="22" fillId="4" borderId="0" xfId="5" applyFont="1" applyFill="1" applyAlignment="1">
      <alignment horizontal="left"/>
    </xf>
    <xf numFmtId="164" fontId="22" fillId="4" borderId="0" xfId="6" applyFont="1" applyFill="1" applyBorder="1" applyAlignment="1">
      <alignment vertical="center"/>
    </xf>
    <xf numFmtId="0" fontId="22" fillId="4" borderId="0" xfId="5" applyFont="1" applyFill="1" applyAlignment="1">
      <alignment vertical="center"/>
    </xf>
    <xf numFmtId="0" fontId="22" fillId="4" borderId="0" xfId="5" applyFont="1" applyFill="1" applyAlignment="1">
      <alignment horizontal="left" vertical="center"/>
    </xf>
    <xf numFmtId="164" fontId="22" fillId="4" borderId="0" xfId="6" applyFont="1" applyFill="1" applyBorder="1" applyAlignment="1">
      <alignment horizontal="left" vertical="center"/>
    </xf>
    <xf numFmtId="164" fontId="22" fillId="4" borderId="0" xfId="6" applyFont="1" applyFill="1" applyBorder="1" applyAlignment="1">
      <alignment horizontal="left"/>
    </xf>
    <xf numFmtId="0" fontId="22" fillId="4" borderId="0" xfId="5" applyFont="1" applyFill="1" applyAlignment="1">
      <alignment horizontal="center"/>
    </xf>
    <xf numFmtId="164" fontId="22" fillId="4" borderId="0" xfId="6" applyFont="1" applyFill="1" applyBorder="1" applyAlignment="1"/>
    <xf numFmtId="0" fontId="34" fillId="4" borderId="0" xfId="10" applyFont="1" applyFill="1" applyAlignment="1">
      <alignment vertical="center"/>
    </xf>
    <xf numFmtId="0" fontId="0" fillId="2" borderId="0" xfId="5" applyFont="1" applyFill="1"/>
    <xf numFmtId="0" fontId="0" fillId="2" borderId="0" xfId="5" applyFont="1" applyFill="1" applyAlignment="1">
      <alignment horizontal="left" vertical="center"/>
    </xf>
    <xf numFmtId="0" fontId="22" fillId="2" borderId="0" xfId="5" applyFont="1" applyFill="1" applyAlignment="1">
      <alignment vertical="center"/>
    </xf>
    <xf numFmtId="0" fontId="33" fillId="2" borderId="0" xfId="5" applyFont="1" applyFill="1" applyAlignment="1">
      <alignment horizontal="left" wrapText="1"/>
    </xf>
    <xf numFmtId="0" fontId="22" fillId="4" borderId="1" xfId="5" applyFont="1" applyFill="1" applyBorder="1" applyAlignment="1">
      <alignment horizontal="center" vertical="center"/>
    </xf>
    <xf numFmtId="0" fontId="22" fillId="8" borderId="1" xfId="5" applyFont="1" applyFill="1" applyBorder="1" applyAlignment="1">
      <alignment horizontal="center" vertical="center"/>
    </xf>
    <xf numFmtId="0" fontId="22" fillId="8" borderId="0" xfId="5" applyFont="1" applyFill="1" applyAlignment="1">
      <alignment horizontal="center" vertical="center"/>
    </xf>
    <xf numFmtId="0" fontId="34" fillId="8" borderId="0" xfId="5" applyFont="1" applyFill="1" applyAlignment="1">
      <alignment horizontal="center"/>
    </xf>
    <xf numFmtId="0" fontId="22" fillId="8" borderId="0" xfId="5" applyFont="1" applyFill="1" applyAlignment="1">
      <alignment horizontal="center"/>
    </xf>
    <xf numFmtId="164" fontId="22" fillId="4" borderId="0" xfId="6" applyFont="1" applyFill="1" applyBorder="1" applyAlignment="1">
      <alignment horizontal="center"/>
    </xf>
    <xf numFmtId="0" fontId="22" fillId="7" borderId="0" xfId="5" applyFont="1" applyFill="1" applyAlignment="1">
      <alignment horizontal="center" vertical="center"/>
    </xf>
    <xf numFmtId="0" fontId="25" fillId="4" borderId="1" xfId="5" applyFont="1" applyFill="1" applyBorder="1" applyAlignment="1">
      <alignment horizontal="center" vertical="center" wrapText="1"/>
    </xf>
    <xf numFmtId="0" fontId="26" fillId="4" borderId="1" xfId="5" applyFont="1" applyFill="1" applyBorder="1" applyAlignment="1">
      <alignment horizontal="center" vertical="center" wrapText="1"/>
    </xf>
    <xf numFmtId="0" fontId="16" fillId="4" borderId="0" xfId="2" applyFont="1" applyFill="1" applyAlignment="1">
      <alignment vertical="center"/>
    </xf>
    <xf numFmtId="0" fontId="3" fillId="4" borderId="0" xfId="2" applyFont="1" applyFill="1" applyAlignment="1">
      <alignment vertical="center"/>
    </xf>
    <xf numFmtId="164" fontId="3" fillId="4" borderId="0" xfId="2" applyNumberFormat="1" applyFont="1" applyFill="1" applyAlignment="1">
      <alignment vertical="center"/>
    </xf>
    <xf numFmtId="164" fontId="13" fillId="4" borderId="0" xfId="0" applyNumberFormat="1" applyFont="1" applyFill="1" applyAlignment="1">
      <alignment horizontal="left" vertical="center"/>
    </xf>
    <xf numFmtId="164" fontId="22" fillId="4" borderId="0" xfId="5" applyNumberFormat="1" applyFont="1" applyFill="1"/>
    <xf numFmtId="0" fontId="11" fillId="4" borderId="0" xfId="2" applyFont="1" applyFill="1" applyAlignment="1">
      <alignment vertical="center" wrapText="1"/>
    </xf>
    <xf numFmtId="0" fontId="11" fillId="4" borderId="0" xfId="2" applyFont="1" applyFill="1" applyAlignment="1">
      <alignment vertical="center"/>
    </xf>
    <xf numFmtId="0" fontId="23" fillId="4" borderId="0" xfId="5" applyFont="1" applyFill="1" applyAlignment="1">
      <alignment horizontal="center" vertical="center"/>
    </xf>
    <xf numFmtId="0" fontId="24" fillId="4" borderId="0" xfId="5" applyFont="1" applyFill="1" applyAlignment="1">
      <alignment horizontal="center" vertical="center"/>
    </xf>
    <xf numFmtId="0" fontId="22" fillId="2" borderId="1" xfId="5" applyFont="1" applyFill="1" applyBorder="1" applyAlignment="1" applyProtection="1">
      <alignment horizontal="center" vertical="center"/>
      <protection locked="0"/>
    </xf>
    <xf numFmtId="0" fontId="21" fillId="4" borderId="0" xfId="2" applyFont="1" applyFill="1" applyAlignment="1">
      <alignment vertical="center"/>
    </xf>
    <xf numFmtId="0" fontId="39" fillId="4" borderId="0" xfId="5" applyFont="1" applyFill="1" applyAlignment="1">
      <alignment horizontal="center" vertical="center"/>
    </xf>
    <xf numFmtId="0" fontId="22" fillId="5" borderId="0" xfId="5" applyFont="1" applyFill="1"/>
    <xf numFmtId="0" fontId="41" fillId="4" borderId="0" xfId="5" applyFont="1" applyFill="1" applyAlignment="1">
      <alignment horizontal="center" vertical="center"/>
    </xf>
    <xf numFmtId="0" fontId="40" fillId="2" borderId="0" xfId="5" applyFont="1" applyFill="1" applyProtection="1">
      <protection locked="0"/>
    </xf>
    <xf numFmtId="0" fontId="0" fillId="2" borderId="0" xfId="5" applyFont="1" applyFill="1" applyAlignment="1">
      <alignment vertical="center"/>
    </xf>
    <xf numFmtId="0" fontId="0" fillId="2" borderId="0" xfId="5" applyFont="1" applyFill="1" applyAlignment="1">
      <alignment horizontal="center" vertical="center"/>
    </xf>
    <xf numFmtId="0" fontId="41" fillId="4" borderId="0" xfId="5" applyFont="1" applyFill="1" applyAlignment="1">
      <alignment horizontal="center" vertical="center" wrapText="1"/>
    </xf>
    <xf numFmtId="0" fontId="29" fillId="6" borderId="61" xfId="9" applyFont="1" applyFill="1" applyBorder="1" applyAlignment="1">
      <alignment horizontal="center" vertical="center" wrapText="1"/>
    </xf>
    <xf numFmtId="168" fontId="0" fillId="2" borderId="1" xfId="0" applyNumberFormat="1" applyFill="1" applyBorder="1" applyAlignment="1">
      <alignment horizontal="center" vertical="center"/>
    </xf>
    <xf numFmtId="0" fontId="29" fillId="6" borderId="62" xfId="9" applyFont="1" applyFill="1" applyBorder="1" applyAlignment="1">
      <alignment horizontal="center" vertical="center" wrapText="1"/>
    </xf>
    <xf numFmtId="0" fontId="22" fillId="4" borderId="0" xfId="0" applyFont="1" applyFill="1" applyAlignment="1">
      <alignment vertical="center"/>
    </xf>
    <xf numFmtId="15" fontId="0" fillId="2" borderId="0" xfId="0" applyNumberFormat="1" applyFill="1" applyAlignment="1">
      <alignment vertical="center"/>
    </xf>
    <xf numFmtId="0" fontId="22" fillId="2" borderId="0" xfId="5" applyFont="1" applyFill="1" applyAlignment="1" applyProtection="1">
      <alignment vertical="center" wrapText="1"/>
      <protection locked="0"/>
    </xf>
    <xf numFmtId="0" fontId="22" fillId="2" borderId="0" xfId="5" applyFont="1" applyFill="1" applyAlignment="1" applyProtection="1">
      <alignment horizontal="center" vertical="center" wrapText="1"/>
      <protection locked="0"/>
    </xf>
    <xf numFmtId="0" fontId="3" fillId="3" borderId="18" xfId="2" applyFont="1" applyFill="1" applyBorder="1" applyAlignment="1">
      <alignment vertical="center"/>
    </xf>
    <xf numFmtId="0" fontId="3" fillId="3" borderId="32" xfId="2" applyFont="1" applyFill="1" applyBorder="1" applyAlignment="1">
      <alignment vertical="center"/>
    </xf>
    <xf numFmtId="0" fontId="6" fillId="3" borderId="18" xfId="2" applyFont="1" applyFill="1" applyBorder="1" applyAlignment="1">
      <alignment horizontal="left" vertical="center"/>
    </xf>
    <xf numFmtId="164" fontId="14" fillId="3" borderId="3" xfId="1" applyFont="1" applyFill="1" applyBorder="1" applyAlignment="1">
      <alignment horizontal="left" vertical="center"/>
    </xf>
    <xf numFmtId="0" fontId="8" fillId="3" borderId="30" xfId="2" applyFont="1" applyFill="1" applyBorder="1" applyAlignment="1">
      <alignment horizontal="left" vertical="center"/>
    </xf>
    <xf numFmtId="0" fontId="3" fillId="3" borderId="15" xfId="2" applyFont="1" applyFill="1" applyBorder="1" applyAlignment="1">
      <alignment vertical="center"/>
    </xf>
    <xf numFmtId="168" fontId="11" fillId="3" borderId="1" xfId="7" applyNumberFormat="1" applyFont="1" applyFill="1" applyBorder="1" applyAlignment="1">
      <alignment horizontal="center" vertical="center"/>
    </xf>
    <xf numFmtId="164" fontId="7" fillId="3" borderId="0" xfId="3" applyFont="1" applyFill="1" applyBorder="1" applyAlignment="1" applyProtection="1">
      <alignment horizontal="center" vertical="center"/>
    </xf>
    <xf numFmtId="0" fontId="9" fillId="3" borderId="0" xfId="2" applyFont="1" applyFill="1" applyAlignment="1">
      <alignment horizontal="left" vertical="center"/>
    </xf>
    <xf numFmtId="164" fontId="5" fillId="3" borderId="17" xfId="3" applyFont="1" applyFill="1" applyBorder="1" applyAlignment="1">
      <alignment horizontal="center" vertical="center"/>
    </xf>
    <xf numFmtId="0" fontId="6" fillId="3" borderId="14" xfId="2" applyFont="1" applyFill="1" applyBorder="1" applyAlignment="1">
      <alignment vertical="center"/>
    </xf>
    <xf numFmtId="0" fontId="4" fillId="3" borderId="14" xfId="2" applyFont="1" applyFill="1" applyBorder="1" applyAlignment="1">
      <alignment vertical="center"/>
    </xf>
    <xf numFmtId="0" fontId="4" fillId="3" borderId="55" xfId="2" applyFont="1" applyFill="1" applyBorder="1" applyAlignment="1">
      <alignment vertical="center"/>
    </xf>
    <xf numFmtId="164" fontId="7" fillId="3" borderId="14" xfId="3" applyFont="1" applyFill="1" applyBorder="1" applyAlignment="1" applyProtection="1">
      <alignment horizontal="center" vertical="center"/>
    </xf>
    <xf numFmtId="0" fontId="11" fillId="3" borderId="22" xfId="2" applyFont="1" applyFill="1" applyBorder="1" applyAlignment="1">
      <alignment horizontal="center"/>
    </xf>
    <xf numFmtId="0" fontId="10" fillId="3" borderId="22" xfId="2" applyFont="1" applyFill="1" applyBorder="1" applyAlignment="1">
      <alignment vertical="center"/>
    </xf>
    <xf numFmtId="164" fontId="7" fillId="3" borderId="22" xfId="3" applyFont="1" applyFill="1" applyBorder="1" applyAlignment="1" applyProtection="1">
      <alignment horizontal="center" vertical="center"/>
    </xf>
    <xf numFmtId="0" fontId="4" fillId="3" borderId="45" xfId="2" applyFont="1" applyFill="1" applyBorder="1" applyAlignment="1">
      <alignment vertical="center"/>
    </xf>
    <xf numFmtId="164" fontId="14" fillId="3" borderId="46" xfId="2" applyNumberFormat="1" applyFont="1" applyFill="1" applyBorder="1" applyAlignment="1">
      <alignment horizontal="left" vertical="center"/>
    </xf>
    <xf numFmtId="164" fontId="13" fillId="3" borderId="50" xfId="3" applyFont="1" applyFill="1" applyBorder="1" applyAlignment="1" applyProtection="1">
      <alignment horizontal="center" vertical="center"/>
    </xf>
    <xf numFmtId="164" fontId="11" fillId="3" borderId="48" xfId="2" applyNumberFormat="1" applyFont="1" applyFill="1" applyBorder="1" applyAlignment="1">
      <alignment vertical="center"/>
    </xf>
    <xf numFmtId="164" fontId="11" fillId="4" borderId="30" xfId="2" applyNumberFormat="1" applyFont="1" applyFill="1" applyBorder="1" applyAlignment="1">
      <alignment vertical="center"/>
    </xf>
    <xf numFmtId="164" fontId="11" fillId="4" borderId="46" xfId="1" applyFont="1" applyFill="1" applyBorder="1" applyAlignment="1">
      <alignment vertical="center"/>
    </xf>
    <xf numFmtId="164" fontId="11" fillId="4" borderId="47" xfId="2" applyNumberFormat="1" applyFont="1" applyFill="1" applyBorder="1" applyAlignment="1">
      <alignment vertical="center"/>
    </xf>
    <xf numFmtId="164" fontId="11" fillId="4" borderId="48" xfId="1" applyFont="1" applyFill="1" applyBorder="1" applyAlignment="1">
      <alignment vertical="center"/>
    </xf>
    <xf numFmtId="0" fontId="9" fillId="3" borderId="14" xfId="2" applyFont="1" applyFill="1" applyBorder="1" applyAlignment="1">
      <alignment horizontal="left" vertical="center"/>
    </xf>
    <xf numFmtId="2" fontId="11" fillId="3" borderId="22" xfId="2" applyNumberFormat="1" applyFont="1" applyFill="1" applyBorder="1" applyAlignment="1">
      <alignment horizontal="center" vertical="center"/>
    </xf>
    <xf numFmtId="164" fontId="13" fillId="3" borderId="22" xfId="1" applyFont="1" applyFill="1" applyBorder="1" applyAlignment="1" applyProtection="1">
      <alignment horizontal="center" vertical="center"/>
    </xf>
    <xf numFmtId="164" fontId="13" fillId="3" borderId="48" xfId="3" applyFont="1" applyFill="1" applyBorder="1" applyAlignment="1" applyProtection="1">
      <alignment horizontal="center" vertical="center"/>
    </xf>
    <xf numFmtId="2" fontId="11" fillId="3" borderId="1" xfId="2" applyNumberFormat="1" applyFont="1" applyFill="1" applyBorder="1" applyAlignment="1">
      <alignment horizontal="center" vertical="center"/>
    </xf>
    <xf numFmtId="164" fontId="11" fillId="3" borderId="46" xfId="2" applyNumberFormat="1" applyFont="1" applyFill="1" applyBorder="1" applyAlignment="1">
      <alignment horizontal="center" vertical="center"/>
    </xf>
    <xf numFmtId="2" fontId="11" fillId="3" borderId="59" xfId="2" applyNumberFormat="1" applyFont="1" applyFill="1" applyBorder="1" applyAlignment="1">
      <alignment horizontal="center" vertical="center"/>
    </xf>
    <xf numFmtId="164" fontId="11" fillId="3" borderId="48" xfId="2" applyNumberFormat="1" applyFont="1" applyFill="1" applyBorder="1" applyAlignment="1">
      <alignment horizontal="center" vertical="center"/>
    </xf>
    <xf numFmtId="164" fontId="11" fillId="4" borderId="47" xfId="2" applyNumberFormat="1" applyFont="1" applyFill="1" applyBorder="1" applyAlignment="1">
      <alignment horizontal="center" vertical="center"/>
    </xf>
    <xf numFmtId="164" fontId="11" fillId="4" borderId="48" xfId="1" applyFont="1" applyFill="1" applyBorder="1" applyAlignment="1">
      <alignment horizontal="center" vertical="center"/>
    </xf>
    <xf numFmtId="164" fontId="11" fillId="4" borderId="58" xfId="2" applyNumberFormat="1" applyFont="1" applyFill="1" applyBorder="1" applyAlignment="1">
      <alignment horizontal="center" vertical="center"/>
    </xf>
    <xf numFmtId="168" fontId="11" fillId="3" borderId="59" xfId="2" applyNumberFormat="1" applyFont="1" applyFill="1" applyBorder="1" applyAlignment="1">
      <alignment horizontal="center" vertical="center"/>
    </xf>
    <xf numFmtId="164" fontId="3" fillId="3" borderId="0" xfId="1" applyFont="1" applyFill="1" applyBorder="1" applyAlignment="1" applyProtection="1">
      <alignment horizontal="center" vertical="center"/>
    </xf>
    <xf numFmtId="0" fontId="13" fillId="3" borderId="0" xfId="0" applyFont="1" applyFill="1" applyAlignment="1">
      <alignment horizontal="left" vertical="center"/>
    </xf>
    <xf numFmtId="164" fontId="11" fillId="3" borderId="46" xfId="1" applyFont="1" applyFill="1" applyBorder="1" applyAlignment="1" applyProtection="1">
      <alignment horizontal="center" vertical="center"/>
    </xf>
    <xf numFmtId="164" fontId="11" fillId="3" borderId="50" xfId="1" applyFont="1" applyFill="1" applyBorder="1" applyAlignment="1" applyProtection="1">
      <alignment horizontal="center" vertical="center"/>
    </xf>
    <xf numFmtId="164" fontId="11" fillId="3" borderId="48" xfId="1" applyFont="1" applyFill="1" applyBorder="1" applyAlignment="1" applyProtection="1">
      <alignment horizontal="center" vertical="center"/>
    </xf>
    <xf numFmtId="164" fontId="3" fillId="3" borderId="14" xfId="1" applyFont="1" applyFill="1" applyBorder="1" applyAlignment="1" applyProtection="1">
      <alignment horizontal="center" vertical="center"/>
    </xf>
    <xf numFmtId="2" fontId="15" fillId="3" borderId="51" xfId="2" applyNumberFormat="1" applyFont="1" applyFill="1" applyBorder="1" applyAlignment="1">
      <alignment horizontal="center" vertical="center" wrapText="1"/>
    </xf>
    <xf numFmtId="0" fontId="6" fillId="3" borderId="0" xfId="2" applyFont="1" applyFill="1" applyAlignment="1">
      <alignment vertical="center"/>
    </xf>
    <xf numFmtId="164" fontId="13" fillId="3" borderId="46" xfId="0" applyNumberFormat="1" applyFont="1" applyFill="1" applyBorder="1" applyAlignment="1">
      <alignment horizontal="left" vertical="center"/>
    </xf>
    <xf numFmtId="0" fontId="15" fillId="3" borderId="42" xfId="2" applyFont="1" applyFill="1" applyBorder="1" applyAlignment="1">
      <alignment horizontal="left" vertical="center"/>
    </xf>
    <xf numFmtId="164" fontId="11" fillId="3" borderId="22" xfId="2" applyNumberFormat="1" applyFont="1" applyFill="1" applyBorder="1" applyAlignment="1">
      <alignment vertical="center"/>
    </xf>
    <xf numFmtId="165" fontId="13" fillId="3" borderId="1" xfId="6" applyNumberFormat="1" applyFont="1" applyFill="1" applyBorder="1" applyAlignment="1" applyProtection="1">
      <alignment horizontal="center" vertical="center"/>
    </xf>
    <xf numFmtId="0" fontId="3" fillId="0" borderId="22" xfId="2" applyFont="1" applyBorder="1" applyAlignment="1">
      <alignment vertical="center"/>
    </xf>
    <xf numFmtId="2" fontId="10" fillId="4" borderId="0" xfId="2" applyNumberFormat="1" applyFont="1" applyFill="1" applyAlignment="1">
      <alignment horizontal="right" vertical="center"/>
    </xf>
    <xf numFmtId="2" fontId="11" fillId="3" borderId="17" xfId="2" applyNumberFormat="1" applyFont="1" applyFill="1" applyBorder="1" applyAlignment="1">
      <alignment horizontal="right" vertical="center"/>
    </xf>
    <xf numFmtId="2" fontId="11" fillId="3" borderId="55" xfId="2" applyNumberFormat="1" applyFont="1" applyFill="1" applyBorder="1" applyAlignment="1">
      <alignment horizontal="center" vertical="center"/>
    </xf>
    <xf numFmtId="164" fontId="11" fillId="3" borderId="45" xfId="1" applyFont="1" applyFill="1" applyBorder="1" applyAlignment="1" applyProtection="1">
      <alignment horizontal="center" vertical="center"/>
    </xf>
    <xf numFmtId="2" fontId="11" fillId="3" borderId="2" xfId="2" applyNumberFormat="1" applyFont="1" applyFill="1" applyBorder="1" applyAlignment="1">
      <alignment horizontal="center" vertical="center"/>
    </xf>
    <xf numFmtId="168" fontId="11" fillId="3" borderId="2" xfId="2" applyNumberFormat="1" applyFont="1" applyFill="1" applyBorder="1" applyAlignment="1">
      <alignment horizontal="center" vertical="center"/>
    </xf>
    <xf numFmtId="164" fontId="11" fillId="3" borderId="50" xfId="2" applyNumberFormat="1" applyFont="1" applyFill="1" applyBorder="1" applyAlignment="1">
      <alignment horizontal="center" vertical="center"/>
    </xf>
    <xf numFmtId="164" fontId="11" fillId="4" borderId="7" xfId="2" applyNumberFormat="1" applyFont="1" applyFill="1" applyBorder="1" applyAlignment="1">
      <alignment horizontal="center" vertical="center"/>
    </xf>
    <xf numFmtId="164" fontId="11" fillId="4" borderId="50" xfId="1" applyFont="1" applyFill="1" applyBorder="1" applyAlignment="1">
      <alignment horizontal="center" vertical="center"/>
    </xf>
    <xf numFmtId="164" fontId="3" fillId="3" borderId="22" xfId="1" applyFont="1" applyFill="1" applyBorder="1" applyAlignment="1" applyProtection="1">
      <alignment horizontal="center" vertical="center"/>
    </xf>
    <xf numFmtId="0" fontId="4" fillId="3" borderId="14" xfId="2" applyFont="1" applyFill="1" applyBorder="1" applyAlignment="1">
      <alignment horizontal="left" vertical="center"/>
    </xf>
    <xf numFmtId="164" fontId="13" fillId="3" borderId="75" xfId="3" applyFont="1" applyFill="1" applyBorder="1" applyAlignment="1" applyProtection="1">
      <alignment horizontal="center" vertical="center"/>
    </xf>
    <xf numFmtId="0" fontId="4" fillId="3" borderId="55" xfId="2" applyFont="1" applyFill="1" applyBorder="1" applyAlignment="1">
      <alignment horizontal="center" vertical="center"/>
    </xf>
    <xf numFmtId="0" fontId="4" fillId="3" borderId="34" xfId="2" applyFont="1" applyFill="1" applyBorder="1" applyAlignment="1">
      <alignment horizontal="center" vertical="center"/>
    </xf>
    <xf numFmtId="0" fontId="8" fillId="3" borderId="47" xfId="2" applyFont="1" applyFill="1" applyBorder="1" applyAlignment="1">
      <alignment horizontal="left" vertical="center"/>
    </xf>
    <xf numFmtId="166" fontId="11" fillId="3" borderId="58" xfId="2" applyNumberFormat="1" applyFont="1" applyFill="1" applyBorder="1" applyAlignment="1">
      <alignment horizontal="center" vertical="center"/>
    </xf>
    <xf numFmtId="164" fontId="11" fillId="3" borderId="58" xfId="1" applyFont="1" applyFill="1" applyBorder="1" applyAlignment="1" applyProtection="1">
      <alignment horizontal="center" vertical="center"/>
    </xf>
    <xf numFmtId="9" fontId="13" fillId="3" borderId="59" xfId="1" applyNumberFormat="1" applyFont="1" applyFill="1" applyBorder="1" applyAlignment="1" applyProtection="1">
      <alignment horizontal="center" vertical="center"/>
    </xf>
    <xf numFmtId="164" fontId="3" fillId="3" borderId="27" xfId="1" applyFont="1" applyFill="1" applyBorder="1" applyAlignment="1" applyProtection="1">
      <alignment horizontal="center" vertical="center"/>
    </xf>
    <xf numFmtId="164" fontId="3" fillId="3" borderId="28" xfId="1" applyFont="1" applyFill="1" applyBorder="1" applyAlignment="1" applyProtection="1">
      <alignment horizontal="center" vertical="center"/>
    </xf>
    <xf numFmtId="0" fontId="11" fillId="3" borderId="59" xfId="2" applyFont="1" applyFill="1" applyBorder="1" applyAlignment="1">
      <alignment horizontal="center" vertical="center"/>
    </xf>
    <xf numFmtId="168" fontId="11" fillId="3" borderId="59" xfId="7" applyNumberFormat="1" applyFont="1" applyFill="1" applyBorder="1" applyAlignment="1">
      <alignment horizontal="center" vertical="center"/>
    </xf>
    <xf numFmtId="164" fontId="11" fillId="4" borderId="58" xfId="1" applyFont="1" applyFill="1" applyBorder="1" applyAlignment="1" applyProtection="1">
      <alignment horizontal="center" vertical="center"/>
    </xf>
    <xf numFmtId="164" fontId="0" fillId="3" borderId="0" xfId="0" applyNumberFormat="1" applyFill="1"/>
    <xf numFmtId="9" fontId="13" fillId="3" borderId="1" xfId="7" applyFont="1" applyFill="1" applyBorder="1" applyAlignment="1" applyProtection="1">
      <alignment horizontal="center" vertical="center"/>
    </xf>
    <xf numFmtId="9" fontId="13" fillId="3" borderId="59" xfId="7" applyFont="1" applyFill="1" applyBorder="1" applyAlignment="1" applyProtection="1">
      <alignment horizontal="center" vertical="center"/>
    </xf>
    <xf numFmtId="0" fontId="18" fillId="0" borderId="1" xfId="0" applyFont="1" applyBorder="1" applyAlignment="1">
      <alignment horizontal="center"/>
    </xf>
    <xf numFmtId="0" fontId="18" fillId="0" borderId="1" xfId="0" applyFont="1" applyBorder="1" applyAlignment="1">
      <alignment horizontal="left" wrapText="1"/>
    </xf>
    <xf numFmtId="14" fontId="0" fillId="0" borderId="1" xfId="0" applyNumberFormat="1" applyBorder="1" applyAlignment="1">
      <alignment horizontal="center"/>
    </xf>
    <xf numFmtId="0" fontId="0" fillId="0" borderId="1" xfId="0" applyBorder="1" applyAlignment="1">
      <alignment horizontal="center"/>
    </xf>
    <xf numFmtId="0" fontId="0" fillId="0" borderId="1" xfId="0" applyBorder="1" applyAlignment="1">
      <alignment horizontal="left" wrapText="1"/>
    </xf>
    <xf numFmtId="0" fontId="0" fillId="0" borderId="1" xfId="0" applyBorder="1" applyAlignment="1">
      <alignment horizontal="left"/>
    </xf>
    <xf numFmtId="164" fontId="13" fillId="3" borderId="3" xfId="1" applyFont="1" applyFill="1" applyBorder="1" applyAlignment="1">
      <alignment horizontal="center" vertical="center"/>
    </xf>
    <xf numFmtId="0" fontId="0" fillId="2" borderId="2" xfId="0" applyFill="1" applyBorder="1" applyAlignment="1">
      <alignment horizontal="center" vertical="center"/>
    </xf>
    <xf numFmtId="168" fontId="0" fillId="2" borderId="2" xfId="0" applyNumberFormat="1" applyFill="1" applyBorder="1" applyAlignment="1">
      <alignment horizontal="center" vertical="center"/>
    </xf>
    <xf numFmtId="168" fontId="0" fillId="2" borderId="50" xfId="0" applyNumberFormat="1" applyFill="1" applyBorder="1" applyAlignment="1">
      <alignment horizontal="center" vertical="center"/>
    </xf>
    <xf numFmtId="168" fontId="0" fillId="5" borderId="1" xfId="0" applyNumberFormat="1" applyFill="1" applyBorder="1" applyAlignment="1">
      <alignment horizontal="center" vertical="center"/>
    </xf>
    <xf numFmtId="0" fontId="0" fillId="5" borderId="60" xfId="0" applyFill="1" applyBorder="1" applyAlignment="1">
      <alignment horizontal="right" indent="1"/>
    </xf>
    <xf numFmtId="0" fontId="0" fillId="5" borderId="62" xfId="0" applyFill="1" applyBorder="1" applyAlignment="1">
      <alignment horizontal="right" indent="1"/>
    </xf>
    <xf numFmtId="168" fontId="0" fillId="5" borderId="62" xfId="0" applyNumberFormat="1" applyFill="1" applyBorder="1" applyAlignment="1">
      <alignment horizontal="center" vertical="center"/>
    </xf>
    <xf numFmtId="168" fontId="0" fillId="5" borderId="61" xfId="0" applyNumberFormat="1" applyFill="1" applyBorder="1" applyAlignment="1">
      <alignment horizontal="center" vertical="center"/>
    </xf>
    <xf numFmtId="0" fontId="0" fillId="5" borderId="30" xfId="0" applyFill="1" applyBorder="1" applyAlignment="1">
      <alignment horizontal="right" indent="1"/>
    </xf>
    <xf numFmtId="168" fontId="0" fillId="2" borderId="59" xfId="0" applyNumberFormat="1" applyFill="1" applyBorder="1" applyAlignment="1">
      <alignment horizontal="center" vertical="center"/>
    </xf>
    <xf numFmtId="0" fontId="0" fillId="2" borderId="3" xfId="0" applyFill="1" applyBorder="1" applyAlignment="1">
      <alignment horizontal="center" vertical="center"/>
    </xf>
    <xf numFmtId="0" fontId="0" fillId="2" borderId="64" xfId="0" applyFill="1" applyBorder="1" applyAlignment="1">
      <alignment horizontal="center" vertical="center"/>
    </xf>
    <xf numFmtId="0" fontId="21" fillId="2" borderId="0" xfId="2" applyFont="1" applyFill="1" applyAlignment="1">
      <alignment vertical="center"/>
    </xf>
    <xf numFmtId="0" fontId="53" fillId="5" borderId="1" xfId="2" applyFont="1" applyFill="1" applyBorder="1" applyAlignment="1">
      <alignment vertical="center"/>
    </xf>
    <xf numFmtId="0" fontId="11" fillId="5" borderId="1" xfId="2" applyFont="1" applyFill="1" applyBorder="1" applyAlignment="1" applyProtection="1">
      <alignment horizontal="center" vertical="center"/>
      <protection locked="0"/>
    </xf>
    <xf numFmtId="0" fontId="11" fillId="5" borderId="1" xfId="2" applyFont="1" applyFill="1" applyBorder="1" applyAlignment="1">
      <alignment horizontal="center"/>
    </xf>
    <xf numFmtId="0" fontId="10" fillId="5" borderId="1" xfId="2" applyFont="1" applyFill="1" applyBorder="1" applyAlignment="1">
      <alignment vertical="center"/>
    </xf>
    <xf numFmtId="0" fontId="11" fillId="5" borderId="1" xfId="2" applyFont="1" applyFill="1" applyBorder="1" applyAlignment="1">
      <alignment horizontal="right" vertical="center"/>
    </xf>
    <xf numFmtId="164" fontId="11" fillId="5" borderId="1" xfId="2" applyNumberFormat="1" applyFont="1" applyFill="1" applyBorder="1" applyAlignment="1">
      <alignment vertical="center"/>
    </xf>
    <xf numFmtId="164" fontId="7" fillId="5" borderId="1" xfId="3" applyFont="1" applyFill="1" applyBorder="1" applyAlignment="1">
      <alignment horizontal="center" vertical="center"/>
    </xf>
    <xf numFmtId="2" fontId="11" fillId="5" borderId="1" xfId="2" applyNumberFormat="1" applyFont="1" applyFill="1" applyBorder="1" applyAlignment="1">
      <alignment horizontal="center" vertical="center"/>
    </xf>
    <xf numFmtId="2" fontId="10" fillId="5" borderId="1" xfId="2" applyNumberFormat="1" applyFont="1" applyFill="1" applyBorder="1" applyAlignment="1">
      <alignment horizontal="center" vertical="center"/>
    </xf>
    <xf numFmtId="168" fontId="11" fillId="5" borderId="1" xfId="2" applyNumberFormat="1" applyFont="1" applyFill="1" applyBorder="1" applyAlignment="1">
      <alignment horizontal="center" vertical="center"/>
    </xf>
    <xf numFmtId="164" fontId="11" fillId="5" borderId="1" xfId="2" applyNumberFormat="1" applyFont="1" applyFill="1" applyBorder="1" applyAlignment="1">
      <alignment horizontal="center" vertical="center"/>
    </xf>
    <xf numFmtId="164" fontId="11" fillId="5" borderId="1" xfId="1" applyFont="1" applyFill="1" applyBorder="1" applyAlignment="1">
      <alignment vertical="center"/>
    </xf>
    <xf numFmtId="164" fontId="3" fillId="5" borderId="1" xfId="2" applyNumberFormat="1" applyFont="1" applyFill="1" applyBorder="1" applyAlignment="1">
      <alignment vertical="center"/>
    </xf>
    <xf numFmtId="164" fontId="52" fillId="5" borderId="1" xfId="8" applyFont="1" applyFill="1" applyBorder="1" applyAlignment="1" applyProtection="1">
      <alignment horizontal="center" vertical="center"/>
    </xf>
    <xf numFmtId="0" fontId="3" fillId="5" borderId="1" xfId="2" applyFont="1" applyFill="1" applyBorder="1" applyAlignment="1">
      <alignment vertical="center"/>
    </xf>
    <xf numFmtId="2" fontId="11" fillId="3" borderId="14" xfId="2" applyNumberFormat="1" applyFont="1" applyFill="1" applyBorder="1" applyAlignment="1">
      <alignment horizontal="right" vertical="center"/>
    </xf>
    <xf numFmtId="0" fontId="18" fillId="7" borderId="77" xfId="0" applyFont="1" applyFill="1" applyBorder="1"/>
    <xf numFmtId="0" fontId="0" fillId="2" borderId="78" xfId="0" applyFill="1" applyBorder="1" applyAlignment="1">
      <alignment horizontal="left"/>
    </xf>
    <xf numFmtId="0" fontId="0" fillId="2" borderId="26" xfId="0" applyFill="1" applyBorder="1" applyAlignment="1">
      <alignment horizontal="left"/>
    </xf>
    <xf numFmtId="0" fontId="11" fillId="2" borderId="24" xfId="2" applyFont="1" applyFill="1" applyBorder="1" applyAlignment="1" applyProtection="1">
      <alignment horizontal="center" vertical="center"/>
      <protection locked="0"/>
    </xf>
    <xf numFmtId="2" fontId="11" fillId="3" borderId="57" xfId="2" applyNumberFormat="1" applyFont="1" applyFill="1" applyBorder="1" applyAlignment="1">
      <alignment horizontal="center" vertical="center"/>
    </xf>
    <xf numFmtId="2" fontId="10" fillId="3" borderId="57" xfId="2" applyNumberFormat="1" applyFont="1" applyFill="1" applyBorder="1" applyAlignment="1">
      <alignment horizontal="center" vertical="center"/>
    </xf>
    <xf numFmtId="0" fontId="11" fillId="5" borderId="66" xfId="2" applyFont="1" applyFill="1" applyBorder="1" applyAlignment="1">
      <alignment horizontal="right" vertical="center"/>
    </xf>
    <xf numFmtId="164" fontId="7" fillId="5" borderId="66" xfId="3" applyFont="1" applyFill="1" applyBorder="1" applyAlignment="1">
      <alignment horizontal="center" vertical="center"/>
    </xf>
    <xf numFmtId="2" fontId="11" fillId="5" borderId="66" xfId="2" applyNumberFormat="1" applyFont="1" applyFill="1" applyBorder="1" applyAlignment="1">
      <alignment horizontal="center" vertical="center"/>
    </xf>
    <xf numFmtId="164" fontId="11" fillId="3" borderId="1" xfId="2" applyNumberFormat="1" applyFont="1" applyFill="1" applyBorder="1" applyAlignment="1">
      <alignment horizontal="center" vertical="center"/>
    </xf>
    <xf numFmtId="164" fontId="11" fillId="3" borderId="59" xfId="2" applyNumberFormat="1" applyFont="1" applyFill="1" applyBorder="1" applyAlignment="1">
      <alignment horizontal="center" vertical="center"/>
    </xf>
    <xf numFmtId="164" fontId="14" fillId="3" borderId="58" xfId="1" applyFont="1" applyFill="1" applyBorder="1" applyAlignment="1">
      <alignment horizontal="center" vertical="center"/>
    </xf>
    <xf numFmtId="0" fontId="0" fillId="9" borderId="0" xfId="0" applyFill="1"/>
    <xf numFmtId="167" fontId="0" fillId="9" borderId="0" xfId="0" applyNumberFormat="1" applyFill="1" applyAlignment="1">
      <alignment horizontal="center"/>
    </xf>
    <xf numFmtId="0" fontId="0" fillId="9" borderId="0" xfId="0" applyFill="1" applyAlignment="1">
      <alignment horizontal="center"/>
    </xf>
    <xf numFmtId="0" fontId="0" fillId="10" borderId="0" xfId="0" applyFill="1"/>
    <xf numFmtId="0" fontId="18" fillId="10" borderId="0" xfId="0" applyFont="1" applyFill="1"/>
    <xf numFmtId="0" fontId="28" fillId="0" borderId="0" xfId="0" applyFont="1" applyAlignment="1">
      <alignment vertical="center"/>
    </xf>
    <xf numFmtId="0" fontId="0" fillId="2" borderId="2" xfId="0" applyFill="1" applyBorder="1" applyAlignment="1">
      <alignment horizontal="left" vertical="center" wrapText="1"/>
    </xf>
    <xf numFmtId="0" fontId="0" fillId="0" borderId="1" xfId="0" applyBorder="1" applyAlignment="1">
      <alignment horizontal="center" vertical="center"/>
    </xf>
    <xf numFmtId="0" fontId="0" fillId="2" borderId="1" xfId="0" applyFill="1" applyBorder="1" applyAlignment="1" applyProtection="1">
      <alignment horizontal="left" vertical="center"/>
      <protection locked="0"/>
    </xf>
    <xf numFmtId="0" fontId="40" fillId="2" borderId="1" xfId="0" applyFont="1" applyFill="1" applyBorder="1" applyAlignment="1" applyProtection="1">
      <alignment horizontal="left" vertical="center"/>
      <protection locked="0"/>
    </xf>
    <xf numFmtId="0" fontId="40" fillId="2" borderId="1" xfId="0" applyFont="1" applyFill="1" applyBorder="1" applyAlignment="1" applyProtection="1">
      <alignment horizontal="center" vertical="center"/>
      <protection locked="0"/>
    </xf>
    <xf numFmtId="168" fontId="40" fillId="2" borderId="1" xfId="0" applyNumberFormat="1" applyFont="1" applyFill="1" applyBorder="1" applyAlignment="1">
      <alignment horizontal="center" vertical="center"/>
    </xf>
    <xf numFmtId="168" fontId="40" fillId="2" borderId="46" xfId="0" applyNumberFormat="1" applyFont="1" applyFill="1" applyBorder="1" applyAlignment="1">
      <alignment horizontal="center" vertical="center"/>
    </xf>
    <xf numFmtId="164" fontId="11" fillId="3" borderId="26" xfId="1" applyFont="1" applyFill="1" applyBorder="1" applyAlignment="1" applyProtection="1">
      <alignment horizontal="center" vertical="center"/>
    </xf>
    <xf numFmtId="2" fontId="11" fillId="3" borderId="56" xfId="2" applyNumberFormat="1" applyFont="1" applyFill="1" applyBorder="1" applyAlignment="1">
      <alignment horizontal="center" vertical="center"/>
    </xf>
    <xf numFmtId="164" fontId="11" fillId="3" borderId="57" xfId="2" applyNumberFormat="1" applyFont="1" applyFill="1" applyBorder="1" applyAlignment="1">
      <alignment vertical="center"/>
    </xf>
    <xf numFmtId="164" fontId="11" fillId="3" borderId="57" xfId="1" applyFont="1" applyFill="1" applyBorder="1" applyAlignment="1" applyProtection="1">
      <alignment horizontal="center" vertical="center"/>
    </xf>
    <xf numFmtId="0" fontId="11" fillId="3" borderId="32" xfId="2" applyFont="1" applyFill="1" applyBorder="1" applyAlignment="1">
      <alignment horizontal="center" vertical="center" wrapText="1"/>
    </xf>
    <xf numFmtId="0" fontId="17" fillId="3" borderId="32" xfId="2" applyFont="1" applyFill="1" applyBorder="1" applyAlignment="1">
      <alignment horizontal="center" vertical="center" wrapText="1"/>
    </xf>
    <xf numFmtId="164" fontId="11" fillId="3" borderId="56" xfId="1" applyFont="1" applyFill="1" applyBorder="1" applyAlignment="1" applyProtection="1">
      <alignment horizontal="center" vertical="center"/>
    </xf>
    <xf numFmtId="0" fontId="11" fillId="3" borderId="18" xfId="2" applyFont="1" applyFill="1" applyBorder="1" applyAlignment="1">
      <alignment horizontal="center" vertical="center" wrapText="1"/>
    </xf>
    <xf numFmtId="0" fontId="11" fillId="3" borderId="42" xfId="2" applyFont="1" applyFill="1" applyBorder="1" applyAlignment="1">
      <alignment horizontal="center" vertical="center" wrapText="1"/>
    </xf>
    <xf numFmtId="0" fontId="0" fillId="7" borderId="0" xfId="0" applyFill="1" applyAlignment="1">
      <alignment wrapText="1"/>
    </xf>
    <xf numFmtId="0" fontId="29" fillId="6" borderId="77" xfId="9" applyFont="1" applyFill="1" applyBorder="1" applyAlignment="1">
      <alignment horizontal="center" vertical="center" wrapText="1"/>
    </xf>
    <xf numFmtId="0" fontId="0" fillId="2" borderId="46" xfId="0" applyFill="1" applyBorder="1" applyAlignment="1" applyProtection="1">
      <alignment horizontal="left" vertical="center"/>
      <protection locked="0"/>
    </xf>
    <xf numFmtId="164" fontId="0" fillId="2" borderId="0" xfId="0" applyNumberFormat="1" applyFill="1"/>
    <xf numFmtId="166" fontId="40" fillId="2" borderId="78" xfId="0" applyNumberFormat="1" applyFont="1" applyFill="1" applyBorder="1" applyAlignment="1">
      <alignment horizontal="center" vertical="center"/>
    </xf>
    <xf numFmtId="168" fontId="0" fillId="2" borderId="0" xfId="0" applyNumberFormat="1" applyFill="1"/>
    <xf numFmtId="0" fontId="0" fillId="5" borderId="81" xfId="0" applyFill="1" applyBorder="1" applyAlignment="1">
      <alignment horizontal="right" indent="1"/>
    </xf>
    <xf numFmtId="0" fontId="0" fillId="5" borderId="78" xfId="0" applyFill="1" applyBorder="1" applyAlignment="1">
      <alignment horizontal="right" indent="1"/>
    </xf>
    <xf numFmtId="0" fontId="18" fillId="2" borderId="30" xfId="0" applyFont="1" applyFill="1" applyBorder="1" applyAlignment="1">
      <alignment vertical="center" textRotation="90" wrapText="1"/>
    </xf>
    <xf numFmtId="0" fontId="0" fillId="2" borderId="3" xfId="0" applyFill="1" applyBorder="1" applyAlignment="1">
      <alignment horizontal="right"/>
    </xf>
    <xf numFmtId="0" fontId="0" fillId="5" borderId="52" xfId="0" applyFill="1" applyBorder="1" applyAlignment="1">
      <alignment horizontal="right" indent="1"/>
    </xf>
    <xf numFmtId="0" fontId="0" fillId="5" borderId="58" xfId="0" applyFill="1" applyBorder="1" applyAlignment="1">
      <alignment horizontal="right" indent="1"/>
    </xf>
    <xf numFmtId="168" fontId="0" fillId="5" borderId="59" xfId="0" applyNumberFormat="1" applyFill="1" applyBorder="1" applyAlignment="1">
      <alignment horizontal="center" vertical="center"/>
    </xf>
    <xf numFmtId="168" fontId="0" fillId="5" borderId="48" xfId="0" applyNumberFormat="1" applyFill="1" applyBorder="1" applyAlignment="1">
      <alignment horizontal="center" vertical="center"/>
    </xf>
    <xf numFmtId="0" fontId="0" fillId="5" borderId="26" xfId="0" applyFill="1" applyBorder="1" applyAlignment="1">
      <alignment horizontal="right" indent="1"/>
    </xf>
    <xf numFmtId="0" fontId="55" fillId="0" borderId="0" xfId="0" applyFont="1"/>
    <xf numFmtId="0" fontId="22" fillId="0" borderId="0" xfId="5" applyFont="1" applyAlignment="1">
      <alignment vertical="center"/>
    </xf>
    <xf numFmtId="0" fontId="11" fillId="3" borderId="80" xfId="2" applyFont="1" applyFill="1" applyBorder="1" applyAlignment="1">
      <alignment vertical="center"/>
    </xf>
    <xf numFmtId="0" fontId="13" fillId="3" borderId="39" xfId="3" applyNumberFormat="1" applyFont="1" applyFill="1" applyBorder="1" applyAlignment="1" applyProtection="1">
      <alignment horizontal="center" vertical="center"/>
    </xf>
    <xf numFmtId="0" fontId="0" fillId="0" borderId="1" xfId="0" quotePrefix="1" applyBorder="1" applyAlignment="1">
      <alignment horizontal="left" wrapText="1"/>
    </xf>
    <xf numFmtId="2" fontId="11" fillId="2" borderId="77" xfId="2" applyNumberFormat="1" applyFont="1" applyFill="1" applyBorder="1" applyAlignment="1" applyProtection="1">
      <alignment horizontal="center" vertical="center"/>
      <protection locked="0"/>
    </xf>
    <xf numFmtId="0" fontId="8" fillId="3" borderId="30" xfId="2" applyFont="1" applyFill="1" applyBorder="1" applyAlignment="1">
      <alignment horizontal="left" vertical="center" wrapText="1"/>
    </xf>
    <xf numFmtId="0" fontId="3" fillId="3" borderId="30" xfId="2" applyFont="1" applyFill="1" applyBorder="1" applyAlignment="1">
      <alignment vertical="center"/>
    </xf>
    <xf numFmtId="0" fontId="3" fillId="3" borderId="1" xfId="2" applyFont="1" applyFill="1" applyBorder="1" applyAlignment="1">
      <alignment vertical="center"/>
    </xf>
    <xf numFmtId="0" fontId="3" fillId="3" borderId="25" xfId="2" applyFont="1" applyFill="1" applyBorder="1" applyAlignment="1">
      <alignment vertical="center"/>
    </xf>
    <xf numFmtId="0" fontId="15" fillId="3" borderId="77" xfId="2" applyFont="1" applyFill="1" applyBorder="1" applyAlignment="1">
      <alignment horizontal="center" vertical="center" wrapText="1"/>
    </xf>
    <xf numFmtId="0" fontId="15" fillId="3" borderId="78" xfId="2" applyFont="1" applyFill="1" applyBorder="1" applyAlignment="1">
      <alignment horizontal="center" vertical="center" wrapText="1"/>
    </xf>
    <xf numFmtId="0" fontId="15" fillId="3" borderId="44" xfId="2" applyFont="1" applyFill="1" applyBorder="1" applyAlignment="1">
      <alignment horizontal="center" vertical="center" wrapText="1"/>
    </xf>
    <xf numFmtId="0" fontId="15" fillId="3" borderId="18" xfId="2" applyFont="1" applyFill="1" applyBorder="1" applyAlignment="1">
      <alignment horizontal="center" vertical="center" wrapText="1"/>
    </xf>
    <xf numFmtId="0" fontId="15" fillId="3" borderId="13" xfId="2" applyFont="1" applyFill="1" applyBorder="1" applyAlignment="1">
      <alignment horizontal="center" vertical="center"/>
    </xf>
    <xf numFmtId="0" fontId="15" fillId="3" borderId="14" xfId="2" applyFont="1" applyFill="1" applyBorder="1" applyAlignment="1">
      <alignment horizontal="center" vertical="center"/>
    </xf>
    <xf numFmtId="0" fontId="15" fillId="3" borderId="15" xfId="2" applyFont="1" applyFill="1" applyBorder="1" applyAlignment="1">
      <alignment horizontal="center" vertical="center"/>
    </xf>
    <xf numFmtId="2" fontId="11" fillId="3" borderId="82" xfId="2" applyNumberFormat="1" applyFont="1" applyFill="1" applyBorder="1" applyAlignment="1">
      <alignment horizontal="center" vertical="center"/>
    </xf>
    <xf numFmtId="2" fontId="11" fillId="3" borderId="8" xfId="2" applyNumberFormat="1" applyFont="1" applyFill="1" applyBorder="1" applyAlignment="1">
      <alignment horizontal="center" vertical="center"/>
    </xf>
    <xf numFmtId="2" fontId="11" fillId="3" borderId="12" xfId="2" applyNumberFormat="1" applyFont="1" applyFill="1" applyBorder="1" applyAlignment="1">
      <alignment horizontal="center" vertical="center"/>
    </xf>
    <xf numFmtId="0" fontId="3" fillId="3" borderId="16" xfId="2" applyFont="1" applyFill="1" applyBorder="1" applyAlignment="1">
      <alignment vertical="center"/>
    </xf>
    <xf numFmtId="0" fontId="3" fillId="3" borderId="0" xfId="2" applyFont="1" applyFill="1" applyAlignment="1">
      <alignment vertical="center"/>
    </xf>
    <xf numFmtId="0" fontId="3" fillId="3" borderId="18" xfId="2" applyFont="1" applyFill="1" applyBorder="1" applyAlignment="1">
      <alignment vertical="center"/>
    </xf>
    <xf numFmtId="0" fontId="3" fillId="3" borderId="32" xfId="2" applyFont="1" applyFill="1" applyBorder="1" applyAlignment="1">
      <alignment vertical="center"/>
    </xf>
    <xf numFmtId="0" fontId="3" fillId="3" borderId="18" xfId="2" applyFont="1" applyFill="1" applyBorder="1" applyAlignment="1">
      <alignment vertical="center" wrapText="1"/>
    </xf>
    <xf numFmtId="0" fontId="3" fillId="3" borderId="32" xfId="2" applyFont="1" applyFill="1" applyBorder="1" applyAlignment="1">
      <alignment vertical="center" wrapText="1"/>
    </xf>
    <xf numFmtId="0" fontId="3" fillId="3" borderId="30" xfId="2" applyFont="1" applyFill="1" applyBorder="1" applyAlignment="1">
      <alignment vertical="center" wrapText="1"/>
    </xf>
    <xf numFmtId="0" fontId="3" fillId="3" borderId="1" xfId="2" applyFont="1" applyFill="1" applyBorder="1" applyAlignment="1">
      <alignment vertical="center" wrapText="1"/>
    </xf>
    <xf numFmtId="0" fontId="3" fillId="3" borderId="25" xfId="2" applyFont="1" applyFill="1" applyBorder="1" applyAlignment="1">
      <alignment vertical="center" wrapText="1"/>
    </xf>
    <xf numFmtId="0" fontId="49" fillId="3" borderId="13" xfId="2" applyFont="1" applyFill="1" applyBorder="1" applyAlignment="1">
      <alignment horizontal="left" vertical="center"/>
    </xf>
    <xf numFmtId="0" fontId="49" fillId="3" borderId="14" xfId="2" applyFont="1" applyFill="1" applyBorder="1" applyAlignment="1">
      <alignment horizontal="left" vertical="center"/>
    </xf>
    <xf numFmtId="0" fontId="49" fillId="3" borderId="15" xfId="2" applyFont="1" applyFill="1" applyBorder="1" applyAlignment="1">
      <alignment horizontal="left" vertical="center"/>
    </xf>
    <xf numFmtId="0" fontId="53" fillId="3" borderId="21" xfId="2" applyFont="1" applyFill="1" applyBorder="1" applyAlignment="1">
      <alignment vertical="center"/>
    </xf>
    <xf numFmtId="0" fontId="53" fillId="3" borderId="22" xfId="2" applyFont="1" applyFill="1" applyBorder="1" applyAlignment="1">
      <alignment vertical="center"/>
    </xf>
    <xf numFmtId="0" fontId="3" fillId="3" borderId="3" xfId="2" applyFont="1" applyFill="1" applyBorder="1" applyAlignment="1">
      <alignment vertical="center" wrapText="1"/>
    </xf>
    <xf numFmtId="0" fontId="6" fillId="4" borderId="55" xfId="2" applyFont="1" applyFill="1" applyBorder="1" applyAlignment="1">
      <alignment horizontal="center" vertical="center"/>
    </xf>
    <xf numFmtId="0" fontId="6" fillId="4" borderId="45" xfId="2" applyFont="1" applyFill="1" applyBorder="1" applyAlignment="1">
      <alignment horizontal="center" vertical="center"/>
    </xf>
    <xf numFmtId="0" fontId="3" fillId="3" borderId="68" xfId="2" applyFont="1" applyFill="1" applyBorder="1" applyAlignment="1">
      <alignment horizontal="center" vertical="center" wrapText="1"/>
    </xf>
    <xf numFmtId="0" fontId="3" fillId="3" borderId="43" xfId="2" applyFont="1" applyFill="1" applyBorder="1" applyAlignment="1">
      <alignment horizontal="center" vertical="center" wrapText="1"/>
    </xf>
    <xf numFmtId="0" fontId="3" fillId="3" borderId="7" xfId="2" applyFont="1" applyFill="1" applyBorder="1" applyAlignment="1">
      <alignment horizontal="center" vertical="center" wrapText="1"/>
    </xf>
    <xf numFmtId="0" fontId="3" fillId="3" borderId="16" xfId="2" applyFont="1" applyFill="1" applyBorder="1" applyAlignment="1">
      <alignment horizontal="center" vertical="center" wrapText="1"/>
    </xf>
    <xf numFmtId="0" fontId="3" fillId="3" borderId="0" xfId="2" applyFont="1" applyFill="1" applyAlignment="1">
      <alignment horizontal="center" vertical="center" wrapText="1"/>
    </xf>
    <xf numFmtId="0" fontId="3" fillId="3" borderId="33" xfId="2" applyFont="1" applyFill="1" applyBorder="1" applyAlignment="1">
      <alignment horizontal="center" vertical="center" wrapText="1"/>
    </xf>
    <xf numFmtId="0" fontId="3" fillId="3" borderId="21" xfId="2" applyFont="1" applyFill="1" applyBorder="1" applyAlignment="1">
      <alignment horizontal="center" vertical="center" wrapText="1"/>
    </xf>
    <xf numFmtId="0" fontId="3" fillId="3" borderId="22" xfId="2" applyFont="1" applyFill="1" applyBorder="1" applyAlignment="1">
      <alignment horizontal="center" vertical="center" wrapText="1"/>
    </xf>
    <xf numFmtId="0" fontId="3" fillId="3" borderId="64" xfId="2" applyFont="1" applyFill="1" applyBorder="1" applyAlignment="1">
      <alignment horizontal="center" vertical="center" wrapText="1"/>
    </xf>
    <xf numFmtId="0" fontId="6" fillId="3" borderId="60" xfId="2" applyFont="1" applyFill="1" applyBorder="1" applyAlignment="1">
      <alignment horizontal="left" vertical="center"/>
    </xf>
    <xf numFmtId="0" fontId="6" fillId="3" borderId="62" xfId="2" applyFont="1" applyFill="1" applyBorder="1" applyAlignment="1">
      <alignment horizontal="left" vertical="center"/>
    </xf>
    <xf numFmtId="0" fontId="6" fillId="3" borderId="61" xfId="2" applyFont="1" applyFill="1" applyBorder="1" applyAlignment="1">
      <alignment horizontal="left" vertical="center"/>
    </xf>
    <xf numFmtId="0" fontId="3" fillId="3" borderId="19" xfId="2" applyFont="1" applyFill="1" applyBorder="1" applyAlignment="1">
      <alignment horizontal="left" vertical="center"/>
    </xf>
    <xf numFmtId="0" fontId="3" fillId="3" borderId="8" xfId="2" applyFont="1" applyFill="1" applyBorder="1" applyAlignment="1">
      <alignment horizontal="left" vertical="center"/>
    </xf>
    <xf numFmtId="0" fontId="3" fillId="3" borderId="12" xfId="2" applyFont="1" applyFill="1" applyBorder="1" applyAlignment="1">
      <alignment horizontal="left" vertical="center"/>
    </xf>
    <xf numFmtId="0" fontId="3" fillId="0" borderId="14" xfId="2" applyFont="1" applyBorder="1" applyAlignment="1">
      <alignment horizontal="center" vertical="center"/>
    </xf>
    <xf numFmtId="0" fontId="3" fillId="3" borderId="18" xfId="2" applyFont="1" applyFill="1" applyBorder="1" applyAlignment="1">
      <alignment horizontal="left" vertical="center" wrapText="1"/>
    </xf>
    <xf numFmtId="0" fontId="3" fillId="3" borderId="32" xfId="2" applyFont="1" applyFill="1" applyBorder="1" applyAlignment="1">
      <alignment horizontal="left" vertical="center" wrapText="1"/>
    </xf>
    <xf numFmtId="0" fontId="3" fillId="3" borderId="42" xfId="2" applyFont="1" applyFill="1" applyBorder="1" applyAlignment="1">
      <alignment horizontal="left" vertical="center" wrapText="1"/>
    </xf>
    <xf numFmtId="0" fontId="6" fillId="3" borderId="13" xfId="2" applyFont="1" applyFill="1" applyBorder="1" applyAlignment="1">
      <alignment horizontal="left" vertical="center"/>
    </xf>
    <xf numFmtId="0" fontId="6" fillId="3" borderId="14" xfId="2" applyFont="1" applyFill="1" applyBorder="1" applyAlignment="1">
      <alignment horizontal="left" vertical="center"/>
    </xf>
    <xf numFmtId="0" fontId="6" fillId="3" borderId="15" xfId="2" applyFont="1" applyFill="1" applyBorder="1" applyAlignment="1">
      <alignment horizontal="left" vertical="center"/>
    </xf>
    <xf numFmtId="0" fontId="3" fillId="3" borderId="52" xfId="2" applyFont="1" applyFill="1" applyBorder="1" applyAlignment="1">
      <alignment vertical="center"/>
    </xf>
    <xf numFmtId="0" fontId="3" fillId="3" borderId="53" xfId="2" applyFont="1" applyFill="1" applyBorder="1" applyAlignment="1">
      <alignment vertical="center"/>
    </xf>
    <xf numFmtId="2" fontId="11" fillId="2" borderId="73" xfId="2" applyNumberFormat="1" applyFont="1" applyFill="1" applyBorder="1" applyAlignment="1" applyProtection="1">
      <alignment horizontal="left" vertical="center"/>
      <protection locked="0"/>
    </xf>
    <xf numFmtId="2" fontId="11" fillId="2" borderId="37" xfId="2" applyNumberFormat="1" applyFont="1" applyFill="1" applyBorder="1" applyAlignment="1" applyProtection="1">
      <alignment horizontal="left" vertical="center"/>
      <protection locked="0"/>
    </xf>
    <xf numFmtId="2" fontId="11" fillId="2" borderId="34" xfId="2" applyNumberFormat="1" applyFont="1" applyFill="1" applyBorder="1" applyAlignment="1" applyProtection="1">
      <alignment horizontal="left" vertical="center"/>
      <protection locked="0"/>
    </xf>
    <xf numFmtId="0" fontId="31" fillId="3" borderId="65" xfId="2" applyFont="1" applyFill="1" applyBorder="1" applyAlignment="1">
      <alignment horizontal="center" vertical="center"/>
    </xf>
    <xf numFmtId="0" fontId="31" fillId="3" borderId="66" xfId="2" applyFont="1" applyFill="1" applyBorder="1" applyAlignment="1">
      <alignment horizontal="center" vertical="center"/>
    </xf>
    <xf numFmtId="0" fontId="31" fillId="3" borderId="67" xfId="2" applyFont="1" applyFill="1" applyBorder="1" applyAlignment="1">
      <alignment horizontal="center" vertical="center"/>
    </xf>
    <xf numFmtId="0" fontId="31" fillId="3" borderId="30" xfId="2" applyFont="1" applyFill="1" applyBorder="1" applyAlignment="1">
      <alignment horizontal="center" vertical="center"/>
    </xf>
    <xf numFmtId="0" fontId="31" fillId="3" borderId="1" xfId="2" applyFont="1" applyFill="1" applyBorder="1" applyAlignment="1">
      <alignment horizontal="center" vertical="center"/>
    </xf>
    <xf numFmtId="0" fontId="31" fillId="3" borderId="46" xfId="2" applyFont="1" applyFill="1" applyBorder="1" applyAlignment="1">
      <alignment horizontal="center" vertical="center"/>
    </xf>
    <xf numFmtId="168" fontId="3" fillId="3" borderId="1" xfId="2" applyNumberFormat="1" applyFont="1" applyFill="1" applyBorder="1" applyAlignment="1">
      <alignment horizontal="center" vertical="center"/>
    </xf>
    <xf numFmtId="168" fontId="3" fillId="3" borderId="46" xfId="2" applyNumberFormat="1" applyFont="1" applyFill="1" applyBorder="1" applyAlignment="1">
      <alignment horizontal="center" vertical="center"/>
    </xf>
    <xf numFmtId="168" fontId="3" fillId="3" borderId="59" xfId="2" applyNumberFormat="1" applyFont="1" applyFill="1" applyBorder="1" applyAlignment="1">
      <alignment horizontal="center" vertical="center"/>
    </xf>
    <xf numFmtId="168" fontId="3" fillId="3" borderId="48" xfId="2" applyNumberFormat="1" applyFont="1" applyFill="1" applyBorder="1" applyAlignment="1">
      <alignment horizontal="center" vertical="center"/>
    </xf>
    <xf numFmtId="0" fontId="3" fillId="3" borderId="68" xfId="2" applyFont="1" applyFill="1" applyBorder="1" applyAlignment="1">
      <alignment horizontal="center" vertical="center"/>
    </xf>
    <xf numFmtId="0" fontId="3" fillId="3" borderId="43" xfId="2" applyFont="1" applyFill="1" applyBorder="1" applyAlignment="1">
      <alignment horizontal="center" vertical="center"/>
    </xf>
    <xf numFmtId="164" fontId="11" fillId="4" borderId="68" xfId="2" applyNumberFormat="1" applyFont="1" applyFill="1" applyBorder="1" applyAlignment="1">
      <alignment horizontal="center" vertical="center"/>
    </xf>
    <xf numFmtId="164" fontId="11" fillId="4" borderId="69" xfId="2" applyNumberFormat="1" applyFont="1" applyFill="1" applyBorder="1" applyAlignment="1">
      <alignment horizontal="center" vertical="center"/>
    </xf>
    <xf numFmtId="0" fontId="11" fillId="3" borderId="56" xfId="2" applyFont="1" applyFill="1" applyBorder="1" applyAlignment="1">
      <alignment horizontal="right" vertical="center"/>
    </xf>
    <xf numFmtId="0" fontId="11" fillId="3" borderId="58" xfId="2" applyFont="1" applyFill="1" applyBorder="1" applyAlignment="1">
      <alignment horizontal="right" vertical="center"/>
    </xf>
    <xf numFmtId="0" fontId="56" fillId="0" borderId="73" xfId="11" applyFont="1" applyBorder="1" applyAlignment="1">
      <alignment horizontal="center" vertical="center"/>
    </xf>
    <xf numFmtId="0" fontId="56" fillId="0" borderId="37" xfId="11" applyFont="1" applyBorder="1" applyAlignment="1">
      <alignment horizontal="center" vertical="center"/>
    </xf>
    <xf numFmtId="0" fontId="56" fillId="0" borderId="34" xfId="11" applyFont="1" applyBorder="1" applyAlignment="1">
      <alignment horizontal="center" vertical="center"/>
    </xf>
    <xf numFmtId="0" fontId="3" fillId="3" borderId="42" xfId="2" applyFont="1" applyFill="1" applyBorder="1" applyAlignment="1">
      <alignment vertical="center"/>
    </xf>
    <xf numFmtId="0" fontId="15" fillId="3" borderId="20" xfId="2" applyFont="1" applyFill="1" applyBorder="1" applyAlignment="1">
      <alignment horizontal="center" vertical="center"/>
    </xf>
    <xf numFmtId="0" fontId="15" fillId="3" borderId="5" xfId="2" applyFont="1" applyFill="1" applyBorder="1" applyAlignment="1">
      <alignment horizontal="center" vertical="center"/>
    </xf>
    <xf numFmtId="0" fontId="3" fillId="3" borderId="42" xfId="2" applyFont="1" applyFill="1" applyBorder="1" applyAlignment="1">
      <alignment vertical="center" wrapText="1"/>
    </xf>
    <xf numFmtId="0" fontId="3" fillId="3" borderId="30" xfId="4" applyFont="1" applyFill="1" applyBorder="1" applyAlignment="1">
      <alignment horizontal="left" vertical="center" wrapText="1"/>
    </xf>
    <xf numFmtId="0" fontId="3" fillId="3" borderId="1" xfId="4" applyFont="1" applyFill="1" applyBorder="1" applyAlignment="1">
      <alignment horizontal="left" vertical="center" wrapText="1"/>
    </xf>
    <xf numFmtId="0" fontId="3" fillId="3" borderId="30" xfId="2" applyFont="1" applyFill="1" applyBorder="1" applyAlignment="1">
      <alignment horizontal="left" vertical="center"/>
    </xf>
    <xf numFmtId="0" fontId="3" fillId="3" borderId="1" xfId="2" applyFont="1" applyFill="1" applyBorder="1" applyAlignment="1">
      <alignment horizontal="left" vertical="center"/>
    </xf>
    <xf numFmtId="0" fontId="11" fillId="3" borderId="68" xfId="2" applyFont="1" applyFill="1" applyBorder="1" applyAlignment="1">
      <alignment horizontal="right" vertical="center"/>
    </xf>
    <xf numFmtId="0" fontId="11" fillId="3" borderId="7" xfId="2" applyFont="1" applyFill="1" applyBorder="1" applyAlignment="1">
      <alignment horizontal="right" vertical="center"/>
    </xf>
    <xf numFmtId="0" fontId="3" fillId="3" borderId="25" xfId="4" applyFont="1" applyFill="1" applyBorder="1" applyAlignment="1">
      <alignment horizontal="left" vertical="center" wrapText="1"/>
    </xf>
    <xf numFmtId="2" fontId="11" fillId="3" borderId="55" xfId="2" applyNumberFormat="1" applyFont="1" applyFill="1" applyBorder="1" applyAlignment="1">
      <alignment horizontal="center" vertical="center"/>
    </xf>
    <xf numFmtId="164" fontId="11" fillId="4" borderId="63" xfId="1" applyFont="1" applyFill="1" applyBorder="1" applyAlignment="1">
      <alignment horizontal="center" vertical="center" wrapText="1"/>
    </xf>
    <xf numFmtId="164" fontId="11" fillId="4" borderId="35" xfId="1" applyFont="1" applyFill="1" applyBorder="1" applyAlignment="1">
      <alignment horizontal="center" vertical="center" wrapText="1"/>
    </xf>
    <xf numFmtId="0" fontId="6" fillId="3" borderId="16" xfId="2" applyFont="1" applyFill="1" applyBorder="1" applyAlignment="1">
      <alignment horizontal="left" vertical="center"/>
    </xf>
    <xf numFmtId="0" fontId="6" fillId="3" borderId="0" xfId="2" applyFont="1" applyFill="1" applyAlignment="1">
      <alignment horizontal="left" vertical="center"/>
    </xf>
    <xf numFmtId="0" fontId="15" fillId="3" borderId="4" xfId="2" applyFont="1" applyFill="1" applyBorder="1" applyAlignment="1">
      <alignment horizontal="center" vertical="center"/>
    </xf>
    <xf numFmtId="0" fontId="15" fillId="3" borderId="74" xfId="2" applyFont="1" applyFill="1" applyBorder="1" applyAlignment="1">
      <alignment horizontal="center" vertical="center"/>
    </xf>
    <xf numFmtId="0" fontId="3" fillId="3" borderId="3" xfId="2" applyFont="1" applyFill="1" applyBorder="1" applyAlignment="1">
      <alignment vertical="center"/>
    </xf>
    <xf numFmtId="0" fontId="6" fillId="4" borderId="44" xfId="2" applyFont="1" applyFill="1" applyBorder="1" applyAlignment="1">
      <alignment horizontal="center" vertical="center"/>
    </xf>
    <xf numFmtId="0" fontId="6" fillId="4" borderId="55" xfId="2" applyFont="1" applyFill="1" applyBorder="1" applyAlignment="1">
      <alignment horizontal="center" vertical="center" wrapText="1"/>
    </xf>
    <xf numFmtId="0" fontId="6" fillId="4" borderId="45" xfId="2" applyFont="1" applyFill="1" applyBorder="1" applyAlignment="1">
      <alignment horizontal="center" vertical="center" wrapText="1"/>
    </xf>
    <xf numFmtId="0" fontId="6" fillId="3" borderId="65" xfId="2" applyFont="1" applyFill="1" applyBorder="1" applyAlignment="1">
      <alignment horizontal="left" vertical="center"/>
    </xf>
    <xf numFmtId="0" fontId="6" fillId="3" borderId="66" xfId="2" applyFont="1" applyFill="1" applyBorder="1" applyAlignment="1">
      <alignment horizontal="left" vertical="center"/>
    </xf>
    <xf numFmtId="0" fontId="6" fillId="3" borderId="67" xfId="2" applyFont="1" applyFill="1" applyBorder="1" applyAlignment="1">
      <alignment horizontal="left" vertical="center"/>
    </xf>
    <xf numFmtId="0" fontId="6" fillId="4" borderId="4" xfId="2" applyFont="1" applyFill="1" applyBorder="1" applyAlignment="1">
      <alignment horizontal="center" vertical="center" wrapText="1"/>
    </xf>
    <xf numFmtId="0" fontId="6" fillId="4" borderId="74" xfId="2" applyFont="1" applyFill="1" applyBorder="1" applyAlignment="1">
      <alignment horizontal="center" vertical="center" wrapText="1"/>
    </xf>
    <xf numFmtId="0" fontId="6" fillId="3" borderId="44" xfId="2" applyFont="1" applyFill="1" applyBorder="1" applyAlignment="1">
      <alignment vertical="center"/>
    </xf>
    <xf numFmtId="0" fontId="6" fillId="3" borderId="55" xfId="2" applyFont="1" applyFill="1" applyBorder="1" applyAlignment="1">
      <alignment vertical="center"/>
    </xf>
    <xf numFmtId="0" fontId="11" fillId="3" borderId="62" xfId="2" applyFont="1" applyFill="1" applyBorder="1" applyAlignment="1">
      <alignment horizontal="center" vertical="center" wrapText="1"/>
    </xf>
    <xf numFmtId="0" fontId="11" fillId="3" borderId="2" xfId="2" applyFont="1" applyFill="1" applyBorder="1" applyAlignment="1">
      <alignment horizontal="center" vertical="center"/>
    </xf>
    <xf numFmtId="0" fontId="8" fillId="3" borderId="30" xfId="2" applyFont="1" applyFill="1" applyBorder="1" applyAlignment="1">
      <alignment horizontal="left" vertical="center"/>
    </xf>
    <xf numFmtId="0" fontId="8" fillId="3" borderId="1" xfId="2" applyFont="1" applyFill="1" applyBorder="1" applyAlignment="1">
      <alignment horizontal="left" vertical="center"/>
    </xf>
    <xf numFmtId="0" fontId="8" fillId="3" borderId="25" xfId="2" applyFont="1" applyFill="1" applyBorder="1" applyAlignment="1">
      <alignment horizontal="left" vertical="center"/>
    </xf>
    <xf numFmtId="0" fontId="23" fillId="3" borderId="52" xfId="5" applyFont="1" applyFill="1" applyBorder="1" applyAlignment="1">
      <alignment horizontal="center" vertical="center"/>
    </xf>
    <xf numFmtId="0" fontId="23" fillId="3" borderId="53" xfId="5" applyFont="1" applyFill="1" applyBorder="1" applyAlignment="1">
      <alignment horizontal="center" vertical="center"/>
    </xf>
    <xf numFmtId="0" fontId="24" fillId="3" borderId="54" xfId="5" applyFont="1" applyFill="1" applyBorder="1" applyAlignment="1">
      <alignment horizontal="center" vertical="center"/>
    </xf>
    <xf numFmtId="0" fontId="24" fillId="3" borderId="37" xfId="5" applyFont="1" applyFill="1" applyBorder="1" applyAlignment="1">
      <alignment horizontal="center" vertical="center"/>
    </xf>
    <xf numFmtId="0" fontId="24" fillId="3" borderId="34" xfId="5" applyFont="1" applyFill="1" applyBorder="1" applyAlignment="1">
      <alignment horizontal="center" vertical="center"/>
    </xf>
    <xf numFmtId="0" fontId="23" fillId="3" borderId="44" xfId="5" applyFont="1" applyFill="1" applyBorder="1" applyAlignment="1">
      <alignment horizontal="left"/>
    </xf>
    <xf numFmtId="0" fontId="23" fillId="3" borderId="55" xfId="5" applyFont="1" applyFill="1" applyBorder="1" applyAlignment="1">
      <alignment horizontal="left"/>
    </xf>
    <xf numFmtId="0" fontId="23" fillId="3" borderId="45" xfId="5" applyFont="1" applyFill="1" applyBorder="1" applyAlignment="1">
      <alignment horizontal="left"/>
    </xf>
    <xf numFmtId="0" fontId="22" fillId="3" borderId="56" xfId="5" applyFont="1" applyFill="1" applyBorder="1" applyAlignment="1">
      <alignment horizontal="left"/>
    </xf>
    <xf numFmtId="0" fontId="22" fillId="3" borderId="57" xfId="5" applyFont="1" applyFill="1" applyBorder="1" applyAlignment="1">
      <alignment horizontal="left"/>
    </xf>
    <xf numFmtId="0" fontId="22" fillId="3" borderId="58" xfId="5" applyFont="1" applyFill="1" applyBorder="1" applyAlignment="1">
      <alignment horizontal="left"/>
    </xf>
    <xf numFmtId="0" fontId="22" fillId="3" borderId="59" xfId="5" applyFont="1" applyFill="1" applyBorder="1" applyAlignment="1">
      <alignment horizontal="left"/>
    </xf>
    <xf numFmtId="0" fontId="22" fillId="3" borderId="48" xfId="5" applyFont="1" applyFill="1" applyBorder="1" applyAlignment="1">
      <alignment horizontal="left"/>
    </xf>
    <xf numFmtId="0" fontId="11" fillId="3" borderId="2" xfId="2" applyFont="1" applyFill="1" applyBorder="1" applyAlignment="1">
      <alignment horizontal="center" vertical="center" wrapText="1"/>
    </xf>
    <xf numFmtId="2" fontId="11" fillId="3" borderId="62" xfId="2" applyNumberFormat="1" applyFont="1" applyFill="1" applyBorder="1" applyAlignment="1">
      <alignment horizontal="center" vertical="center" wrapText="1"/>
    </xf>
    <xf numFmtId="2" fontId="11" fillId="3" borderId="2" xfId="2" applyNumberFormat="1" applyFont="1" applyFill="1" applyBorder="1" applyAlignment="1">
      <alignment horizontal="center" vertical="center" wrapText="1"/>
    </xf>
    <xf numFmtId="0" fontId="11" fillId="3" borderId="61" xfId="2" applyFont="1" applyFill="1" applyBorder="1" applyAlignment="1">
      <alignment horizontal="center" vertical="center"/>
    </xf>
    <xf numFmtId="0" fontId="11" fillId="3" borderId="50" xfId="2" applyFont="1" applyFill="1" applyBorder="1" applyAlignment="1">
      <alignment horizontal="center" vertical="center"/>
    </xf>
    <xf numFmtId="0" fontId="22" fillId="3" borderId="18" xfId="5" applyFont="1" applyFill="1" applyBorder="1" applyAlignment="1">
      <alignment horizontal="left"/>
    </xf>
    <xf numFmtId="0" fontId="22" fillId="3" borderId="32" xfId="5" applyFont="1" applyFill="1" applyBorder="1" applyAlignment="1">
      <alignment horizontal="left"/>
    </xf>
    <xf numFmtId="0" fontId="22" fillId="3" borderId="3" xfId="5" applyFont="1" applyFill="1" applyBorder="1" applyAlignment="1">
      <alignment horizontal="left"/>
    </xf>
    <xf numFmtId="0" fontId="22" fillId="3" borderId="1" xfId="5" applyFont="1" applyFill="1" applyBorder="1" applyAlignment="1">
      <alignment horizontal="left"/>
    </xf>
    <xf numFmtId="0" fontId="22" fillId="3" borderId="46" xfId="5" applyFont="1" applyFill="1" applyBorder="1" applyAlignment="1">
      <alignment horizontal="left"/>
    </xf>
    <xf numFmtId="0" fontId="22" fillId="3" borderId="25" xfId="5" applyFont="1" applyFill="1" applyBorder="1" applyAlignment="1">
      <alignment horizontal="left"/>
    </xf>
    <xf numFmtId="0" fontId="22" fillId="3" borderId="42" xfId="5" applyFont="1" applyFill="1" applyBorder="1" applyAlignment="1">
      <alignment horizontal="left"/>
    </xf>
    <xf numFmtId="0" fontId="11" fillId="3" borderId="62" xfId="2" applyFont="1" applyFill="1" applyBorder="1" applyAlignment="1">
      <alignment horizontal="center" vertical="center"/>
    </xf>
    <xf numFmtId="164" fontId="13" fillId="3" borderId="61" xfId="3" applyFont="1" applyFill="1" applyBorder="1" applyAlignment="1">
      <alignment horizontal="center" vertical="center"/>
    </xf>
    <xf numFmtId="164" fontId="13" fillId="3" borderId="50" xfId="3" applyFont="1" applyFill="1" applyBorder="1" applyAlignment="1">
      <alignment horizontal="center" vertical="center"/>
    </xf>
    <xf numFmtId="164" fontId="11" fillId="4" borderId="13" xfId="1" applyFont="1" applyFill="1" applyBorder="1" applyAlignment="1">
      <alignment horizontal="center" vertical="center" wrapText="1"/>
    </xf>
    <xf numFmtId="164" fontId="11" fillId="4" borderId="16" xfId="1" applyFont="1" applyFill="1" applyBorder="1" applyAlignment="1">
      <alignment horizontal="center" vertical="center" wrapText="1"/>
    </xf>
    <xf numFmtId="0" fontId="8" fillId="3" borderId="47" xfId="2" applyFont="1" applyFill="1" applyBorder="1" applyAlignment="1">
      <alignment horizontal="left" vertical="center"/>
    </xf>
    <xf numFmtId="0" fontId="8" fillId="3" borderId="59" xfId="2" applyFont="1" applyFill="1" applyBorder="1" applyAlignment="1">
      <alignment horizontal="left" vertical="center"/>
    </xf>
    <xf numFmtId="0" fontId="8" fillId="3" borderId="72" xfId="2" applyFont="1" applyFill="1" applyBorder="1" applyAlignment="1">
      <alignment horizontal="left" vertical="center"/>
    </xf>
    <xf numFmtId="0" fontId="27" fillId="9" borderId="73" xfId="2" applyFont="1" applyFill="1" applyBorder="1" applyAlignment="1">
      <alignment horizontal="center" vertical="center"/>
    </xf>
    <xf numFmtId="0" fontId="27" fillId="9" borderId="37" xfId="2" applyFont="1" applyFill="1" applyBorder="1" applyAlignment="1">
      <alignment horizontal="center" vertical="center"/>
    </xf>
    <xf numFmtId="0" fontId="27" fillId="9" borderId="34" xfId="2" applyFont="1" applyFill="1" applyBorder="1" applyAlignment="1">
      <alignment horizontal="center" vertical="center"/>
    </xf>
    <xf numFmtId="0" fontId="6" fillId="3" borderId="16" xfId="2" applyFont="1" applyFill="1" applyBorder="1" applyAlignment="1">
      <alignment vertical="center"/>
    </xf>
    <xf numFmtId="0" fontId="6" fillId="3" borderId="0" xfId="2" applyFont="1" applyFill="1" applyAlignment="1">
      <alignment vertical="center"/>
    </xf>
    <xf numFmtId="0" fontId="33" fillId="2" borderId="0" xfId="5" applyFont="1" applyFill="1" applyAlignment="1">
      <alignment horizontal="left"/>
    </xf>
    <xf numFmtId="0" fontId="0" fillId="2" borderId="0" xfId="5" applyFont="1" applyFill="1" applyAlignment="1">
      <alignment horizontal="center"/>
    </xf>
    <xf numFmtId="0" fontId="0" fillId="2" borderId="0" xfId="5" applyFont="1" applyFill="1" applyAlignment="1">
      <alignment horizontal="left" vertical="center"/>
    </xf>
    <xf numFmtId="0" fontId="22" fillId="2" borderId="0" xfId="5" applyFont="1" applyFill="1" applyAlignment="1" applyProtection="1">
      <alignment horizontal="left" vertical="center" wrapText="1"/>
      <protection locked="0"/>
    </xf>
    <xf numFmtId="0" fontId="33" fillId="9" borderId="0" xfId="5" applyFont="1" applyFill="1" applyAlignment="1">
      <alignment horizontal="left" wrapText="1"/>
    </xf>
    <xf numFmtId="0" fontId="22" fillId="9" borderId="1" xfId="0" applyFont="1" applyFill="1" applyBorder="1" applyAlignment="1">
      <alignment horizontal="center" vertical="center"/>
    </xf>
    <xf numFmtId="0" fontId="43" fillId="5" borderId="0" xfId="0" applyFont="1" applyFill="1" applyAlignment="1">
      <alignment horizontal="center" vertical="center"/>
    </xf>
    <xf numFmtId="0" fontId="22" fillId="2" borderId="0" xfId="5" applyFont="1" applyFill="1" applyAlignment="1">
      <alignment horizontal="center"/>
    </xf>
    <xf numFmtId="0" fontId="22" fillId="2" borderId="1" xfId="0" applyFont="1" applyFill="1" applyBorder="1" applyAlignment="1" applyProtection="1">
      <alignment horizontal="center" vertical="center"/>
      <protection locked="0"/>
    </xf>
    <xf numFmtId="0" fontId="22" fillId="2" borderId="1" xfId="5" applyFont="1" applyFill="1" applyBorder="1" applyAlignment="1" applyProtection="1">
      <alignment horizontal="center"/>
      <protection locked="0"/>
    </xf>
    <xf numFmtId="0" fontId="25" fillId="2" borderId="1" xfId="0" applyFont="1" applyFill="1" applyBorder="1" applyAlignment="1" applyProtection="1">
      <alignment horizontal="center" vertical="center" wrapText="1"/>
      <protection locked="0"/>
    </xf>
    <xf numFmtId="0" fontId="48" fillId="2" borderId="0" xfId="5" applyFont="1" applyFill="1" applyAlignment="1" applyProtection="1">
      <alignment horizontal="left" wrapText="1"/>
      <protection locked="0"/>
    </xf>
    <xf numFmtId="0" fontId="34" fillId="4" borderId="1" xfId="5" applyFont="1" applyFill="1" applyBorder="1" applyAlignment="1">
      <alignment horizontal="left" vertical="center"/>
    </xf>
    <xf numFmtId="0" fontId="22" fillId="4" borderId="25" xfId="5" applyFont="1" applyFill="1" applyBorder="1" applyAlignment="1">
      <alignment horizontal="left" vertical="center"/>
    </xf>
    <xf numFmtId="0" fontId="22" fillId="4" borderId="32" xfId="5" applyFont="1" applyFill="1" applyBorder="1" applyAlignment="1">
      <alignment horizontal="left" vertical="center"/>
    </xf>
    <xf numFmtId="0" fontId="22" fillId="4" borderId="3" xfId="5" applyFont="1" applyFill="1" applyBorder="1" applyAlignment="1">
      <alignment horizontal="left" vertical="center"/>
    </xf>
    <xf numFmtId="0" fontId="37" fillId="2" borderId="0" xfId="5" applyFont="1" applyFill="1"/>
    <xf numFmtId="0" fontId="22" fillId="2" borderId="0" xfId="5" applyFont="1" applyFill="1"/>
    <xf numFmtId="0" fontId="0" fillId="2" borderId="0" xfId="5" applyFont="1" applyFill="1" applyAlignment="1">
      <alignment horizontal="left" vertical="center" wrapText="1"/>
    </xf>
    <xf numFmtId="0" fontId="37" fillId="2" borderId="0" xfId="5" applyFont="1" applyFill="1" applyAlignment="1">
      <alignment vertical="top"/>
    </xf>
    <xf numFmtId="0" fontId="38" fillId="2" borderId="0" xfId="5" applyFont="1" applyFill="1"/>
    <xf numFmtId="0" fontId="1" fillId="2" borderId="0" xfId="5" applyFill="1" applyAlignment="1">
      <alignment horizontal="left" vertical="center" wrapText="1"/>
    </xf>
    <xf numFmtId="0" fontId="22" fillId="2" borderId="0" xfId="5" applyFont="1" applyFill="1" applyAlignment="1">
      <alignment horizontal="left" vertical="center" wrapText="1"/>
    </xf>
    <xf numFmtId="0" fontId="37" fillId="2" borderId="0" xfId="5" applyFont="1" applyFill="1" applyAlignment="1">
      <alignment horizontal="left"/>
    </xf>
    <xf numFmtId="0" fontId="40" fillId="2" borderId="0" xfId="5" applyFont="1" applyFill="1" applyAlignment="1" applyProtection="1">
      <alignment horizontal="left" vertical="center" wrapText="1"/>
      <protection locked="0"/>
    </xf>
    <xf numFmtId="0" fontId="47" fillId="5" borderId="1" xfId="5" applyFont="1" applyFill="1" applyBorder="1" applyAlignment="1">
      <alignment horizontal="left" vertical="center"/>
    </xf>
    <xf numFmtId="0" fontId="22" fillId="4" borderId="1" xfId="5" applyFont="1" applyFill="1" applyBorder="1" applyAlignment="1">
      <alignment horizontal="left" vertical="center"/>
    </xf>
    <xf numFmtId="0" fontId="46" fillId="4" borderId="1" xfId="11" applyFill="1" applyBorder="1" applyAlignment="1">
      <alignment horizontal="left" wrapText="1"/>
    </xf>
    <xf numFmtId="0" fontId="22" fillId="4" borderId="1" xfId="5" applyFont="1" applyFill="1" applyBorder="1" applyAlignment="1">
      <alignment horizontal="left" vertical="center" wrapText="1"/>
    </xf>
    <xf numFmtId="0" fontId="22" fillId="4" borderId="25" xfId="5" applyFont="1" applyFill="1" applyBorder="1" applyAlignment="1">
      <alignment horizontal="left" vertical="center" wrapText="1"/>
    </xf>
    <xf numFmtId="0" fontId="22" fillId="4" borderId="32" xfId="5" applyFont="1" applyFill="1" applyBorder="1" applyAlignment="1">
      <alignment horizontal="left" vertical="center" wrapText="1"/>
    </xf>
    <xf numFmtId="0" fontId="22" fillId="4" borderId="3" xfId="5" applyFont="1" applyFill="1" applyBorder="1" applyAlignment="1">
      <alignment horizontal="left" vertical="center" wrapText="1"/>
    </xf>
    <xf numFmtId="0" fontId="40" fillId="2" borderId="0" xfId="5" applyFont="1" applyFill="1" applyAlignment="1" applyProtection="1">
      <alignment horizontal="left" wrapText="1"/>
      <protection locked="0"/>
    </xf>
    <xf numFmtId="0" fontId="32" fillId="2" borderId="0" xfId="5" applyFont="1" applyFill="1" applyAlignment="1">
      <alignment horizontal="center" vertical="center"/>
    </xf>
    <xf numFmtId="0" fontId="22" fillId="2" borderId="14" xfId="5" applyFont="1" applyFill="1" applyBorder="1" applyAlignment="1">
      <alignment horizontal="center"/>
    </xf>
    <xf numFmtId="0" fontId="1" fillId="2" borderId="0" xfId="5" applyFill="1" applyAlignment="1">
      <alignment horizontal="left" vertical="center"/>
    </xf>
    <xf numFmtId="0" fontId="23" fillId="3" borderId="38" xfId="5" applyFont="1" applyFill="1" applyBorder="1" applyAlignment="1">
      <alignment horizontal="center" vertical="center"/>
    </xf>
    <xf numFmtId="0" fontId="34" fillId="2" borderId="0" xfId="5" applyFont="1" applyFill="1" applyAlignment="1">
      <alignment horizontal="left" vertical="center" wrapText="1"/>
    </xf>
    <xf numFmtId="0" fontId="0" fillId="2" borderId="0" xfId="5" applyFont="1" applyFill="1" applyAlignment="1">
      <alignment horizontal="center" vertical="center" wrapText="1"/>
    </xf>
    <xf numFmtId="0" fontId="18" fillId="2" borderId="0" xfId="5" applyFont="1" applyFill="1" applyAlignment="1">
      <alignment horizontal="left" vertical="center" wrapText="1"/>
    </xf>
    <xf numFmtId="0" fontId="42" fillId="2" borderId="0" xfId="5" applyFont="1" applyFill="1" applyAlignment="1">
      <alignment horizontal="left" wrapText="1"/>
    </xf>
    <xf numFmtId="0" fontId="42" fillId="2" borderId="0" xfId="5" applyFont="1" applyFill="1" applyAlignment="1">
      <alignment horizontal="center" wrapText="1"/>
    </xf>
    <xf numFmtId="0" fontId="0" fillId="3" borderId="22" xfId="0" applyFill="1" applyBorder="1" applyAlignment="1">
      <alignment horizontal="center"/>
    </xf>
    <xf numFmtId="0" fontId="18" fillId="2" borderId="27" xfId="0" applyFont="1" applyFill="1" applyBorder="1" applyAlignment="1">
      <alignment horizontal="center" vertical="center" textRotation="90" wrapText="1"/>
    </xf>
    <xf numFmtId="0" fontId="18" fillId="2" borderId="76" xfId="0" applyFont="1" applyFill="1" applyBorder="1" applyAlignment="1">
      <alignment horizontal="center" vertical="center" textRotation="90" wrapText="1"/>
    </xf>
    <xf numFmtId="0" fontId="18" fillId="2" borderId="28" xfId="0" applyFont="1" applyFill="1" applyBorder="1" applyAlignment="1">
      <alignment horizontal="center" vertical="center" textRotation="90" wrapText="1"/>
    </xf>
    <xf numFmtId="0" fontId="28" fillId="2" borderId="13" xfId="0" applyFont="1" applyFill="1" applyBorder="1" applyAlignment="1">
      <alignment horizontal="center" vertical="center"/>
    </xf>
    <xf numFmtId="0" fontId="28" fillId="2" borderId="14" xfId="0" applyFont="1" applyFill="1" applyBorder="1" applyAlignment="1">
      <alignment horizontal="center" vertical="center"/>
    </xf>
    <xf numFmtId="0" fontId="28" fillId="2" borderId="15" xfId="0" applyFont="1" applyFill="1" applyBorder="1" applyAlignment="1">
      <alignment horizontal="center" vertical="center"/>
    </xf>
    <xf numFmtId="0" fontId="0" fillId="2" borderId="30" xfId="0" applyFill="1" applyBorder="1" applyAlignment="1">
      <alignment horizontal="right"/>
    </xf>
    <xf numFmtId="0" fontId="0" fillId="2" borderId="1" xfId="0" applyFill="1" applyBorder="1" applyAlignment="1">
      <alignment horizontal="right"/>
    </xf>
    <xf numFmtId="0" fontId="0" fillId="2" borderId="30" xfId="0" applyFill="1" applyBorder="1" applyAlignment="1">
      <alignment horizontal="center" vertical="center"/>
    </xf>
    <xf numFmtId="0" fontId="0" fillId="2" borderId="47" xfId="0" applyFill="1" applyBorder="1" applyAlignment="1">
      <alignment horizontal="center" vertical="center"/>
    </xf>
    <xf numFmtId="0" fontId="0" fillId="0" borderId="1" xfId="0" applyBorder="1" applyAlignment="1">
      <alignment horizontal="center" vertical="center"/>
    </xf>
    <xf numFmtId="0" fontId="0" fillId="0" borderId="25" xfId="0" applyBorder="1" applyAlignment="1">
      <alignment horizontal="center" vertical="center"/>
    </xf>
    <xf numFmtId="0" fontId="0" fillId="0" borderId="32" xfId="0" applyBorder="1" applyAlignment="1">
      <alignment horizontal="center" vertical="center"/>
    </xf>
    <xf numFmtId="0" fontId="0" fillId="0" borderId="3" xfId="0" applyBorder="1" applyAlignment="1">
      <alignment horizontal="center" vertical="center"/>
    </xf>
    <xf numFmtId="0" fontId="46" fillId="0" borderId="0" xfId="11" applyAlignment="1">
      <alignment horizontal="left"/>
    </xf>
    <xf numFmtId="0" fontId="0" fillId="0" borderId="0" xfId="0" applyAlignment="1">
      <alignment horizontal="left" vertical="center" wrapText="1"/>
    </xf>
    <xf numFmtId="0" fontId="0" fillId="0" borderId="1" xfId="0" applyBorder="1" applyAlignment="1">
      <alignment horizontal="left" vertical="center"/>
    </xf>
    <xf numFmtId="0" fontId="0" fillId="0" borderId="25" xfId="0" applyBorder="1" applyAlignment="1">
      <alignment horizontal="center"/>
    </xf>
    <xf numFmtId="0" fontId="0" fillId="0" borderId="3" xfId="0" applyBorder="1" applyAlignment="1">
      <alignment horizontal="center"/>
    </xf>
    <xf numFmtId="0" fontId="0" fillId="0" borderId="1" xfId="0" applyBorder="1" applyAlignment="1">
      <alignment horizontal="left" vertical="center" wrapText="1"/>
    </xf>
    <xf numFmtId="0" fontId="0" fillId="0" borderId="1" xfId="0" applyBorder="1" applyAlignment="1">
      <alignment horizontal="left"/>
    </xf>
    <xf numFmtId="0" fontId="18" fillId="0" borderId="1" xfId="0" applyFont="1" applyBorder="1" applyAlignment="1">
      <alignment horizontal="left"/>
    </xf>
    <xf numFmtId="0" fontId="18" fillId="0" borderId="25" xfId="0" applyFont="1" applyBorder="1" applyAlignment="1">
      <alignment horizontal="center"/>
    </xf>
    <xf numFmtId="0" fontId="18" fillId="0" borderId="3" xfId="0" applyFont="1" applyBorder="1" applyAlignment="1">
      <alignment horizontal="center"/>
    </xf>
    <xf numFmtId="0" fontId="54" fillId="0" borderId="0" xfId="0" applyFont="1" applyAlignment="1">
      <alignment horizontal="center" vertical="center"/>
    </xf>
    <xf numFmtId="0" fontId="28" fillId="2" borderId="52" xfId="0" applyFont="1" applyFill="1" applyBorder="1" applyAlignment="1">
      <alignment horizontal="center" vertical="center"/>
    </xf>
    <xf numFmtId="0" fontId="28" fillId="2" borderId="53" xfId="0" applyFont="1" applyFill="1" applyBorder="1" applyAlignment="1">
      <alignment horizontal="center" vertical="center"/>
    </xf>
    <xf numFmtId="0" fontId="28" fillId="2" borderId="54" xfId="0" applyFont="1" applyFill="1" applyBorder="1" applyAlignment="1">
      <alignment horizontal="center" vertical="center"/>
    </xf>
    <xf numFmtId="0" fontId="28" fillId="2" borderId="79" xfId="0" applyFont="1" applyFill="1" applyBorder="1" applyAlignment="1">
      <alignment horizontal="center" vertical="center"/>
    </xf>
    <xf numFmtId="0" fontId="23" fillId="6" borderId="60" xfId="5" applyFont="1" applyFill="1" applyBorder="1" applyAlignment="1">
      <alignment horizontal="left"/>
    </xf>
    <xf numFmtId="0" fontId="23" fillId="6" borderId="62" xfId="5" applyFont="1" applyFill="1" applyBorder="1" applyAlignment="1">
      <alignment horizontal="left"/>
    </xf>
    <xf numFmtId="0" fontId="23" fillId="6" borderId="61" xfId="5" applyFont="1" applyFill="1" applyBorder="1" applyAlignment="1">
      <alignment horizontal="left"/>
    </xf>
    <xf numFmtId="0" fontId="22" fillId="2" borderId="30" xfId="5" applyFont="1" applyFill="1" applyBorder="1" applyAlignment="1">
      <alignment horizontal="left"/>
    </xf>
    <xf numFmtId="0" fontId="22" fillId="2" borderId="1" xfId="5" applyFont="1" applyFill="1" applyBorder="1" applyAlignment="1">
      <alignment horizontal="left"/>
    </xf>
    <xf numFmtId="0" fontId="22" fillId="2" borderId="46" xfId="5" applyFont="1" applyFill="1" applyBorder="1" applyAlignment="1">
      <alignment horizontal="left"/>
    </xf>
    <xf numFmtId="0" fontId="22" fillId="2" borderId="47" xfId="5" applyFont="1" applyFill="1" applyBorder="1" applyAlignment="1">
      <alignment horizontal="left"/>
    </xf>
    <xf numFmtId="0" fontId="22" fillId="2" borderId="59" xfId="5" applyFont="1" applyFill="1" applyBorder="1" applyAlignment="1">
      <alignment horizontal="left"/>
    </xf>
    <xf numFmtId="0" fontId="22" fillId="2" borderId="48" xfId="5" applyFont="1" applyFill="1" applyBorder="1" applyAlignment="1">
      <alignment horizontal="left"/>
    </xf>
    <xf numFmtId="0" fontId="18" fillId="7" borderId="60" xfId="0" applyFont="1" applyFill="1" applyBorder="1"/>
    <xf numFmtId="0" fontId="18" fillId="7" borderId="61" xfId="0" applyFont="1" applyFill="1" applyBorder="1"/>
    <xf numFmtId="0" fontId="18" fillId="2" borderId="44" xfId="0" applyFont="1" applyFill="1" applyBorder="1"/>
    <xf numFmtId="0" fontId="18" fillId="2" borderId="45" xfId="0" applyFont="1" applyFill="1" applyBorder="1"/>
    <xf numFmtId="0" fontId="20" fillId="7" borderId="18" xfId="0" applyFont="1" applyFill="1" applyBorder="1" applyAlignment="1">
      <alignment horizontal="left"/>
    </xf>
    <xf numFmtId="0" fontId="20" fillId="7" borderId="42" xfId="0" applyFont="1" applyFill="1" applyBorder="1" applyAlignment="1">
      <alignment horizontal="left"/>
    </xf>
  </cellXfs>
  <cellStyles count="12">
    <cellStyle name="Currency" xfId="1" builtinId="4"/>
    <cellStyle name="Currency 2" xfId="6" xr:uid="{2800CA73-A752-4263-8D78-0F714433584E}"/>
    <cellStyle name="Currency 2 2" xfId="8" xr:uid="{89847438-EAC6-4202-A5A4-5A256ED45016}"/>
    <cellStyle name="Currency 3" xfId="3" xr:uid="{E738330B-3C4B-4D82-BF97-1D7ABF652E88}"/>
    <cellStyle name="Hyperlink" xfId="11" builtinId="8"/>
    <cellStyle name="Normal" xfId="0" builtinId="0"/>
    <cellStyle name="Normal 2" xfId="5" xr:uid="{9E243402-6172-4704-B3E0-F7004D7B61E8}"/>
    <cellStyle name="Normal 3" xfId="4" xr:uid="{82BA8019-1716-471F-AE80-55969D00D4AB}"/>
    <cellStyle name="Normal 4" xfId="10" xr:uid="{E9E27C27-9E60-427F-9B29-5781F2359754}"/>
    <cellStyle name="Normal 5" xfId="9" xr:uid="{19DBB126-E3E0-4C5F-9770-DD62DBA6A98D}"/>
    <cellStyle name="Normal 7" xfId="2" xr:uid="{762588F1-C23B-4202-BE97-B189D55CDF85}"/>
    <cellStyle name="Per cent" xfId="7" builtinId="5"/>
  </cellStyles>
  <dxfs count="30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border>
        <left/>
        <right/>
        <top/>
        <bottom/>
        <vertical/>
        <horizontal/>
      </border>
    </dxf>
    <dxf>
      <border>
        <left/>
        <right/>
        <top/>
        <bottom/>
      </border>
    </dxf>
    <dxf>
      <fill>
        <patternFill>
          <bgColor rgb="FFFFFF00"/>
        </patternFill>
      </fill>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border>
        <left/>
        <right/>
        <top/>
        <bottom/>
        <vertical/>
        <horizontal/>
      </border>
    </dxf>
    <dxf>
      <border>
        <left/>
        <right/>
        <top/>
        <bottom/>
      </border>
    </dxf>
    <dxf>
      <fill>
        <patternFill>
          <bgColor rgb="FFFFFF00"/>
        </patternFill>
      </fill>
    </dxf>
    <dxf>
      <fill>
        <patternFill>
          <bgColor rgb="FFFFFF00"/>
        </patternFill>
      </fill>
    </dxf>
    <dxf>
      <border>
        <left/>
        <right/>
        <top/>
        <bottom/>
        <vertical/>
        <horizontal/>
      </border>
    </dxf>
    <dxf>
      <fill>
        <patternFill>
          <bgColor rgb="FFFFFF00"/>
        </patternFill>
      </fill>
    </dxf>
    <dxf>
      <border>
        <left/>
        <right/>
        <top/>
        <bottom/>
        <vertical/>
        <horizontal/>
      </border>
    </dxf>
    <dxf>
      <border>
        <left/>
        <right/>
        <top/>
        <bottom/>
        <vertical/>
        <horizontal/>
      </border>
    </dxf>
    <dxf>
      <fill>
        <patternFill>
          <bgColor rgb="FFFFFF00"/>
        </patternFill>
      </fill>
    </dxf>
    <dxf>
      <font>
        <color theme="0"/>
      </font>
      <fill>
        <patternFill>
          <bgColor rgb="FFFF0000"/>
        </patternFill>
      </fill>
    </dxf>
    <dxf>
      <fill>
        <patternFill>
          <bgColor rgb="FF92D050"/>
        </patternFill>
      </fill>
    </dxf>
    <dxf>
      <border>
        <left/>
        <right/>
        <top/>
        <bottom/>
      </border>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dxf>
    <dxf>
      <font>
        <b/>
        <i val="0"/>
      </font>
      <fill>
        <patternFill>
          <bgColor rgb="FF92D05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88900</xdr:colOff>
          <xdr:row>0</xdr:row>
          <xdr:rowOff>63500</xdr:rowOff>
        </xdr:from>
        <xdr:to>
          <xdr:col>17</xdr:col>
          <xdr:colOff>1511300</xdr:colOff>
          <xdr:row>0</xdr:row>
          <xdr:rowOff>381000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1689100</xdr:colOff>
          <xdr:row>0</xdr:row>
          <xdr:rowOff>38100</xdr:rowOff>
        </xdr:from>
        <xdr:to>
          <xdr:col>17</xdr:col>
          <xdr:colOff>3111500</xdr:colOff>
          <xdr:row>0</xdr:row>
          <xdr:rowOff>381000</xdr:rowOff>
        </xdr:to>
        <xdr:sp macro="" textlink="">
          <xdr:nvSpPr>
            <xdr:cNvPr id="2052" name="SpellCheck_Sheet"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88900</xdr:colOff>
          <xdr:row>0</xdr:row>
          <xdr:rowOff>63500</xdr:rowOff>
        </xdr:from>
        <xdr:to>
          <xdr:col>22</xdr:col>
          <xdr:colOff>1739900</xdr:colOff>
          <xdr:row>0</xdr:row>
          <xdr:rowOff>508000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19</xdr:row>
          <xdr:rowOff>25400</xdr:rowOff>
        </xdr:from>
        <xdr:to>
          <xdr:col>11</xdr:col>
          <xdr:colOff>0</xdr:colOff>
          <xdr:row>20</xdr:row>
          <xdr:rowOff>0</xdr:rowOff>
        </xdr:to>
        <xdr:sp macro="" textlink="">
          <xdr:nvSpPr>
            <xdr:cNvPr id="1026" name="Preparation_Section_Zero"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27</xdr:row>
          <xdr:rowOff>12700</xdr:rowOff>
        </xdr:from>
        <xdr:to>
          <xdr:col>11</xdr:col>
          <xdr:colOff>0</xdr:colOff>
          <xdr:row>27</xdr:row>
          <xdr:rowOff>304800</xdr:rowOff>
        </xdr:to>
        <xdr:sp macro="" textlink="">
          <xdr:nvSpPr>
            <xdr:cNvPr id="1027" name="Stripout_Section_Zero"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37</xdr:row>
          <xdr:rowOff>12700</xdr:rowOff>
        </xdr:from>
        <xdr:to>
          <xdr:col>11</xdr:col>
          <xdr:colOff>0</xdr:colOff>
          <xdr:row>37</xdr:row>
          <xdr:rowOff>304800</xdr:rowOff>
        </xdr:to>
        <xdr:sp macro="" textlink="">
          <xdr:nvSpPr>
            <xdr:cNvPr id="1028" name="Plastering_Section_Zero"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47</xdr:row>
          <xdr:rowOff>25400</xdr:rowOff>
        </xdr:from>
        <xdr:to>
          <xdr:col>11</xdr:col>
          <xdr:colOff>0</xdr:colOff>
          <xdr:row>48</xdr:row>
          <xdr:rowOff>0</xdr:rowOff>
        </xdr:to>
        <xdr:sp macro="" textlink="">
          <xdr:nvSpPr>
            <xdr:cNvPr id="1029" name="Floor_Joists_Section_Zero"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59</xdr:row>
          <xdr:rowOff>12700</xdr:rowOff>
        </xdr:from>
        <xdr:to>
          <xdr:col>11</xdr:col>
          <xdr:colOff>12700</xdr:colOff>
          <xdr:row>59</xdr:row>
          <xdr:rowOff>304800</xdr:rowOff>
        </xdr:to>
        <xdr:sp macro="" textlink="">
          <xdr:nvSpPr>
            <xdr:cNvPr id="1030" name="Floor_Deck_Section_Zero"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70</xdr:row>
          <xdr:rowOff>25400</xdr:rowOff>
        </xdr:from>
        <xdr:to>
          <xdr:col>11</xdr:col>
          <xdr:colOff>0</xdr:colOff>
          <xdr:row>71</xdr:row>
          <xdr:rowOff>0</xdr:rowOff>
        </xdr:to>
        <xdr:sp macro="" textlink="">
          <xdr:nvSpPr>
            <xdr:cNvPr id="1031" name="Timber_Treatments_Section_Zero"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83</xdr:row>
          <xdr:rowOff>12700</xdr:rowOff>
        </xdr:from>
        <xdr:to>
          <xdr:col>11</xdr:col>
          <xdr:colOff>0</xdr:colOff>
          <xdr:row>83</xdr:row>
          <xdr:rowOff>304800</xdr:rowOff>
        </xdr:to>
        <xdr:sp macro="" textlink="">
          <xdr:nvSpPr>
            <xdr:cNvPr id="1032" name="Airbricks_Section_Zero"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89</xdr:row>
          <xdr:rowOff>25400</xdr:rowOff>
        </xdr:from>
        <xdr:to>
          <xdr:col>11</xdr:col>
          <xdr:colOff>0</xdr:colOff>
          <xdr:row>90</xdr:row>
          <xdr:rowOff>0</xdr:rowOff>
        </xdr:to>
        <xdr:sp macro="" textlink="">
          <xdr:nvSpPr>
            <xdr:cNvPr id="1034" name="Skip_Hire_Section_Zero"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72</xdr:row>
      <xdr:rowOff>381001</xdr:rowOff>
    </xdr:from>
    <xdr:to>
      <xdr:col>12</xdr:col>
      <xdr:colOff>0</xdr:colOff>
      <xdr:row>76</xdr:row>
      <xdr:rowOff>47626</xdr:rowOff>
    </xdr:to>
    <xdr:sp macro="" textlink="">
      <xdr:nvSpPr>
        <xdr:cNvPr id="2" name="Callout: Left Arrow 1">
          <a:extLst>
            <a:ext uri="{FF2B5EF4-FFF2-40B4-BE49-F238E27FC236}">
              <a16:creationId xmlns:a16="http://schemas.microsoft.com/office/drawing/2014/main" id="{30BAEACD-ED27-4B0E-8413-5F771C6A7EEF}"/>
            </a:ext>
          </a:extLst>
        </xdr:cNvPr>
        <xdr:cNvSpPr/>
      </xdr:nvSpPr>
      <xdr:spPr>
        <a:xfrm>
          <a:off x="11296650" y="23660101"/>
          <a:ext cx="2390775" cy="666750"/>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8</xdr:col>
      <xdr:colOff>85725</xdr:colOff>
      <xdr:row>80</xdr:row>
      <xdr:rowOff>133350</xdr:rowOff>
    </xdr:from>
    <xdr:to>
      <xdr:col>12</xdr:col>
      <xdr:colOff>0</xdr:colOff>
      <xdr:row>84</xdr:row>
      <xdr:rowOff>85725</xdr:rowOff>
    </xdr:to>
    <xdr:sp macro="" textlink="">
      <xdr:nvSpPr>
        <xdr:cNvPr id="3" name="Callout: Left Arrow 2">
          <a:extLst>
            <a:ext uri="{FF2B5EF4-FFF2-40B4-BE49-F238E27FC236}">
              <a16:creationId xmlns:a16="http://schemas.microsoft.com/office/drawing/2014/main" id="{BAEEB06B-D5E0-443A-A003-857C5B6EB5B1}"/>
            </a:ext>
          </a:extLst>
        </xdr:cNvPr>
        <xdr:cNvSpPr/>
      </xdr:nvSpPr>
      <xdr:spPr>
        <a:xfrm>
          <a:off x="11334750" y="25365075"/>
          <a:ext cx="2352675"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6</xdr:col>
      <xdr:colOff>47625</xdr:colOff>
      <xdr:row>95</xdr:row>
      <xdr:rowOff>381001</xdr:rowOff>
    </xdr:from>
    <xdr:to>
      <xdr:col>10</xdr:col>
      <xdr:colOff>0</xdr:colOff>
      <xdr:row>99</xdr:row>
      <xdr:rowOff>47626</xdr:rowOff>
    </xdr:to>
    <xdr:sp macro="" textlink="">
      <xdr:nvSpPr>
        <xdr:cNvPr id="4" name="Callout: Left Arrow 3">
          <a:extLst>
            <a:ext uri="{FF2B5EF4-FFF2-40B4-BE49-F238E27FC236}">
              <a16:creationId xmlns:a16="http://schemas.microsoft.com/office/drawing/2014/main" id="{6DE65A0F-5A29-4288-8B09-9C9458979510}"/>
            </a:ext>
          </a:extLst>
        </xdr:cNvPr>
        <xdr:cNvSpPr/>
      </xdr:nvSpPr>
      <xdr:spPr>
        <a:xfrm>
          <a:off x="10906125" y="20478751"/>
          <a:ext cx="2800350" cy="61912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6</xdr:col>
      <xdr:colOff>85725</xdr:colOff>
      <xdr:row>103</xdr:row>
      <xdr:rowOff>133350</xdr:rowOff>
    </xdr:from>
    <xdr:to>
      <xdr:col>10</xdr:col>
      <xdr:colOff>0</xdr:colOff>
      <xdr:row>107</xdr:row>
      <xdr:rowOff>85725</xdr:rowOff>
    </xdr:to>
    <xdr:sp macro="" textlink="">
      <xdr:nvSpPr>
        <xdr:cNvPr id="5" name="Callout: Left Arrow 4">
          <a:extLst>
            <a:ext uri="{FF2B5EF4-FFF2-40B4-BE49-F238E27FC236}">
              <a16:creationId xmlns:a16="http://schemas.microsoft.com/office/drawing/2014/main" id="{AD29C44B-05FA-44E8-AE2A-69DBEAF44769}"/>
            </a:ext>
          </a:extLst>
        </xdr:cNvPr>
        <xdr:cNvSpPr/>
      </xdr:nvSpPr>
      <xdr:spPr>
        <a:xfrm>
          <a:off x="10944225" y="21945600"/>
          <a:ext cx="2762250"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5</xdr:col>
      <xdr:colOff>333375</xdr:colOff>
      <xdr:row>1</xdr:row>
      <xdr:rowOff>57150</xdr:rowOff>
    </xdr:from>
    <xdr:to>
      <xdr:col>7</xdr:col>
      <xdr:colOff>238125</xdr:colOff>
      <xdr:row>8</xdr:row>
      <xdr:rowOff>76200</xdr:rowOff>
    </xdr:to>
    <xdr:sp macro="" textlink="">
      <xdr:nvSpPr>
        <xdr:cNvPr id="6" name="Arrow: Down 5">
          <a:extLst>
            <a:ext uri="{FF2B5EF4-FFF2-40B4-BE49-F238E27FC236}">
              <a16:creationId xmlns:a16="http://schemas.microsoft.com/office/drawing/2014/main" id="{419784AC-7FF0-4873-AF04-3FAAE3CE35F6}"/>
            </a:ext>
          </a:extLst>
        </xdr:cNvPr>
        <xdr:cNvSpPr/>
      </xdr:nvSpPr>
      <xdr:spPr>
        <a:xfrm>
          <a:off x="10601325" y="180975"/>
          <a:ext cx="1514475" cy="17430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kern="1200"/>
            <a:t>Not part of print area</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eastdampspecialists.sharepoint.com/sites/TyneTees/Shared%20Documents/Tyne%20Tees/Tyne%20Tees%20Operating%20Documents/2.Current/1.%20Blank%20Project%20Folder/1.Customer-Details-For-Linked-Documents.xlsm" TargetMode="External"/><Relationship Id="rId1" Type="http://schemas.openxmlformats.org/officeDocument/2006/relationships/externalLinkPath" Target="https://northeastdampspecialists.sharepoint.com/sites/TyneTees/Shared%20Documents/Tyne%20Tees/Contractor%20Foreman%20Documents/1.Blank%20Work%20Sheet/1.Customer-Details-For-Linked-Docu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tails"/>
      <sheetName val="Project Folder Process"/>
      <sheetName val="1"/>
    </sheetNames>
    <sheetDataSet>
      <sheetData sheetId="0">
        <row r="4">
          <cell r="C4"/>
        </row>
        <row r="7">
          <cell r="B7" t="str">
            <v>Client Name</v>
          </cell>
          <cell r="C7"/>
        </row>
        <row r="8">
          <cell r="B8" t="str">
            <v>First Line of site address</v>
          </cell>
          <cell r="C8"/>
        </row>
        <row r="9">
          <cell r="B9" t="str">
            <v>Town / City</v>
          </cell>
          <cell r="C9"/>
        </row>
        <row r="10">
          <cell r="B10" t="str">
            <v>County</v>
          </cell>
          <cell r="C10"/>
        </row>
        <row r="11">
          <cell r="B11" t="str">
            <v>Site Post Code</v>
          </cell>
          <cell r="C11"/>
        </row>
        <row r="12">
          <cell r="C12"/>
        </row>
        <row r="13">
          <cell r="C13"/>
        </row>
        <row r="16">
          <cell r="C16"/>
        </row>
      </sheetData>
      <sheetData sheetId="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microsoft.com/en-gb/office/insert-move-or-delete-page-breaks-in-a-worksheet-ad3dc726-beec-4a4c-861f-ed640612bdc2" TargetMode="Externa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s://www.tyneteesdampproofing.co.uk/terms-and-conditions/"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BEFE3-6641-46F7-8B4F-3B8091E0F087}">
  <sheetPr codeName="Sheet5">
    <tabColor rgb="FFFF0000"/>
  </sheetPr>
  <dimension ref="A1:AC247"/>
  <sheetViews>
    <sheetView tabSelected="1" zoomScaleNormal="100" workbookViewId="0">
      <pane ySplit="3" topLeftCell="A4" activePane="bottomLeft" state="frozen"/>
      <selection pane="bottomLeft" activeCell="D11" sqref="D11:P11"/>
    </sheetView>
  </sheetViews>
  <sheetFormatPr baseColWidth="10" defaultColWidth="10.33203125" defaultRowHeight="14" outlineLevelCol="1" x14ac:dyDescent="0.15"/>
  <cols>
    <col min="1" max="1" width="3.1640625" style="150" customWidth="1"/>
    <col min="2" max="2" width="10.6640625" style="148" customWidth="1"/>
    <col min="3" max="3" width="1.6640625" style="149" customWidth="1"/>
    <col min="4" max="4" width="3.1640625" style="150" customWidth="1"/>
    <col min="5" max="5" width="3.33203125" style="150" customWidth="1"/>
    <col min="6" max="6" width="14" style="150" customWidth="1"/>
    <col min="7" max="7" width="8.1640625" style="150" customWidth="1"/>
    <col min="8" max="10" width="7" style="150" customWidth="1"/>
    <col min="11" max="11" width="12" style="150" customWidth="1"/>
    <col min="12" max="12" width="9.33203125" style="150" customWidth="1"/>
    <col min="13" max="13" width="4.5" style="157" customWidth="1"/>
    <col min="14" max="14" width="10.5" style="157" customWidth="1"/>
    <col min="15" max="15" width="8.5" style="150" customWidth="1"/>
    <col min="16" max="16" width="3.5" style="150" customWidth="1"/>
    <col min="17" max="17" width="4.1640625" style="150" customWidth="1"/>
    <col min="18" max="18" width="48.6640625" style="169" customWidth="1"/>
    <col min="19" max="19" width="12.1640625" style="150" hidden="1" customWidth="1" outlineLevel="1"/>
    <col min="20" max="20" width="37.33203125" style="148" hidden="1" customWidth="1" outlineLevel="1"/>
    <col min="21" max="21" width="16.33203125" style="174" hidden="1" customWidth="1" outlineLevel="1"/>
    <col min="22" max="22" width="13.5" style="174" hidden="1" customWidth="1" outlineLevel="1"/>
    <col min="23" max="23" width="17.5" style="174" hidden="1" customWidth="1" outlineLevel="1"/>
    <col min="24" max="24" width="10.33203125" style="150" collapsed="1"/>
    <col min="25" max="16384" width="10.33203125" style="150"/>
  </cols>
  <sheetData>
    <row r="1" spans="1:23" ht="35.25" customHeight="1" thickBot="1" x14ac:dyDescent="0.2">
      <c r="D1" s="476" t="s">
        <v>127</v>
      </c>
      <c r="E1" s="550"/>
      <c r="F1" s="477"/>
      <c r="G1" s="477"/>
      <c r="H1" s="478" t="str">
        <f>IF(SUM(V:V)=0,"SHEET NOT YET STARTED",IF(SUM(W:W)&gt;0,"SHEET NOT COMPLETE","SHEET COMPLETE"))</f>
        <v>SHEET NOT COMPLETE</v>
      </c>
      <c r="I1" s="479"/>
      <c r="J1" s="479"/>
      <c r="K1" s="479"/>
      <c r="L1" s="479"/>
      <c r="M1" s="479"/>
      <c r="N1" s="479"/>
      <c r="O1" s="479"/>
      <c r="P1" s="480"/>
      <c r="R1" s="185"/>
      <c r="T1" s="150"/>
      <c r="U1" s="150"/>
      <c r="V1" s="150"/>
      <c r="W1" s="150"/>
    </row>
    <row r="2" spans="1:23" ht="7.5" customHeight="1" x14ac:dyDescent="0.15">
      <c r="D2" s="180"/>
      <c r="E2" s="180"/>
      <c r="F2" s="180"/>
      <c r="G2" s="180"/>
      <c r="H2" s="181"/>
      <c r="I2" s="181"/>
      <c r="J2" s="181"/>
      <c r="K2" s="181"/>
      <c r="L2" s="181"/>
      <c r="M2" s="181"/>
      <c r="N2" s="181"/>
      <c r="O2" s="181"/>
      <c r="P2" s="181"/>
      <c r="R2" s="150"/>
      <c r="T2" s="150"/>
      <c r="U2" s="150"/>
      <c r="V2" s="150"/>
      <c r="W2" s="150"/>
    </row>
    <row r="3" spans="1:23" ht="26.75" customHeight="1" thickBot="1" x14ac:dyDescent="0.2">
      <c r="B3" s="165"/>
      <c r="D3" s="547" t="s">
        <v>172</v>
      </c>
      <c r="E3" s="547"/>
      <c r="F3" s="547"/>
      <c r="G3" s="547"/>
      <c r="H3" s="547"/>
      <c r="I3" s="547"/>
      <c r="J3" s="547"/>
      <c r="K3" s="547"/>
      <c r="L3" s="547"/>
      <c r="M3" s="547"/>
      <c r="N3" s="547"/>
      <c r="O3" s="547"/>
      <c r="P3" s="547"/>
      <c r="R3" s="184" t="s">
        <v>238</v>
      </c>
      <c r="T3" s="167" t="s">
        <v>209</v>
      </c>
      <c r="U3" s="171" t="s">
        <v>128</v>
      </c>
      <c r="V3" s="172" t="s">
        <v>129</v>
      </c>
      <c r="W3" s="172" t="s">
        <v>130</v>
      </c>
    </row>
    <row r="4" spans="1:23" s="151" customFormat="1" ht="6.5" customHeight="1" x14ac:dyDescent="0.15">
      <c r="A4" s="183" t="str">
        <f t="shared" ref="A4:A200" si="0">IF(W4=1,"X","")</f>
        <v/>
      </c>
      <c r="B4" s="164">
        <v>1</v>
      </c>
      <c r="D4" s="548"/>
      <c r="E4" s="548"/>
      <c r="F4" s="548"/>
      <c r="G4" s="548"/>
      <c r="H4" s="548"/>
      <c r="I4" s="548"/>
      <c r="J4" s="548"/>
      <c r="K4" s="548"/>
      <c r="L4" s="548"/>
      <c r="M4" s="548"/>
      <c r="N4" s="548"/>
      <c r="O4" s="548"/>
      <c r="P4" s="548"/>
      <c r="R4" s="157"/>
      <c r="T4" s="168" t="s">
        <v>207</v>
      </c>
      <c r="U4" s="150"/>
      <c r="V4" s="21"/>
      <c r="W4" s="21"/>
    </row>
    <row r="5" spans="1:23" s="151" customFormat="1" ht="18.75" customHeight="1" x14ac:dyDescent="0.15">
      <c r="A5" s="183" t="str">
        <f t="shared" si="0"/>
        <v/>
      </c>
      <c r="B5" s="164">
        <v>1</v>
      </c>
      <c r="D5" s="514" t="s">
        <v>271</v>
      </c>
      <c r="E5" s="514"/>
      <c r="F5" s="514"/>
      <c r="G5" s="514"/>
      <c r="H5" s="514"/>
      <c r="I5" s="514"/>
      <c r="J5" s="514"/>
      <c r="K5" s="514"/>
      <c r="L5" s="514"/>
      <c r="M5" s="514"/>
      <c r="N5" s="514"/>
      <c r="O5" s="514"/>
      <c r="P5" s="514"/>
      <c r="R5" s="186" t="s">
        <v>243</v>
      </c>
      <c r="T5" s="168" t="s">
        <v>207</v>
      </c>
      <c r="U5" s="150"/>
      <c r="V5" s="21"/>
      <c r="W5" s="21"/>
    </row>
    <row r="6" spans="1:23" s="151" customFormat="1" ht="5" customHeight="1" x14ac:dyDescent="0.2">
      <c r="A6" s="183" t="str">
        <f t="shared" si="0"/>
        <v/>
      </c>
      <c r="B6" s="164">
        <v>1</v>
      </c>
      <c r="D6" s="515"/>
      <c r="E6" s="515"/>
      <c r="F6" s="515"/>
      <c r="G6" s="515"/>
      <c r="H6" s="515"/>
      <c r="I6" s="515"/>
      <c r="J6" s="515"/>
      <c r="K6" s="515"/>
      <c r="L6" s="515"/>
      <c r="M6" s="515"/>
      <c r="N6" s="515"/>
      <c r="O6" s="515"/>
      <c r="P6" s="515"/>
      <c r="R6" s="157"/>
      <c r="T6" s="168" t="s">
        <v>207</v>
      </c>
      <c r="U6" s="150"/>
      <c r="V6" s="21"/>
      <c r="W6" s="21"/>
    </row>
    <row r="7" spans="1:23" s="151" customFormat="1" ht="18.75" customHeight="1" x14ac:dyDescent="0.15">
      <c r="A7" s="183" t="str">
        <f>IF(W7=1,"X","")</f>
        <v>X</v>
      </c>
      <c r="B7" s="164">
        <v>1</v>
      </c>
      <c r="D7" s="516" t="str">
        <f>Costing!E7</f>
        <v/>
      </c>
      <c r="E7" s="516"/>
      <c r="F7" s="516"/>
      <c r="G7" s="516"/>
      <c r="H7" s="516"/>
      <c r="I7" s="516"/>
      <c r="J7" s="516"/>
      <c r="K7" s="516"/>
      <c r="L7" s="516"/>
      <c r="M7" s="516"/>
      <c r="N7" s="516"/>
      <c r="O7" s="516"/>
      <c r="P7" s="516"/>
      <c r="R7" s="186" t="s">
        <v>244</v>
      </c>
      <c r="T7" s="168" t="s">
        <v>207</v>
      </c>
      <c r="U7" s="150"/>
      <c r="V7" s="164">
        <f>IF(D7&lt;&gt;"",1,0)</f>
        <v>0</v>
      </c>
      <c r="W7" s="164">
        <f>IF(AND(SUM(V:V)&gt;0,OR(D7="",D7=0)),1,0)</f>
        <v>1</v>
      </c>
    </row>
    <row r="8" spans="1:23" s="151" customFormat="1" ht="18.75" customHeight="1" x14ac:dyDescent="0.15">
      <c r="A8" s="183" t="str">
        <f t="shared" si="0"/>
        <v>X</v>
      </c>
      <c r="B8" s="164">
        <v>1</v>
      </c>
      <c r="D8" s="549" t="str">
        <f>Costing!E8</f>
        <v/>
      </c>
      <c r="E8" s="549"/>
      <c r="F8" s="549"/>
      <c r="G8" s="549"/>
      <c r="H8" s="549"/>
      <c r="I8" s="549"/>
      <c r="J8" s="549"/>
      <c r="K8" s="549"/>
      <c r="L8" s="549"/>
      <c r="M8" s="549"/>
      <c r="N8" s="549"/>
      <c r="O8" s="549"/>
      <c r="P8" s="549"/>
      <c r="R8" s="186" t="s">
        <v>244</v>
      </c>
      <c r="T8" s="168" t="s">
        <v>207</v>
      </c>
      <c r="U8" s="150"/>
      <c r="V8" s="164">
        <f t="shared" ref="V8:V11" si="1">IF(D8&lt;&gt;"",1,0)</f>
        <v>0</v>
      </c>
      <c r="W8" s="164">
        <f>IF(AND(SUM(V:V)&gt;0,OR(D8="",D8=0)),1,0)</f>
        <v>1</v>
      </c>
    </row>
    <row r="9" spans="1:23" s="151" customFormat="1" ht="18.75" customHeight="1" x14ac:dyDescent="0.15">
      <c r="A9" s="183" t="str">
        <f t="shared" si="0"/>
        <v>X</v>
      </c>
      <c r="B9" s="164">
        <v>1</v>
      </c>
      <c r="D9" s="549" t="str">
        <f>Costing!E9</f>
        <v/>
      </c>
      <c r="E9" s="549"/>
      <c r="F9" s="549"/>
      <c r="G9" s="549"/>
      <c r="H9" s="549"/>
      <c r="I9" s="549"/>
      <c r="J9" s="549"/>
      <c r="K9" s="549"/>
      <c r="L9" s="549"/>
      <c r="M9" s="549"/>
      <c r="N9" s="549"/>
      <c r="O9" s="549"/>
      <c r="P9" s="549"/>
      <c r="R9" s="186" t="s">
        <v>244</v>
      </c>
      <c r="T9" s="168" t="s">
        <v>207</v>
      </c>
      <c r="U9" s="150"/>
      <c r="V9" s="164">
        <f t="shared" si="1"/>
        <v>0</v>
      </c>
      <c r="W9" s="164">
        <f>IF(AND(SUM(V:V)&gt;0,OR(D9="",D9=0)),1,0)</f>
        <v>1</v>
      </c>
    </row>
    <row r="10" spans="1:23" s="151" customFormat="1" ht="18.75" customHeight="1" x14ac:dyDescent="0.15">
      <c r="A10" s="183" t="str">
        <f t="shared" si="0"/>
        <v>X</v>
      </c>
      <c r="B10" s="164">
        <v>1</v>
      </c>
      <c r="D10" s="549" t="str">
        <f>Costing!E10</f>
        <v/>
      </c>
      <c r="E10" s="549"/>
      <c r="F10" s="549"/>
      <c r="G10" s="549"/>
      <c r="H10" s="549"/>
      <c r="I10" s="549"/>
      <c r="J10" s="549"/>
      <c r="K10" s="549"/>
      <c r="L10" s="549"/>
      <c r="M10" s="549"/>
      <c r="N10" s="549"/>
      <c r="O10" s="549"/>
      <c r="P10" s="549"/>
      <c r="R10" s="186" t="s">
        <v>244</v>
      </c>
      <c r="T10" s="168" t="s">
        <v>207</v>
      </c>
      <c r="U10" s="150"/>
      <c r="V10" s="164">
        <f t="shared" si="1"/>
        <v>0</v>
      </c>
      <c r="W10" s="164">
        <f>IF(AND(SUM(V:V)&gt;0,OR(D10="",D10=0)),1,0)</f>
        <v>1</v>
      </c>
    </row>
    <row r="11" spans="1:23" s="151" customFormat="1" ht="18.75" customHeight="1" x14ac:dyDescent="0.15">
      <c r="A11" s="183" t="str">
        <f t="shared" si="0"/>
        <v>X</v>
      </c>
      <c r="B11" s="164">
        <v>1</v>
      </c>
      <c r="D11" s="549" t="str">
        <f>Costing!E11</f>
        <v/>
      </c>
      <c r="E11" s="549"/>
      <c r="F11" s="549"/>
      <c r="G11" s="549"/>
      <c r="H11" s="549"/>
      <c r="I11" s="549"/>
      <c r="J11" s="549"/>
      <c r="K11" s="549"/>
      <c r="L11" s="549"/>
      <c r="M11" s="549"/>
      <c r="N11" s="549"/>
      <c r="O11" s="549"/>
      <c r="P11" s="549"/>
      <c r="R11" s="186" t="s">
        <v>244</v>
      </c>
      <c r="T11" s="168" t="s">
        <v>207</v>
      </c>
      <c r="U11" s="150"/>
      <c r="V11" s="164">
        <f t="shared" si="1"/>
        <v>0</v>
      </c>
      <c r="W11" s="164">
        <f>IF(AND(SUM(V:V)&gt;0,OR(D11="",D11=0)),1,0)</f>
        <v>1</v>
      </c>
    </row>
    <row r="12" spans="1:23" s="151" customFormat="1" ht="18.75" customHeight="1" x14ac:dyDescent="0.15">
      <c r="A12" s="183" t="str">
        <f>IF(W12=1,"X","")</f>
        <v>X</v>
      </c>
      <c r="B12" s="164">
        <v>1</v>
      </c>
      <c r="D12" s="516" t="s">
        <v>272</v>
      </c>
      <c r="E12" s="516"/>
      <c r="F12" s="516"/>
      <c r="G12" s="516" t="str">
        <f>Costing!E4</f>
        <v/>
      </c>
      <c r="H12" s="516"/>
      <c r="I12" s="516"/>
      <c r="J12" s="516"/>
      <c r="K12" s="516"/>
      <c r="L12" s="516"/>
      <c r="M12" s="516"/>
      <c r="N12" s="516"/>
      <c r="O12" s="516"/>
      <c r="P12" s="516"/>
      <c r="R12" s="186" t="s">
        <v>244</v>
      </c>
      <c r="T12" s="168" t="s">
        <v>207</v>
      </c>
      <c r="U12" s="150"/>
      <c r="V12" s="164">
        <f>IF(G12&lt;&gt;"",1,0)</f>
        <v>0</v>
      </c>
      <c r="W12" s="164">
        <f>IF(AND(SUM(V:V)&gt;0,OR(G12="",G12=0)),1,0)</f>
        <v>1</v>
      </c>
    </row>
    <row r="13" spans="1:23" s="151" customFormat="1" ht="5" customHeight="1" x14ac:dyDescent="0.2">
      <c r="A13" s="183" t="str">
        <f t="shared" ref="A13" si="2">IF(W13=1,"X","")</f>
        <v/>
      </c>
      <c r="B13" s="164">
        <v>1</v>
      </c>
      <c r="D13" s="515"/>
      <c r="E13" s="515"/>
      <c r="F13" s="515"/>
      <c r="G13" s="515"/>
      <c r="H13" s="515"/>
      <c r="I13" s="515"/>
      <c r="J13" s="515"/>
      <c r="K13" s="515"/>
      <c r="L13" s="515"/>
      <c r="M13" s="515"/>
      <c r="N13" s="515"/>
      <c r="O13" s="515"/>
      <c r="P13" s="515"/>
      <c r="R13" s="157"/>
      <c r="T13" s="168" t="s">
        <v>207</v>
      </c>
      <c r="U13" s="150"/>
      <c r="V13" s="21"/>
      <c r="W13" s="21"/>
    </row>
    <row r="14" spans="1:23" s="151" customFormat="1" ht="31" customHeight="1" x14ac:dyDescent="0.15">
      <c r="A14" s="183" t="str">
        <f t="shared" ref="A14" si="3">IF(W14=1,"X","")</f>
        <v/>
      </c>
      <c r="B14" s="164">
        <v>1</v>
      </c>
      <c r="D14" s="514" t="s">
        <v>284</v>
      </c>
      <c r="E14" s="514"/>
      <c r="F14" s="514"/>
      <c r="G14" s="514"/>
      <c r="H14" s="514"/>
      <c r="I14" s="514"/>
      <c r="J14" s="514"/>
      <c r="K14" s="514"/>
      <c r="L14" s="514"/>
      <c r="M14" s="514"/>
      <c r="N14" s="514"/>
      <c r="O14" s="514"/>
      <c r="P14" s="514"/>
      <c r="R14" s="186" t="s">
        <v>243</v>
      </c>
      <c r="T14" s="168" t="s">
        <v>207</v>
      </c>
      <c r="U14" s="150"/>
      <c r="V14" s="21"/>
      <c r="W14" s="21"/>
    </row>
    <row r="15" spans="1:23" s="151" customFormat="1" ht="18.75" customHeight="1" x14ac:dyDescent="0.15">
      <c r="A15" s="183" t="str">
        <f t="shared" ref="A15" si="4">IF(W15=1,"X","")</f>
        <v>X</v>
      </c>
      <c r="B15" s="164">
        <v>1</v>
      </c>
      <c r="D15" s="516" t="s">
        <v>280</v>
      </c>
      <c r="E15" s="516"/>
      <c r="F15" s="516"/>
      <c r="G15" s="516"/>
      <c r="H15" s="517"/>
      <c r="I15" s="517"/>
      <c r="J15" s="517"/>
      <c r="K15" s="517"/>
      <c r="L15" s="517"/>
      <c r="M15" s="517"/>
      <c r="N15" s="517"/>
      <c r="O15" s="517"/>
      <c r="P15" s="517"/>
      <c r="R15" s="184" t="s">
        <v>281</v>
      </c>
      <c r="T15" s="168" t="s">
        <v>207</v>
      </c>
      <c r="U15" s="173"/>
      <c r="V15" s="164">
        <f>IF(H15&lt;&gt;"",1,0)</f>
        <v>0</v>
      </c>
      <c r="W15" s="164">
        <f>IF(AND(SUM(V:V)&gt;0,OR(H15="",H15=0)),1,0)</f>
        <v>1</v>
      </c>
    </row>
    <row r="16" spans="1:23" s="151" customFormat="1" ht="18.75" customHeight="1" x14ac:dyDescent="0.15">
      <c r="A16" s="183" t="str">
        <f t="shared" ref="A16" si="5">IF(W16=1,"X","")</f>
        <v>X</v>
      </c>
      <c r="B16" s="164">
        <v>1</v>
      </c>
      <c r="D16" s="516" t="s">
        <v>286</v>
      </c>
      <c r="E16" s="516"/>
      <c r="F16" s="516"/>
      <c r="G16" s="516"/>
      <c r="H16" s="517"/>
      <c r="I16" s="517"/>
      <c r="J16" s="517"/>
      <c r="K16" s="517"/>
      <c r="L16" s="517"/>
      <c r="M16" s="517"/>
      <c r="N16" s="517"/>
      <c r="O16" s="517"/>
      <c r="P16" s="517"/>
      <c r="R16" s="184" t="s">
        <v>285</v>
      </c>
      <c r="T16" s="168" t="s">
        <v>207</v>
      </c>
      <c r="U16" s="173"/>
      <c r="V16" s="164">
        <f>IF(H16&lt;&gt;"",1,0)</f>
        <v>0</v>
      </c>
      <c r="W16" s="164">
        <f>IF(AND(SUM(V:V)&gt;0,OR(H16="",H16=0)),1,0)</f>
        <v>1</v>
      </c>
    </row>
    <row r="17" spans="1:23" s="151" customFormat="1" ht="18.75" customHeight="1" x14ac:dyDescent="0.15">
      <c r="A17" s="183" t="str">
        <f t="shared" ref="A17:A29" si="6">IF(W17=1,"X","")</f>
        <v>X</v>
      </c>
      <c r="B17" s="164">
        <v>1</v>
      </c>
      <c r="D17" s="516" t="s">
        <v>287</v>
      </c>
      <c r="E17" s="516"/>
      <c r="F17" s="516"/>
      <c r="G17" s="516"/>
      <c r="H17" s="197"/>
      <c r="I17" s="195" t="s">
        <v>288</v>
      </c>
      <c r="J17" s="196"/>
      <c r="K17" s="196"/>
      <c r="L17" s="196"/>
      <c r="M17" s="196"/>
      <c r="N17" s="196"/>
      <c r="O17" s="196"/>
      <c r="P17" s="196"/>
      <c r="R17" s="184" t="s">
        <v>285</v>
      </c>
      <c r="T17" s="168" t="s">
        <v>207</v>
      </c>
      <c r="U17" s="173"/>
      <c r="V17" s="164">
        <f>IF(H17&lt;&gt;"",1,0)</f>
        <v>0</v>
      </c>
      <c r="W17" s="164">
        <f>IF(AND(SUM(V:V)&gt;0,OR(H17="",H17=0)),1,0)</f>
        <v>1</v>
      </c>
    </row>
    <row r="18" spans="1:23" s="151" customFormat="1" ht="31" customHeight="1" x14ac:dyDescent="0.15">
      <c r="A18" s="183" t="str">
        <f t="shared" si="6"/>
        <v/>
      </c>
      <c r="B18" s="164">
        <v>1</v>
      </c>
      <c r="D18" s="514" t="s">
        <v>289</v>
      </c>
      <c r="E18" s="514"/>
      <c r="F18" s="514"/>
      <c r="G18" s="514"/>
      <c r="H18" s="514"/>
      <c r="I18" s="514"/>
      <c r="J18" s="514"/>
      <c r="K18" s="514"/>
      <c r="L18" s="514"/>
      <c r="M18" s="514"/>
      <c r="N18" s="514"/>
      <c r="O18" s="514"/>
      <c r="P18" s="514"/>
      <c r="R18" s="186" t="s">
        <v>243</v>
      </c>
      <c r="T18" s="168" t="s">
        <v>207</v>
      </c>
      <c r="U18" s="150"/>
      <c r="V18" s="21"/>
      <c r="W18" s="21"/>
    </row>
    <row r="19" spans="1:23" x14ac:dyDescent="0.15">
      <c r="A19" s="183" t="str">
        <f t="shared" si="6"/>
        <v/>
      </c>
      <c r="B19" s="164">
        <v>0</v>
      </c>
      <c r="D19" s="519" t="s">
        <v>247</v>
      </c>
      <c r="E19" s="519"/>
      <c r="F19" s="519"/>
      <c r="G19" s="519"/>
      <c r="H19" s="519"/>
      <c r="I19" s="519"/>
      <c r="J19" s="519"/>
      <c r="K19" s="519"/>
      <c r="L19" s="519"/>
      <c r="M19" s="519"/>
      <c r="N19" s="519"/>
      <c r="O19" s="519"/>
      <c r="P19" s="519"/>
      <c r="R19" s="186" t="s">
        <v>239</v>
      </c>
      <c r="T19" s="166" t="s">
        <v>210</v>
      </c>
      <c r="V19" s="21"/>
      <c r="W19" s="21"/>
    </row>
    <row r="20" spans="1:23" x14ac:dyDescent="0.15">
      <c r="A20" s="183" t="str">
        <f t="shared" si="6"/>
        <v/>
      </c>
      <c r="B20" s="164">
        <v>0</v>
      </c>
      <c r="D20" s="520" t="s">
        <v>248</v>
      </c>
      <c r="E20" s="520"/>
      <c r="F20" s="520"/>
      <c r="G20" s="520"/>
      <c r="H20" s="520"/>
      <c r="I20" s="520"/>
      <c r="J20" s="520"/>
      <c r="K20" s="520"/>
      <c r="L20" s="520"/>
      <c r="M20" s="520"/>
      <c r="N20" s="520"/>
      <c r="O20" s="520"/>
      <c r="P20" s="520"/>
      <c r="R20" s="186" t="s">
        <v>239</v>
      </c>
      <c r="T20" s="166" t="s">
        <v>210</v>
      </c>
      <c r="V20" s="21"/>
      <c r="W20" s="21"/>
    </row>
    <row r="21" spans="1:23" ht="8.5" customHeight="1" x14ac:dyDescent="0.15">
      <c r="A21" s="183" t="str">
        <f t="shared" si="6"/>
        <v/>
      </c>
      <c r="B21" s="164">
        <f>IF(OR(D22="Show",Q22="Show"),1,0)</f>
        <v>1</v>
      </c>
      <c r="D21" s="521"/>
      <c r="E21" s="521"/>
      <c r="F21" s="521"/>
      <c r="G21" s="521"/>
      <c r="H21" s="521"/>
      <c r="I21" s="521"/>
      <c r="J21" s="521"/>
      <c r="K21" s="521"/>
      <c r="L21" s="521"/>
      <c r="M21" s="521"/>
      <c r="N21" s="521"/>
      <c r="O21" s="521"/>
      <c r="P21" s="521"/>
      <c r="T21" s="168" t="s">
        <v>207</v>
      </c>
      <c r="V21" s="21"/>
      <c r="W21" s="21"/>
    </row>
    <row r="22" spans="1:23" ht="18" customHeight="1" x14ac:dyDescent="0.15">
      <c r="A22" s="183" t="str">
        <f t="shared" si="6"/>
        <v/>
      </c>
      <c r="B22" s="164">
        <v>0</v>
      </c>
      <c r="D22" s="522" t="s">
        <v>294</v>
      </c>
      <c r="E22" s="522"/>
      <c r="F22" s="522"/>
      <c r="G22" s="522"/>
      <c r="H22" s="522"/>
      <c r="I22" s="522"/>
      <c r="J22" s="522"/>
      <c r="K22" s="522" t="s">
        <v>294</v>
      </c>
      <c r="L22" s="522"/>
      <c r="M22" s="522"/>
      <c r="N22" s="522"/>
      <c r="O22" s="522"/>
      <c r="P22" s="522"/>
      <c r="R22" s="184" t="s">
        <v>250</v>
      </c>
      <c r="T22" s="170" t="s">
        <v>219</v>
      </c>
      <c r="U22" s="146"/>
      <c r="V22" s="164">
        <f>IF(OR(D22="Show",D22="",K22="Show",K22=""),1,0)</f>
        <v>1</v>
      </c>
      <c r="W22" s="164">
        <f>IF(AND(SUM(V:V)&gt;0,OR(D22="",K22="")),1,0)</f>
        <v>0</v>
      </c>
    </row>
    <row r="23" spans="1:23" ht="197.25" customHeight="1" x14ac:dyDescent="0.15">
      <c r="A23" s="183" t="str">
        <f t="shared" si="6"/>
        <v/>
      </c>
      <c r="B23" s="164">
        <f>B21</f>
        <v>1</v>
      </c>
      <c r="D23" s="523"/>
      <c r="E23" s="523"/>
      <c r="F23" s="523"/>
      <c r="G23" s="523"/>
      <c r="H23" s="523"/>
      <c r="I23" s="523"/>
      <c r="J23" s="523"/>
      <c r="K23" s="523"/>
      <c r="L23" s="523"/>
      <c r="M23" s="523"/>
      <c r="N23" s="523"/>
      <c r="O23" s="523"/>
      <c r="P23" s="523"/>
      <c r="R23" s="184" t="s">
        <v>251</v>
      </c>
      <c r="T23" s="170" t="s">
        <v>219</v>
      </c>
      <c r="U23" s="173"/>
      <c r="V23" s="21"/>
      <c r="W23" s="21"/>
    </row>
    <row r="24" spans="1:23" ht="18" customHeight="1" x14ac:dyDescent="0.15">
      <c r="A24" s="183" t="str">
        <f t="shared" si="6"/>
        <v/>
      </c>
      <c r="B24" s="164">
        <f>B23</f>
        <v>1</v>
      </c>
      <c r="D24" s="524" t="s">
        <v>295</v>
      </c>
      <c r="E24" s="524"/>
      <c r="F24" s="524"/>
      <c r="G24" s="524"/>
      <c r="H24" s="524"/>
      <c r="I24" s="524"/>
      <c r="J24" s="524"/>
      <c r="K24" s="524" t="s">
        <v>296</v>
      </c>
      <c r="L24" s="524"/>
      <c r="M24" s="524"/>
      <c r="N24" s="524"/>
      <c r="O24" s="524"/>
      <c r="P24" s="524"/>
      <c r="R24" s="184" t="s">
        <v>252</v>
      </c>
      <c r="T24" s="170" t="s">
        <v>219</v>
      </c>
      <c r="U24" s="173"/>
      <c r="V24" s="164">
        <f>IF(OR(D22="Show",D22="",K22="Show",K22=""),1,0)</f>
        <v>1</v>
      </c>
      <c r="W24" s="164">
        <f>IF(AND(SUM(V:V)&gt;0,OR(AND(D22="Show",D24=""),AND(K22="Show",K24=""))),1,0)</f>
        <v>0</v>
      </c>
    </row>
    <row r="25" spans="1:23" ht="8.5" customHeight="1" x14ac:dyDescent="0.15">
      <c r="A25" s="183" t="str">
        <f t="shared" si="6"/>
        <v/>
      </c>
      <c r="B25" s="164">
        <f>B24</f>
        <v>1</v>
      </c>
      <c r="D25" s="521"/>
      <c r="E25" s="521"/>
      <c r="F25" s="521"/>
      <c r="G25" s="521"/>
      <c r="H25" s="521"/>
      <c r="I25" s="521"/>
      <c r="J25" s="521"/>
      <c r="K25" s="521"/>
      <c r="L25" s="521"/>
      <c r="M25" s="521"/>
      <c r="N25" s="521"/>
      <c r="O25" s="521"/>
      <c r="P25" s="521"/>
      <c r="T25" s="168" t="s">
        <v>207</v>
      </c>
      <c r="U25" s="150"/>
      <c r="V25" s="21"/>
      <c r="W25" s="21"/>
    </row>
    <row r="26" spans="1:23" x14ac:dyDescent="0.15">
      <c r="A26" s="183" t="str">
        <f t="shared" si="6"/>
        <v/>
      </c>
      <c r="B26" s="164">
        <v>0</v>
      </c>
      <c r="D26" s="520" t="s">
        <v>253</v>
      </c>
      <c r="E26" s="520"/>
      <c r="F26" s="520"/>
      <c r="G26" s="520"/>
      <c r="H26" s="520"/>
      <c r="I26" s="520"/>
      <c r="J26" s="520"/>
      <c r="K26" s="520"/>
      <c r="L26" s="520"/>
      <c r="M26" s="520"/>
      <c r="N26" s="520"/>
      <c r="O26" s="520"/>
      <c r="P26" s="520"/>
      <c r="R26" s="186" t="s">
        <v>239</v>
      </c>
      <c r="T26" s="166" t="s">
        <v>210</v>
      </c>
      <c r="U26" s="146"/>
      <c r="V26" s="21"/>
      <c r="W26" s="21"/>
    </row>
    <row r="27" spans="1:23" s="151" customFormat="1" ht="18.75" customHeight="1" x14ac:dyDescent="0.15">
      <c r="A27" s="183" t="str">
        <f t="shared" si="6"/>
        <v>X</v>
      </c>
      <c r="B27" s="164">
        <v>1</v>
      </c>
      <c r="D27" s="516" t="s">
        <v>290</v>
      </c>
      <c r="E27" s="516"/>
      <c r="F27" s="516"/>
      <c r="G27" s="516"/>
      <c r="H27" s="516"/>
      <c r="I27" s="517"/>
      <c r="J27" s="517"/>
      <c r="K27" s="517"/>
      <c r="L27" s="517"/>
      <c r="M27" s="517"/>
      <c r="N27" s="517"/>
      <c r="O27" s="517"/>
      <c r="P27" s="517"/>
      <c r="R27" s="184" t="s">
        <v>285</v>
      </c>
      <c r="T27" s="168" t="s">
        <v>207</v>
      </c>
      <c r="U27" s="173"/>
      <c r="V27" s="164">
        <f>IF(I27&lt;&gt;"",1,0)</f>
        <v>0</v>
      </c>
      <c r="W27" s="164">
        <f>IF(AND(SUM(V:V)&gt;0,OR(I27="",I27=0)),1,0)</f>
        <v>1</v>
      </c>
    </row>
    <row r="28" spans="1:23" s="151" customFormat="1" ht="18.75" customHeight="1" x14ac:dyDescent="0.15">
      <c r="A28" s="183" t="str">
        <f t="shared" ref="A28" si="7">IF(W28=1,"X","")</f>
        <v>X</v>
      </c>
      <c r="B28" s="164">
        <v>1</v>
      </c>
      <c r="D28" s="516" t="s">
        <v>291</v>
      </c>
      <c r="E28" s="516"/>
      <c r="F28" s="516"/>
      <c r="G28" s="516"/>
      <c r="H28" s="516"/>
      <c r="I28" s="517"/>
      <c r="J28" s="517"/>
      <c r="K28" s="517"/>
      <c r="L28" s="517"/>
      <c r="M28" s="517"/>
      <c r="N28" s="517"/>
      <c r="O28" s="517"/>
      <c r="P28" s="517"/>
      <c r="R28" s="184" t="s">
        <v>285</v>
      </c>
      <c r="T28" s="168" t="s">
        <v>207</v>
      </c>
      <c r="U28" s="173"/>
      <c r="V28" s="164">
        <f>IF(I28&lt;&gt;"",1,0)</f>
        <v>0</v>
      </c>
      <c r="W28" s="164">
        <f>IF(AND(SUM(V:V)&gt;0,OR(I28="",I28=0)),1,0)</f>
        <v>1</v>
      </c>
    </row>
    <row r="29" spans="1:23" s="151" customFormat="1" ht="18.75" customHeight="1" x14ac:dyDescent="0.15">
      <c r="A29" s="183" t="str">
        <f t="shared" si="6"/>
        <v>X</v>
      </c>
      <c r="B29" s="164">
        <v>1</v>
      </c>
      <c r="D29" s="516" t="s">
        <v>292</v>
      </c>
      <c r="E29" s="516"/>
      <c r="F29" s="516"/>
      <c r="G29" s="516"/>
      <c r="H29" s="516"/>
      <c r="I29" s="517"/>
      <c r="J29" s="517"/>
      <c r="K29" s="517"/>
      <c r="L29" s="517"/>
      <c r="M29" s="517"/>
      <c r="N29" s="517"/>
      <c r="O29" s="517"/>
      <c r="P29" s="517"/>
      <c r="R29" s="184" t="s">
        <v>285</v>
      </c>
      <c r="T29" s="168" t="s">
        <v>207</v>
      </c>
      <c r="U29" s="173"/>
      <c r="V29" s="164">
        <f>IF(I29&lt;&gt;"",1,0)</f>
        <v>0</v>
      </c>
      <c r="W29" s="164">
        <f>IF(AND(SUM(V:V)&gt;0,OR(I29="",I29=0)),1,0)</f>
        <v>1</v>
      </c>
    </row>
    <row r="30" spans="1:23" s="151" customFormat="1" ht="5" customHeight="1" x14ac:dyDescent="0.2">
      <c r="A30" s="183" t="str">
        <f t="shared" si="0"/>
        <v/>
      </c>
      <c r="B30" s="164">
        <v>1</v>
      </c>
      <c r="D30" s="515"/>
      <c r="E30" s="515"/>
      <c r="F30" s="515"/>
      <c r="G30" s="515"/>
      <c r="H30" s="515"/>
      <c r="I30" s="515"/>
      <c r="J30" s="515"/>
      <c r="K30" s="515"/>
      <c r="L30" s="515"/>
      <c r="M30" s="515"/>
      <c r="N30" s="515"/>
      <c r="O30" s="515"/>
      <c r="P30" s="515"/>
      <c r="R30" s="157"/>
      <c r="T30" s="168" t="s">
        <v>207</v>
      </c>
      <c r="U30" s="150"/>
      <c r="V30" s="21"/>
      <c r="W30" s="21"/>
    </row>
    <row r="31" spans="1:23" s="151" customFormat="1" ht="31" customHeight="1" x14ac:dyDescent="0.15">
      <c r="A31" s="183" t="str">
        <f t="shared" si="0"/>
        <v/>
      </c>
      <c r="B31" s="164">
        <v>1</v>
      </c>
      <c r="D31" s="514" t="s">
        <v>173</v>
      </c>
      <c r="E31" s="514"/>
      <c r="F31" s="514"/>
      <c r="G31" s="514"/>
      <c r="H31" s="514"/>
      <c r="I31" s="514"/>
      <c r="J31" s="514"/>
      <c r="K31" s="514"/>
      <c r="L31" s="514"/>
      <c r="M31" s="514"/>
      <c r="N31" s="514"/>
      <c r="O31" s="514"/>
      <c r="P31" s="514"/>
      <c r="R31" s="186" t="s">
        <v>243</v>
      </c>
      <c r="T31" s="168" t="s">
        <v>207</v>
      </c>
      <c r="U31" s="150"/>
      <c r="V31" s="21"/>
      <c r="W31" s="21"/>
    </row>
    <row r="32" spans="1:23" s="151" customFormat="1" ht="18.75" customHeight="1" x14ac:dyDescent="0.15">
      <c r="A32" s="183" t="str">
        <f t="shared" si="0"/>
        <v>X</v>
      </c>
      <c r="B32" s="164">
        <v>1</v>
      </c>
      <c r="D32" s="516" t="s">
        <v>205</v>
      </c>
      <c r="E32" s="516"/>
      <c r="F32" s="516"/>
      <c r="G32" s="516"/>
      <c r="H32" s="551" t="str">
        <f>IF(D34&lt;&gt;"",D34,IF([1]Details!$C$13=0,"",[1]Details!$C$13))</f>
        <v/>
      </c>
      <c r="I32" s="551"/>
      <c r="J32" s="551"/>
      <c r="K32" s="551"/>
      <c r="L32" s="551"/>
      <c r="M32" s="551"/>
      <c r="N32" s="551"/>
      <c r="O32" s="551"/>
      <c r="P32" s="551"/>
      <c r="R32" s="186" t="s">
        <v>244</v>
      </c>
      <c r="T32" s="168" t="s">
        <v>207</v>
      </c>
      <c r="U32" s="173"/>
      <c r="V32" s="164">
        <f>IF(H32&lt;&gt;"",1,0)</f>
        <v>0</v>
      </c>
      <c r="W32" s="164">
        <f>IF(AND(SUM(V:V)&gt;0,OR(H32="",H32=0)),1,0)</f>
        <v>1</v>
      </c>
    </row>
    <row r="33" spans="1:23" ht="31" customHeight="1" x14ac:dyDescent="0.15">
      <c r="A33" s="183" t="str">
        <f t="shared" si="0"/>
        <v/>
      </c>
      <c r="B33" s="164">
        <v>0</v>
      </c>
      <c r="D33" s="518" t="s">
        <v>282</v>
      </c>
      <c r="E33" s="518"/>
      <c r="F33" s="518"/>
      <c r="G33" s="518"/>
      <c r="H33" s="518"/>
      <c r="I33" s="518"/>
      <c r="J33" s="518"/>
      <c r="K33" s="518"/>
      <c r="L33" s="518"/>
      <c r="M33" s="518"/>
      <c r="N33" s="518"/>
      <c r="O33" s="518"/>
      <c r="P33" s="518"/>
      <c r="R33" s="186" t="s">
        <v>239</v>
      </c>
      <c r="S33" s="194"/>
      <c r="T33" s="166" t="s">
        <v>210</v>
      </c>
      <c r="U33" s="175"/>
      <c r="V33" s="21"/>
      <c r="W33" s="21"/>
    </row>
    <row r="34" spans="1:23" ht="18.5" customHeight="1" x14ac:dyDescent="0.15">
      <c r="A34" s="183" t="str">
        <f t="shared" ref="A34" si="8">IF(W34=1,"X","")</f>
        <v/>
      </c>
      <c r="B34" s="164">
        <v>0</v>
      </c>
      <c r="D34" s="525"/>
      <c r="E34" s="525"/>
      <c r="F34" s="525"/>
      <c r="G34" s="525"/>
      <c r="H34" s="525"/>
      <c r="I34" s="525"/>
      <c r="J34" s="525"/>
      <c r="K34" s="525"/>
      <c r="L34" s="525"/>
      <c r="M34" s="525"/>
      <c r="N34" s="525"/>
      <c r="O34" s="525"/>
      <c r="P34" s="525"/>
      <c r="R34" s="186" t="s">
        <v>239</v>
      </c>
      <c r="S34" s="194"/>
      <c r="T34" s="166" t="s">
        <v>210</v>
      </c>
      <c r="U34" s="175"/>
      <c r="V34" s="21"/>
      <c r="W34" s="21"/>
    </row>
    <row r="35" spans="1:23" s="151" customFormat="1" ht="5" customHeight="1" x14ac:dyDescent="0.2">
      <c r="A35" s="183" t="str">
        <f t="shared" si="0"/>
        <v/>
      </c>
      <c r="B35" s="164">
        <v>1</v>
      </c>
      <c r="D35" s="515"/>
      <c r="E35" s="515"/>
      <c r="F35" s="515"/>
      <c r="G35" s="515"/>
      <c r="H35" s="515"/>
      <c r="I35" s="515"/>
      <c r="J35" s="515"/>
      <c r="K35" s="515"/>
      <c r="L35" s="515"/>
      <c r="M35" s="515"/>
      <c r="N35" s="515"/>
      <c r="O35" s="515"/>
      <c r="P35" s="515"/>
      <c r="R35" s="157"/>
      <c r="T35" s="168"/>
      <c r="U35" s="174"/>
      <c r="V35" s="21"/>
      <c r="W35" s="21"/>
    </row>
    <row r="36" spans="1:23" s="151" customFormat="1" ht="31" customHeight="1" x14ac:dyDescent="0.15">
      <c r="A36" s="183" t="str">
        <f t="shared" si="0"/>
        <v/>
      </c>
      <c r="B36" s="164">
        <v>1</v>
      </c>
      <c r="D36" s="514" t="s">
        <v>206</v>
      </c>
      <c r="E36" s="514"/>
      <c r="F36" s="514"/>
      <c r="G36" s="514"/>
      <c r="H36" s="514"/>
      <c r="I36" s="514"/>
      <c r="J36" s="514"/>
      <c r="K36" s="514"/>
      <c r="L36" s="514"/>
      <c r="M36" s="514"/>
      <c r="N36" s="514"/>
      <c r="O36" s="514"/>
      <c r="P36" s="514"/>
      <c r="R36" s="186" t="s">
        <v>243</v>
      </c>
      <c r="T36" s="168" t="s">
        <v>207</v>
      </c>
      <c r="U36" s="174"/>
      <c r="V36" s="21"/>
      <c r="W36" s="21"/>
    </row>
    <row r="37" spans="1:23" s="151" customFormat="1" ht="65.75" customHeight="1" x14ac:dyDescent="0.15">
      <c r="A37" s="183" t="str">
        <f t="shared" si="0"/>
        <v/>
      </c>
      <c r="B37" s="164">
        <v>1</v>
      </c>
      <c r="D37" s="532" t="s">
        <v>174</v>
      </c>
      <c r="E37" s="532"/>
      <c r="F37" s="532"/>
      <c r="G37" s="532"/>
      <c r="H37" s="532"/>
      <c r="I37" s="532"/>
      <c r="J37" s="532"/>
      <c r="K37" s="532"/>
      <c r="L37" s="532"/>
      <c r="M37" s="532"/>
      <c r="N37" s="532"/>
      <c r="O37" s="532"/>
      <c r="P37" s="532"/>
      <c r="R37" s="186" t="s">
        <v>243</v>
      </c>
      <c r="T37" s="168" t="s">
        <v>207</v>
      </c>
      <c r="U37" s="174"/>
      <c r="V37" s="21"/>
      <c r="W37" s="21"/>
    </row>
    <row r="38" spans="1:23" s="151" customFormat="1" ht="40.5" customHeight="1" x14ac:dyDescent="0.15">
      <c r="A38" s="183" t="str">
        <f t="shared" ref="A38" si="9">IF(W38=1,"X","")</f>
        <v/>
      </c>
      <c r="B38" s="164">
        <v>1</v>
      </c>
      <c r="D38" s="532" t="s">
        <v>274</v>
      </c>
      <c r="E38" s="532"/>
      <c r="F38" s="532"/>
      <c r="G38" s="532"/>
      <c r="H38" s="532"/>
      <c r="I38" s="532"/>
      <c r="J38" s="532"/>
      <c r="K38" s="532"/>
      <c r="L38" s="532"/>
      <c r="M38" s="532"/>
      <c r="N38" s="532"/>
      <c r="O38" s="532"/>
      <c r="P38" s="532"/>
      <c r="R38" s="186" t="s">
        <v>243</v>
      </c>
      <c r="T38" s="168" t="s">
        <v>207</v>
      </c>
      <c r="U38" s="174"/>
      <c r="V38" s="21"/>
      <c r="W38" s="21"/>
    </row>
    <row r="39" spans="1:23" s="151" customFormat="1" ht="5" customHeight="1" x14ac:dyDescent="0.2">
      <c r="A39" s="183" t="str">
        <f t="shared" si="0"/>
        <v/>
      </c>
      <c r="B39" s="164">
        <v>1</v>
      </c>
      <c r="D39" s="515"/>
      <c r="E39" s="515"/>
      <c r="F39" s="515"/>
      <c r="G39" s="515"/>
      <c r="H39" s="515"/>
      <c r="I39" s="515"/>
      <c r="J39" s="515"/>
      <c r="K39" s="515"/>
      <c r="L39" s="515"/>
      <c r="M39" s="515"/>
      <c r="N39" s="515"/>
      <c r="O39" s="515"/>
      <c r="P39" s="515"/>
      <c r="R39" s="157"/>
      <c r="T39" s="168" t="s">
        <v>207</v>
      </c>
      <c r="U39" s="175"/>
      <c r="V39" s="21"/>
      <c r="W39" s="21"/>
    </row>
    <row r="40" spans="1:23" s="151" customFormat="1" ht="31" customHeight="1" x14ac:dyDescent="0.15">
      <c r="A40" s="183" t="str">
        <f t="shared" si="0"/>
        <v/>
      </c>
      <c r="B40" s="164">
        <v>1</v>
      </c>
      <c r="D40" s="514" t="s">
        <v>175</v>
      </c>
      <c r="E40" s="514"/>
      <c r="F40" s="514"/>
      <c r="G40" s="514"/>
      <c r="H40" s="514"/>
      <c r="I40" s="514"/>
      <c r="J40" s="514"/>
      <c r="K40" s="514"/>
      <c r="L40" s="514"/>
      <c r="M40" s="514"/>
      <c r="N40" s="514"/>
      <c r="O40" s="514"/>
      <c r="P40" s="514"/>
      <c r="R40" s="186" t="s">
        <v>243</v>
      </c>
      <c r="T40" s="168" t="s">
        <v>207</v>
      </c>
      <c r="U40" s="175"/>
      <c r="V40" s="21"/>
      <c r="W40" s="21"/>
    </row>
    <row r="41" spans="1:23" s="153" customFormat="1" ht="19" customHeight="1" x14ac:dyDescent="0.2">
      <c r="A41" s="183" t="str">
        <f t="shared" si="0"/>
        <v>X</v>
      </c>
      <c r="B41" s="182"/>
      <c r="C41" s="152"/>
      <c r="D41" s="532" t="s">
        <v>215</v>
      </c>
      <c r="E41" s="532"/>
      <c r="F41" s="532"/>
      <c r="G41" s="532"/>
      <c r="H41" s="532"/>
      <c r="I41" s="532"/>
      <c r="J41" s="532"/>
      <c r="K41" s="532"/>
      <c r="L41" s="532"/>
      <c r="M41" s="532"/>
      <c r="N41" s="532"/>
      <c r="O41" s="532"/>
      <c r="P41" s="532"/>
      <c r="R41" s="184" t="s">
        <v>237</v>
      </c>
      <c r="T41" s="170" t="s">
        <v>219</v>
      </c>
      <c r="U41" s="175"/>
      <c r="V41" s="164">
        <f>IF(B41&lt;&gt;"",1,0)</f>
        <v>0</v>
      </c>
      <c r="W41" s="164">
        <f>IF(AND(SUM(V:V)&gt;0,B41=""),1,0)</f>
        <v>1</v>
      </c>
    </row>
    <row r="42" spans="1:23" s="153" customFormat="1" ht="23.75" customHeight="1" x14ac:dyDescent="0.2">
      <c r="A42" s="183" t="str">
        <f t="shared" si="0"/>
        <v>X</v>
      </c>
      <c r="B42" s="182"/>
      <c r="C42" s="152"/>
      <c r="D42" s="532" t="s">
        <v>214</v>
      </c>
      <c r="E42" s="532"/>
      <c r="F42" s="532"/>
      <c r="G42" s="532"/>
      <c r="H42" s="532"/>
      <c r="I42" s="532"/>
      <c r="J42" s="532"/>
      <c r="K42" s="532"/>
      <c r="L42" s="532"/>
      <c r="M42" s="532"/>
      <c r="N42" s="532"/>
      <c r="O42" s="532"/>
      <c r="P42" s="532"/>
      <c r="R42" s="184" t="s">
        <v>237</v>
      </c>
      <c r="T42" s="170" t="s">
        <v>219</v>
      </c>
      <c r="U42" s="175"/>
      <c r="V42" s="164">
        <f>IF(B42&lt;&gt;"",1,0)</f>
        <v>0</v>
      </c>
      <c r="W42" s="164">
        <f>IF(AND(SUM(V:V)&gt;0,B42=""),1,0)</f>
        <v>1</v>
      </c>
    </row>
    <row r="43" spans="1:23" s="153" customFormat="1" ht="38.5" customHeight="1" x14ac:dyDescent="0.2">
      <c r="A43" s="183" t="str">
        <f t="shared" si="0"/>
        <v>X</v>
      </c>
      <c r="B43" s="182"/>
      <c r="C43" s="152"/>
      <c r="D43" s="532" t="s">
        <v>176</v>
      </c>
      <c r="E43" s="532"/>
      <c r="F43" s="532"/>
      <c r="G43" s="532"/>
      <c r="H43" s="532"/>
      <c r="I43" s="532"/>
      <c r="J43" s="532"/>
      <c r="K43" s="532"/>
      <c r="L43" s="532"/>
      <c r="M43" s="532"/>
      <c r="N43" s="532"/>
      <c r="O43" s="532"/>
      <c r="P43" s="532"/>
      <c r="R43" s="184" t="s">
        <v>237</v>
      </c>
      <c r="T43" s="170" t="s">
        <v>219</v>
      </c>
      <c r="U43" s="175"/>
      <c r="V43" s="164">
        <f>IF(B43&lt;&gt;"",1,0)</f>
        <v>0</v>
      </c>
      <c r="W43" s="164">
        <f>IF(AND(SUM(V:V)&gt;0,B43=""),1,0)</f>
        <v>1</v>
      </c>
    </row>
    <row r="44" spans="1:23" s="153" customFormat="1" ht="118.5" customHeight="1" x14ac:dyDescent="0.2">
      <c r="A44" s="183" t="str">
        <f t="shared" si="0"/>
        <v/>
      </c>
      <c r="B44" s="164">
        <f>IF(SUM(B42:B43)&gt;0,1,0)</f>
        <v>0</v>
      </c>
      <c r="C44" s="152"/>
      <c r="D44" s="161"/>
      <c r="E44" s="161"/>
      <c r="F44" s="161"/>
      <c r="G44" s="161"/>
      <c r="H44" s="161"/>
      <c r="I44" s="161"/>
      <c r="J44" s="161"/>
      <c r="K44" s="161"/>
      <c r="L44" s="161"/>
      <c r="M44" s="161"/>
      <c r="N44" s="552" t="s">
        <v>177</v>
      </c>
      <c r="O44" s="552"/>
      <c r="P44" s="162"/>
      <c r="R44" s="186" t="s">
        <v>258</v>
      </c>
      <c r="T44" s="170" t="s">
        <v>219</v>
      </c>
      <c r="U44" s="175"/>
      <c r="V44" s="21"/>
      <c r="W44" s="21"/>
    </row>
    <row r="45" spans="1:23" s="153" customFormat="1" ht="29.5" customHeight="1" x14ac:dyDescent="0.2">
      <c r="A45" s="183" t="str">
        <f t="shared" si="0"/>
        <v>X</v>
      </c>
      <c r="B45" s="182"/>
      <c r="C45" s="152"/>
      <c r="D45" s="516" t="s">
        <v>235</v>
      </c>
      <c r="E45" s="516"/>
      <c r="F45" s="516"/>
      <c r="G45" s="516"/>
      <c r="H45" s="516"/>
      <c r="I45" s="516"/>
      <c r="J45" s="516"/>
      <c r="K45" s="516"/>
      <c r="L45" s="516"/>
      <c r="M45" s="516"/>
      <c r="N45" s="516"/>
      <c r="O45" s="516"/>
      <c r="P45" s="516"/>
      <c r="R45" s="184" t="s">
        <v>237</v>
      </c>
      <c r="T45" s="170" t="s">
        <v>219</v>
      </c>
      <c r="U45" s="175"/>
      <c r="V45" s="164">
        <f t="shared" ref="V45" si="10">IF(B45&lt;&gt;"",1,0)</f>
        <v>0</v>
      </c>
      <c r="W45" s="164">
        <f>IF(AND(SUM(V:V)&gt;0,B45=""),1,0)</f>
        <v>1</v>
      </c>
    </row>
    <row r="46" spans="1:23" ht="18.5" customHeight="1" x14ac:dyDescent="0.2">
      <c r="A46" s="183" t="str">
        <f t="shared" si="0"/>
        <v>X</v>
      </c>
      <c r="B46" s="182"/>
      <c r="D46" s="534" t="s">
        <v>217</v>
      </c>
      <c r="E46" s="534"/>
      <c r="F46" s="534"/>
      <c r="G46" s="534"/>
      <c r="H46" s="534"/>
      <c r="I46" s="534"/>
      <c r="J46" s="534"/>
      <c r="K46" s="534"/>
      <c r="L46" s="534"/>
      <c r="M46" s="534"/>
      <c r="N46" s="534"/>
      <c r="O46" s="534"/>
      <c r="P46" s="534"/>
      <c r="R46" s="184" t="s">
        <v>237</v>
      </c>
      <c r="T46" s="170" t="s">
        <v>219</v>
      </c>
      <c r="U46" s="175"/>
      <c r="V46" s="164">
        <f t="shared" ref="V46:V153" si="11">IF(B46&lt;&gt;"",1,0)</f>
        <v>0</v>
      </c>
      <c r="W46" s="164">
        <f>IF(AND(SUM(V:V)&gt;0,B46=""),1,0)</f>
        <v>1</v>
      </c>
    </row>
    <row r="47" spans="1:23" ht="18.5" customHeight="1" x14ac:dyDescent="0.2">
      <c r="A47" s="183" t="str">
        <f t="shared" si="0"/>
        <v>X</v>
      </c>
      <c r="B47" s="182"/>
      <c r="D47" s="546"/>
      <c r="E47" s="546"/>
      <c r="F47" s="546"/>
      <c r="G47" s="546"/>
      <c r="H47" s="546"/>
      <c r="I47" s="546"/>
      <c r="J47" s="546"/>
      <c r="K47" s="546"/>
      <c r="L47" s="546"/>
      <c r="M47" s="546"/>
      <c r="N47" s="546"/>
      <c r="O47" s="546"/>
      <c r="P47" s="546"/>
      <c r="R47" s="184" t="s">
        <v>240</v>
      </c>
      <c r="T47" s="170" t="s">
        <v>219</v>
      </c>
      <c r="U47" s="175"/>
      <c r="V47" s="164">
        <f t="shared" si="11"/>
        <v>0</v>
      </c>
      <c r="W47" s="164">
        <f>IF(AND(SUM(V:V)&gt;0,OR(AND(B47=1,D47=""),AND(B47="",D47=""),AND(B47="",D47&lt;&gt;""),AND(B47=0,D47&lt;&gt;""))),1,0)</f>
        <v>1</v>
      </c>
    </row>
    <row r="48" spans="1:23" ht="18.5" customHeight="1" x14ac:dyDescent="0.2">
      <c r="A48" s="183" t="str">
        <f t="shared" si="0"/>
        <v>X</v>
      </c>
      <c r="B48" s="182"/>
      <c r="D48" s="546"/>
      <c r="E48" s="546"/>
      <c r="F48" s="546"/>
      <c r="G48" s="546"/>
      <c r="H48" s="546"/>
      <c r="I48" s="546"/>
      <c r="J48" s="546"/>
      <c r="K48" s="546"/>
      <c r="L48" s="546"/>
      <c r="M48" s="546"/>
      <c r="N48" s="546"/>
      <c r="O48" s="546"/>
      <c r="P48" s="546"/>
      <c r="R48" s="184" t="s">
        <v>240</v>
      </c>
      <c r="T48" s="170" t="s">
        <v>219</v>
      </c>
      <c r="U48" s="175"/>
      <c r="V48" s="164">
        <f t="shared" si="11"/>
        <v>0</v>
      </c>
      <c r="W48" s="164">
        <f>IF(AND(SUM(V:V)&gt;0,OR(AND(B48=1,D48=""),AND(B48="",D48=""),AND(B48="",D48&lt;&gt;""),AND(B48=0,D48&lt;&gt;""))),1,0)</f>
        <v>1</v>
      </c>
    </row>
    <row r="49" spans="1:23" ht="18.5" customHeight="1" x14ac:dyDescent="0.2">
      <c r="A49" s="183" t="str">
        <f t="shared" si="0"/>
        <v>X</v>
      </c>
      <c r="B49" s="182"/>
      <c r="D49" s="546"/>
      <c r="E49" s="546"/>
      <c r="F49" s="546"/>
      <c r="G49" s="546"/>
      <c r="H49" s="546"/>
      <c r="I49" s="546"/>
      <c r="J49" s="546"/>
      <c r="K49" s="546"/>
      <c r="L49" s="546"/>
      <c r="M49" s="546"/>
      <c r="N49" s="546"/>
      <c r="O49" s="546"/>
      <c r="P49" s="546"/>
      <c r="R49" s="184" t="s">
        <v>240</v>
      </c>
      <c r="T49" s="170" t="s">
        <v>219</v>
      </c>
      <c r="U49" s="175"/>
      <c r="V49" s="164">
        <f t="shared" si="11"/>
        <v>0</v>
      </c>
      <c r="W49" s="164">
        <f>IF(AND(SUM(V:V)&gt;0,OR(AND(B49=1,D49=""),AND(B49="",D49=""),AND(B49="",D49&lt;&gt;""),AND(B49=0,D49&lt;&gt;""))),1,0)</f>
        <v>1</v>
      </c>
    </row>
    <row r="50" spans="1:23" x14ac:dyDescent="0.15">
      <c r="A50" s="183" t="str">
        <f t="shared" si="0"/>
        <v/>
      </c>
      <c r="B50" s="164">
        <v>0</v>
      </c>
      <c r="D50" s="519" t="s">
        <v>247</v>
      </c>
      <c r="E50" s="519"/>
      <c r="F50" s="519"/>
      <c r="G50" s="519"/>
      <c r="H50" s="519"/>
      <c r="I50" s="519"/>
      <c r="J50" s="519"/>
      <c r="K50" s="519"/>
      <c r="L50" s="519"/>
      <c r="M50" s="519"/>
      <c r="N50" s="519"/>
      <c r="O50" s="519"/>
      <c r="P50" s="519"/>
      <c r="R50" s="186" t="s">
        <v>239</v>
      </c>
      <c r="T50" s="166" t="s">
        <v>210</v>
      </c>
      <c r="V50" s="21"/>
      <c r="W50" s="21"/>
    </row>
    <row r="51" spans="1:23" x14ac:dyDescent="0.15">
      <c r="A51" s="183" t="str">
        <f t="shared" si="0"/>
        <v/>
      </c>
      <c r="B51" s="164">
        <v>0</v>
      </c>
      <c r="D51" s="520" t="s">
        <v>248</v>
      </c>
      <c r="E51" s="520"/>
      <c r="F51" s="520"/>
      <c r="G51" s="520"/>
      <c r="H51" s="520"/>
      <c r="I51" s="520"/>
      <c r="J51" s="520"/>
      <c r="K51" s="520"/>
      <c r="L51" s="520"/>
      <c r="M51" s="520"/>
      <c r="N51" s="520"/>
      <c r="O51" s="520"/>
      <c r="P51" s="520"/>
      <c r="R51" s="186" t="s">
        <v>239</v>
      </c>
      <c r="T51" s="166" t="s">
        <v>210</v>
      </c>
      <c r="V51" s="21"/>
      <c r="W51" s="21"/>
    </row>
    <row r="52" spans="1:23" ht="8.5" customHeight="1" x14ac:dyDescent="0.15">
      <c r="A52" s="183" t="str">
        <f t="shared" si="0"/>
        <v/>
      </c>
      <c r="B52" s="164">
        <f>IF(OR(D53="Show",Q53="Show"),1,0)</f>
        <v>0</v>
      </c>
      <c r="D52" s="521"/>
      <c r="E52" s="521"/>
      <c r="F52" s="521"/>
      <c r="G52" s="521"/>
      <c r="H52" s="521"/>
      <c r="I52" s="521"/>
      <c r="J52" s="521"/>
      <c r="K52" s="521"/>
      <c r="L52" s="521"/>
      <c r="M52" s="521"/>
      <c r="N52" s="521"/>
      <c r="O52" s="521"/>
      <c r="P52" s="521"/>
      <c r="T52" s="168" t="s">
        <v>207</v>
      </c>
      <c r="V52" s="21"/>
      <c r="W52" s="21"/>
    </row>
    <row r="53" spans="1:23" ht="18" customHeight="1" x14ac:dyDescent="0.15">
      <c r="A53" s="183" t="str">
        <f t="shared" si="0"/>
        <v/>
      </c>
      <c r="B53" s="164">
        <v>0</v>
      </c>
      <c r="D53" s="522" t="s">
        <v>249</v>
      </c>
      <c r="E53" s="522"/>
      <c r="F53" s="522"/>
      <c r="G53" s="522"/>
      <c r="H53" s="522"/>
      <c r="I53" s="522"/>
      <c r="J53" s="522"/>
      <c r="K53" s="522" t="s">
        <v>249</v>
      </c>
      <c r="L53" s="522"/>
      <c r="M53" s="522"/>
      <c r="N53" s="522"/>
      <c r="O53" s="522"/>
      <c r="P53" s="522"/>
      <c r="R53" s="184" t="s">
        <v>250</v>
      </c>
      <c r="T53" s="170" t="s">
        <v>219</v>
      </c>
      <c r="U53" s="146"/>
      <c r="V53" s="164">
        <f>IF(OR(D53="Show",D53="",K53="Show",K53=""),1,0)</f>
        <v>0</v>
      </c>
      <c r="W53" s="164">
        <f>IF(AND(SUM(V:V)&gt;0,OR(D53="",K53="")),1,0)</f>
        <v>0</v>
      </c>
    </row>
    <row r="54" spans="1:23" ht="197.25" customHeight="1" x14ac:dyDescent="0.15">
      <c r="A54" s="183" t="str">
        <f t="shared" si="0"/>
        <v/>
      </c>
      <c r="B54" s="164">
        <f>B52</f>
        <v>0</v>
      </c>
      <c r="D54" s="523"/>
      <c r="E54" s="523"/>
      <c r="F54" s="523"/>
      <c r="G54" s="523"/>
      <c r="H54" s="523"/>
      <c r="I54" s="523"/>
      <c r="J54" s="523"/>
      <c r="K54" s="523"/>
      <c r="L54" s="523"/>
      <c r="M54" s="523"/>
      <c r="N54" s="523"/>
      <c r="O54" s="523"/>
      <c r="P54" s="523"/>
      <c r="R54" s="184" t="s">
        <v>251</v>
      </c>
      <c r="T54" s="170" t="s">
        <v>219</v>
      </c>
      <c r="U54" s="173"/>
      <c r="V54" s="21"/>
      <c r="W54" s="21"/>
    </row>
    <row r="55" spans="1:23" ht="18" customHeight="1" x14ac:dyDescent="0.15">
      <c r="A55" s="183" t="str">
        <f t="shared" si="0"/>
        <v/>
      </c>
      <c r="B55" s="164">
        <f>B54</f>
        <v>0</v>
      </c>
      <c r="D55" s="524"/>
      <c r="E55" s="524"/>
      <c r="F55" s="524"/>
      <c r="G55" s="524"/>
      <c r="H55" s="524"/>
      <c r="I55" s="524"/>
      <c r="J55" s="524"/>
      <c r="K55" s="524"/>
      <c r="L55" s="524"/>
      <c r="M55" s="524"/>
      <c r="N55" s="524"/>
      <c r="O55" s="524"/>
      <c r="P55" s="524"/>
      <c r="R55" s="184" t="s">
        <v>252</v>
      </c>
      <c r="T55" s="170" t="s">
        <v>219</v>
      </c>
      <c r="U55" s="173"/>
      <c r="V55" s="164">
        <f>IF(OR(D53="Show",D53="",K53="Show",K53=""),1,0)</f>
        <v>0</v>
      </c>
      <c r="W55" s="164">
        <f>IF(AND(SUM(V:V)&gt;0,OR(AND(D53="Show",D55=""),AND(K53="Show",K55=""))),1,0)</f>
        <v>0</v>
      </c>
    </row>
    <row r="56" spans="1:23" ht="8.5" customHeight="1" x14ac:dyDescent="0.15">
      <c r="A56" s="183" t="str">
        <f t="shared" si="0"/>
        <v/>
      </c>
      <c r="B56" s="164">
        <f>B55</f>
        <v>0</v>
      </c>
      <c r="D56" s="521"/>
      <c r="E56" s="521"/>
      <c r="F56" s="521"/>
      <c r="G56" s="521"/>
      <c r="H56" s="521"/>
      <c r="I56" s="521"/>
      <c r="J56" s="521"/>
      <c r="K56" s="521"/>
      <c r="L56" s="521"/>
      <c r="M56" s="521"/>
      <c r="N56" s="521"/>
      <c r="O56" s="521"/>
      <c r="P56" s="521"/>
      <c r="T56" s="168" t="s">
        <v>207</v>
      </c>
      <c r="U56" s="150"/>
      <c r="V56" s="21"/>
      <c r="W56" s="21"/>
    </row>
    <row r="57" spans="1:23" x14ac:dyDescent="0.15">
      <c r="A57" s="183" t="str">
        <f t="shared" si="0"/>
        <v/>
      </c>
      <c r="B57" s="164">
        <v>0</v>
      </c>
      <c r="D57" s="520" t="s">
        <v>253</v>
      </c>
      <c r="E57" s="520"/>
      <c r="F57" s="520"/>
      <c r="G57" s="520"/>
      <c r="H57" s="520"/>
      <c r="I57" s="520"/>
      <c r="J57" s="520"/>
      <c r="K57" s="520"/>
      <c r="L57" s="520"/>
      <c r="M57" s="520"/>
      <c r="N57" s="520"/>
      <c r="O57" s="520"/>
      <c r="P57" s="520"/>
      <c r="R57" s="186" t="s">
        <v>239</v>
      </c>
      <c r="T57" s="166" t="s">
        <v>210</v>
      </c>
      <c r="U57" s="146"/>
      <c r="V57" s="21"/>
      <c r="W57" s="21"/>
    </row>
    <row r="58" spans="1:23" x14ac:dyDescent="0.15">
      <c r="A58" s="183" t="str">
        <f t="shared" ref="A58:A64" si="12">IF(W58=1,"X","")</f>
        <v/>
      </c>
      <c r="B58" s="164">
        <v>0</v>
      </c>
      <c r="D58" s="520" t="s">
        <v>254</v>
      </c>
      <c r="E58" s="520"/>
      <c r="F58" s="520"/>
      <c r="G58" s="520"/>
      <c r="H58" s="520"/>
      <c r="I58" s="520"/>
      <c r="J58" s="520"/>
      <c r="K58" s="520"/>
      <c r="L58" s="520"/>
      <c r="M58" s="520"/>
      <c r="N58" s="520"/>
      <c r="O58" s="520"/>
      <c r="P58" s="520"/>
      <c r="R58" s="186" t="s">
        <v>239</v>
      </c>
      <c r="T58" s="166" t="s">
        <v>210</v>
      </c>
      <c r="V58" s="21"/>
      <c r="W58" s="21"/>
    </row>
    <row r="59" spans="1:23" ht="8.5" customHeight="1" x14ac:dyDescent="0.15">
      <c r="A59" s="183" t="str">
        <f t="shared" si="12"/>
        <v/>
      </c>
      <c r="B59" s="164">
        <f>IF(OR(D60="Show",Q60="Show"),1,0)</f>
        <v>0</v>
      </c>
      <c r="D59" s="521"/>
      <c r="E59" s="521"/>
      <c r="F59" s="521"/>
      <c r="G59" s="521"/>
      <c r="H59" s="521"/>
      <c r="I59" s="521"/>
      <c r="J59" s="521"/>
      <c r="K59" s="521"/>
      <c r="L59" s="521"/>
      <c r="M59" s="521"/>
      <c r="N59" s="521"/>
      <c r="O59" s="521"/>
      <c r="P59" s="521"/>
      <c r="T59" s="168" t="s">
        <v>207</v>
      </c>
      <c r="V59" s="21"/>
      <c r="W59" s="21"/>
    </row>
    <row r="60" spans="1:23" ht="18" customHeight="1" x14ac:dyDescent="0.15">
      <c r="A60" s="183" t="str">
        <f t="shared" si="12"/>
        <v/>
      </c>
      <c r="B60" s="164">
        <v>0</v>
      </c>
      <c r="D60" s="522" t="s">
        <v>249</v>
      </c>
      <c r="E60" s="522"/>
      <c r="F60" s="522"/>
      <c r="G60" s="522"/>
      <c r="H60" s="522"/>
      <c r="I60" s="522"/>
      <c r="J60" s="522"/>
      <c r="K60" s="522" t="s">
        <v>249</v>
      </c>
      <c r="L60" s="522"/>
      <c r="M60" s="522"/>
      <c r="N60" s="522"/>
      <c r="O60" s="522"/>
      <c r="P60" s="522"/>
      <c r="R60" s="184" t="s">
        <v>250</v>
      </c>
      <c r="T60" s="170" t="s">
        <v>219</v>
      </c>
      <c r="U60" s="146"/>
      <c r="V60" s="164">
        <f>IF(OR(D60="Show",D60="",K60="Show",K60=""),1,0)</f>
        <v>0</v>
      </c>
      <c r="W60" s="164">
        <f>IF(AND(SUM(V:V)&gt;0,OR(D60="",K60="")),1,0)</f>
        <v>0</v>
      </c>
    </row>
    <row r="61" spans="1:23" ht="197.25" customHeight="1" x14ac:dyDescent="0.15">
      <c r="A61" s="183" t="str">
        <f t="shared" si="12"/>
        <v/>
      </c>
      <c r="B61" s="164">
        <f>B59</f>
        <v>0</v>
      </c>
      <c r="D61" s="523"/>
      <c r="E61" s="523"/>
      <c r="F61" s="523"/>
      <c r="G61" s="523"/>
      <c r="H61" s="523"/>
      <c r="I61" s="523"/>
      <c r="J61" s="523"/>
      <c r="K61" s="523"/>
      <c r="L61" s="523"/>
      <c r="M61" s="523"/>
      <c r="N61" s="523"/>
      <c r="O61" s="523"/>
      <c r="P61" s="523"/>
      <c r="R61" s="184" t="s">
        <v>251</v>
      </c>
      <c r="T61" s="170" t="s">
        <v>219</v>
      </c>
      <c r="U61" s="173"/>
      <c r="V61" s="21"/>
      <c r="W61" s="21"/>
    </row>
    <row r="62" spans="1:23" ht="18" customHeight="1" x14ac:dyDescent="0.15">
      <c r="A62" s="183" t="str">
        <f t="shared" si="12"/>
        <v/>
      </c>
      <c r="B62" s="164">
        <f>B61</f>
        <v>0</v>
      </c>
      <c r="D62" s="524"/>
      <c r="E62" s="524"/>
      <c r="F62" s="524"/>
      <c r="G62" s="524"/>
      <c r="H62" s="524"/>
      <c r="I62" s="524"/>
      <c r="J62" s="524"/>
      <c r="K62" s="524"/>
      <c r="L62" s="524"/>
      <c r="M62" s="524"/>
      <c r="N62" s="524"/>
      <c r="O62" s="524"/>
      <c r="P62" s="524"/>
      <c r="R62" s="184" t="s">
        <v>252</v>
      </c>
      <c r="T62" s="170" t="s">
        <v>219</v>
      </c>
      <c r="U62" s="173"/>
      <c r="V62" s="164">
        <f>IF(OR(D60="Show",D60="",K60="Show",K60=""),1,0)</f>
        <v>0</v>
      </c>
      <c r="W62" s="164">
        <f>IF(AND(SUM(V:V)&gt;0,OR(AND(D60="Show",D62=""),AND(K60="Show",K62=""))),1,0)</f>
        <v>0</v>
      </c>
    </row>
    <row r="63" spans="1:23" ht="8.5" customHeight="1" x14ac:dyDescent="0.15">
      <c r="A63" s="183" t="str">
        <f t="shared" si="12"/>
        <v/>
      </c>
      <c r="B63" s="164">
        <f>B62</f>
        <v>0</v>
      </c>
      <c r="D63" s="521"/>
      <c r="E63" s="521"/>
      <c r="F63" s="521"/>
      <c r="G63" s="521"/>
      <c r="H63" s="521"/>
      <c r="I63" s="521"/>
      <c r="J63" s="521"/>
      <c r="K63" s="521"/>
      <c r="L63" s="521"/>
      <c r="M63" s="521"/>
      <c r="N63" s="521"/>
      <c r="O63" s="521"/>
      <c r="P63" s="521"/>
      <c r="T63" s="168" t="s">
        <v>207</v>
      </c>
      <c r="U63" s="150"/>
      <c r="V63" s="21"/>
      <c r="W63" s="21"/>
    </row>
    <row r="64" spans="1:23" x14ac:dyDescent="0.15">
      <c r="A64" s="183" t="str">
        <f t="shared" si="12"/>
        <v/>
      </c>
      <c r="B64" s="164">
        <v>0</v>
      </c>
      <c r="D64" s="520" t="s">
        <v>255</v>
      </c>
      <c r="E64" s="520"/>
      <c r="F64" s="520"/>
      <c r="G64" s="520"/>
      <c r="H64" s="520"/>
      <c r="I64" s="520"/>
      <c r="J64" s="520"/>
      <c r="K64" s="520"/>
      <c r="L64" s="520"/>
      <c r="M64" s="520"/>
      <c r="N64" s="520"/>
      <c r="O64" s="520"/>
      <c r="P64" s="520"/>
      <c r="R64" s="186" t="s">
        <v>239</v>
      </c>
      <c r="T64" s="166" t="s">
        <v>210</v>
      </c>
      <c r="U64" s="146"/>
      <c r="V64" s="21"/>
      <c r="W64" s="21"/>
    </row>
    <row r="65" spans="1:23" x14ac:dyDescent="0.15">
      <c r="A65" s="183" t="str">
        <f t="shared" ref="A65:A71" si="13">IF(W65=1,"X","")</f>
        <v/>
      </c>
      <c r="B65" s="164">
        <v>0</v>
      </c>
      <c r="D65" s="520" t="s">
        <v>256</v>
      </c>
      <c r="E65" s="520"/>
      <c r="F65" s="520"/>
      <c r="G65" s="520"/>
      <c r="H65" s="520"/>
      <c r="I65" s="520"/>
      <c r="J65" s="520"/>
      <c r="K65" s="520"/>
      <c r="L65" s="520"/>
      <c r="M65" s="520"/>
      <c r="N65" s="520"/>
      <c r="O65" s="520"/>
      <c r="P65" s="520"/>
      <c r="R65" s="186" t="s">
        <v>239</v>
      </c>
      <c r="T65" s="166" t="s">
        <v>210</v>
      </c>
      <c r="V65" s="21"/>
      <c r="W65" s="21"/>
    </row>
    <row r="66" spans="1:23" ht="8.5" customHeight="1" x14ac:dyDescent="0.15">
      <c r="A66" s="183" t="str">
        <f t="shared" si="13"/>
        <v/>
      </c>
      <c r="B66" s="164">
        <f>IF(OR(D67="Show",Q67="Show"),1,0)</f>
        <v>0</v>
      </c>
      <c r="D66" s="521"/>
      <c r="E66" s="521"/>
      <c r="F66" s="521"/>
      <c r="G66" s="521"/>
      <c r="H66" s="521"/>
      <c r="I66" s="521"/>
      <c r="J66" s="521"/>
      <c r="K66" s="521"/>
      <c r="L66" s="521"/>
      <c r="M66" s="521"/>
      <c r="N66" s="521"/>
      <c r="O66" s="521"/>
      <c r="P66" s="521"/>
      <c r="T66" s="168" t="s">
        <v>207</v>
      </c>
      <c r="V66" s="21"/>
      <c r="W66" s="21"/>
    </row>
    <row r="67" spans="1:23" ht="18" customHeight="1" x14ac:dyDescent="0.15">
      <c r="A67" s="183" t="str">
        <f t="shared" si="13"/>
        <v/>
      </c>
      <c r="B67" s="164">
        <v>0</v>
      </c>
      <c r="D67" s="522" t="s">
        <v>249</v>
      </c>
      <c r="E67" s="522"/>
      <c r="F67" s="522"/>
      <c r="G67" s="522"/>
      <c r="H67" s="522"/>
      <c r="I67" s="522"/>
      <c r="J67" s="522"/>
      <c r="K67" s="522" t="s">
        <v>249</v>
      </c>
      <c r="L67" s="522"/>
      <c r="M67" s="522"/>
      <c r="N67" s="522"/>
      <c r="O67" s="522"/>
      <c r="P67" s="522"/>
      <c r="R67" s="184" t="s">
        <v>250</v>
      </c>
      <c r="T67" s="170" t="s">
        <v>219</v>
      </c>
      <c r="U67" s="146"/>
      <c r="V67" s="164">
        <f>IF(OR(D67="Show",D67="",K67="Show",K67=""),1,0)</f>
        <v>0</v>
      </c>
      <c r="W67" s="164">
        <f>IF(AND(SUM(V:V)&gt;0,OR(D67="",K67="")),1,0)</f>
        <v>0</v>
      </c>
    </row>
    <row r="68" spans="1:23" ht="197.25" customHeight="1" x14ac:dyDescent="0.15">
      <c r="A68" s="183" t="str">
        <f t="shared" si="13"/>
        <v/>
      </c>
      <c r="B68" s="164">
        <f>B66</f>
        <v>0</v>
      </c>
      <c r="D68" s="523"/>
      <c r="E68" s="523"/>
      <c r="F68" s="523"/>
      <c r="G68" s="523"/>
      <c r="H68" s="523"/>
      <c r="I68" s="523"/>
      <c r="J68" s="523"/>
      <c r="K68" s="523"/>
      <c r="L68" s="523"/>
      <c r="M68" s="523"/>
      <c r="N68" s="523"/>
      <c r="O68" s="523"/>
      <c r="P68" s="523"/>
      <c r="R68" s="184" t="s">
        <v>251</v>
      </c>
      <c r="T68" s="170" t="s">
        <v>219</v>
      </c>
      <c r="U68" s="173"/>
      <c r="V68" s="21"/>
      <c r="W68" s="21"/>
    </row>
    <row r="69" spans="1:23" ht="18" customHeight="1" x14ac:dyDescent="0.15">
      <c r="A69" s="183" t="str">
        <f t="shared" si="13"/>
        <v/>
      </c>
      <c r="B69" s="164">
        <f>B68</f>
        <v>0</v>
      </c>
      <c r="D69" s="524"/>
      <c r="E69" s="524"/>
      <c r="F69" s="524"/>
      <c r="G69" s="524"/>
      <c r="H69" s="524"/>
      <c r="I69" s="524"/>
      <c r="J69" s="524"/>
      <c r="K69" s="524"/>
      <c r="L69" s="524"/>
      <c r="M69" s="524"/>
      <c r="N69" s="524"/>
      <c r="O69" s="524"/>
      <c r="P69" s="524"/>
      <c r="R69" s="184" t="s">
        <v>252</v>
      </c>
      <c r="T69" s="170" t="s">
        <v>219</v>
      </c>
      <c r="U69" s="173"/>
      <c r="V69" s="164">
        <f>IF(OR(D67="Show",D67="",K67="Show",K67=""),1,0)</f>
        <v>0</v>
      </c>
      <c r="W69" s="164">
        <f>IF(AND(SUM(V:V)&gt;0,OR(AND(D67="Show",D69=""),AND(K67="Show",K69=""))),1,0)</f>
        <v>0</v>
      </c>
    </row>
    <row r="70" spans="1:23" ht="8.5" customHeight="1" x14ac:dyDescent="0.15">
      <c r="A70" s="183" t="str">
        <f t="shared" si="13"/>
        <v/>
      </c>
      <c r="B70" s="164">
        <f>B69</f>
        <v>0</v>
      </c>
      <c r="D70" s="521"/>
      <c r="E70" s="521"/>
      <c r="F70" s="521"/>
      <c r="G70" s="521"/>
      <c r="H70" s="521"/>
      <c r="I70" s="521"/>
      <c r="J70" s="521"/>
      <c r="K70" s="521"/>
      <c r="L70" s="521"/>
      <c r="M70" s="521"/>
      <c r="N70" s="521"/>
      <c r="O70" s="521"/>
      <c r="P70" s="521"/>
      <c r="T70" s="168" t="s">
        <v>207</v>
      </c>
      <c r="U70" s="150"/>
      <c r="V70" s="21"/>
      <c r="W70" s="21"/>
    </row>
    <row r="71" spans="1:23" x14ac:dyDescent="0.15">
      <c r="A71" s="183" t="str">
        <f t="shared" si="13"/>
        <v/>
      </c>
      <c r="B71" s="164">
        <v>0</v>
      </c>
      <c r="D71" s="520" t="s">
        <v>257</v>
      </c>
      <c r="E71" s="520"/>
      <c r="F71" s="520"/>
      <c r="G71" s="520"/>
      <c r="H71" s="520"/>
      <c r="I71" s="520"/>
      <c r="J71" s="520"/>
      <c r="K71" s="520"/>
      <c r="L71" s="520"/>
      <c r="M71" s="520"/>
      <c r="N71" s="520"/>
      <c r="O71" s="520"/>
      <c r="P71" s="520"/>
      <c r="R71" s="186" t="s">
        <v>239</v>
      </c>
      <c r="T71" s="166" t="s">
        <v>210</v>
      </c>
      <c r="U71" s="146"/>
      <c r="V71" s="21"/>
      <c r="W71" s="21"/>
    </row>
    <row r="72" spans="1:23" ht="18.5" customHeight="1" x14ac:dyDescent="0.2">
      <c r="A72" s="183" t="str">
        <f t="shared" si="0"/>
        <v>X</v>
      </c>
      <c r="B72" s="182"/>
      <c r="D72" s="534" t="s">
        <v>221</v>
      </c>
      <c r="E72" s="534"/>
      <c r="F72" s="534"/>
      <c r="G72" s="534"/>
      <c r="H72" s="534"/>
      <c r="I72" s="534"/>
      <c r="J72" s="534"/>
      <c r="K72" s="534"/>
      <c r="L72" s="534"/>
      <c r="M72" s="534"/>
      <c r="N72" s="534"/>
      <c r="O72" s="534"/>
      <c r="P72" s="534"/>
      <c r="R72" s="184" t="s">
        <v>237</v>
      </c>
      <c r="T72" s="170" t="s">
        <v>219</v>
      </c>
      <c r="U72" s="175"/>
      <c r="V72" s="164">
        <f t="shared" si="11"/>
        <v>0</v>
      </c>
      <c r="W72" s="164">
        <f>IF(AND(SUM(V:V)&gt;0,B72=""),1,0)</f>
        <v>1</v>
      </c>
    </row>
    <row r="73" spans="1:23" ht="18.5" customHeight="1" x14ac:dyDescent="0.2">
      <c r="A73" s="183" t="str">
        <f t="shared" si="0"/>
        <v>X</v>
      </c>
      <c r="B73" s="182"/>
      <c r="D73" s="546"/>
      <c r="E73" s="546"/>
      <c r="F73" s="546"/>
      <c r="G73" s="546"/>
      <c r="H73" s="546"/>
      <c r="I73" s="546"/>
      <c r="J73" s="546"/>
      <c r="K73" s="546"/>
      <c r="L73" s="546"/>
      <c r="M73" s="546"/>
      <c r="N73" s="546"/>
      <c r="O73" s="546"/>
      <c r="P73" s="546"/>
      <c r="R73" s="184" t="s">
        <v>240</v>
      </c>
      <c r="T73" s="170" t="s">
        <v>219</v>
      </c>
      <c r="U73" s="175"/>
      <c r="V73" s="164">
        <f t="shared" si="11"/>
        <v>0</v>
      </c>
      <c r="W73" s="164">
        <f>IF(AND(SUM(V:V)&gt;0,OR(AND(B73=1,D73=""),AND(B73="",D73=""),AND(B73="",D73&lt;&gt;""),AND(B73=0,D73&lt;&gt;""))),1,0)</f>
        <v>1</v>
      </c>
    </row>
    <row r="74" spans="1:23" ht="18.5" customHeight="1" x14ac:dyDescent="0.2">
      <c r="A74" s="183" t="str">
        <f t="shared" si="0"/>
        <v>X</v>
      </c>
      <c r="B74" s="182"/>
      <c r="D74" s="546"/>
      <c r="E74" s="546"/>
      <c r="F74" s="546"/>
      <c r="G74" s="546"/>
      <c r="H74" s="546"/>
      <c r="I74" s="546"/>
      <c r="J74" s="546"/>
      <c r="K74" s="546"/>
      <c r="L74" s="546"/>
      <c r="M74" s="546"/>
      <c r="N74" s="546"/>
      <c r="O74" s="546"/>
      <c r="P74" s="546"/>
      <c r="R74" s="184" t="s">
        <v>240</v>
      </c>
      <c r="T74" s="170" t="s">
        <v>219</v>
      </c>
      <c r="U74" s="175"/>
      <c r="V74" s="164">
        <f t="shared" si="11"/>
        <v>0</v>
      </c>
      <c r="W74" s="164">
        <f>IF(AND(SUM(V:V)&gt;0,OR(AND(B74=1,D74=""),AND(B74="",D74=""),AND(B74="",D74&lt;&gt;""),AND(B74=0,D74&lt;&gt;""))),1,0)</f>
        <v>1</v>
      </c>
    </row>
    <row r="75" spans="1:23" ht="18.5" customHeight="1" x14ac:dyDescent="0.2">
      <c r="A75" s="183" t="str">
        <f t="shared" ref="A75:A97" si="14">IF(W75=1,"X","")</f>
        <v>X</v>
      </c>
      <c r="B75" s="182"/>
      <c r="D75" s="546"/>
      <c r="E75" s="546"/>
      <c r="F75" s="546"/>
      <c r="G75" s="546"/>
      <c r="H75" s="546"/>
      <c r="I75" s="546"/>
      <c r="J75" s="546"/>
      <c r="K75" s="546"/>
      <c r="L75" s="546"/>
      <c r="M75" s="546"/>
      <c r="N75" s="546"/>
      <c r="O75" s="546"/>
      <c r="P75" s="546"/>
      <c r="R75" s="184" t="s">
        <v>240</v>
      </c>
      <c r="T75" s="170" t="s">
        <v>219</v>
      </c>
      <c r="U75" s="175"/>
      <c r="V75" s="164">
        <f t="shared" si="11"/>
        <v>0</v>
      </c>
      <c r="W75" s="164">
        <f>IF(AND(SUM(V:V)&gt;0,OR(AND(B75=1,D75=""),AND(B75="",D75=""),AND(B75="",D75&lt;&gt;""),AND(B75=0,D75&lt;&gt;""))),1,0)</f>
        <v>1</v>
      </c>
    </row>
    <row r="76" spans="1:23" x14ac:dyDescent="0.15">
      <c r="A76" s="183" t="str">
        <f t="shared" si="14"/>
        <v/>
      </c>
      <c r="B76" s="164">
        <v>0</v>
      </c>
      <c r="D76" s="519" t="s">
        <v>247</v>
      </c>
      <c r="E76" s="519"/>
      <c r="F76" s="519"/>
      <c r="G76" s="519"/>
      <c r="H76" s="519"/>
      <c r="I76" s="519"/>
      <c r="J76" s="519"/>
      <c r="K76" s="519"/>
      <c r="L76" s="519"/>
      <c r="M76" s="519"/>
      <c r="N76" s="519"/>
      <c r="O76" s="519"/>
      <c r="P76" s="519"/>
      <c r="R76" s="186" t="s">
        <v>239</v>
      </c>
      <c r="T76" s="166" t="s">
        <v>210</v>
      </c>
      <c r="V76" s="21"/>
      <c r="W76" s="21"/>
    </row>
    <row r="77" spans="1:23" x14ac:dyDescent="0.15">
      <c r="A77" s="183" t="str">
        <f t="shared" si="14"/>
        <v/>
      </c>
      <c r="B77" s="164">
        <v>0</v>
      </c>
      <c r="D77" s="520" t="s">
        <v>248</v>
      </c>
      <c r="E77" s="520"/>
      <c r="F77" s="520"/>
      <c r="G77" s="520"/>
      <c r="H77" s="520"/>
      <c r="I77" s="520"/>
      <c r="J77" s="520"/>
      <c r="K77" s="520"/>
      <c r="L77" s="520"/>
      <c r="M77" s="520"/>
      <c r="N77" s="520"/>
      <c r="O77" s="520"/>
      <c r="P77" s="520"/>
      <c r="R77" s="186" t="s">
        <v>239</v>
      </c>
      <c r="T77" s="166" t="s">
        <v>210</v>
      </c>
      <c r="V77" s="21"/>
      <c r="W77" s="21"/>
    </row>
    <row r="78" spans="1:23" ht="8.5" customHeight="1" x14ac:dyDescent="0.15">
      <c r="A78" s="183" t="str">
        <f t="shared" si="14"/>
        <v/>
      </c>
      <c r="B78" s="164">
        <f>IF(OR(D79="Show",Q79="Show"),1,0)</f>
        <v>0</v>
      </c>
      <c r="D78" s="521"/>
      <c r="E78" s="521"/>
      <c r="F78" s="521"/>
      <c r="G78" s="521"/>
      <c r="H78" s="521"/>
      <c r="I78" s="521"/>
      <c r="J78" s="521"/>
      <c r="K78" s="521"/>
      <c r="L78" s="521"/>
      <c r="M78" s="521"/>
      <c r="N78" s="521"/>
      <c r="O78" s="521"/>
      <c r="P78" s="521"/>
      <c r="T78" s="168" t="s">
        <v>207</v>
      </c>
      <c r="V78" s="21"/>
      <c r="W78" s="21"/>
    </row>
    <row r="79" spans="1:23" ht="18" customHeight="1" x14ac:dyDescent="0.15">
      <c r="A79" s="183" t="str">
        <f t="shared" si="14"/>
        <v/>
      </c>
      <c r="B79" s="164">
        <v>0</v>
      </c>
      <c r="D79" s="522" t="s">
        <v>249</v>
      </c>
      <c r="E79" s="522"/>
      <c r="F79" s="522"/>
      <c r="G79" s="522"/>
      <c r="H79" s="522"/>
      <c r="I79" s="522"/>
      <c r="J79" s="522"/>
      <c r="K79" s="522" t="s">
        <v>249</v>
      </c>
      <c r="L79" s="522"/>
      <c r="M79" s="522"/>
      <c r="N79" s="522"/>
      <c r="O79" s="522"/>
      <c r="P79" s="522"/>
      <c r="R79" s="184" t="s">
        <v>250</v>
      </c>
      <c r="T79" s="170" t="s">
        <v>219</v>
      </c>
      <c r="U79" s="146"/>
      <c r="V79" s="164">
        <f>IF(OR(D79="Show",D79="",K79="Show",K79=""),1,0)</f>
        <v>0</v>
      </c>
      <c r="W79" s="164">
        <f>IF(AND(SUM(V:V)&gt;0,OR(D79="",K79="")),1,0)</f>
        <v>0</v>
      </c>
    </row>
    <row r="80" spans="1:23" ht="197.25" customHeight="1" x14ac:dyDescent="0.15">
      <c r="A80" s="183" t="str">
        <f t="shared" si="14"/>
        <v/>
      </c>
      <c r="B80" s="164">
        <f>B78</f>
        <v>0</v>
      </c>
      <c r="D80" s="523"/>
      <c r="E80" s="523"/>
      <c r="F80" s="523"/>
      <c r="G80" s="523"/>
      <c r="H80" s="523"/>
      <c r="I80" s="523"/>
      <c r="J80" s="523"/>
      <c r="K80" s="523"/>
      <c r="L80" s="523"/>
      <c r="M80" s="523"/>
      <c r="N80" s="523"/>
      <c r="O80" s="523"/>
      <c r="P80" s="523"/>
      <c r="R80" s="184" t="s">
        <v>251</v>
      </c>
      <c r="T80" s="170" t="s">
        <v>219</v>
      </c>
      <c r="U80" s="173"/>
      <c r="V80" s="21"/>
      <c r="W80" s="21"/>
    </row>
    <row r="81" spans="1:23" ht="18" customHeight="1" x14ac:dyDescent="0.15">
      <c r="A81" s="183" t="str">
        <f t="shared" si="14"/>
        <v/>
      </c>
      <c r="B81" s="164">
        <f>B80</f>
        <v>0</v>
      </c>
      <c r="D81" s="524"/>
      <c r="E81" s="524"/>
      <c r="F81" s="524"/>
      <c r="G81" s="524"/>
      <c r="H81" s="524"/>
      <c r="I81" s="524"/>
      <c r="J81" s="524"/>
      <c r="K81" s="524"/>
      <c r="L81" s="524"/>
      <c r="M81" s="524"/>
      <c r="N81" s="524"/>
      <c r="O81" s="524"/>
      <c r="P81" s="524"/>
      <c r="R81" s="184" t="s">
        <v>252</v>
      </c>
      <c r="T81" s="170" t="s">
        <v>219</v>
      </c>
      <c r="U81" s="173"/>
      <c r="V81" s="164">
        <f>IF(OR(D79="Show",D79="",K79="Show",K79=""),1,0)</f>
        <v>0</v>
      </c>
      <c r="W81" s="164">
        <f>IF(AND(SUM(V:V)&gt;0,OR(AND(D79="Show",D81=""),AND(K79="Show",K81=""))),1,0)</f>
        <v>0</v>
      </c>
    </row>
    <row r="82" spans="1:23" ht="8.5" customHeight="1" x14ac:dyDescent="0.15">
      <c r="A82" s="183" t="str">
        <f t="shared" si="14"/>
        <v/>
      </c>
      <c r="B82" s="164">
        <f>B81</f>
        <v>0</v>
      </c>
      <c r="D82" s="521"/>
      <c r="E82" s="521"/>
      <c r="F82" s="521"/>
      <c r="G82" s="521"/>
      <c r="H82" s="521"/>
      <c r="I82" s="521"/>
      <c r="J82" s="521"/>
      <c r="K82" s="521"/>
      <c r="L82" s="521"/>
      <c r="M82" s="521"/>
      <c r="N82" s="521"/>
      <c r="O82" s="521"/>
      <c r="P82" s="521"/>
      <c r="T82" s="168" t="s">
        <v>207</v>
      </c>
      <c r="U82" s="150"/>
      <c r="V82" s="21"/>
      <c r="W82" s="21"/>
    </row>
    <row r="83" spans="1:23" x14ac:dyDescent="0.15">
      <c r="A83" s="183" t="str">
        <f t="shared" si="14"/>
        <v/>
      </c>
      <c r="B83" s="164">
        <v>0</v>
      </c>
      <c r="D83" s="520" t="s">
        <v>253</v>
      </c>
      <c r="E83" s="520"/>
      <c r="F83" s="520"/>
      <c r="G83" s="520"/>
      <c r="H83" s="520"/>
      <c r="I83" s="520"/>
      <c r="J83" s="520"/>
      <c r="K83" s="520"/>
      <c r="L83" s="520"/>
      <c r="M83" s="520"/>
      <c r="N83" s="520"/>
      <c r="O83" s="520"/>
      <c r="P83" s="520"/>
      <c r="R83" s="186" t="s">
        <v>239</v>
      </c>
      <c r="T83" s="166" t="s">
        <v>210</v>
      </c>
      <c r="U83" s="146"/>
      <c r="V83" s="21"/>
      <c r="W83" s="21"/>
    </row>
    <row r="84" spans="1:23" x14ac:dyDescent="0.15">
      <c r="A84" s="183" t="str">
        <f t="shared" si="14"/>
        <v/>
      </c>
      <c r="B84" s="164">
        <v>0</v>
      </c>
      <c r="D84" s="520" t="s">
        <v>254</v>
      </c>
      <c r="E84" s="520"/>
      <c r="F84" s="520"/>
      <c r="G84" s="520"/>
      <c r="H84" s="520"/>
      <c r="I84" s="520"/>
      <c r="J84" s="520"/>
      <c r="K84" s="520"/>
      <c r="L84" s="520"/>
      <c r="M84" s="520"/>
      <c r="N84" s="520"/>
      <c r="O84" s="520"/>
      <c r="P84" s="520"/>
      <c r="R84" s="186" t="s">
        <v>239</v>
      </c>
      <c r="T84" s="166" t="s">
        <v>210</v>
      </c>
      <c r="V84" s="21"/>
      <c r="W84" s="21"/>
    </row>
    <row r="85" spans="1:23" ht="8.5" customHeight="1" x14ac:dyDescent="0.15">
      <c r="A85" s="183" t="str">
        <f t="shared" si="14"/>
        <v/>
      </c>
      <c r="B85" s="164">
        <f>IF(OR(D86="Show",Q86="Show"),1,0)</f>
        <v>0</v>
      </c>
      <c r="D85" s="521"/>
      <c r="E85" s="521"/>
      <c r="F85" s="521"/>
      <c r="G85" s="521"/>
      <c r="H85" s="521"/>
      <c r="I85" s="521"/>
      <c r="J85" s="521"/>
      <c r="K85" s="521"/>
      <c r="L85" s="521"/>
      <c r="M85" s="521"/>
      <c r="N85" s="521"/>
      <c r="O85" s="521"/>
      <c r="P85" s="521"/>
      <c r="T85" s="168" t="s">
        <v>207</v>
      </c>
      <c r="V85" s="21"/>
      <c r="W85" s="21"/>
    </row>
    <row r="86" spans="1:23" ht="18" customHeight="1" x14ac:dyDescent="0.15">
      <c r="A86" s="183" t="str">
        <f t="shared" si="14"/>
        <v/>
      </c>
      <c r="B86" s="164">
        <v>0</v>
      </c>
      <c r="D86" s="522" t="s">
        <v>249</v>
      </c>
      <c r="E86" s="522"/>
      <c r="F86" s="522"/>
      <c r="G86" s="522"/>
      <c r="H86" s="522"/>
      <c r="I86" s="522"/>
      <c r="J86" s="522"/>
      <c r="K86" s="522" t="s">
        <v>249</v>
      </c>
      <c r="L86" s="522"/>
      <c r="M86" s="522"/>
      <c r="N86" s="522"/>
      <c r="O86" s="522"/>
      <c r="P86" s="522"/>
      <c r="R86" s="184" t="s">
        <v>250</v>
      </c>
      <c r="T86" s="170" t="s">
        <v>219</v>
      </c>
      <c r="U86" s="146"/>
      <c r="V86" s="164">
        <f>IF(OR(D86="Show",D86="",K86="Show",K86=""),1,0)</f>
        <v>0</v>
      </c>
      <c r="W86" s="164">
        <f>IF(AND(SUM(V:V)&gt;0,OR(D86="",K86="")),1,0)</f>
        <v>0</v>
      </c>
    </row>
    <row r="87" spans="1:23" ht="197.25" customHeight="1" x14ac:dyDescent="0.15">
      <c r="A87" s="183" t="str">
        <f t="shared" si="14"/>
        <v/>
      </c>
      <c r="B87" s="164">
        <f>B85</f>
        <v>0</v>
      </c>
      <c r="D87" s="523"/>
      <c r="E87" s="523"/>
      <c r="F87" s="523"/>
      <c r="G87" s="523"/>
      <c r="H87" s="523"/>
      <c r="I87" s="523"/>
      <c r="J87" s="523"/>
      <c r="K87" s="523"/>
      <c r="L87" s="523"/>
      <c r="M87" s="523"/>
      <c r="N87" s="523"/>
      <c r="O87" s="523"/>
      <c r="P87" s="523"/>
      <c r="R87" s="184" t="s">
        <v>251</v>
      </c>
      <c r="T87" s="170" t="s">
        <v>219</v>
      </c>
      <c r="U87" s="173"/>
      <c r="V87" s="21"/>
      <c r="W87" s="21"/>
    </row>
    <row r="88" spans="1:23" ht="18" customHeight="1" x14ac:dyDescent="0.15">
      <c r="A88" s="183" t="str">
        <f t="shared" si="14"/>
        <v/>
      </c>
      <c r="B88" s="164">
        <f>B87</f>
        <v>0</v>
      </c>
      <c r="D88" s="524"/>
      <c r="E88" s="524"/>
      <c r="F88" s="524"/>
      <c r="G88" s="524"/>
      <c r="H88" s="524"/>
      <c r="I88" s="524"/>
      <c r="J88" s="524"/>
      <c r="K88" s="524"/>
      <c r="L88" s="524"/>
      <c r="M88" s="524"/>
      <c r="N88" s="524"/>
      <c r="O88" s="524"/>
      <c r="P88" s="524"/>
      <c r="R88" s="184" t="s">
        <v>252</v>
      </c>
      <c r="T88" s="170" t="s">
        <v>219</v>
      </c>
      <c r="U88" s="173"/>
      <c r="V88" s="164">
        <f>IF(OR(D86="Show",D86="",K86="Show",K86=""),1,0)</f>
        <v>0</v>
      </c>
      <c r="W88" s="164">
        <f>IF(AND(SUM(V:V)&gt;0,OR(AND(D86="Show",D88=""),AND(K86="Show",K88=""))),1,0)</f>
        <v>0</v>
      </c>
    </row>
    <row r="89" spans="1:23" ht="8.5" customHeight="1" x14ac:dyDescent="0.15">
      <c r="A89" s="183" t="str">
        <f t="shared" si="14"/>
        <v/>
      </c>
      <c r="B89" s="164">
        <f>B88</f>
        <v>0</v>
      </c>
      <c r="D89" s="521"/>
      <c r="E89" s="521"/>
      <c r="F89" s="521"/>
      <c r="G89" s="521"/>
      <c r="H89" s="521"/>
      <c r="I89" s="521"/>
      <c r="J89" s="521"/>
      <c r="K89" s="521"/>
      <c r="L89" s="521"/>
      <c r="M89" s="521"/>
      <c r="N89" s="521"/>
      <c r="O89" s="521"/>
      <c r="P89" s="521"/>
      <c r="T89" s="168" t="s">
        <v>207</v>
      </c>
      <c r="U89" s="150"/>
      <c r="V89" s="21"/>
      <c r="W89" s="21"/>
    </row>
    <row r="90" spans="1:23" x14ac:dyDescent="0.15">
      <c r="A90" s="183" t="str">
        <f t="shared" si="14"/>
        <v/>
      </c>
      <c r="B90" s="164">
        <v>0</v>
      </c>
      <c r="D90" s="520" t="s">
        <v>255</v>
      </c>
      <c r="E90" s="520"/>
      <c r="F90" s="520"/>
      <c r="G90" s="520"/>
      <c r="H90" s="520"/>
      <c r="I90" s="520"/>
      <c r="J90" s="520"/>
      <c r="K90" s="520"/>
      <c r="L90" s="520"/>
      <c r="M90" s="520"/>
      <c r="N90" s="520"/>
      <c r="O90" s="520"/>
      <c r="P90" s="520"/>
      <c r="R90" s="186" t="s">
        <v>239</v>
      </c>
      <c r="T90" s="166" t="s">
        <v>210</v>
      </c>
      <c r="U90" s="146"/>
      <c r="V90" s="21"/>
      <c r="W90" s="21"/>
    </row>
    <row r="91" spans="1:23" x14ac:dyDescent="0.15">
      <c r="A91" s="183" t="str">
        <f t="shared" si="14"/>
        <v/>
      </c>
      <c r="B91" s="164">
        <v>0</v>
      </c>
      <c r="D91" s="520" t="s">
        <v>256</v>
      </c>
      <c r="E91" s="520"/>
      <c r="F91" s="520"/>
      <c r="G91" s="520"/>
      <c r="H91" s="520"/>
      <c r="I91" s="520"/>
      <c r="J91" s="520"/>
      <c r="K91" s="520"/>
      <c r="L91" s="520"/>
      <c r="M91" s="520"/>
      <c r="N91" s="520"/>
      <c r="O91" s="520"/>
      <c r="P91" s="520"/>
      <c r="R91" s="186" t="s">
        <v>239</v>
      </c>
      <c r="T91" s="166" t="s">
        <v>210</v>
      </c>
      <c r="V91" s="21"/>
      <c r="W91" s="21"/>
    </row>
    <row r="92" spans="1:23" ht="8.5" customHeight="1" x14ac:dyDescent="0.15">
      <c r="A92" s="183" t="str">
        <f t="shared" si="14"/>
        <v/>
      </c>
      <c r="B92" s="164">
        <f>IF(OR(D93="Show",Q93="Show"),1,0)</f>
        <v>0</v>
      </c>
      <c r="D92" s="521"/>
      <c r="E92" s="521"/>
      <c r="F92" s="521"/>
      <c r="G92" s="521"/>
      <c r="H92" s="521"/>
      <c r="I92" s="521"/>
      <c r="J92" s="521"/>
      <c r="K92" s="521"/>
      <c r="L92" s="521"/>
      <c r="M92" s="521"/>
      <c r="N92" s="521"/>
      <c r="O92" s="521"/>
      <c r="P92" s="521"/>
      <c r="T92" s="168" t="s">
        <v>207</v>
      </c>
      <c r="V92" s="21"/>
      <c r="W92" s="21"/>
    </row>
    <row r="93" spans="1:23" ht="18" customHeight="1" x14ac:dyDescent="0.15">
      <c r="A93" s="183" t="str">
        <f t="shared" si="14"/>
        <v/>
      </c>
      <c r="B93" s="164">
        <v>0</v>
      </c>
      <c r="D93" s="522" t="s">
        <v>249</v>
      </c>
      <c r="E93" s="522"/>
      <c r="F93" s="522"/>
      <c r="G93" s="522"/>
      <c r="H93" s="522"/>
      <c r="I93" s="522"/>
      <c r="J93" s="522"/>
      <c r="K93" s="522" t="s">
        <v>249</v>
      </c>
      <c r="L93" s="522"/>
      <c r="M93" s="522"/>
      <c r="N93" s="522"/>
      <c r="O93" s="522"/>
      <c r="P93" s="522"/>
      <c r="R93" s="184" t="s">
        <v>250</v>
      </c>
      <c r="T93" s="170" t="s">
        <v>219</v>
      </c>
      <c r="U93" s="146"/>
      <c r="V93" s="164">
        <f>IF(OR(D93="Show",D93="",K93="Show",K93=""),1,0)</f>
        <v>0</v>
      </c>
      <c r="W93" s="164">
        <f>IF(AND(SUM(V:V)&gt;0,OR(D93="",K93="")),1,0)</f>
        <v>0</v>
      </c>
    </row>
    <row r="94" spans="1:23" ht="197.25" customHeight="1" x14ac:dyDescent="0.15">
      <c r="A94" s="183" t="str">
        <f t="shared" si="14"/>
        <v/>
      </c>
      <c r="B94" s="164">
        <f>B92</f>
        <v>0</v>
      </c>
      <c r="D94" s="523"/>
      <c r="E94" s="523"/>
      <c r="F94" s="523"/>
      <c r="G94" s="523"/>
      <c r="H94" s="523"/>
      <c r="I94" s="523"/>
      <c r="J94" s="523"/>
      <c r="K94" s="523"/>
      <c r="L94" s="523"/>
      <c r="M94" s="523"/>
      <c r="N94" s="523"/>
      <c r="O94" s="523"/>
      <c r="P94" s="523"/>
      <c r="R94" s="184" t="s">
        <v>251</v>
      </c>
      <c r="T94" s="170" t="s">
        <v>219</v>
      </c>
      <c r="U94" s="173"/>
      <c r="V94" s="21"/>
      <c r="W94" s="21"/>
    </row>
    <row r="95" spans="1:23" ht="18" customHeight="1" x14ac:dyDescent="0.15">
      <c r="A95" s="183" t="str">
        <f t="shared" si="14"/>
        <v/>
      </c>
      <c r="B95" s="164">
        <f>B94</f>
        <v>0</v>
      </c>
      <c r="D95" s="524"/>
      <c r="E95" s="524"/>
      <c r="F95" s="524"/>
      <c r="G95" s="524"/>
      <c r="H95" s="524"/>
      <c r="I95" s="524"/>
      <c r="J95" s="524"/>
      <c r="K95" s="524"/>
      <c r="L95" s="524"/>
      <c r="M95" s="524"/>
      <c r="N95" s="524"/>
      <c r="O95" s="524"/>
      <c r="P95" s="524"/>
      <c r="R95" s="184" t="s">
        <v>252</v>
      </c>
      <c r="T95" s="170" t="s">
        <v>219</v>
      </c>
      <c r="U95" s="173"/>
      <c r="V95" s="164">
        <f>IF(OR(D93="Show",D93="",K93="Show",K93=""),1,0)</f>
        <v>0</v>
      </c>
      <c r="W95" s="164">
        <f>IF(AND(SUM(V:V)&gt;0,OR(AND(D93="Show",D95=""),AND(K93="Show",K95=""))),1,0)</f>
        <v>0</v>
      </c>
    </row>
    <row r="96" spans="1:23" ht="8.5" customHeight="1" x14ac:dyDescent="0.15">
      <c r="A96" s="183" t="str">
        <f t="shared" si="14"/>
        <v/>
      </c>
      <c r="B96" s="164">
        <f>B95</f>
        <v>0</v>
      </c>
      <c r="D96" s="521"/>
      <c r="E96" s="521"/>
      <c r="F96" s="521"/>
      <c r="G96" s="521"/>
      <c r="H96" s="521"/>
      <c r="I96" s="521"/>
      <c r="J96" s="521"/>
      <c r="K96" s="521"/>
      <c r="L96" s="521"/>
      <c r="M96" s="521"/>
      <c r="N96" s="521"/>
      <c r="O96" s="521"/>
      <c r="P96" s="521"/>
      <c r="T96" s="168" t="s">
        <v>207</v>
      </c>
      <c r="U96" s="150"/>
      <c r="V96" s="21"/>
      <c r="W96" s="21"/>
    </row>
    <row r="97" spans="1:23" x14ac:dyDescent="0.15">
      <c r="A97" s="183" t="str">
        <f t="shared" si="14"/>
        <v/>
      </c>
      <c r="B97" s="164">
        <v>0</v>
      </c>
      <c r="D97" s="520" t="s">
        <v>257</v>
      </c>
      <c r="E97" s="520"/>
      <c r="F97" s="520"/>
      <c r="G97" s="520"/>
      <c r="H97" s="520"/>
      <c r="I97" s="520"/>
      <c r="J97" s="520"/>
      <c r="K97" s="520"/>
      <c r="L97" s="520"/>
      <c r="M97" s="520"/>
      <c r="N97" s="520"/>
      <c r="O97" s="520"/>
      <c r="P97" s="520"/>
      <c r="R97" s="186" t="s">
        <v>239</v>
      </c>
      <c r="T97" s="166" t="s">
        <v>210</v>
      </c>
      <c r="U97" s="146"/>
      <c r="V97" s="21"/>
      <c r="W97" s="21"/>
    </row>
    <row r="98" spans="1:23" ht="18.5" customHeight="1" x14ac:dyDescent="0.2">
      <c r="A98" s="183" t="str">
        <f t="shared" si="0"/>
        <v>X</v>
      </c>
      <c r="B98" s="182"/>
      <c r="D98" s="534" t="s">
        <v>222</v>
      </c>
      <c r="E98" s="534"/>
      <c r="F98" s="534"/>
      <c r="G98" s="534"/>
      <c r="H98" s="534"/>
      <c r="I98" s="534"/>
      <c r="J98" s="534"/>
      <c r="K98" s="534"/>
      <c r="L98" s="534"/>
      <c r="M98" s="534"/>
      <c r="N98" s="534"/>
      <c r="O98" s="534"/>
      <c r="P98" s="534"/>
      <c r="R98" s="184" t="s">
        <v>237</v>
      </c>
      <c r="T98" s="170" t="s">
        <v>219</v>
      </c>
      <c r="U98" s="175"/>
      <c r="V98" s="164">
        <f t="shared" si="11"/>
        <v>0</v>
      </c>
      <c r="W98" s="164">
        <f>IF(AND(SUM(V:V)&gt;0,B98=""),1,0)</f>
        <v>1</v>
      </c>
    </row>
    <row r="99" spans="1:23" ht="18.5" customHeight="1" x14ac:dyDescent="0.2">
      <c r="A99" s="183" t="str">
        <f t="shared" si="0"/>
        <v>X</v>
      </c>
      <c r="B99" s="182"/>
      <c r="D99" s="546"/>
      <c r="E99" s="546"/>
      <c r="F99" s="546"/>
      <c r="G99" s="546"/>
      <c r="H99" s="546"/>
      <c r="I99" s="546"/>
      <c r="J99" s="546"/>
      <c r="K99" s="546"/>
      <c r="L99" s="546"/>
      <c r="M99" s="546"/>
      <c r="N99" s="546"/>
      <c r="O99" s="546"/>
      <c r="P99" s="546"/>
      <c r="R99" s="184" t="s">
        <v>240</v>
      </c>
      <c r="T99" s="170" t="s">
        <v>219</v>
      </c>
      <c r="U99" s="175"/>
      <c r="V99" s="164">
        <f t="shared" si="11"/>
        <v>0</v>
      </c>
      <c r="W99" s="164">
        <f>IF(AND(SUM(V:V)&gt;0,OR(AND(B99=1,D99=""),AND(B99="",D99=""),AND(B99="",D99&lt;&gt;""),AND(B99=0,D99&lt;&gt;""))),1,0)</f>
        <v>1</v>
      </c>
    </row>
    <row r="100" spans="1:23" ht="18.5" customHeight="1" x14ac:dyDescent="0.2">
      <c r="A100" s="183" t="str">
        <f t="shared" si="0"/>
        <v>X</v>
      </c>
      <c r="B100" s="182"/>
      <c r="D100" s="546"/>
      <c r="E100" s="546"/>
      <c r="F100" s="546"/>
      <c r="G100" s="546"/>
      <c r="H100" s="546"/>
      <c r="I100" s="546"/>
      <c r="J100" s="546"/>
      <c r="K100" s="546"/>
      <c r="L100" s="546"/>
      <c r="M100" s="546"/>
      <c r="N100" s="546"/>
      <c r="O100" s="546"/>
      <c r="P100" s="546"/>
      <c r="R100" s="184" t="s">
        <v>240</v>
      </c>
      <c r="T100" s="170" t="s">
        <v>219</v>
      </c>
      <c r="U100" s="175"/>
      <c r="V100" s="164">
        <f t="shared" si="11"/>
        <v>0</v>
      </c>
      <c r="W100" s="164">
        <f>IF(AND(SUM(V:V)&gt;0,OR(AND(B100=1,D100=""),AND(B100="",D100=""),AND(B100="",D100&lt;&gt;""),AND(B100=0,D100&lt;&gt;""))),1,0)</f>
        <v>1</v>
      </c>
    </row>
    <row r="101" spans="1:23" ht="18.5" customHeight="1" x14ac:dyDescent="0.2">
      <c r="A101" s="183" t="str">
        <f t="shared" si="0"/>
        <v>X</v>
      </c>
      <c r="B101" s="182"/>
      <c r="D101" s="546"/>
      <c r="E101" s="546"/>
      <c r="F101" s="546"/>
      <c r="G101" s="546"/>
      <c r="H101" s="546"/>
      <c r="I101" s="546"/>
      <c r="J101" s="546"/>
      <c r="K101" s="546"/>
      <c r="L101" s="546"/>
      <c r="M101" s="546"/>
      <c r="N101" s="546"/>
      <c r="O101" s="546"/>
      <c r="P101" s="546"/>
      <c r="R101" s="184" t="s">
        <v>240</v>
      </c>
      <c r="T101" s="170" t="s">
        <v>219</v>
      </c>
      <c r="U101" s="175"/>
      <c r="V101" s="164">
        <f t="shared" si="11"/>
        <v>0</v>
      </c>
      <c r="W101" s="164">
        <f>IF(AND(SUM(V:V)&gt;0,OR(AND(B101=1,D101=""),AND(B101="",D101=""),AND(B101="",D101&lt;&gt;""),AND(B101=0,D101&lt;&gt;""))),1,0)</f>
        <v>1</v>
      </c>
    </row>
    <row r="102" spans="1:23" x14ac:dyDescent="0.15">
      <c r="A102" s="183" t="str">
        <f t="shared" si="0"/>
        <v/>
      </c>
      <c r="B102" s="164">
        <v>0</v>
      </c>
      <c r="D102" s="519" t="s">
        <v>247</v>
      </c>
      <c r="E102" s="519"/>
      <c r="F102" s="519"/>
      <c r="G102" s="519"/>
      <c r="H102" s="519"/>
      <c r="I102" s="519"/>
      <c r="J102" s="519"/>
      <c r="K102" s="519"/>
      <c r="L102" s="519"/>
      <c r="M102" s="519"/>
      <c r="N102" s="519"/>
      <c r="O102" s="519"/>
      <c r="P102" s="519"/>
      <c r="T102" s="166" t="s">
        <v>210</v>
      </c>
      <c r="V102" s="21"/>
      <c r="W102" s="21"/>
    </row>
    <row r="103" spans="1:23" x14ac:dyDescent="0.15">
      <c r="A103" s="183" t="str">
        <f t="shared" si="0"/>
        <v/>
      </c>
      <c r="B103" s="164">
        <v>0</v>
      </c>
      <c r="D103" s="520" t="s">
        <v>248</v>
      </c>
      <c r="E103" s="520"/>
      <c r="F103" s="520"/>
      <c r="G103" s="520"/>
      <c r="H103" s="520"/>
      <c r="I103" s="520"/>
      <c r="J103" s="520"/>
      <c r="K103" s="520"/>
      <c r="L103" s="520"/>
      <c r="M103" s="520"/>
      <c r="N103" s="520"/>
      <c r="O103" s="520"/>
      <c r="P103" s="520"/>
      <c r="R103" s="186" t="s">
        <v>239</v>
      </c>
      <c r="T103" s="166" t="s">
        <v>210</v>
      </c>
      <c r="V103" s="21"/>
      <c r="W103" s="21"/>
    </row>
    <row r="104" spans="1:23" ht="8.5" customHeight="1" x14ac:dyDescent="0.15">
      <c r="A104" s="183" t="str">
        <f t="shared" si="0"/>
        <v/>
      </c>
      <c r="B104" s="164">
        <f>IF(OR(D105="Show",Q105="Show"),1,0)</f>
        <v>0</v>
      </c>
      <c r="D104" s="521"/>
      <c r="E104" s="521"/>
      <c r="F104" s="521"/>
      <c r="G104" s="521"/>
      <c r="H104" s="521"/>
      <c r="I104" s="521"/>
      <c r="J104" s="521"/>
      <c r="K104" s="521"/>
      <c r="L104" s="521"/>
      <c r="M104" s="521"/>
      <c r="N104" s="521"/>
      <c r="O104" s="521"/>
      <c r="P104" s="521"/>
      <c r="T104" s="168" t="s">
        <v>207</v>
      </c>
      <c r="V104" s="21"/>
      <c r="W104" s="21"/>
    </row>
    <row r="105" spans="1:23" ht="18" customHeight="1" x14ac:dyDescent="0.15">
      <c r="A105" s="183" t="str">
        <f t="shared" si="0"/>
        <v/>
      </c>
      <c r="B105" s="164">
        <v>0</v>
      </c>
      <c r="D105" s="522" t="s">
        <v>249</v>
      </c>
      <c r="E105" s="522"/>
      <c r="F105" s="522"/>
      <c r="G105" s="522"/>
      <c r="H105" s="522"/>
      <c r="I105" s="522"/>
      <c r="J105" s="522"/>
      <c r="K105" s="522" t="s">
        <v>249</v>
      </c>
      <c r="L105" s="522"/>
      <c r="M105" s="522"/>
      <c r="N105" s="522"/>
      <c r="O105" s="522"/>
      <c r="P105" s="522"/>
      <c r="R105" s="184" t="s">
        <v>250</v>
      </c>
      <c r="T105" s="170" t="s">
        <v>219</v>
      </c>
      <c r="U105" s="146"/>
      <c r="V105" s="164">
        <f>IF(OR(D105="Show",D105="",K105="Show",K105=""),1,0)</f>
        <v>0</v>
      </c>
      <c r="W105" s="164">
        <f>IF(AND(SUM(V:V)&gt;0,OR(D105="",K105="")),1,0)</f>
        <v>0</v>
      </c>
    </row>
    <row r="106" spans="1:23" ht="197.25" customHeight="1" x14ac:dyDescent="0.15">
      <c r="A106" s="183" t="str">
        <f t="shared" si="0"/>
        <v/>
      </c>
      <c r="B106" s="164">
        <f>B104</f>
        <v>0</v>
      </c>
      <c r="D106" s="523"/>
      <c r="E106" s="523"/>
      <c r="F106" s="523"/>
      <c r="G106" s="523"/>
      <c r="H106" s="523"/>
      <c r="I106" s="523"/>
      <c r="J106" s="523"/>
      <c r="K106" s="523"/>
      <c r="L106" s="523"/>
      <c r="M106" s="523"/>
      <c r="N106" s="523"/>
      <c r="O106" s="523"/>
      <c r="P106" s="523"/>
      <c r="R106" s="184" t="s">
        <v>251</v>
      </c>
      <c r="T106" s="170" t="s">
        <v>219</v>
      </c>
      <c r="U106" s="173"/>
      <c r="V106" s="21"/>
      <c r="W106" s="21"/>
    </row>
    <row r="107" spans="1:23" ht="18" customHeight="1" x14ac:dyDescent="0.15">
      <c r="A107" s="183" t="str">
        <f t="shared" si="0"/>
        <v/>
      </c>
      <c r="B107" s="164">
        <f>B106</f>
        <v>0</v>
      </c>
      <c r="D107" s="524"/>
      <c r="E107" s="524"/>
      <c r="F107" s="524"/>
      <c r="G107" s="524"/>
      <c r="H107" s="524"/>
      <c r="I107" s="524"/>
      <c r="J107" s="524"/>
      <c r="K107" s="524"/>
      <c r="L107" s="524"/>
      <c r="M107" s="524"/>
      <c r="N107" s="524"/>
      <c r="O107" s="524"/>
      <c r="P107" s="524"/>
      <c r="R107" s="184" t="s">
        <v>252</v>
      </c>
      <c r="T107" s="170" t="s">
        <v>219</v>
      </c>
      <c r="U107" s="173"/>
      <c r="V107" s="164">
        <f>IF(OR(D105="Show",D105="",K105="Show",K105=""),1,0)</f>
        <v>0</v>
      </c>
      <c r="W107" s="164">
        <f>IF(AND(SUM(V:V)&gt;0,OR(AND(D105="Show",D107=""),AND(K105="Show",K107=""))),1,0)</f>
        <v>0</v>
      </c>
    </row>
    <row r="108" spans="1:23" ht="8.5" customHeight="1" x14ac:dyDescent="0.15">
      <c r="A108" s="183" t="str">
        <f t="shared" si="0"/>
        <v/>
      </c>
      <c r="B108" s="164">
        <f>B107</f>
        <v>0</v>
      </c>
      <c r="D108" s="521"/>
      <c r="E108" s="521"/>
      <c r="F108" s="521"/>
      <c r="G108" s="521"/>
      <c r="H108" s="521"/>
      <c r="I108" s="521"/>
      <c r="J108" s="521"/>
      <c r="K108" s="521"/>
      <c r="L108" s="521"/>
      <c r="M108" s="521"/>
      <c r="N108" s="521"/>
      <c r="O108" s="521"/>
      <c r="P108" s="521"/>
      <c r="T108" s="168" t="s">
        <v>207</v>
      </c>
      <c r="U108" s="150"/>
      <c r="V108" s="21"/>
      <c r="W108" s="21"/>
    </row>
    <row r="109" spans="1:23" x14ac:dyDescent="0.15">
      <c r="A109" s="183" t="str">
        <f t="shared" si="0"/>
        <v/>
      </c>
      <c r="B109" s="164">
        <v>0</v>
      </c>
      <c r="D109" s="520" t="s">
        <v>253</v>
      </c>
      <c r="E109" s="520"/>
      <c r="F109" s="520"/>
      <c r="G109" s="520"/>
      <c r="H109" s="520"/>
      <c r="I109" s="520"/>
      <c r="J109" s="520"/>
      <c r="K109" s="520"/>
      <c r="L109" s="520"/>
      <c r="M109" s="520"/>
      <c r="N109" s="520"/>
      <c r="O109" s="520"/>
      <c r="P109" s="520"/>
      <c r="R109" s="186" t="s">
        <v>239</v>
      </c>
      <c r="T109" s="166" t="s">
        <v>210</v>
      </c>
      <c r="U109" s="146"/>
      <c r="V109" s="21"/>
      <c r="W109" s="21"/>
    </row>
    <row r="110" spans="1:23" x14ac:dyDescent="0.15">
      <c r="A110" s="183" t="str">
        <f t="shared" si="0"/>
        <v/>
      </c>
      <c r="B110" s="164">
        <v>0</v>
      </c>
      <c r="D110" s="520" t="s">
        <v>254</v>
      </c>
      <c r="E110" s="520"/>
      <c r="F110" s="520"/>
      <c r="G110" s="520"/>
      <c r="H110" s="520"/>
      <c r="I110" s="520"/>
      <c r="J110" s="520"/>
      <c r="K110" s="520"/>
      <c r="L110" s="520"/>
      <c r="M110" s="520"/>
      <c r="N110" s="520"/>
      <c r="O110" s="520"/>
      <c r="P110" s="520"/>
      <c r="R110" s="186" t="s">
        <v>239</v>
      </c>
      <c r="T110" s="166" t="s">
        <v>210</v>
      </c>
      <c r="V110" s="21"/>
      <c r="W110" s="21"/>
    </row>
    <row r="111" spans="1:23" ht="8.5" customHeight="1" x14ac:dyDescent="0.15">
      <c r="A111" s="183" t="str">
        <f t="shared" si="0"/>
        <v/>
      </c>
      <c r="B111" s="164">
        <f>IF(OR(D112="Show",Q112="Show"),1,0)</f>
        <v>0</v>
      </c>
      <c r="D111" s="521"/>
      <c r="E111" s="521"/>
      <c r="F111" s="521"/>
      <c r="G111" s="521"/>
      <c r="H111" s="521"/>
      <c r="I111" s="521"/>
      <c r="J111" s="521"/>
      <c r="K111" s="521"/>
      <c r="L111" s="521"/>
      <c r="M111" s="521"/>
      <c r="N111" s="521"/>
      <c r="O111" s="521"/>
      <c r="P111" s="521"/>
      <c r="T111" s="168" t="s">
        <v>207</v>
      </c>
      <c r="V111" s="21"/>
      <c r="W111" s="21"/>
    </row>
    <row r="112" spans="1:23" ht="18" customHeight="1" x14ac:dyDescent="0.15">
      <c r="A112" s="183" t="str">
        <f t="shared" si="0"/>
        <v/>
      </c>
      <c r="B112" s="164">
        <v>0</v>
      </c>
      <c r="D112" s="522" t="s">
        <v>249</v>
      </c>
      <c r="E112" s="522"/>
      <c r="F112" s="522"/>
      <c r="G112" s="522"/>
      <c r="H112" s="522"/>
      <c r="I112" s="522"/>
      <c r="J112" s="522"/>
      <c r="K112" s="522" t="s">
        <v>249</v>
      </c>
      <c r="L112" s="522"/>
      <c r="M112" s="522"/>
      <c r="N112" s="522"/>
      <c r="O112" s="522"/>
      <c r="P112" s="522"/>
      <c r="R112" s="184" t="s">
        <v>250</v>
      </c>
      <c r="T112" s="170" t="s">
        <v>219</v>
      </c>
      <c r="U112" s="146"/>
      <c r="V112" s="164">
        <f>IF(OR(D112="Show",D112="",K112="Show",K112=""),1,0)</f>
        <v>0</v>
      </c>
      <c r="W112" s="164">
        <f>IF(AND(SUM(V:V)&gt;0,OR(D112="",K112="")),1,0)</f>
        <v>0</v>
      </c>
    </row>
    <row r="113" spans="1:23" ht="197.25" customHeight="1" x14ac:dyDescent="0.15">
      <c r="A113" s="183" t="str">
        <f t="shared" si="0"/>
        <v/>
      </c>
      <c r="B113" s="164">
        <f>B111</f>
        <v>0</v>
      </c>
      <c r="D113" s="523"/>
      <c r="E113" s="523"/>
      <c r="F113" s="523"/>
      <c r="G113" s="523"/>
      <c r="H113" s="523"/>
      <c r="I113" s="523"/>
      <c r="J113" s="523"/>
      <c r="K113" s="523"/>
      <c r="L113" s="523"/>
      <c r="M113" s="523"/>
      <c r="N113" s="523"/>
      <c r="O113" s="523"/>
      <c r="P113" s="523"/>
      <c r="R113" s="184" t="s">
        <v>251</v>
      </c>
      <c r="T113" s="170" t="s">
        <v>219</v>
      </c>
      <c r="U113" s="173"/>
      <c r="V113" s="21"/>
      <c r="W113" s="21"/>
    </row>
    <row r="114" spans="1:23" ht="18" customHeight="1" x14ac:dyDescent="0.15">
      <c r="A114" s="183" t="str">
        <f t="shared" si="0"/>
        <v/>
      </c>
      <c r="B114" s="164">
        <f>B113</f>
        <v>0</v>
      </c>
      <c r="D114" s="524"/>
      <c r="E114" s="524"/>
      <c r="F114" s="524"/>
      <c r="G114" s="524"/>
      <c r="H114" s="524"/>
      <c r="I114" s="524"/>
      <c r="J114" s="524"/>
      <c r="K114" s="524"/>
      <c r="L114" s="524"/>
      <c r="M114" s="524"/>
      <c r="N114" s="524"/>
      <c r="O114" s="524"/>
      <c r="P114" s="524"/>
      <c r="R114" s="184" t="s">
        <v>252</v>
      </c>
      <c r="T114" s="170" t="s">
        <v>219</v>
      </c>
      <c r="U114" s="173"/>
      <c r="V114" s="164">
        <f>IF(OR(D112="Show",D112="",K112="Show",K112=""),1,0)</f>
        <v>0</v>
      </c>
      <c r="W114" s="164">
        <f>IF(AND(SUM(V:V)&gt;0,OR(AND(D112="Show",D114=""),AND(K112="Show",K114=""))),1,0)</f>
        <v>0</v>
      </c>
    </row>
    <row r="115" spans="1:23" ht="8.5" customHeight="1" x14ac:dyDescent="0.15">
      <c r="A115" s="183" t="str">
        <f t="shared" si="0"/>
        <v/>
      </c>
      <c r="B115" s="164">
        <f>B114</f>
        <v>0</v>
      </c>
      <c r="D115" s="521"/>
      <c r="E115" s="521"/>
      <c r="F115" s="521"/>
      <c r="G115" s="521"/>
      <c r="H115" s="521"/>
      <c r="I115" s="521"/>
      <c r="J115" s="521"/>
      <c r="K115" s="521"/>
      <c r="L115" s="521"/>
      <c r="M115" s="521"/>
      <c r="N115" s="521"/>
      <c r="O115" s="521"/>
      <c r="P115" s="521"/>
      <c r="T115" s="168" t="s">
        <v>207</v>
      </c>
      <c r="U115" s="150"/>
      <c r="V115" s="21"/>
      <c r="W115" s="21"/>
    </row>
    <row r="116" spans="1:23" x14ac:dyDescent="0.15">
      <c r="A116" s="183" t="str">
        <f t="shared" si="0"/>
        <v/>
      </c>
      <c r="B116" s="164">
        <v>0</v>
      </c>
      <c r="D116" s="520" t="s">
        <v>255</v>
      </c>
      <c r="E116" s="520"/>
      <c r="F116" s="520"/>
      <c r="G116" s="520"/>
      <c r="H116" s="520"/>
      <c r="I116" s="520"/>
      <c r="J116" s="520"/>
      <c r="K116" s="520"/>
      <c r="L116" s="520"/>
      <c r="M116" s="520"/>
      <c r="N116" s="520"/>
      <c r="O116" s="520"/>
      <c r="P116" s="520"/>
      <c r="R116" s="186" t="s">
        <v>239</v>
      </c>
      <c r="T116" s="166" t="s">
        <v>210</v>
      </c>
      <c r="U116" s="146"/>
      <c r="V116" s="21"/>
      <c r="W116" s="21"/>
    </row>
    <row r="117" spans="1:23" x14ac:dyDescent="0.15">
      <c r="A117" s="183" t="str">
        <f t="shared" si="0"/>
        <v/>
      </c>
      <c r="B117" s="164">
        <v>0</v>
      </c>
      <c r="D117" s="520" t="s">
        <v>256</v>
      </c>
      <c r="E117" s="520"/>
      <c r="F117" s="520"/>
      <c r="G117" s="520"/>
      <c r="H117" s="520"/>
      <c r="I117" s="520"/>
      <c r="J117" s="520"/>
      <c r="K117" s="520"/>
      <c r="L117" s="520"/>
      <c r="M117" s="520"/>
      <c r="N117" s="520"/>
      <c r="O117" s="520"/>
      <c r="P117" s="520"/>
      <c r="R117" s="186" t="s">
        <v>239</v>
      </c>
      <c r="T117" s="166" t="s">
        <v>210</v>
      </c>
      <c r="V117" s="21"/>
      <c r="W117" s="21"/>
    </row>
    <row r="118" spans="1:23" ht="8.5" customHeight="1" x14ac:dyDescent="0.15">
      <c r="A118" s="183" t="str">
        <f t="shared" si="0"/>
        <v/>
      </c>
      <c r="B118" s="164">
        <f>IF(OR(D119="Show",Q119="Show"),1,0)</f>
        <v>0</v>
      </c>
      <c r="D118" s="521"/>
      <c r="E118" s="521"/>
      <c r="F118" s="521"/>
      <c r="G118" s="521"/>
      <c r="H118" s="521"/>
      <c r="I118" s="521"/>
      <c r="J118" s="521"/>
      <c r="K118" s="521"/>
      <c r="L118" s="521"/>
      <c r="M118" s="521"/>
      <c r="N118" s="521"/>
      <c r="O118" s="521"/>
      <c r="P118" s="521"/>
      <c r="T118" s="168" t="s">
        <v>207</v>
      </c>
      <c r="V118" s="21"/>
      <c r="W118" s="21"/>
    </row>
    <row r="119" spans="1:23" ht="18" customHeight="1" x14ac:dyDescent="0.15">
      <c r="A119" s="183" t="str">
        <f t="shared" si="0"/>
        <v/>
      </c>
      <c r="B119" s="164">
        <v>0</v>
      </c>
      <c r="D119" s="522" t="s">
        <v>249</v>
      </c>
      <c r="E119" s="522"/>
      <c r="F119" s="522"/>
      <c r="G119" s="522"/>
      <c r="H119" s="522"/>
      <c r="I119" s="522"/>
      <c r="J119" s="522"/>
      <c r="K119" s="522" t="s">
        <v>249</v>
      </c>
      <c r="L119" s="522"/>
      <c r="M119" s="522"/>
      <c r="N119" s="522"/>
      <c r="O119" s="522"/>
      <c r="P119" s="522"/>
      <c r="R119" s="184" t="s">
        <v>250</v>
      </c>
      <c r="T119" s="170" t="s">
        <v>219</v>
      </c>
      <c r="U119" s="146"/>
      <c r="V119" s="164">
        <f>IF(OR(D119="Show",D119="",K119="Show",K119=""),1,0)</f>
        <v>0</v>
      </c>
      <c r="W119" s="164">
        <f>IF(AND(SUM(V:V)&gt;0,OR(D119="",K119="")),1,0)</f>
        <v>0</v>
      </c>
    </row>
    <row r="120" spans="1:23" ht="197.25" customHeight="1" x14ac:dyDescent="0.15">
      <c r="A120" s="183" t="str">
        <f t="shared" si="0"/>
        <v/>
      </c>
      <c r="B120" s="164">
        <f>B118</f>
        <v>0</v>
      </c>
      <c r="D120" s="523"/>
      <c r="E120" s="523"/>
      <c r="F120" s="523"/>
      <c r="G120" s="523"/>
      <c r="H120" s="523"/>
      <c r="I120" s="523"/>
      <c r="J120" s="523"/>
      <c r="K120" s="523"/>
      <c r="L120" s="523"/>
      <c r="M120" s="523"/>
      <c r="N120" s="523"/>
      <c r="O120" s="523"/>
      <c r="P120" s="523"/>
      <c r="R120" s="184" t="s">
        <v>251</v>
      </c>
      <c r="T120" s="170" t="s">
        <v>219</v>
      </c>
      <c r="U120" s="173"/>
      <c r="V120" s="21"/>
      <c r="W120" s="21"/>
    </row>
    <row r="121" spans="1:23" ht="18" customHeight="1" x14ac:dyDescent="0.15">
      <c r="A121" s="183" t="str">
        <f t="shared" si="0"/>
        <v/>
      </c>
      <c r="B121" s="164">
        <f>B120</f>
        <v>0</v>
      </c>
      <c r="D121" s="524"/>
      <c r="E121" s="524"/>
      <c r="F121" s="524"/>
      <c r="G121" s="524"/>
      <c r="H121" s="524"/>
      <c r="I121" s="524"/>
      <c r="J121" s="524"/>
      <c r="K121" s="524"/>
      <c r="L121" s="524"/>
      <c r="M121" s="524"/>
      <c r="N121" s="524"/>
      <c r="O121" s="524"/>
      <c r="P121" s="524"/>
      <c r="R121" s="184" t="s">
        <v>252</v>
      </c>
      <c r="T121" s="170" t="s">
        <v>219</v>
      </c>
      <c r="U121" s="173"/>
      <c r="V121" s="164">
        <f>IF(OR(D119="Show",D119="",K119="Show",K119=""),1,0)</f>
        <v>0</v>
      </c>
      <c r="W121" s="164">
        <f>IF(AND(SUM(V:V)&gt;0,OR(AND(D119="Show",D121=""),AND(K119="Show",K121=""))),1,0)</f>
        <v>0</v>
      </c>
    </row>
    <row r="122" spans="1:23" ht="8.5" customHeight="1" x14ac:dyDescent="0.15">
      <c r="A122" s="183" t="str">
        <f t="shared" si="0"/>
        <v/>
      </c>
      <c r="B122" s="164">
        <f>B121</f>
        <v>0</v>
      </c>
      <c r="D122" s="521"/>
      <c r="E122" s="521"/>
      <c r="F122" s="521"/>
      <c r="G122" s="521"/>
      <c r="H122" s="521"/>
      <c r="I122" s="521"/>
      <c r="J122" s="521"/>
      <c r="K122" s="521"/>
      <c r="L122" s="521"/>
      <c r="M122" s="521"/>
      <c r="N122" s="521"/>
      <c r="O122" s="521"/>
      <c r="P122" s="521"/>
      <c r="T122" s="168" t="s">
        <v>207</v>
      </c>
      <c r="U122" s="150"/>
      <c r="V122" s="21"/>
      <c r="W122" s="21"/>
    </row>
    <row r="123" spans="1:23" x14ac:dyDescent="0.15">
      <c r="A123" s="183" t="str">
        <f t="shared" si="0"/>
        <v/>
      </c>
      <c r="B123" s="164">
        <v>0</v>
      </c>
      <c r="D123" s="520" t="s">
        <v>257</v>
      </c>
      <c r="E123" s="520"/>
      <c r="F123" s="520"/>
      <c r="G123" s="520"/>
      <c r="H123" s="520"/>
      <c r="I123" s="520"/>
      <c r="J123" s="520"/>
      <c r="K123" s="520"/>
      <c r="L123" s="520"/>
      <c r="M123" s="520"/>
      <c r="N123" s="520"/>
      <c r="O123" s="520"/>
      <c r="P123" s="520"/>
      <c r="R123" s="186" t="s">
        <v>239</v>
      </c>
      <c r="T123" s="166" t="s">
        <v>210</v>
      </c>
      <c r="U123" s="146"/>
      <c r="V123" s="21"/>
      <c r="W123" s="21"/>
    </row>
    <row r="124" spans="1:23" ht="18.5" customHeight="1" x14ac:dyDescent="0.2">
      <c r="A124" s="183" t="str">
        <f t="shared" si="0"/>
        <v>X</v>
      </c>
      <c r="B124" s="182"/>
      <c r="D124" s="534" t="s">
        <v>229</v>
      </c>
      <c r="E124" s="534"/>
      <c r="F124" s="534"/>
      <c r="G124" s="534"/>
      <c r="H124" s="534"/>
      <c r="I124" s="534"/>
      <c r="J124" s="534"/>
      <c r="K124" s="534"/>
      <c r="L124" s="534"/>
      <c r="M124" s="534"/>
      <c r="N124" s="534"/>
      <c r="O124" s="534"/>
      <c r="P124" s="534"/>
      <c r="R124" s="184" t="s">
        <v>237</v>
      </c>
      <c r="T124" s="170" t="s">
        <v>219</v>
      </c>
      <c r="U124" s="175"/>
      <c r="V124" s="164">
        <f t="shared" si="11"/>
        <v>0</v>
      </c>
      <c r="W124" s="164">
        <f>IF(AND(SUM(V:V)&gt;0,B124=""),1,0)</f>
        <v>1</v>
      </c>
    </row>
    <row r="125" spans="1:23" ht="18.5" customHeight="1" x14ac:dyDescent="0.2">
      <c r="A125" s="183" t="str">
        <f t="shared" si="0"/>
        <v>X</v>
      </c>
      <c r="B125" s="182"/>
      <c r="D125" s="546"/>
      <c r="E125" s="546"/>
      <c r="F125" s="546"/>
      <c r="G125" s="546"/>
      <c r="H125" s="546"/>
      <c r="I125" s="546"/>
      <c r="J125" s="546"/>
      <c r="K125" s="546"/>
      <c r="L125" s="546"/>
      <c r="M125" s="546"/>
      <c r="N125" s="546"/>
      <c r="O125" s="546"/>
      <c r="P125" s="546"/>
      <c r="R125" s="184" t="s">
        <v>240</v>
      </c>
      <c r="T125" s="170" t="s">
        <v>219</v>
      </c>
      <c r="U125" s="175"/>
      <c r="V125" s="164">
        <f t="shared" si="11"/>
        <v>0</v>
      </c>
      <c r="W125" s="164">
        <f>IF(AND(SUM(V:V)&gt;0,OR(AND(B125=1,D125=""),AND(B125="",D125=""),AND(B125="",D125&lt;&gt;""),AND(B125=0,D125&lt;&gt;""))),1,0)</f>
        <v>1</v>
      </c>
    </row>
    <row r="126" spans="1:23" ht="18.5" customHeight="1" x14ac:dyDescent="0.2">
      <c r="A126" s="183" t="str">
        <f t="shared" si="0"/>
        <v>X</v>
      </c>
      <c r="B126" s="182"/>
      <c r="D126" s="546"/>
      <c r="E126" s="546"/>
      <c r="F126" s="546"/>
      <c r="G126" s="546"/>
      <c r="H126" s="546"/>
      <c r="I126" s="546"/>
      <c r="J126" s="546"/>
      <c r="K126" s="546"/>
      <c r="L126" s="546"/>
      <c r="M126" s="546"/>
      <c r="N126" s="546"/>
      <c r="O126" s="546"/>
      <c r="P126" s="546"/>
      <c r="R126" s="184" t="s">
        <v>240</v>
      </c>
      <c r="T126" s="170" t="s">
        <v>219</v>
      </c>
      <c r="U126" s="175"/>
      <c r="V126" s="164">
        <f t="shared" si="11"/>
        <v>0</v>
      </c>
      <c r="W126" s="164">
        <f>IF(AND(SUM(V:V)&gt;0,OR(AND(B126=1,D126=""),AND(B126="",D126=""),AND(B126="",D126&lt;&gt;""),AND(B126=0,D126&lt;&gt;""))),1,0)</f>
        <v>1</v>
      </c>
    </row>
    <row r="127" spans="1:23" ht="18.5" customHeight="1" x14ac:dyDescent="0.2">
      <c r="A127" s="183" t="str">
        <f t="shared" si="0"/>
        <v>X</v>
      </c>
      <c r="B127" s="182"/>
      <c r="D127" s="546"/>
      <c r="E127" s="546"/>
      <c r="F127" s="546"/>
      <c r="G127" s="546"/>
      <c r="H127" s="546"/>
      <c r="I127" s="546"/>
      <c r="J127" s="546"/>
      <c r="K127" s="546"/>
      <c r="L127" s="546"/>
      <c r="M127" s="546"/>
      <c r="N127" s="546"/>
      <c r="O127" s="546"/>
      <c r="P127" s="546"/>
      <c r="R127" s="184" t="s">
        <v>240</v>
      </c>
      <c r="T127" s="170" t="s">
        <v>219</v>
      </c>
      <c r="U127" s="175"/>
      <c r="V127" s="164">
        <f t="shared" si="11"/>
        <v>0</v>
      </c>
      <c r="W127" s="164">
        <f>IF(AND(SUM(V:V)&gt;0,OR(AND(B127=1,D127=""),AND(B127="",D127=""),AND(B127="",D127&lt;&gt;""),AND(B127=0,D127&lt;&gt;""))),1,0)</f>
        <v>1</v>
      </c>
    </row>
    <row r="128" spans="1:23" x14ac:dyDescent="0.15">
      <c r="A128" s="183" t="str">
        <f t="shared" ref="A128:A149" si="15">IF(W128=1,"X","")</f>
        <v/>
      </c>
      <c r="B128" s="164">
        <v>0</v>
      </c>
      <c r="D128" s="519" t="s">
        <v>247</v>
      </c>
      <c r="E128" s="519"/>
      <c r="F128" s="519"/>
      <c r="G128" s="519"/>
      <c r="H128" s="519"/>
      <c r="I128" s="519"/>
      <c r="J128" s="519"/>
      <c r="K128" s="519"/>
      <c r="L128" s="519"/>
      <c r="M128" s="519"/>
      <c r="N128" s="519"/>
      <c r="O128" s="519"/>
      <c r="P128" s="519"/>
      <c r="T128" s="166" t="s">
        <v>210</v>
      </c>
      <c r="V128" s="21"/>
      <c r="W128" s="21"/>
    </row>
    <row r="129" spans="1:23" x14ac:dyDescent="0.15">
      <c r="A129" s="183" t="str">
        <f t="shared" si="15"/>
        <v/>
      </c>
      <c r="B129" s="164">
        <v>0</v>
      </c>
      <c r="D129" s="520" t="s">
        <v>248</v>
      </c>
      <c r="E129" s="520"/>
      <c r="F129" s="520"/>
      <c r="G129" s="520"/>
      <c r="H129" s="520"/>
      <c r="I129" s="520"/>
      <c r="J129" s="520"/>
      <c r="K129" s="520"/>
      <c r="L129" s="520"/>
      <c r="M129" s="520"/>
      <c r="N129" s="520"/>
      <c r="O129" s="520"/>
      <c r="P129" s="520"/>
      <c r="R129" s="186" t="s">
        <v>239</v>
      </c>
      <c r="T129" s="166" t="s">
        <v>210</v>
      </c>
      <c r="V129" s="21"/>
      <c r="W129" s="21"/>
    </row>
    <row r="130" spans="1:23" ht="8.5" customHeight="1" x14ac:dyDescent="0.15">
      <c r="A130" s="183" t="str">
        <f t="shared" si="15"/>
        <v/>
      </c>
      <c r="B130" s="164">
        <f>IF(OR(D131="Show",Q131="Show"),1,0)</f>
        <v>0</v>
      </c>
      <c r="D130" s="521"/>
      <c r="E130" s="521"/>
      <c r="F130" s="521"/>
      <c r="G130" s="521"/>
      <c r="H130" s="521"/>
      <c r="I130" s="521"/>
      <c r="J130" s="521"/>
      <c r="K130" s="521"/>
      <c r="L130" s="521"/>
      <c r="M130" s="521"/>
      <c r="N130" s="521"/>
      <c r="O130" s="521"/>
      <c r="P130" s="521"/>
      <c r="T130" s="168" t="s">
        <v>207</v>
      </c>
      <c r="V130" s="21"/>
      <c r="W130" s="21"/>
    </row>
    <row r="131" spans="1:23" ht="18" customHeight="1" x14ac:dyDescent="0.15">
      <c r="A131" s="183" t="str">
        <f t="shared" si="15"/>
        <v/>
      </c>
      <c r="B131" s="164">
        <v>0</v>
      </c>
      <c r="D131" s="522" t="s">
        <v>249</v>
      </c>
      <c r="E131" s="522"/>
      <c r="F131" s="522"/>
      <c r="G131" s="522"/>
      <c r="H131" s="522"/>
      <c r="I131" s="522"/>
      <c r="J131" s="522"/>
      <c r="K131" s="522" t="s">
        <v>249</v>
      </c>
      <c r="L131" s="522"/>
      <c r="M131" s="522"/>
      <c r="N131" s="522"/>
      <c r="O131" s="522"/>
      <c r="P131" s="522"/>
      <c r="R131" s="184" t="s">
        <v>250</v>
      </c>
      <c r="T131" s="170" t="s">
        <v>219</v>
      </c>
      <c r="U131" s="146"/>
      <c r="V131" s="164">
        <f>IF(OR(D131="Show",D131="",K131="Show",K131=""),1,0)</f>
        <v>0</v>
      </c>
      <c r="W131" s="164">
        <f>IF(AND(SUM(V:V)&gt;0,OR(D131="",K131="")),1,0)</f>
        <v>0</v>
      </c>
    </row>
    <row r="132" spans="1:23" ht="197.25" customHeight="1" x14ac:dyDescent="0.15">
      <c r="A132" s="183" t="str">
        <f t="shared" si="15"/>
        <v/>
      </c>
      <c r="B132" s="164">
        <f>B130</f>
        <v>0</v>
      </c>
      <c r="D132" s="523"/>
      <c r="E132" s="523"/>
      <c r="F132" s="523"/>
      <c r="G132" s="523"/>
      <c r="H132" s="523"/>
      <c r="I132" s="523"/>
      <c r="J132" s="523"/>
      <c r="K132" s="523"/>
      <c r="L132" s="523"/>
      <c r="M132" s="523"/>
      <c r="N132" s="523"/>
      <c r="O132" s="523"/>
      <c r="P132" s="523"/>
      <c r="R132" s="184" t="s">
        <v>251</v>
      </c>
      <c r="T132" s="170" t="s">
        <v>219</v>
      </c>
      <c r="U132" s="173"/>
      <c r="V132" s="21"/>
      <c r="W132" s="21"/>
    </row>
    <row r="133" spans="1:23" ht="18" customHeight="1" x14ac:dyDescent="0.15">
      <c r="A133" s="183" t="str">
        <f t="shared" si="15"/>
        <v/>
      </c>
      <c r="B133" s="164">
        <f>B132</f>
        <v>0</v>
      </c>
      <c r="D133" s="524"/>
      <c r="E133" s="524"/>
      <c r="F133" s="524"/>
      <c r="G133" s="524"/>
      <c r="H133" s="524"/>
      <c r="I133" s="524"/>
      <c r="J133" s="524"/>
      <c r="K133" s="524"/>
      <c r="L133" s="524"/>
      <c r="M133" s="524"/>
      <c r="N133" s="524"/>
      <c r="O133" s="524"/>
      <c r="P133" s="524"/>
      <c r="R133" s="184" t="s">
        <v>252</v>
      </c>
      <c r="T133" s="170" t="s">
        <v>219</v>
      </c>
      <c r="U133" s="173"/>
      <c r="V133" s="164">
        <f>IF(OR(D131="Show",D131="",K131="Show",K131=""),1,0)</f>
        <v>0</v>
      </c>
      <c r="W133" s="164">
        <f>IF(AND(SUM(V:V)&gt;0,OR(AND(D131="Show",D133=""),AND(K131="Show",K133=""))),1,0)</f>
        <v>0</v>
      </c>
    </row>
    <row r="134" spans="1:23" ht="8.5" customHeight="1" x14ac:dyDescent="0.15">
      <c r="A134" s="183" t="str">
        <f t="shared" si="15"/>
        <v/>
      </c>
      <c r="B134" s="164">
        <f>B133</f>
        <v>0</v>
      </c>
      <c r="D134" s="521"/>
      <c r="E134" s="521"/>
      <c r="F134" s="521"/>
      <c r="G134" s="521"/>
      <c r="H134" s="521"/>
      <c r="I134" s="521"/>
      <c r="J134" s="521"/>
      <c r="K134" s="521"/>
      <c r="L134" s="521"/>
      <c r="M134" s="521"/>
      <c r="N134" s="521"/>
      <c r="O134" s="521"/>
      <c r="P134" s="521"/>
      <c r="T134" s="168" t="s">
        <v>207</v>
      </c>
      <c r="U134" s="150"/>
      <c r="V134" s="21"/>
      <c r="W134" s="21"/>
    </row>
    <row r="135" spans="1:23" x14ac:dyDescent="0.15">
      <c r="A135" s="183" t="str">
        <f t="shared" si="15"/>
        <v/>
      </c>
      <c r="B135" s="164">
        <v>0</v>
      </c>
      <c r="D135" s="520" t="s">
        <v>253</v>
      </c>
      <c r="E135" s="520"/>
      <c r="F135" s="520"/>
      <c r="G135" s="520"/>
      <c r="H135" s="520"/>
      <c r="I135" s="520"/>
      <c r="J135" s="520"/>
      <c r="K135" s="520"/>
      <c r="L135" s="520"/>
      <c r="M135" s="520"/>
      <c r="N135" s="520"/>
      <c r="O135" s="520"/>
      <c r="P135" s="520"/>
      <c r="R135" s="186" t="s">
        <v>239</v>
      </c>
      <c r="T135" s="166" t="s">
        <v>210</v>
      </c>
      <c r="U135" s="146"/>
      <c r="V135" s="21"/>
      <c r="W135" s="21"/>
    </row>
    <row r="136" spans="1:23" x14ac:dyDescent="0.15">
      <c r="A136" s="183" t="str">
        <f t="shared" si="15"/>
        <v/>
      </c>
      <c r="B136" s="164">
        <v>0</v>
      </c>
      <c r="D136" s="520" t="s">
        <v>254</v>
      </c>
      <c r="E136" s="520"/>
      <c r="F136" s="520"/>
      <c r="G136" s="520"/>
      <c r="H136" s="520"/>
      <c r="I136" s="520"/>
      <c r="J136" s="520"/>
      <c r="K136" s="520"/>
      <c r="L136" s="520"/>
      <c r="M136" s="520"/>
      <c r="N136" s="520"/>
      <c r="O136" s="520"/>
      <c r="P136" s="520"/>
      <c r="R136" s="186" t="s">
        <v>239</v>
      </c>
      <c r="T136" s="166" t="s">
        <v>210</v>
      </c>
      <c r="V136" s="21"/>
      <c r="W136" s="21"/>
    </row>
    <row r="137" spans="1:23" ht="8.5" customHeight="1" x14ac:dyDescent="0.15">
      <c r="A137" s="183" t="str">
        <f t="shared" si="15"/>
        <v/>
      </c>
      <c r="B137" s="164">
        <f>IF(OR(D138="Show",Q138="Show"),1,0)</f>
        <v>0</v>
      </c>
      <c r="D137" s="521"/>
      <c r="E137" s="521"/>
      <c r="F137" s="521"/>
      <c r="G137" s="521"/>
      <c r="H137" s="521"/>
      <c r="I137" s="521"/>
      <c r="J137" s="521"/>
      <c r="K137" s="521"/>
      <c r="L137" s="521"/>
      <c r="M137" s="521"/>
      <c r="N137" s="521"/>
      <c r="O137" s="521"/>
      <c r="P137" s="521"/>
      <c r="T137" s="168" t="s">
        <v>207</v>
      </c>
      <c r="V137" s="21"/>
      <c r="W137" s="21"/>
    </row>
    <row r="138" spans="1:23" ht="18" customHeight="1" x14ac:dyDescent="0.15">
      <c r="A138" s="183" t="str">
        <f t="shared" si="15"/>
        <v/>
      </c>
      <c r="B138" s="164">
        <v>0</v>
      </c>
      <c r="D138" s="522" t="s">
        <v>249</v>
      </c>
      <c r="E138" s="522"/>
      <c r="F138" s="522"/>
      <c r="G138" s="522"/>
      <c r="H138" s="522"/>
      <c r="I138" s="522"/>
      <c r="J138" s="522"/>
      <c r="K138" s="522" t="s">
        <v>249</v>
      </c>
      <c r="L138" s="522"/>
      <c r="M138" s="522"/>
      <c r="N138" s="522"/>
      <c r="O138" s="522"/>
      <c r="P138" s="522"/>
      <c r="R138" s="184" t="s">
        <v>250</v>
      </c>
      <c r="T138" s="170" t="s">
        <v>219</v>
      </c>
      <c r="U138" s="146"/>
      <c r="V138" s="164">
        <f>IF(OR(D138="Show",D138="",K138="Show",K138=""),1,0)</f>
        <v>0</v>
      </c>
      <c r="W138" s="164">
        <f>IF(AND(SUM(V:V)&gt;0,OR(D138="",K138="")),1,0)</f>
        <v>0</v>
      </c>
    </row>
    <row r="139" spans="1:23" ht="197.25" customHeight="1" x14ac:dyDescent="0.15">
      <c r="A139" s="183" t="str">
        <f t="shared" si="15"/>
        <v/>
      </c>
      <c r="B139" s="164">
        <f>B137</f>
        <v>0</v>
      </c>
      <c r="D139" s="523"/>
      <c r="E139" s="523"/>
      <c r="F139" s="523"/>
      <c r="G139" s="523"/>
      <c r="H139" s="523"/>
      <c r="I139" s="523"/>
      <c r="J139" s="523"/>
      <c r="K139" s="523"/>
      <c r="L139" s="523"/>
      <c r="M139" s="523"/>
      <c r="N139" s="523"/>
      <c r="O139" s="523"/>
      <c r="P139" s="523"/>
      <c r="R139" s="184" t="s">
        <v>251</v>
      </c>
      <c r="T139" s="170" t="s">
        <v>219</v>
      </c>
      <c r="U139" s="173"/>
      <c r="V139" s="21"/>
      <c r="W139" s="21"/>
    </row>
    <row r="140" spans="1:23" ht="18" customHeight="1" x14ac:dyDescent="0.15">
      <c r="A140" s="183" t="str">
        <f t="shared" si="15"/>
        <v/>
      </c>
      <c r="B140" s="164">
        <f>B139</f>
        <v>0</v>
      </c>
      <c r="D140" s="524"/>
      <c r="E140" s="524"/>
      <c r="F140" s="524"/>
      <c r="G140" s="524"/>
      <c r="H140" s="524"/>
      <c r="I140" s="524"/>
      <c r="J140" s="524"/>
      <c r="K140" s="524"/>
      <c r="L140" s="524"/>
      <c r="M140" s="524"/>
      <c r="N140" s="524"/>
      <c r="O140" s="524"/>
      <c r="P140" s="524"/>
      <c r="R140" s="184" t="s">
        <v>252</v>
      </c>
      <c r="T140" s="170" t="s">
        <v>219</v>
      </c>
      <c r="U140" s="173"/>
      <c r="V140" s="164">
        <f>IF(OR(D138="Show",D138="",K138="Show",K138=""),1,0)</f>
        <v>0</v>
      </c>
      <c r="W140" s="164">
        <f>IF(AND(SUM(V:V)&gt;0,OR(AND(D138="Show",D140=""),AND(K138="Show",K140=""))),1,0)</f>
        <v>0</v>
      </c>
    </row>
    <row r="141" spans="1:23" ht="8.5" customHeight="1" x14ac:dyDescent="0.15">
      <c r="A141" s="183" t="str">
        <f t="shared" si="15"/>
        <v/>
      </c>
      <c r="B141" s="164">
        <f>B140</f>
        <v>0</v>
      </c>
      <c r="D141" s="521"/>
      <c r="E141" s="521"/>
      <c r="F141" s="521"/>
      <c r="G141" s="521"/>
      <c r="H141" s="521"/>
      <c r="I141" s="521"/>
      <c r="J141" s="521"/>
      <c r="K141" s="521"/>
      <c r="L141" s="521"/>
      <c r="M141" s="521"/>
      <c r="N141" s="521"/>
      <c r="O141" s="521"/>
      <c r="P141" s="521"/>
      <c r="T141" s="168" t="s">
        <v>207</v>
      </c>
      <c r="U141" s="150"/>
      <c r="V141" s="21"/>
      <c r="W141" s="21"/>
    </row>
    <row r="142" spans="1:23" x14ac:dyDescent="0.15">
      <c r="A142" s="183" t="str">
        <f t="shared" si="15"/>
        <v/>
      </c>
      <c r="B142" s="164">
        <v>0</v>
      </c>
      <c r="D142" s="520" t="s">
        <v>255</v>
      </c>
      <c r="E142" s="520"/>
      <c r="F142" s="520"/>
      <c r="G142" s="520"/>
      <c r="H142" s="520"/>
      <c r="I142" s="520"/>
      <c r="J142" s="520"/>
      <c r="K142" s="520"/>
      <c r="L142" s="520"/>
      <c r="M142" s="520"/>
      <c r="N142" s="520"/>
      <c r="O142" s="520"/>
      <c r="P142" s="520"/>
      <c r="R142" s="186" t="s">
        <v>239</v>
      </c>
      <c r="T142" s="166" t="s">
        <v>210</v>
      </c>
      <c r="U142" s="146"/>
      <c r="V142" s="21"/>
      <c r="W142" s="21"/>
    </row>
    <row r="143" spans="1:23" x14ac:dyDescent="0.15">
      <c r="A143" s="183" t="str">
        <f t="shared" si="15"/>
        <v/>
      </c>
      <c r="B143" s="164">
        <v>0</v>
      </c>
      <c r="D143" s="520" t="s">
        <v>256</v>
      </c>
      <c r="E143" s="520"/>
      <c r="F143" s="520"/>
      <c r="G143" s="520"/>
      <c r="H143" s="520"/>
      <c r="I143" s="520"/>
      <c r="J143" s="520"/>
      <c r="K143" s="520"/>
      <c r="L143" s="520"/>
      <c r="M143" s="520"/>
      <c r="N143" s="520"/>
      <c r="O143" s="520"/>
      <c r="P143" s="520"/>
      <c r="R143" s="186" t="s">
        <v>239</v>
      </c>
      <c r="T143" s="166" t="s">
        <v>210</v>
      </c>
      <c r="V143" s="21"/>
      <c r="W143" s="21"/>
    </row>
    <row r="144" spans="1:23" ht="8.5" customHeight="1" x14ac:dyDescent="0.15">
      <c r="A144" s="183" t="str">
        <f t="shared" si="15"/>
        <v/>
      </c>
      <c r="B144" s="164">
        <f>IF(OR(D145="Show",Q145="Show"),1,0)</f>
        <v>0</v>
      </c>
      <c r="D144" s="521"/>
      <c r="E144" s="521"/>
      <c r="F144" s="521"/>
      <c r="G144" s="521"/>
      <c r="H144" s="521"/>
      <c r="I144" s="521"/>
      <c r="J144" s="521"/>
      <c r="K144" s="521"/>
      <c r="L144" s="521"/>
      <c r="M144" s="521"/>
      <c r="N144" s="521"/>
      <c r="O144" s="521"/>
      <c r="P144" s="521"/>
      <c r="T144" s="168" t="s">
        <v>207</v>
      </c>
      <c r="V144" s="21"/>
      <c r="W144" s="21"/>
    </row>
    <row r="145" spans="1:23" ht="18" customHeight="1" x14ac:dyDescent="0.15">
      <c r="A145" s="183" t="str">
        <f t="shared" si="15"/>
        <v/>
      </c>
      <c r="B145" s="164">
        <v>0</v>
      </c>
      <c r="D145" s="522" t="s">
        <v>249</v>
      </c>
      <c r="E145" s="522"/>
      <c r="F145" s="522"/>
      <c r="G145" s="522"/>
      <c r="H145" s="522"/>
      <c r="I145" s="522"/>
      <c r="J145" s="522"/>
      <c r="K145" s="522" t="s">
        <v>249</v>
      </c>
      <c r="L145" s="522"/>
      <c r="M145" s="522"/>
      <c r="N145" s="522"/>
      <c r="O145" s="522"/>
      <c r="P145" s="522"/>
      <c r="R145" s="184" t="s">
        <v>250</v>
      </c>
      <c r="T145" s="170" t="s">
        <v>219</v>
      </c>
      <c r="U145" s="146"/>
      <c r="V145" s="164">
        <f>IF(OR(D145="Show",D145="",K145="Show",K145=""),1,0)</f>
        <v>0</v>
      </c>
      <c r="W145" s="164">
        <f>IF(AND(SUM(V:V)&gt;0,OR(D145="",K145="")),1,0)</f>
        <v>0</v>
      </c>
    </row>
    <row r="146" spans="1:23" ht="197.25" customHeight="1" x14ac:dyDescent="0.15">
      <c r="A146" s="183" t="str">
        <f t="shared" si="15"/>
        <v/>
      </c>
      <c r="B146" s="164">
        <f>B144</f>
        <v>0</v>
      </c>
      <c r="D146" s="523"/>
      <c r="E146" s="523"/>
      <c r="F146" s="523"/>
      <c r="G146" s="523"/>
      <c r="H146" s="523"/>
      <c r="I146" s="523"/>
      <c r="J146" s="523"/>
      <c r="K146" s="523"/>
      <c r="L146" s="523"/>
      <c r="M146" s="523"/>
      <c r="N146" s="523"/>
      <c r="O146" s="523"/>
      <c r="P146" s="523"/>
      <c r="R146" s="184" t="s">
        <v>251</v>
      </c>
      <c r="T146" s="170" t="s">
        <v>219</v>
      </c>
      <c r="U146" s="173"/>
      <c r="V146" s="21"/>
      <c r="W146" s="21"/>
    </row>
    <row r="147" spans="1:23" ht="18" customHeight="1" x14ac:dyDescent="0.15">
      <c r="A147" s="183" t="str">
        <f t="shared" si="15"/>
        <v/>
      </c>
      <c r="B147" s="164">
        <f>B146</f>
        <v>0</v>
      </c>
      <c r="D147" s="524"/>
      <c r="E147" s="524"/>
      <c r="F147" s="524"/>
      <c r="G147" s="524"/>
      <c r="H147" s="524"/>
      <c r="I147" s="524"/>
      <c r="J147" s="524"/>
      <c r="K147" s="524"/>
      <c r="L147" s="524"/>
      <c r="M147" s="524"/>
      <c r="N147" s="524"/>
      <c r="O147" s="524"/>
      <c r="P147" s="524"/>
      <c r="R147" s="184" t="s">
        <v>252</v>
      </c>
      <c r="T147" s="170" t="s">
        <v>219</v>
      </c>
      <c r="U147" s="173"/>
      <c r="V147" s="164">
        <f>IF(OR(D145="Show",D145="",K145="Show",K145=""),1,0)</f>
        <v>0</v>
      </c>
      <c r="W147" s="164">
        <f>IF(AND(SUM(V:V)&gt;0,OR(AND(D145="Show",D147=""),AND(K145="Show",K147=""))),1,0)</f>
        <v>0</v>
      </c>
    </row>
    <row r="148" spans="1:23" ht="8.5" customHeight="1" x14ac:dyDescent="0.15">
      <c r="A148" s="183" t="str">
        <f t="shared" si="15"/>
        <v/>
      </c>
      <c r="B148" s="164">
        <f>B147</f>
        <v>0</v>
      </c>
      <c r="D148" s="521"/>
      <c r="E148" s="521"/>
      <c r="F148" s="521"/>
      <c r="G148" s="521"/>
      <c r="H148" s="521"/>
      <c r="I148" s="521"/>
      <c r="J148" s="521"/>
      <c r="K148" s="521"/>
      <c r="L148" s="521"/>
      <c r="M148" s="521"/>
      <c r="N148" s="521"/>
      <c r="O148" s="521"/>
      <c r="P148" s="521"/>
      <c r="T148" s="168" t="s">
        <v>207</v>
      </c>
      <c r="U148" s="150"/>
      <c r="V148" s="21"/>
      <c r="W148" s="21"/>
    </row>
    <row r="149" spans="1:23" x14ac:dyDescent="0.15">
      <c r="A149" s="183" t="str">
        <f t="shared" si="15"/>
        <v/>
      </c>
      <c r="B149" s="164">
        <v>0</v>
      </c>
      <c r="D149" s="520" t="s">
        <v>257</v>
      </c>
      <c r="E149" s="520"/>
      <c r="F149" s="520"/>
      <c r="G149" s="520"/>
      <c r="H149" s="520"/>
      <c r="I149" s="520"/>
      <c r="J149" s="520"/>
      <c r="K149" s="520"/>
      <c r="L149" s="520"/>
      <c r="M149" s="520"/>
      <c r="N149" s="520"/>
      <c r="O149" s="520"/>
      <c r="P149" s="520"/>
      <c r="R149" s="186" t="s">
        <v>239</v>
      </c>
      <c r="T149" s="166" t="s">
        <v>210</v>
      </c>
      <c r="U149" s="146"/>
      <c r="V149" s="21"/>
      <c r="W149" s="21"/>
    </row>
    <row r="150" spans="1:23" s="153" customFormat="1" ht="29" customHeight="1" x14ac:dyDescent="0.2">
      <c r="A150" s="183" t="str">
        <f t="shared" si="0"/>
        <v>X</v>
      </c>
      <c r="B150" s="182"/>
      <c r="C150" s="152"/>
      <c r="D150" s="532" t="s">
        <v>231</v>
      </c>
      <c r="E150" s="532"/>
      <c r="F150" s="535"/>
      <c r="G150" s="535"/>
      <c r="H150" s="535"/>
      <c r="I150" s="535"/>
      <c r="J150" s="535"/>
      <c r="K150" s="535"/>
      <c r="L150" s="535"/>
      <c r="M150" s="535"/>
      <c r="N150" s="535"/>
      <c r="O150" s="535"/>
      <c r="P150" s="535"/>
      <c r="R150" s="184" t="s">
        <v>237</v>
      </c>
      <c r="T150" s="170" t="s">
        <v>219</v>
      </c>
      <c r="U150" s="175"/>
      <c r="V150" s="164">
        <f t="shared" si="11"/>
        <v>0</v>
      </c>
      <c r="W150" s="164">
        <f>IF(AND(SUM(V:V)&gt;0,B150=""),1,0)</f>
        <v>1</v>
      </c>
    </row>
    <row r="151" spans="1:23" s="153" customFormat="1" ht="20.5" customHeight="1" x14ac:dyDescent="0.2">
      <c r="A151" s="183" t="str">
        <f t="shared" si="0"/>
        <v>X</v>
      </c>
      <c r="B151" s="182"/>
      <c r="C151" s="152"/>
      <c r="D151" s="189" t="s">
        <v>241</v>
      </c>
      <c r="E151" s="532" t="s">
        <v>232</v>
      </c>
      <c r="F151" s="532"/>
      <c r="G151" s="532"/>
      <c r="H151" s="532"/>
      <c r="I151" s="532"/>
      <c r="J151" s="532"/>
      <c r="K151" s="532"/>
      <c r="L151" s="532"/>
      <c r="M151" s="532"/>
      <c r="N151" s="532"/>
      <c r="O151" s="532"/>
      <c r="P151" s="532"/>
      <c r="R151" s="184" t="s">
        <v>237</v>
      </c>
      <c r="T151" s="170" t="s">
        <v>219</v>
      </c>
      <c r="U151" s="175"/>
      <c r="V151" s="164">
        <f t="shared" si="11"/>
        <v>0</v>
      </c>
      <c r="W151" s="164">
        <f>IF(AND(SUM(V:V)&gt;0,B151=""),1,0)</f>
        <v>1</v>
      </c>
    </row>
    <row r="152" spans="1:23" s="153" customFormat="1" ht="20.5" customHeight="1" x14ac:dyDescent="0.2">
      <c r="A152" s="183" t="str">
        <f t="shared" si="0"/>
        <v>X</v>
      </c>
      <c r="B152" s="182"/>
      <c r="C152" s="152"/>
      <c r="D152" s="189" t="s">
        <v>241</v>
      </c>
      <c r="E152" s="532" t="s">
        <v>233</v>
      </c>
      <c r="F152" s="532"/>
      <c r="G152" s="532"/>
      <c r="H152" s="532"/>
      <c r="I152" s="532"/>
      <c r="J152" s="532"/>
      <c r="K152" s="532"/>
      <c r="L152" s="532"/>
      <c r="M152" s="532"/>
      <c r="N152" s="532"/>
      <c r="O152" s="532"/>
      <c r="P152" s="532"/>
      <c r="R152" s="184" t="s">
        <v>237</v>
      </c>
      <c r="T152" s="170" t="s">
        <v>219</v>
      </c>
      <c r="U152" s="175"/>
      <c r="V152" s="164">
        <f t="shared" si="11"/>
        <v>0</v>
      </c>
      <c r="W152" s="164">
        <f>IF(AND(SUM(V:V)&gt;0,B152=""),1,0)</f>
        <v>1</v>
      </c>
    </row>
    <row r="153" spans="1:23" s="153" customFormat="1" ht="20.5" customHeight="1" x14ac:dyDescent="0.2">
      <c r="A153" s="183" t="str">
        <f t="shared" si="0"/>
        <v>X</v>
      </c>
      <c r="B153" s="182"/>
      <c r="C153" s="152"/>
      <c r="D153" s="189" t="s">
        <v>241</v>
      </c>
      <c r="E153" s="532" t="s">
        <v>234</v>
      </c>
      <c r="F153" s="532"/>
      <c r="G153" s="532"/>
      <c r="H153" s="532"/>
      <c r="I153" s="532"/>
      <c r="J153" s="532"/>
      <c r="K153" s="532"/>
      <c r="L153" s="532"/>
      <c r="M153" s="532"/>
      <c r="N153" s="532"/>
      <c r="O153" s="532"/>
      <c r="P153" s="532"/>
      <c r="R153" s="184" t="s">
        <v>237</v>
      </c>
      <c r="T153" s="170" t="s">
        <v>219</v>
      </c>
      <c r="U153" s="175"/>
      <c r="V153" s="164">
        <f t="shared" si="11"/>
        <v>0</v>
      </c>
      <c r="W153" s="164">
        <f>IF(AND(SUM(V:V)&gt;0,B153=""),1,0)</f>
        <v>1</v>
      </c>
    </row>
    <row r="154" spans="1:23" s="153" customFormat="1" ht="20.5" customHeight="1" x14ac:dyDescent="0.2">
      <c r="A154" s="183" t="str">
        <f t="shared" si="0"/>
        <v/>
      </c>
      <c r="B154" s="164">
        <v>0</v>
      </c>
      <c r="C154" s="152"/>
      <c r="D154" s="189" t="s">
        <v>241</v>
      </c>
      <c r="E154" s="532" t="s">
        <v>223</v>
      </c>
      <c r="F154" s="532"/>
      <c r="G154" s="532"/>
      <c r="H154" s="532"/>
      <c r="I154" s="532"/>
      <c r="J154" s="532"/>
      <c r="K154" s="532"/>
      <c r="L154" s="532"/>
      <c r="M154" s="532"/>
      <c r="N154" s="532"/>
      <c r="O154" s="532"/>
      <c r="P154" s="532"/>
      <c r="R154" s="186" t="s">
        <v>239</v>
      </c>
      <c r="T154" s="166" t="s">
        <v>210</v>
      </c>
      <c r="U154" s="146"/>
      <c r="V154" s="21"/>
      <c r="W154" s="21"/>
    </row>
    <row r="155" spans="1:23" ht="18.5" customHeight="1" x14ac:dyDescent="0.2">
      <c r="A155" s="183" t="str">
        <f t="shared" si="0"/>
        <v>X</v>
      </c>
      <c r="B155" s="182"/>
      <c r="D155" s="189" t="s">
        <v>241</v>
      </c>
      <c r="E155" s="546"/>
      <c r="F155" s="546"/>
      <c r="G155" s="546"/>
      <c r="H155" s="546"/>
      <c r="I155" s="546"/>
      <c r="J155" s="546"/>
      <c r="K155" s="546"/>
      <c r="L155" s="546"/>
      <c r="M155" s="546"/>
      <c r="N155" s="546"/>
      <c r="O155" s="546"/>
      <c r="P155" s="546"/>
      <c r="R155" s="184" t="s">
        <v>228</v>
      </c>
      <c r="T155" s="170" t="s">
        <v>219</v>
      </c>
      <c r="U155" s="175"/>
      <c r="V155" s="164">
        <f>IF(B155&lt;&gt;"",1,0)</f>
        <v>0</v>
      </c>
      <c r="W155" s="164">
        <f>IF(AND(SUM(V:V)&gt;0,OR(AND(B155=1,E155=""),AND(B155="",E155=""),AND(B155="",E155&lt;&gt;""),AND(B155=0,E155&lt;&gt;""))),1,0)</f>
        <v>1</v>
      </c>
    </row>
    <row r="156" spans="1:23" ht="18.5" customHeight="1" x14ac:dyDescent="0.2">
      <c r="A156" s="183" t="str">
        <f t="shared" si="0"/>
        <v>X</v>
      </c>
      <c r="B156" s="182"/>
      <c r="D156" s="189" t="s">
        <v>241</v>
      </c>
      <c r="E156" s="546"/>
      <c r="F156" s="546"/>
      <c r="G156" s="546"/>
      <c r="H156" s="546"/>
      <c r="I156" s="546"/>
      <c r="J156" s="546"/>
      <c r="K156" s="546"/>
      <c r="L156" s="546"/>
      <c r="M156" s="546"/>
      <c r="N156" s="546"/>
      <c r="O156" s="546"/>
      <c r="P156" s="546"/>
      <c r="R156" s="184" t="s">
        <v>228</v>
      </c>
      <c r="T156" s="170" t="s">
        <v>219</v>
      </c>
      <c r="U156" s="175"/>
      <c r="V156" s="164">
        <f>IF(B156&lt;&gt;"",1,0)</f>
        <v>0</v>
      </c>
      <c r="W156" s="164">
        <f>IF(AND(SUM(V:V)&gt;0,OR(AND(B156=1,E156=""),AND(B156="",E156=""),AND(B156="",E156&lt;&gt;""),AND(B156=0,E156&lt;&gt;""))),1,0)</f>
        <v>1</v>
      </c>
    </row>
    <row r="157" spans="1:23" ht="18.5" customHeight="1" x14ac:dyDescent="0.2">
      <c r="A157" s="183" t="str">
        <f t="shared" si="0"/>
        <v>X</v>
      </c>
      <c r="B157" s="182"/>
      <c r="D157" s="189" t="s">
        <v>241</v>
      </c>
      <c r="E157" s="546"/>
      <c r="F157" s="546"/>
      <c r="G157" s="546"/>
      <c r="H157" s="546"/>
      <c r="I157" s="546"/>
      <c r="J157" s="546"/>
      <c r="K157" s="546"/>
      <c r="L157" s="546"/>
      <c r="M157" s="546"/>
      <c r="N157" s="546"/>
      <c r="O157" s="546"/>
      <c r="P157" s="546"/>
      <c r="R157" s="184" t="s">
        <v>228</v>
      </c>
      <c r="T157" s="170" t="s">
        <v>219</v>
      </c>
      <c r="U157" s="176"/>
      <c r="V157" s="164">
        <f>IF(B157&lt;&gt;"",1,0)</f>
        <v>0</v>
      </c>
      <c r="W157" s="164">
        <f>IF(AND(SUM(V:V)&gt;0,OR(AND(B157=1,E157=""),AND(B157="",E157=""),AND(B157="",E157&lt;&gt;""),AND(B157=0,E157&lt;&gt;""))),1,0)</f>
        <v>1</v>
      </c>
    </row>
    <row r="158" spans="1:23" x14ac:dyDescent="0.15">
      <c r="A158" s="183" t="str">
        <f t="shared" si="0"/>
        <v/>
      </c>
      <c r="B158" s="164">
        <v>0</v>
      </c>
      <c r="D158" s="519" t="s">
        <v>247</v>
      </c>
      <c r="E158" s="519"/>
      <c r="F158" s="519"/>
      <c r="G158" s="519"/>
      <c r="H158" s="519"/>
      <c r="I158" s="519"/>
      <c r="J158" s="519"/>
      <c r="K158" s="519"/>
      <c r="L158" s="519"/>
      <c r="M158" s="519"/>
      <c r="N158" s="519"/>
      <c r="O158" s="519"/>
      <c r="P158" s="519"/>
      <c r="R158" s="186" t="s">
        <v>239</v>
      </c>
      <c r="T158" s="166" t="s">
        <v>210</v>
      </c>
      <c r="V158" s="21"/>
      <c r="W158" s="21"/>
    </row>
    <row r="159" spans="1:23" x14ac:dyDescent="0.15">
      <c r="A159" s="183" t="str">
        <f t="shared" si="0"/>
        <v/>
      </c>
      <c r="B159" s="164">
        <v>0</v>
      </c>
      <c r="D159" s="520" t="s">
        <v>248</v>
      </c>
      <c r="E159" s="520"/>
      <c r="F159" s="520"/>
      <c r="G159" s="520"/>
      <c r="H159" s="520"/>
      <c r="I159" s="520"/>
      <c r="J159" s="520"/>
      <c r="K159" s="520"/>
      <c r="L159" s="520"/>
      <c r="M159" s="520"/>
      <c r="N159" s="520"/>
      <c r="O159" s="520"/>
      <c r="P159" s="520"/>
      <c r="R159" s="186" t="s">
        <v>239</v>
      </c>
      <c r="T159" s="166" t="s">
        <v>210</v>
      </c>
      <c r="V159" s="21"/>
      <c r="W159" s="21"/>
    </row>
    <row r="160" spans="1:23" ht="8.5" customHeight="1" x14ac:dyDescent="0.15">
      <c r="A160" s="183" t="str">
        <f t="shared" si="0"/>
        <v/>
      </c>
      <c r="B160" s="164">
        <f>IF(OR(D161="Show",Q161="Show"),1,0)</f>
        <v>0</v>
      </c>
      <c r="D160" s="521"/>
      <c r="E160" s="521"/>
      <c r="F160" s="521"/>
      <c r="G160" s="521"/>
      <c r="H160" s="521"/>
      <c r="I160" s="521"/>
      <c r="J160" s="521"/>
      <c r="K160" s="521"/>
      <c r="L160" s="521"/>
      <c r="M160" s="521"/>
      <c r="N160" s="521"/>
      <c r="O160" s="521"/>
      <c r="P160" s="521"/>
      <c r="T160" s="168" t="s">
        <v>207</v>
      </c>
      <c r="V160" s="21"/>
      <c r="W160" s="21"/>
    </row>
    <row r="161" spans="1:23" ht="18" customHeight="1" x14ac:dyDescent="0.15">
      <c r="A161" s="183" t="str">
        <f t="shared" si="0"/>
        <v/>
      </c>
      <c r="B161" s="164">
        <v>0</v>
      </c>
      <c r="D161" s="522" t="s">
        <v>249</v>
      </c>
      <c r="E161" s="522"/>
      <c r="F161" s="522"/>
      <c r="G161" s="522"/>
      <c r="H161" s="522"/>
      <c r="I161" s="522"/>
      <c r="J161" s="522"/>
      <c r="K161" s="522" t="s">
        <v>249</v>
      </c>
      <c r="L161" s="522"/>
      <c r="M161" s="522"/>
      <c r="N161" s="522"/>
      <c r="O161" s="522"/>
      <c r="P161" s="522"/>
      <c r="R161" s="184" t="s">
        <v>250</v>
      </c>
      <c r="T161" s="170" t="s">
        <v>219</v>
      </c>
      <c r="U161" s="146"/>
      <c r="V161" s="164">
        <f>IF(OR(D161="Show",D161="",K161="Show",K161=""),1,0)</f>
        <v>0</v>
      </c>
      <c r="W161" s="164">
        <f>IF(AND(SUM(V:V)&gt;0,OR(D161="",K161="")),1,0)</f>
        <v>0</v>
      </c>
    </row>
    <row r="162" spans="1:23" ht="197.25" customHeight="1" x14ac:dyDescent="0.15">
      <c r="A162" s="183" t="str">
        <f t="shared" si="0"/>
        <v/>
      </c>
      <c r="B162" s="164">
        <f>B160</f>
        <v>0</v>
      </c>
      <c r="D162" s="523"/>
      <c r="E162" s="523"/>
      <c r="F162" s="523"/>
      <c r="G162" s="523"/>
      <c r="H162" s="523"/>
      <c r="I162" s="523"/>
      <c r="J162" s="523"/>
      <c r="K162" s="523"/>
      <c r="L162" s="523"/>
      <c r="M162" s="523"/>
      <c r="N162" s="523"/>
      <c r="O162" s="523"/>
      <c r="P162" s="523"/>
      <c r="R162" s="184" t="s">
        <v>251</v>
      </c>
      <c r="T162" s="170" t="s">
        <v>219</v>
      </c>
      <c r="U162" s="173"/>
      <c r="V162" s="21"/>
      <c r="W162" s="21"/>
    </row>
    <row r="163" spans="1:23" ht="18" customHeight="1" x14ac:dyDescent="0.15">
      <c r="A163" s="183" t="str">
        <f t="shared" si="0"/>
        <v/>
      </c>
      <c r="B163" s="164">
        <f>B162</f>
        <v>0</v>
      </c>
      <c r="D163" s="524"/>
      <c r="E163" s="524"/>
      <c r="F163" s="524"/>
      <c r="G163" s="524"/>
      <c r="H163" s="524"/>
      <c r="I163" s="524"/>
      <c r="J163" s="524"/>
      <c r="K163" s="524"/>
      <c r="L163" s="524"/>
      <c r="M163" s="524"/>
      <c r="N163" s="524"/>
      <c r="O163" s="524"/>
      <c r="P163" s="524"/>
      <c r="R163" s="184" t="s">
        <v>252</v>
      </c>
      <c r="T163" s="170" t="s">
        <v>219</v>
      </c>
      <c r="U163" s="173"/>
      <c r="V163" s="164">
        <f>IF(OR(D161="Show",D161="",K161="Show",K161=""),1,0)</f>
        <v>0</v>
      </c>
      <c r="W163" s="164">
        <f>IF(AND(SUM(V:V)&gt;0,OR(AND(D161="Show",D163=""),AND(K161="Show",K163=""))),1,0)</f>
        <v>0</v>
      </c>
    </row>
    <row r="164" spans="1:23" ht="8.5" customHeight="1" x14ac:dyDescent="0.15">
      <c r="A164" s="183" t="str">
        <f t="shared" si="0"/>
        <v/>
      </c>
      <c r="B164" s="164">
        <f>B163</f>
        <v>0</v>
      </c>
      <c r="D164" s="521"/>
      <c r="E164" s="521"/>
      <c r="F164" s="521"/>
      <c r="G164" s="521"/>
      <c r="H164" s="521"/>
      <c r="I164" s="521"/>
      <c r="J164" s="521"/>
      <c r="K164" s="521"/>
      <c r="L164" s="521"/>
      <c r="M164" s="521"/>
      <c r="N164" s="521"/>
      <c r="O164" s="521"/>
      <c r="P164" s="521"/>
      <c r="T164" s="168" t="s">
        <v>207</v>
      </c>
      <c r="U164" s="150"/>
      <c r="V164" s="21"/>
      <c r="W164" s="21"/>
    </row>
    <row r="165" spans="1:23" x14ac:dyDescent="0.15">
      <c r="A165" s="183" t="str">
        <f t="shared" si="0"/>
        <v/>
      </c>
      <c r="B165" s="164">
        <v>0</v>
      </c>
      <c r="D165" s="520" t="s">
        <v>253</v>
      </c>
      <c r="E165" s="520"/>
      <c r="F165" s="520"/>
      <c r="G165" s="520"/>
      <c r="H165" s="520"/>
      <c r="I165" s="520"/>
      <c r="J165" s="520"/>
      <c r="K165" s="520"/>
      <c r="L165" s="520"/>
      <c r="M165" s="520"/>
      <c r="N165" s="520"/>
      <c r="O165" s="520"/>
      <c r="P165" s="520"/>
      <c r="R165" s="186" t="s">
        <v>239</v>
      </c>
      <c r="T165" s="166" t="s">
        <v>210</v>
      </c>
      <c r="U165" s="146"/>
      <c r="V165" s="21"/>
      <c r="W165" s="21"/>
    </row>
    <row r="166" spans="1:23" x14ac:dyDescent="0.15">
      <c r="A166" s="183" t="str">
        <f t="shared" si="0"/>
        <v/>
      </c>
      <c r="B166" s="164">
        <v>0</v>
      </c>
      <c r="D166" s="520" t="s">
        <v>254</v>
      </c>
      <c r="E166" s="520"/>
      <c r="F166" s="520"/>
      <c r="G166" s="520"/>
      <c r="H166" s="520"/>
      <c r="I166" s="520"/>
      <c r="J166" s="520"/>
      <c r="K166" s="520"/>
      <c r="L166" s="520"/>
      <c r="M166" s="520"/>
      <c r="N166" s="520"/>
      <c r="O166" s="520"/>
      <c r="P166" s="520"/>
      <c r="R166" s="186" t="s">
        <v>239</v>
      </c>
      <c r="T166" s="166" t="s">
        <v>210</v>
      </c>
      <c r="V166" s="21"/>
      <c r="W166" s="21"/>
    </row>
    <row r="167" spans="1:23" ht="8.5" customHeight="1" x14ac:dyDescent="0.15">
      <c r="A167" s="183" t="str">
        <f t="shared" si="0"/>
        <v/>
      </c>
      <c r="B167" s="164">
        <f>IF(OR(D168="Show",Q168="Show"),1,0)</f>
        <v>0</v>
      </c>
      <c r="D167" s="521"/>
      <c r="E167" s="521"/>
      <c r="F167" s="521"/>
      <c r="G167" s="521"/>
      <c r="H167" s="521"/>
      <c r="I167" s="521"/>
      <c r="J167" s="521"/>
      <c r="K167" s="521"/>
      <c r="L167" s="521"/>
      <c r="M167" s="521"/>
      <c r="N167" s="521"/>
      <c r="O167" s="521"/>
      <c r="P167" s="521"/>
      <c r="T167" s="168" t="s">
        <v>207</v>
      </c>
      <c r="V167" s="21"/>
      <c r="W167" s="21"/>
    </row>
    <row r="168" spans="1:23" ht="18" customHeight="1" x14ac:dyDescent="0.15">
      <c r="A168" s="183" t="str">
        <f t="shared" si="0"/>
        <v/>
      </c>
      <c r="B168" s="164">
        <v>0</v>
      </c>
      <c r="D168" s="522" t="s">
        <v>249</v>
      </c>
      <c r="E168" s="522"/>
      <c r="F168" s="522"/>
      <c r="G168" s="522"/>
      <c r="H168" s="522"/>
      <c r="I168" s="522"/>
      <c r="J168" s="522"/>
      <c r="K168" s="522" t="s">
        <v>249</v>
      </c>
      <c r="L168" s="522"/>
      <c r="M168" s="522"/>
      <c r="N168" s="522"/>
      <c r="O168" s="522"/>
      <c r="P168" s="522"/>
      <c r="R168" s="184" t="s">
        <v>250</v>
      </c>
      <c r="T168" s="170" t="s">
        <v>219</v>
      </c>
      <c r="U168" s="146"/>
      <c r="V168" s="164">
        <f>IF(OR(D168="Show",D168="",K168="Show",K168=""),1,0)</f>
        <v>0</v>
      </c>
      <c r="W168" s="164">
        <f>IF(AND(SUM(V:V)&gt;0,OR(D168="",K168="")),1,0)</f>
        <v>0</v>
      </c>
    </row>
    <row r="169" spans="1:23" ht="197.25" customHeight="1" x14ac:dyDescent="0.15">
      <c r="A169" s="183" t="str">
        <f t="shared" si="0"/>
        <v/>
      </c>
      <c r="B169" s="164">
        <f>B167</f>
        <v>0</v>
      </c>
      <c r="D169" s="523"/>
      <c r="E169" s="523"/>
      <c r="F169" s="523"/>
      <c r="G169" s="523"/>
      <c r="H169" s="523"/>
      <c r="I169" s="523"/>
      <c r="J169" s="523"/>
      <c r="K169" s="523"/>
      <c r="L169" s="523"/>
      <c r="M169" s="523"/>
      <c r="N169" s="523"/>
      <c r="O169" s="523"/>
      <c r="P169" s="523"/>
      <c r="R169" s="184" t="s">
        <v>251</v>
      </c>
      <c r="T169" s="170" t="s">
        <v>219</v>
      </c>
      <c r="U169" s="173"/>
      <c r="V169" s="21"/>
      <c r="W169" s="21"/>
    </row>
    <row r="170" spans="1:23" ht="18" customHeight="1" x14ac:dyDescent="0.15">
      <c r="A170" s="183" t="str">
        <f t="shared" si="0"/>
        <v/>
      </c>
      <c r="B170" s="164">
        <f>B169</f>
        <v>0</v>
      </c>
      <c r="D170" s="524"/>
      <c r="E170" s="524"/>
      <c r="F170" s="524"/>
      <c r="G170" s="524"/>
      <c r="H170" s="524"/>
      <c r="I170" s="524"/>
      <c r="J170" s="524"/>
      <c r="K170" s="524"/>
      <c r="L170" s="524"/>
      <c r="M170" s="524"/>
      <c r="N170" s="524"/>
      <c r="O170" s="524"/>
      <c r="P170" s="524"/>
      <c r="R170" s="184" t="s">
        <v>252</v>
      </c>
      <c r="T170" s="170" t="s">
        <v>219</v>
      </c>
      <c r="U170" s="173"/>
      <c r="V170" s="164">
        <f>IF(OR(D168="Show",D168="",K168="Show",K168=""),1,0)</f>
        <v>0</v>
      </c>
      <c r="W170" s="164">
        <f>IF(AND(SUM(V:V)&gt;0,OR(AND(D168="Show",D170=""),AND(K168="Show",K170=""))),1,0)</f>
        <v>0</v>
      </c>
    </row>
    <row r="171" spans="1:23" ht="8.5" customHeight="1" x14ac:dyDescent="0.15">
      <c r="A171" s="183" t="str">
        <f t="shared" si="0"/>
        <v/>
      </c>
      <c r="B171" s="164">
        <f>B170</f>
        <v>0</v>
      </c>
      <c r="D171" s="521"/>
      <c r="E171" s="521"/>
      <c r="F171" s="521"/>
      <c r="G171" s="521"/>
      <c r="H171" s="521"/>
      <c r="I171" s="521"/>
      <c r="J171" s="521"/>
      <c r="K171" s="521"/>
      <c r="L171" s="521"/>
      <c r="M171" s="521"/>
      <c r="N171" s="521"/>
      <c r="O171" s="521"/>
      <c r="P171" s="521"/>
      <c r="T171" s="168" t="s">
        <v>207</v>
      </c>
      <c r="U171" s="150"/>
      <c r="V171" s="21"/>
      <c r="W171" s="21"/>
    </row>
    <row r="172" spans="1:23" x14ac:dyDescent="0.15">
      <c r="A172" s="183" t="str">
        <f t="shared" si="0"/>
        <v/>
      </c>
      <c r="B172" s="164">
        <v>0</v>
      </c>
      <c r="D172" s="520" t="s">
        <v>255</v>
      </c>
      <c r="E172" s="520"/>
      <c r="F172" s="520"/>
      <c r="G172" s="520"/>
      <c r="H172" s="520"/>
      <c r="I172" s="520"/>
      <c r="J172" s="520"/>
      <c r="K172" s="520"/>
      <c r="L172" s="520"/>
      <c r="M172" s="520"/>
      <c r="N172" s="520"/>
      <c r="O172" s="520"/>
      <c r="P172" s="520"/>
      <c r="R172" s="186" t="s">
        <v>239</v>
      </c>
      <c r="T172" s="166" t="s">
        <v>210</v>
      </c>
      <c r="U172" s="146"/>
      <c r="V172" s="21"/>
      <c r="W172" s="21"/>
    </row>
    <row r="173" spans="1:23" x14ac:dyDescent="0.15">
      <c r="A173" s="183" t="str">
        <f t="shared" si="0"/>
        <v/>
      </c>
      <c r="B173" s="164">
        <v>0</v>
      </c>
      <c r="D173" s="520" t="s">
        <v>256</v>
      </c>
      <c r="E173" s="520"/>
      <c r="F173" s="520"/>
      <c r="G173" s="520"/>
      <c r="H173" s="520"/>
      <c r="I173" s="520"/>
      <c r="J173" s="520"/>
      <c r="K173" s="520"/>
      <c r="L173" s="520"/>
      <c r="M173" s="520"/>
      <c r="N173" s="520"/>
      <c r="O173" s="520"/>
      <c r="P173" s="520"/>
      <c r="R173" s="186" t="s">
        <v>239</v>
      </c>
      <c r="T173" s="166" t="s">
        <v>210</v>
      </c>
      <c r="V173" s="21"/>
      <c r="W173" s="21"/>
    </row>
    <row r="174" spans="1:23" ht="8.5" customHeight="1" x14ac:dyDescent="0.15">
      <c r="A174" s="183" t="str">
        <f t="shared" si="0"/>
        <v/>
      </c>
      <c r="B174" s="164">
        <f>IF(OR(D175="Show",Q175="Show"),1,0)</f>
        <v>0</v>
      </c>
      <c r="D174" s="521"/>
      <c r="E174" s="521"/>
      <c r="F174" s="521"/>
      <c r="G174" s="521"/>
      <c r="H174" s="521"/>
      <c r="I174" s="521"/>
      <c r="J174" s="521"/>
      <c r="K174" s="521"/>
      <c r="L174" s="521"/>
      <c r="M174" s="521"/>
      <c r="N174" s="521"/>
      <c r="O174" s="521"/>
      <c r="P174" s="521"/>
      <c r="T174" s="168" t="s">
        <v>207</v>
      </c>
      <c r="V174" s="21"/>
      <c r="W174" s="21"/>
    </row>
    <row r="175" spans="1:23" ht="18" customHeight="1" x14ac:dyDescent="0.15">
      <c r="A175" s="183" t="str">
        <f t="shared" si="0"/>
        <v/>
      </c>
      <c r="B175" s="164">
        <v>0</v>
      </c>
      <c r="D175" s="522" t="s">
        <v>249</v>
      </c>
      <c r="E175" s="522"/>
      <c r="F175" s="522"/>
      <c r="G175" s="522"/>
      <c r="H175" s="522"/>
      <c r="I175" s="522"/>
      <c r="J175" s="522"/>
      <c r="K175" s="522" t="s">
        <v>249</v>
      </c>
      <c r="L175" s="522"/>
      <c r="M175" s="522"/>
      <c r="N175" s="522"/>
      <c r="O175" s="522"/>
      <c r="P175" s="522"/>
      <c r="R175" s="184" t="s">
        <v>250</v>
      </c>
      <c r="T175" s="170" t="s">
        <v>219</v>
      </c>
      <c r="U175" s="146"/>
      <c r="V175" s="164">
        <f>IF(OR(D175="Show",D175="",K175="Show",K175=""),1,0)</f>
        <v>0</v>
      </c>
      <c r="W175" s="164">
        <f>IF(AND(SUM(V:V)&gt;0,OR(D175="",K175="")),1,0)</f>
        <v>0</v>
      </c>
    </row>
    <row r="176" spans="1:23" ht="197.25" customHeight="1" x14ac:dyDescent="0.15">
      <c r="A176" s="183" t="str">
        <f t="shared" si="0"/>
        <v/>
      </c>
      <c r="B176" s="164">
        <f>B174</f>
        <v>0</v>
      </c>
      <c r="D176" s="523"/>
      <c r="E176" s="523"/>
      <c r="F176" s="523"/>
      <c r="G176" s="523"/>
      <c r="H176" s="523"/>
      <c r="I176" s="523"/>
      <c r="J176" s="523"/>
      <c r="K176" s="523"/>
      <c r="L176" s="523"/>
      <c r="M176" s="523"/>
      <c r="N176" s="523"/>
      <c r="O176" s="523"/>
      <c r="P176" s="523"/>
      <c r="R176" s="184" t="s">
        <v>251</v>
      </c>
      <c r="T176" s="170" t="s">
        <v>219</v>
      </c>
      <c r="U176" s="173"/>
      <c r="V176" s="21"/>
      <c r="W176" s="21"/>
    </row>
    <row r="177" spans="1:23" ht="18" customHeight="1" x14ac:dyDescent="0.15">
      <c r="A177" s="183" t="str">
        <f t="shared" si="0"/>
        <v/>
      </c>
      <c r="B177" s="164">
        <f>B176</f>
        <v>0</v>
      </c>
      <c r="D177" s="524"/>
      <c r="E177" s="524"/>
      <c r="F177" s="524"/>
      <c r="G177" s="524"/>
      <c r="H177" s="524"/>
      <c r="I177" s="524"/>
      <c r="J177" s="524"/>
      <c r="K177" s="524"/>
      <c r="L177" s="524"/>
      <c r="M177" s="524"/>
      <c r="N177" s="524"/>
      <c r="O177" s="524"/>
      <c r="P177" s="524"/>
      <c r="R177" s="184" t="s">
        <v>252</v>
      </c>
      <c r="T177" s="170" t="s">
        <v>219</v>
      </c>
      <c r="U177" s="173"/>
      <c r="V177" s="164">
        <f>IF(OR(D175="Show",D175="",K175="Show",K175=""),1,0)</f>
        <v>0</v>
      </c>
      <c r="W177" s="164">
        <f>IF(AND(SUM(V:V)&gt;0,OR(AND(D175="Show",D177=""),AND(K175="Show",K177=""))),1,0)</f>
        <v>0</v>
      </c>
    </row>
    <row r="178" spans="1:23" ht="8.5" customHeight="1" x14ac:dyDescent="0.15">
      <c r="A178" s="183" t="str">
        <f t="shared" si="0"/>
        <v/>
      </c>
      <c r="B178" s="164">
        <f>B177</f>
        <v>0</v>
      </c>
      <c r="D178" s="521"/>
      <c r="E178" s="521"/>
      <c r="F178" s="521"/>
      <c r="G178" s="521"/>
      <c r="H178" s="521"/>
      <c r="I178" s="521"/>
      <c r="J178" s="521"/>
      <c r="K178" s="521"/>
      <c r="L178" s="521"/>
      <c r="M178" s="521"/>
      <c r="N178" s="521"/>
      <c r="O178" s="521"/>
      <c r="P178" s="521"/>
      <c r="T178" s="168" t="s">
        <v>207</v>
      </c>
      <c r="U178" s="150"/>
      <c r="V178" s="21"/>
      <c r="W178" s="21"/>
    </row>
    <row r="179" spans="1:23" x14ac:dyDescent="0.15">
      <c r="A179" s="183" t="str">
        <f t="shared" si="0"/>
        <v/>
      </c>
      <c r="B179" s="164">
        <v>0</v>
      </c>
      <c r="D179" s="520" t="s">
        <v>257</v>
      </c>
      <c r="E179" s="520"/>
      <c r="F179" s="520"/>
      <c r="G179" s="520"/>
      <c r="H179" s="520"/>
      <c r="I179" s="520"/>
      <c r="J179" s="520"/>
      <c r="K179" s="520"/>
      <c r="L179" s="520"/>
      <c r="M179" s="520"/>
      <c r="N179" s="520"/>
      <c r="O179" s="520"/>
      <c r="P179" s="520"/>
      <c r="R179" s="186" t="s">
        <v>239</v>
      </c>
      <c r="T179" s="166" t="s">
        <v>210</v>
      </c>
      <c r="U179" s="146"/>
      <c r="V179" s="21"/>
      <c r="W179" s="21"/>
    </row>
    <row r="180" spans="1:23" s="153" customFormat="1" ht="31" customHeight="1" x14ac:dyDescent="0.15">
      <c r="A180" s="183" t="str">
        <f t="shared" si="0"/>
        <v/>
      </c>
      <c r="B180" s="164">
        <f>B43</f>
        <v>0</v>
      </c>
      <c r="C180" s="152"/>
      <c r="D180" s="514" t="s">
        <v>220</v>
      </c>
      <c r="E180" s="514"/>
      <c r="F180" s="514"/>
      <c r="G180" s="514"/>
      <c r="H180" s="514"/>
      <c r="I180" s="514"/>
      <c r="J180" s="514"/>
      <c r="K180" s="514"/>
      <c r="L180" s="514"/>
      <c r="M180" s="514"/>
      <c r="N180" s="514"/>
      <c r="O180" s="514"/>
      <c r="P180" s="514"/>
      <c r="R180" s="186" t="s">
        <v>243</v>
      </c>
      <c r="T180" s="170" t="s">
        <v>219</v>
      </c>
      <c r="U180" s="176"/>
      <c r="V180" s="21"/>
      <c r="W180" s="21"/>
    </row>
    <row r="181" spans="1:23" s="153" customFormat="1" ht="21" customHeight="1" x14ac:dyDescent="0.2">
      <c r="A181" s="183" t="str">
        <f>IF(W181=1,"X","")</f>
        <v>X</v>
      </c>
      <c r="B181" s="182"/>
      <c r="C181" s="152"/>
      <c r="D181" s="553" t="s">
        <v>213</v>
      </c>
      <c r="E181" s="553"/>
      <c r="F181" s="553"/>
      <c r="G181" s="553"/>
      <c r="H181" s="553"/>
      <c r="I181" s="553"/>
      <c r="J181" s="553"/>
      <c r="K181" s="553"/>
      <c r="L181" s="553"/>
      <c r="M181" s="553"/>
      <c r="N181" s="553"/>
      <c r="O181" s="553"/>
      <c r="P181" s="553"/>
      <c r="R181" s="184" t="s">
        <v>237</v>
      </c>
      <c r="T181" s="170" t="s">
        <v>219</v>
      </c>
      <c r="U181" s="175"/>
      <c r="V181" s="164">
        <f>IF(B181&lt;&gt;"",1,0)</f>
        <v>0</v>
      </c>
      <c r="W181" s="164">
        <f t="shared" ref="W181:W191" si="16">IF(AND(SUM(V:V)&gt;0,B181=""),1,0)</f>
        <v>1</v>
      </c>
    </row>
    <row r="182" spans="1:23" s="154" customFormat="1" ht="18.75" customHeight="1" x14ac:dyDescent="0.2">
      <c r="A182" s="183" t="str">
        <f t="shared" si="0"/>
        <v>X</v>
      </c>
      <c r="B182" s="182"/>
      <c r="C182" s="155"/>
      <c r="D182" s="516" t="s">
        <v>293</v>
      </c>
      <c r="E182" s="516"/>
      <c r="F182" s="549"/>
      <c r="G182" s="549"/>
      <c r="H182" s="549"/>
      <c r="I182" s="549"/>
      <c r="J182" s="549"/>
      <c r="K182" s="549"/>
      <c r="L182" s="549"/>
      <c r="M182" s="549"/>
      <c r="N182" s="549"/>
      <c r="O182" s="549"/>
      <c r="P182" s="549"/>
      <c r="R182" s="184" t="s">
        <v>237</v>
      </c>
      <c r="T182" s="170" t="s">
        <v>219</v>
      </c>
      <c r="U182" s="176"/>
      <c r="V182" s="164">
        <f t="shared" ref="V182:V194" si="17">IF(B182&lt;&gt;"",1,0)</f>
        <v>0</v>
      </c>
      <c r="W182" s="164">
        <f t="shared" si="16"/>
        <v>1</v>
      </c>
    </row>
    <row r="183" spans="1:23" s="154" customFormat="1" ht="18.75" customHeight="1" x14ac:dyDescent="0.2">
      <c r="A183" s="183" t="str">
        <f t="shared" si="0"/>
        <v>X</v>
      </c>
      <c r="B183" s="182"/>
      <c r="C183" s="155"/>
      <c r="D183" s="189" t="s">
        <v>241</v>
      </c>
      <c r="E183" s="188" t="s">
        <v>230</v>
      </c>
      <c r="F183" s="188"/>
      <c r="G183" s="188"/>
      <c r="H183" s="188"/>
      <c r="I183" s="188"/>
      <c r="J183" s="188"/>
      <c r="K183" s="188"/>
      <c r="L183" s="188"/>
      <c r="M183" s="188"/>
      <c r="N183" s="188"/>
      <c r="O183" s="188"/>
      <c r="P183" s="188"/>
      <c r="R183" s="184" t="s">
        <v>237</v>
      </c>
      <c r="T183" s="170" t="s">
        <v>219</v>
      </c>
      <c r="U183" s="176"/>
      <c r="V183" s="164">
        <f t="shared" si="17"/>
        <v>0</v>
      </c>
      <c r="W183" s="164">
        <f t="shared" si="16"/>
        <v>1</v>
      </c>
    </row>
    <row r="184" spans="1:23" s="154" customFormat="1" ht="35.75" customHeight="1" x14ac:dyDescent="0.2">
      <c r="A184" s="183" t="str">
        <f t="shared" si="0"/>
        <v>X</v>
      </c>
      <c r="B184" s="182"/>
      <c r="C184" s="155"/>
      <c r="D184" s="189" t="s">
        <v>241</v>
      </c>
      <c r="E184" s="532" t="s">
        <v>178</v>
      </c>
      <c r="F184" s="532"/>
      <c r="G184" s="532"/>
      <c r="H184" s="532"/>
      <c r="I184" s="532"/>
      <c r="J184" s="532"/>
      <c r="K184" s="532"/>
      <c r="L184" s="532"/>
      <c r="M184" s="532"/>
      <c r="N184" s="532"/>
      <c r="O184" s="532"/>
      <c r="P184" s="532"/>
      <c r="R184" s="184" t="s">
        <v>237</v>
      </c>
      <c r="T184" s="170" t="s">
        <v>219</v>
      </c>
      <c r="U184" s="176"/>
      <c r="V184" s="164">
        <f t="shared" si="17"/>
        <v>0</v>
      </c>
      <c r="W184" s="164">
        <f t="shared" si="16"/>
        <v>1</v>
      </c>
    </row>
    <row r="185" spans="1:23" s="151" customFormat="1" ht="18.5" customHeight="1" x14ac:dyDescent="0.15">
      <c r="A185" s="183" t="str">
        <f t="shared" si="0"/>
        <v>X</v>
      </c>
      <c r="B185" s="182"/>
      <c r="C185" s="156"/>
      <c r="D185" s="189" t="s">
        <v>241</v>
      </c>
      <c r="E185" s="532" t="s">
        <v>242</v>
      </c>
      <c r="F185" s="535"/>
      <c r="G185" s="535"/>
      <c r="H185" s="535"/>
      <c r="I185" s="535"/>
      <c r="J185" s="535"/>
      <c r="K185" s="535"/>
      <c r="L185" s="535"/>
      <c r="M185" s="535"/>
      <c r="N185" s="535"/>
      <c r="O185" s="535"/>
      <c r="P185" s="535"/>
      <c r="R185" s="184" t="s">
        <v>237</v>
      </c>
      <c r="T185" s="170" t="s">
        <v>219</v>
      </c>
      <c r="U185" s="176"/>
      <c r="V185" s="164">
        <f t="shared" si="17"/>
        <v>0</v>
      </c>
      <c r="W185" s="164">
        <f t="shared" si="16"/>
        <v>1</v>
      </c>
    </row>
    <row r="186" spans="1:23" ht="18.5" customHeight="1" x14ac:dyDescent="0.2">
      <c r="A186" s="183" t="str">
        <f t="shared" si="0"/>
        <v>X</v>
      </c>
      <c r="B186" s="182"/>
      <c r="D186" s="534" t="s">
        <v>179</v>
      </c>
      <c r="E186" s="534"/>
      <c r="F186" s="534"/>
      <c r="G186" s="534"/>
      <c r="H186" s="534"/>
      <c r="I186" s="534"/>
      <c r="J186" s="534"/>
      <c r="K186" s="534"/>
      <c r="L186" s="534"/>
      <c r="M186" s="534"/>
      <c r="N186" s="534"/>
      <c r="O186" s="534"/>
      <c r="P186" s="534"/>
      <c r="R186" s="184" t="s">
        <v>237</v>
      </c>
      <c r="T186" s="170" t="s">
        <v>219</v>
      </c>
      <c r="U186" s="177"/>
      <c r="V186" s="164">
        <f t="shared" si="17"/>
        <v>0</v>
      </c>
      <c r="W186" s="164">
        <f t="shared" si="16"/>
        <v>1</v>
      </c>
    </row>
    <row r="187" spans="1:23" ht="18.5" customHeight="1" x14ac:dyDescent="0.15">
      <c r="A187" s="183" t="str">
        <f t="shared" si="0"/>
        <v>X</v>
      </c>
      <c r="B187" s="182"/>
      <c r="D187" s="189" t="s">
        <v>241</v>
      </c>
      <c r="E187" s="516" t="s">
        <v>227</v>
      </c>
      <c r="F187" s="516"/>
      <c r="G187" s="516"/>
      <c r="H187" s="516"/>
      <c r="I187" s="516"/>
      <c r="J187" s="516"/>
      <c r="K187" s="516"/>
      <c r="L187" s="516"/>
      <c r="M187" s="516"/>
      <c r="N187" s="516"/>
      <c r="O187" s="516"/>
      <c r="P187" s="516"/>
      <c r="R187" s="184" t="s">
        <v>237</v>
      </c>
      <c r="T187" s="170" t="s">
        <v>219</v>
      </c>
      <c r="U187" s="146"/>
      <c r="V187" s="164">
        <f t="shared" si="17"/>
        <v>0</v>
      </c>
      <c r="W187" s="164">
        <f t="shared" si="16"/>
        <v>1</v>
      </c>
    </row>
    <row r="188" spans="1:23" ht="18.5" customHeight="1" x14ac:dyDescent="0.15">
      <c r="A188" s="183" t="str">
        <f t="shared" si="0"/>
        <v>X</v>
      </c>
      <c r="B188" s="182"/>
      <c r="D188" s="189" t="s">
        <v>241</v>
      </c>
      <c r="E188" s="516" t="s">
        <v>226</v>
      </c>
      <c r="F188" s="516"/>
      <c r="G188" s="516"/>
      <c r="H188" s="516"/>
      <c r="I188" s="516"/>
      <c r="J188" s="516"/>
      <c r="K188" s="516"/>
      <c r="L188" s="516"/>
      <c r="M188" s="516"/>
      <c r="N188" s="516"/>
      <c r="O188" s="516"/>
      <c r="P188" s="516"/>
      <c r="R188" s="184" t="s">
        <v>237</v>
      </c>
      <c r="T188" s="170" t="s">
        <v>219</v>
      </c>
      <c r="U188" s="146"/>
      <c r="V188" s="164">
        <f t="shared" si="17"/>
        <v>0</v>
      </c>
      <c r="W188" s="164">
        <f t="shared" si="16"/>
        <v>1</v>
      </c>
    </row>
    <row r="189" spans="1:23" ht="18.5" customHeight="1" x14ac:dyDescent="0.15">
      <c r="A189" s="183" t="str">
        <f t="shared" si="0"/>
        <v>X</v>
      </c>
      <c r="B189" s="182"/>
      <c r="D189" s="189" t="s">
        <v>241</v>
      </c>
      <c r="E189" s="516" t="s">
        <v>180</v>
      </c>
      <c r="F189" s="516"/>
      <c r="G189" s="516"/>
      <c r="H189" s="516"/>
      <c r="I189" s="516"/>
      <c r="J189" s="516"/>
      <c r="K189" s="516"/>
      <c r="L189" s="516"/>
      <c r="M189" s="516"/>
      <c r="N189" s="516"/>
      <c r="O189" s="516"/>
      <c r="P189" s="516"/>
      <c r="R189" s="184" t="s">
        <v>237</v>
      </c>
      <c r="T189" s="170" t="s">
        <v>219</v>
      </c>
      <c r="U189" s="146"/>
      <c r="V189" s="164">
        <f t="shared" si="17"/>
        <v>0</v>
      </c>
      <c r="W189" s="164">
        <f t="shared" si="16"/>
        <v>1</v>
      </c>
    </row>
    <row r="190" spans="1:23" ht="18.5" customHeight="1" x14ac:dyDescent="0.15">
      <c r="A190" s="183" t="str">
        <f t="shared" si="0"/>
        <v>X</v>
      </c>
      <c r="B190" s="182"/>
      <c r="D190" s="189" t="s">
        <v>241</v>
      </c>
      <c r="E190" s="516" t="s">
        <v>225</v>
      </c>
      <c r="F190" s="516"/>
      <c r="G190" s="516"/>
      <c r="H190" s="516"/>
      <c r="I190" s="516"/>
      <c r="J190" s="516"/>
      <c r="K190" s="516"/>
      <c r="L190" s="516"/>
      <c r="M190" s="516"/>
      <c r="N190" s="516"/>
      <c r="O190" s="516"/>
      <c r="P190" s="516"/>
      <c r="R190" s="184" t="s">
        <v>237</v>
      </c>
      <c r="T190" s="170" t="s">
        <v>219</v>
      </c>
      <c r="U190" s="146"/>
      <c r="V190" s="164">
        <f t="shared" si="17"/>
        <v>0</v>
      </c>
      <c r="W190" s="164">
        <f t="shared" si="16"/>
        <v>1</v>
      </c>
    </row>
    <row r="191" spans="1:23" ht="18.5" customHeight="1" x14ac:dyDescent="0.15">
      <c r="A191" s="183" t="str">
        <f t="shared" si="0"/>
        <v>X</v>
      </c>
      <c r="B191" s="182"/>
      <c r="D191" s="189" t="s">
        <v>241</v>
      </c>
      <c r="E191" s="516" t="s">
        <v>224</v>
      </c>
      <c r="F191" s="516"/>
      <c r="G191" s="516"/>
      <c r="H191" s="516"/>
      <c r="I191" s="516"/>
      <c r="J191" s="516"/>
      <c r="K191" s="516"/>
      <c r="L191" s="516"/>
      <c r="M191" s="516"/>
      <c r="N191" s="516"/>
      <c r="O191" s="516"/>
      <c r="P191" s="516"/>
      <c r="R191" s="184" t="s">
        <v>237</v>
      </c>
      <c r="T191" s="170" t="s">
        <v>219</v>
      </c>
      <c r="U191" s="146"/>
      <c r="V191" s="164">
        <f t="shared" si="17"/>
        <v>0</v>
      </c>
      <c r="W191" s="164">
        <f t="shared" si="16"/>
        <v>1</v>
      </c>
    </row>
    <row r="192" spans="1:23" ht="18.5" customHeight="1" x14ac:dyDescent="0.2">
      <c r="A192" s="183" t="str">
        <f t="shared" si="0"/>
        <v>X</v>
      </c>
      <c r="B192" s="182"/>
      <c r="D192" s="187"/>
      <c r="E192" s="189" t="s">
        <v>241</v>
      </c>
      <c r="F192" s="546"/>
      <c r="G192" s="546"/>
      <c r="H192" s="546"/>
      <c r="I192" s="546"/>
      <c r="J192" s="546"/>
      <c r="K192" s="546"/>
      <c r="L192" s="546"/>
      <c r="M192" s="546"/>
      <c r="N192" s="546"/>
      <c r="O192" s="546"/>
      <c r="P192" s="546"/>
      <c r="R192" s="184" t="s">
        <v>228</v>
      </c>
      <c r="T192" s="170" t="s">
        <v>219</v>
      </c>
      <c r="U192" s="146"/>
      <c r="V192" s="164">
        <f t="shared" si="17"/>
        <v>0</v>
      </c>
      <c r="W192" s="164">
        <f>IF(AND(SUM(V:V)&gt;0,OR(AND(B192=1,F192=""),AND(B192="",F192=""),AND(B192="",F192&lt;&gt;""),AND(B192=0,F192&lt;&gt;""))),1,0)</f>
        <v>1</v>
      </c>
    </row>
    <row r="193" spans="1:29" ht="18.5" customHeight="1" x14ac:dyDescent="0.2">
      <c r="A193" s="183" t="str">
        <f t="shared" si="0"/>
        <v>X</v>
      </c>
      <c r="B193" s="182"/>
      <c r="D193" s="187"/>
      <c r="E193" s="189" t="s">
        <v>241</v>
      </c>
      <c r="F193" s="546"/>
      <c r="G193" s="546"/>
      <c r="H193" s="546"/>
      <c r="I193" s="546"/>
      <c r="J193" s="546"/>
      <c r="K193" s="546"/>
      <c r="L193" s="546"/>
      <c r="M193" s="546"/>
      <c r="N193" s="546"/>
      <c r="O193" s="546"/>
      <c r="P193" s="546"/>
      <c r="R193" s="184" t="s">
        <v>228</v>
      </c>
      <c r="T193" s="170" t="s">
        <v>219</v>
      </c>
      <c r="U193" s="146"/>
      <c r="V193" s="164">
        <f t="shared" si="17"/>
        <v>0</v>
      </c>
      <c r="W193" s="164">
        <f>IF(AND(SUM(V:V)&gt;0,OR(AND(B193=1,F193=""),AND(B193="",F193=""),AND(B193="",F193&lt;&gt;""),AND(B193=0,F193&lt;&gt;""))),1,0)</f>
        <v>1</v>
      </c>
    </row>
    <row r="194" spans="1:29" ht="18.5" customHeight="1" x14ac:dyDescent="0.2">
      <c r="A194" s="183" t="str">
        <f t="shared" si="0"/>
        <v>X</v>
      </c>
      <c r="B194" s="182"/>
      <c r="D194" s="187"/>
      <c r="E194" s="189" t="s">
        <v>241</v>
      </c>
      <c r="F194" s="546"/>
      <c r="G194" s="546"/>
      <c r="H194" s="546"/>
      <c r="I194" s="546"/>
      <c r="J194" s="546"/>
      <c r="K194" s="546"/>
      <c r="L194" s="546"/>
      <c r="M194" s="546"/>
      <c r="N194" s="546"/>
      <c r="O194" s="546"/>
      <c r="P194" s="546"/>
      <c r="R194" s="184" t="s">
        <v>228</v>
      </c>
      <c r="T194" s="170" t="s">
        <v>219</v>
      </c>
      <c r="U194" s="146"/>
      <c r="V194" s="164">
        <f t="shared" si="17"/>
        <v>0</v>
      </c>
      <c r="W194" s="164">
        <f>IF(AND(SUM(V:V)&gt;0,OR(AND(B194=1,F194=""),AND(B194="",F194=""),AND(B194="",F194&lt;&gt;""),AND(B194=0,F194&lt;&gt;""))),1,0)</f>
        <v>1</v>
      </c>
    </row>
    <row r="195" spans="1:29" ht="31" customHeight="1" x14ac:dyDescent="0.15">
      <c r="A195" s="183" t="str">
        <f t="shared" si="0"/>
        <v/>
      </c>
      <c r="B195" s="164">
        <f>IF(SUM(B182:B194)&gt;0,1,0)</f>
        <v>0</v>
      </c>
      <c r="D195" s="514" t="s">
        <v>181</v>
      </c>
      <c r="E195" s="514"/>
      <c r="F195" s="514"/>
      <c r="G195" s="514"/>
      <c r="H195" s="514"/>
      <c r="I195" s="514"/>
      <c r="J195" s="514"/>
      <c r="K195" s="514"/>
      <c r="L195" s="514"/>
      <c r="M195" s="514"/>
      <c r="N195" s="514"/>
      <c r="O195" s="514"/>
      <c r="P195" s="514"/>
      <c r="R195" s="190" t="s">
        <v>245</v>
      </c>
      <c r="T195" s="166" t="s">
        <v>216</v>
      </c>
      <c r="U195" s="146"/>
      <c r="V195" s="21"/>
      <c r="W195" s="21"/>
    </row>
    <row r="196" spans="1:29" ht="71.5" customHeight="1" x14ac:dyDescent="0.15">
      <c r="A196" s="183" t="str">
        <f t="shared" si="0"/>
        <v/>
      </c>
      <c r="B196" s="164">
        <f>B195</f>
        <v>0</v>
      </c>
      <c r="D196" s="532" t="s">
        <v>182</v>
      </c>
      <c r="E196" s="532"/>
      <c r="F196" s="532"/>
      <c r="G196" s="532"/>
      <c r="H196" s="532"/>
      <c r="I196" s="532"/>
      <c r="J196" s="532"/>
      <c r="K196" s="532"/>
      <c r="L196" s="532"/>
      <c r="M196" s="532"/>
      <c r="N196" s="532"/>
      <c r="O196" s="532"/>
      <c r="P196" s="532"/>
      <c r="R196" s="190" t="s">
        <v>245</v>
      </c>
      <c r="T196" s="166" t="s">
        <v>216</v>
      </c>
      <c r="U196" s="146"/>
      <c r="V196" s="21"/>
      <c r="W196" s="21"/>
    </row>
    <row r="197" spans="1:29" ht="27.5" customHeight="1" x14ac:dyDescent="0.2">
      <c r="A197" s="183" t="str">
        <f t="shared" si="0"/>
        <v/>
      </c>
      <c r="B197" s="164">
        <f>B195</f>
        <v>0</v>
      </c>
      <c r="C197" s="158"/>
      <c r="D197" s="554" t="s">
        <v>183</v>
      </c>
      <c r="E197" s="554"/>
      <c r="F197" s="554"/>
      <c r="G197" s="554"/>
      <c r="H197" s="555" t="s">
        <v>184</v>
      </c>
      <c r="I197" s="555"/>
      <c r="J197" s="555"/>
      <c r="K197" s="555"/>
      <c r="L197" s="555" t="s">
        <v>185</v>
      </c>
      <c r="M197" s="555"/>
      <c r="N197" s="555"/>
      <c r="O197" s="555"/>
      <c r="P197" s="555"/>
      <c r="R197" s="190" t="s">
        <v>245</v>
      </c>
      <c r="T197" s="166" t="s">
        <v>216</v>
      </c>
      <c r="U197" s="146"/>
      <c r="V197" s="21"/>
      <c r="W197" s="21"/>
    </row>
    <row r="198" spans="1:29" ht="140.25" customHeight="1" x14ac:dyDescent="0.15">
      <c r="A198" s="183" t="str">
        <f t="shared" si="0"/>
        <v/>
      </c>
      <c r="B198" s="164">
        <f>B195</f>
        <v>0</v>
      </c>
      <c r="D198" s="532"/>
      <c r="E198" s="532"/>
      <c r="F198" s="532"/>
      <c r="G198" s="532"/>
      <c r="H198" s="532"/>
      <c r="I198" s="532"/>
      <c r="J198" s="532"/>
      <c r="K198" s="532"/>
      <c r="L198" s="532"/>
      <c r="M198" s="532"/>
      <c r="N198" s="532"/>
      <c r="O198" s="532"/>
      <c r="P198" s="163"/>
      <c r="R198" s="190" t="s">
        <v>245</v>
      </c>
      <c r="T198" s="166" t="s">
        <v>216</v>
      </c>
      <c r="U198" s="175"/>
      <c r="V198" s="21"/>
      <c r="W198" s="21"/>
    </row>
    <row r="199" spans="1:29" ht="31" customHeight="1" x14ac:dyDescent="0.15">
      <c r="A199" s="183" t="str">
        <f t="shared" si="0"/>
        <v/>
      </c>
      <c r="B199" s="164">
        <f>B186</f>
        <v>0</v>
      </c>
      <c r="D199" s="514" t="s">
        <v>186</v>
      </c>
      <c r="E199" s="514"/>
      <c r="F199" s="514"/>
      <c r="G199" s="514"/>
      <c r="H199" s="514"/>
      <c r="I199" s="514"/>
      <c r="J199" s="514"/>
      <c r="K199" s="514"/>
      <c r="L199" s="514"/>
      <c r="M199" s="514"/>
      <c r="N199" s="514"/>
      <c r="O199" s="514"/>
      <c r="P199" s="514"/>
      <c r="R199" s="190" t="s">
        <v>246</v>
      </c>
      <c r="T199" s="166" t="s">
        <v>216</v>
      </c>
      <c r="U199" s="146"/>
      <c r="V199" s="21"/>
      <c r="W199" s="21"/>
    </row>
    <row r="200" spans="1:29" ht="66" customHeight="1" x14ac:dyDescent="0.15">
      <c r="A200" s="183" t="str">
        <f t="shared" si="0"/>
        <v/>
      </c>
      <c r="B200" s="164">
        <f>B186</f>
        <v>0</v>
      </c>
      <c r="D200" s="532" t="s">
        <v>187</v>
      </c>
      <c r="E200" s="532"/>
      <c r="F200" s="536"/>
      <c r="G200" s="536"/>
      <c r="H200" s="536"/>
      <c r="I200" s="536"/>
      <c r="J200" s="536"/>
      <c r="K200" s="536"/>
      <c r="L200" s="536"/>
      <c r="M200" s="536"/>
      <c r="N200" s="536"/>
      <c r="O200" s="536"/>
      <c r="P200" s="536"/>
      <c r="R200" s="190" t="s">
        <v>246</v>
      </c>
      <c r="T200" s="166" t="s">
        <v>216</v>
      </c>
      <c r="U200" s="146"/>
      <c r="V200" s="21"/>
      <c r="W200" s="21"/>
    </row>
    <row r="201" spans="1:29" ht="31" customHeight="1" x14ac:dyDescent="0.15">
      <c r="A201" s="183" t="str">
        <f t="shared" ref="A201:A225" si="18">IF(W201=1,"X","")</f>
        <v/>
      </c>
      <c r="B201" s="164">
        <f>B195</f>
        <v>0</v>
      </c>
      <c r="D201" s="514" t="s">
        <v>188</v>
      </c>
      <c r="E201" s="514"/>
      <c r="F201" s="514"/>
      <c r="G201" s="514"/>
      <c r="H201" s="514"/>
      <c r="I201" s="514"/>
      <c r="J201" s="514"/>
      <c r="K201" s="514"/>
      <c r="L201" s="514"/>
      <c r="M201" s="514"/>
      <c r="N201" s="514"/>
      <c r="O201" s="514"/>
      <c r="P201" s="514"/>
      <c r="R201" s="190" t="s">
        <v>245</v>
      </c>
      <c r="T201" s="166" t="s">
        <v>216</v>
      </c>
      <c r="U201" s="146"/>
      <c r="V201" s="21"/>
      <c r="W201" s="21"/>
    </row>
    <row r="202" spans="1:29" ht="61" customHeight="1" x14ac:dyDescent="0.15">
      <c r="A202" s="183" t="str">
        <f t="shared" si="18"/>
        <v/>
      </c>
      <c r="B202" s="164">
        <f>B195</f>
        <v>0</v>
      </c>
      <c r="D202" s="532" t="s">
        <v>189</v>
      </c>
      <c r="E202" s="532"/>
      <c r="F202" s="532"/>
      <c r="G202" s="532"/>
      <c r="H202" s="532"/>
      <c r="I202" s="532"/>
      <c r="J202" s="532"/>
      <c r="K202" s="532"/>
      <c r="L202" s="532"/>
      <c r="M202" s="532"/>
      <c r="N202" s="532"/>
      <c r="O202" s="532"/>
      <c r="P202" s="532"/>
      <c r="R202" s="190" t="s">
        <v>245</v>
      </c>
      <c r="T202" s="166" t="s">
        <v>216</v>
      </c>
      <c r="U202" s="146"/>
      <c r="V202" s="21"/>
      <c r="W202" s="21"/>
    </row>
    <row r="203" spans="1:29" ht="33.5" customHeight="1" x14ac:dyDescent="0.15">
      <c r="A203" s="183" t="str">
        <f t="shared" si="18"/>
        <v/>
      </c>
      <c r="B203" s="164">
        <f>B195</f>
        <v>0</v>
      </c>
      <c r="D203" s="532" t="s">
        <v>190</v>
      </c>
      <c r="E203" s="532"/>
      <c r="F203" s="532"/>
      <c r="G203" s="532"/>
      <c r="H203" s="532"/>
      <c r="I203" s="532"/>
      <c r="J203" s="532"/>
      <c r="K203" s="532"/>
      <c r="L203" s="532"/>
      <c r="M203" s="532"/>
      <c r="N203" s="532"/>
      <c r="O203" s="532"/>
      <c r="P203" s="532"/>
      <c r="R203" s="190" t="s">
        <v>245</v>
      </c>
      <c r="T203" s="166" t="s">
        <v>216</v>
      </c>
      <c r="U203" s="146"/>
      <c r="V203" s="21"/>
      <c r="W203" s="21"/>
    </row>
    <row r="204" spans="1:29" ht="31" customHeight="1" x14ac:dyDescent="0.15">
      <c r="A204" s="183" t="str">
        <f t="shared" si="18"/>
        <v/>
      </c>
      <c r="B204" s="164">
        <f>B195</f>
        <v>0</v>
      </c>
      <c r="D204" s="514" t="s">
        <v>191</v>
      </c>
      <c r="E204" s="514"/>
      <c r="F204" s="514"/>
      <c r="G204" s="514"/>
      <c r="H204" s="514"/>
      <c r="I204" s="514"/>
      <c r="J204" s="514"/>
      <c r="K204" s="514"/>
      <c r="L204" s="514"/>
      <c r="M204" s="514"/>
      <c r="N204" s="514"/>
      <c r="O204" s="514"/>
      <c r="P204" s="514"/>
      <c r="R204" s="190" t="s">
        <v>245</v>
      </c>
      <c r="T204" s="166" t="s">
        <v>216</v>
      </c>
      <c r="U204" s="146"/>
      <c r="V204" s="21"/>
      <c r="W204" s="21"/>
    </row>
    <row r="205" spans="1:29" ht="31" customHeight="1" x14ac:dyDescent="0.15">
      <c r="A205" s="183" t="str">
        <f t="shared" si="18"/>
        <v/>
      </c>
      <c r="B205" s="164">
        <f>B195</f>
        <v>0</v>
      </c>
      <c r="C205" s="159"/>
      <c r="D205" s="514" t="s">
        <v>192</v>
      </c>
      <c r="E205" s="514"/>
      <c r="F205" s="514"/>
      <c r="G205" s="514"/>
      <c r="H205" s="514"/>
      <c r="I205" s="514"/>
      <c r="J205" s="514"/>
      <c r="K205" s="514"/>
      <c r="L205" s="514"/>
      <c r="M205" s="514"/>
      <c r="N205" s="514"/>
      <c r="O205" s="514"/>
      <c r="P205" s="514"/>
      <c r="Q205" s="159"/>
      <c r="R205" s="190" t="s">
        <v>245</v>
      </c>
      <c r="S205" s="159"/>
      <c r="T205" s="166" t="s">
        <v>216</v>
      </c>
      <c r="U205" s="146"/>
      <c r="V205" s="21"/>
      <c r="W205" s="21"/>
      <c r="X205" s="159"/>
      <c r="Y205" s="159"/>
      <c r="Z205" s="159"/>
      <c r="AA205" s="159"/>
      <c r="AB205" s="159"/>
      <c r="AC205" s="159"/>
    </row>
    <row r="206" spans="1:29" ht="80" customHeight="1" x14ac:dyDescent="0.15">
      <c r="A206" s="183" t="str">
        <f t="shared" si="18"/>
        <v/>
      </c>
      <c r="B206" s="164">
        <f>B195</f>
        <v>0</v>
      </c>
      <c r="D206" s="532" t="s">
        <v>193</v>
      </c>
      <c r="E206" s="532"/>
      <c r="F206" s="532"/>
      <c r="G206" s="532"/>
      <c r="H206" s="532"/>
      <c r="I206" s="532"/>
      <c r="J206" s="532"/>
      <c r="K206" s="532"/>
      <c r="L206" s="532"/>
      <c r="M206" s="532"/>
      <c r="N206" s="532"/>
      <c r="O206" s="532"/>
      <c r="P206" s="532"/>
      <c r="R206" s="190" t="s">
        <v>245</v>
      </c>
      <c r="T206" s="166" t="s">
        <v>216</v>
      </c>
      <c r="U206" s="146"/>
      <c r="V206" s="21"/>
      <c r="W206" s="21"/>
    </row>
    <row r="207" spans="1:29" ht="31" customHeight="1" x14ac:dyDescent="0.15">
      <c r="A207" s="183" t="str">
        <f t="shared" si="18"/>
        <v/>
      </c>
      <c r="B207" s="164">
        <f>B195</f>
        <v>0</v>
      </c>
      <c r="D207" s="514" t="s">
        <v>194</v>
      </c>
      <c r="E207" s="514"/>
      <c r="F207" s="514"/>
      <c r="G207" s="514"/>
      <c r="H207" s="514"/>
      <c r="I207" s="514"/>
      <c r="J207" s="514"/>
      <c r="K207" s="514"/>
      <c r="L207" s="514"/>
      <c r="M207" s="514"/>
      <c r="N207" s="514"/>
      <c r="O207" s="514"/>
      <c r="P207" s="514"/>
      <c r="R207" s="190" t="s">
        <v>245</v>
      </c>
      <c r="T207" s="166" t="s">
        <v>216</v>
      </c>
      <c r="U207" s="146"/>
      <c r="V207" s="21"/>
      <c r="W207" s="21"/>
    </row>
    <row r="208" spans="1:29" ht="68" customHeight="1" x14ac:dyDescent="0.15">
      <c r="A208" s="183" t="str">
        <f t="shared" si="18"/>
        <v/>
      </c>
      <c r="B208" s="164">
        <f>B195</f>
        <v>0</v>
      </c>
      <c r="D208" s="532" t="s">
        <v>195</v>
      </c>
      <c r="E208" s="532"/>
      <c r="F208" s="532"/>
      <c r="G208" s="532"/>
      <c r="H208" s="532"/>
      <c r="I208" s="532"/>
      <c r="J208" s="532"/>
      <c r="K208" s="532"/>
      <c r="L208" s="532"/>
      <c r="M208" s="532"/>
      <c r="N208" s="532"/>
      <c r="O208" s="532"/>
      <c r="P208" s="532"/>
      <c r="R208" s="190" t="s">
        <v>245</v>
      </c>
      <c r="T208" s="166" t="s">
        <v>216</v>
      </c>
      <c r="U208" s="146"/>
      <c r="V208" s="21"/>
      <c r="W208" s="21"/>
    </row>
    <row r="209" spans="1:23" ht="49.5" customHeight="1" x14ac:dyDescent="0.15">
      <c r="A209" s="183" t="str">
        <f t="shared" si="18"/>
        <v/>
      </c>
      <c r="B209" s="164">
        <f>B195</f>
        <v>0</v>
      </c>
      <c r="D209" s="532" t="s">
        <v>196</v>
      </c>
      <c r="E209" s="532"/>
      <c r="F209" s="532"/>
      <c r="G209" s="532"/>
      <c r="H209" s="532"/>
      <c r="I209" s="532"/>
      <c r="J209" s="532"/>
      <c r="K209" s="532"/>
      <c r="L209" s="532"/>
      <c r="M209" s="532"/>
      <c r="N209" s="532"/>
      <c r="O209" s="532"/>
      <c r="P209" s="532"/>
      <c r="R209" s="190" t="s">
        <v>245</v>
      </c>
      <c r="T209" s="166" t="s">
        <v>216</v>
      </c>
      <c r="U209" s="146"/>
      <c r="V209" s="21"/>
      <c r="W209" s="21"/>
    </row>
    <row r="210" spans="1:23" ht="31" customHeight="1" x14ac:dyDescent="0.15">
      <c r="A210" s="183" t="str">
        <f t="shared" si="18"/>
        <v/>
      </c>
      <c r="B210" s="164">
        <f>B195</f>
        <v>0</v>
      </c>
      <c r="D210" s="514" t="s">
        <v>197</v>
      </c>
      <c r="E210" s="514"/>
      <c r="F210" s="514"/>
      <c r="G210" s="514"/>
      <c r="H210" s="514"/>
      <c r="I210" s="514"/>
      <c r="J210" s="514"/>
      <c r="K210" s="514"/>
      <c r="L210" s="514"/>
      <c r="M210" s="514"/>
      <c r="N210" s="514"/>
      <c r="O210" s="514"/>
      <c r="P210" s="514"/>
      <c r="R210" s="190" t="s">
        <v>245</v>
      </c>
      <c r="T210" s="166" t="s">
        <v>216</v>
      </c>
      <c r="U210" s="175"/>
      <c r="V210" s="21"/>
      <c r="W210" s="21"/>
    </row>
    <row r="211" spans="1:23" ht="48.5" customHeight="1" x14ac:dyDescent="0.15">
      <c r="A211" s="183" t="str">
        <f t="shared" si="18"/>
        <v/>
      </c>
      <c r="B211" s="164">
        <f>B195</f>
        <v>0</v>
      </c>
      <c r="D211" s="532" t="s">
        <v>218</v>
      </c>
      <c r="E211" s="532"/>
      <c r="F211" s="532"/>
      <c r="G211" s="532"/>
      <c r="H211" s="532"/>
      <c r="I211" s="532"/>
      <c r="J211" s="532"/>
      <c r="K211" s="532"/>
      <c r="L211" s="532"/>
      <c r="M211" s="532"/>
      <c r="N211" s="532"/>
      <c r="O211" s="532"/>
      <c r="P211" s="532"/>
      <c r="R211" s="190" t="s">
        <v>245</v>
      </c>
      <c r="T211" s="166" t="s">
        <v>216</v>
      </c>
      <c r="U211" s="175"/>
      <c r="V211" s="21"/>
      <c r="W211" s="21"/>
    </row>
    <row r="212" spans="1:23" ht="31" customHeight="1" x14ac:dyDescent="0.15">
      <c r="A212" s="183" t="str">
        <f t="shared" ref="A212:A213" si="19">IF(W212=1,"X","")</f>
        <v/>
      </c>
      <c r="B212" s="164">
        <f>B213</f>
        <v>0</v>
      </c>
      <c r="D212" s="514" t="s">
        <v>307</v>
      </c>
      <c r="E212" s="514"/>
      <c r="F212" s="514"/>
      <c r="G212" s="514"/>
      <c r="H212" s="514"/>
      <c r="I212" s="514"/>
      <c r="J212" s="514"/>
      <c r="K212" s="514"/>
      <c r="L212" s="514"/>
      <c r="M212" s="514"/>
      <c r="N212" s="514"/>
      <c r="O212" s="514"/>
      <c r="P212" s="514"/>
      <c r="R212" s="184" t="s">
        <v>237</v>
      </c>
      <c r="T212" s="170" t="s">
        <v>219</v>
      </c>
      <c r="U212" s="146"/>
      <c r="V212" s="164">
        <f t="shared" ref="V212:V213" si="20">IF(B212&lt;&gt;"",1,0)</f>
        <v>1</v>
      </c>
      <c r="W212" s="164">
        <f>IF(AND(SUM(V:V)&gt;0,B212=""),1,0)</f>
        <v>0</v>
      </c>
    </row>
    <row r="213" spans="1:23" ht="48.5" customHeight="1" x14ac:dyDescent="0.15">
      <c r="A213" s="183" t="str">
        <f t="shared" si="19"/>
        <v/>
      </c>
      <c r="B213" s="182">
        <v>0</v>
      </c>
      <c r="D213" s="538"/>
      <c r="E213" s="538"/>
      <c r="F213" s="538"/>
      <c r="G213" s="538"/>
      <c r="H213" s="538"/>
      <c r="I213" s="538"/>
      <c r="J213" s="538"/>
      <c r="K213" s="538"/>
      <c r="L213" s="538"/>
      <c r="M213" s="538"/>
      <c r="N213" s="538"/>
      <c r="O213" s="538"/>
      <c r="P213" s="538"/>
      <c r="R213" s="184" t="s">
        <v>237</v>
      </c>
      <c r="T213" s="170" t="s">
        <v>219</v>
      </c>
      <c r="U213" s="146"/>
      <c r="V213" s="164">
        <f t="shared" si="20"/>
        <v>1</v>
      </c>
      <c r="W213" s="164">
        <f>IF(AND(SUM(V:V)&gt;0,OR(AND(B213=1,D213=""),AND(B213="",D213=""),AND(B213="",D213&lt;&gt;""),AND(B213=0,D213&lt;&gt;""))),1,0)</f>
        <v>0</v>
      </c>
    </row>
    <row r="214" spans="1:23" ht="8.5" customHeight="1" x14ac:dyDescent="0.15">
      <c r="A214" s="183" t="str">
        <f t="shared" ref="A214" si="21">IF(W214=1,"X","")</f>
        <v/>
      </c>
      <c r="B214" s="164">
        <v>1</v>
      </c>
      <c r="D214" s="531"/>
      <c r="E214" s="531"/>
      <c r="F214" s="531"/>
      <c r="G214" s="531"/>
      <c r="H214" s="531"/>
      <c r="I214" s="531"/>
      <c r="J214" s="531"/>
      <c r="K214" s="531"/>
      <c r="L214" s="531"/>
      <c r="M214" s="531"/>
      <c r="N214" s="531"/>
      <c r="O214" s="531"/>
      <c r="P214" s="531"/>
      <c r="T214" s="166" t="s">
        <v>212</v>
      </c>
      <c r="U214" s="175"/>
      <c r="V214" s="21"/>
      <c r="W214" s="21"/>
    </row>
    <row r="215" spans="1:23" s="153" customFormat="1" ht="28.5" customHeight="1" x14ac:dyDescent="0.2">
      <c r="A215" s="183" t="str">
        <f t="shared" si="18"/>
        <v/>
      </c>
      <c r="B215" s="164">
        <v>1</v>
      </c>
      <c r="C215" s="152"/>
      <c r="D215" s="532" t="s">
        <v>208</v>
      </c>
      <c r="E215" s="532"/>
      <c r="F215" s="532"/>
      <c r="G215" s="532"/>
      <c r="H215" s="532"/>
      <c r="I215" s="532"/>
      <c r="J215" s="532"/>
      <c r="K215" s="532"/>
      <c r="L215" s="532"/>
      <c r="M215" s="532"/>
      <c r="N215" s="532"/>
      <c r="O215" s="532"/>
      <c r="P215" s="532"/>
      <c r="R215" s="186" t="s">
        <v>243</v>
      </c>
      <c r="T215" s="166" t="s">
        <v>212</v>
      </c>
      <c r="U215" s="175"/>
      <c r="V215" s="21"/>
      <c r="W215" s="21"/>
    </row>
    <row r="216" spans="1:23" ht="8.5" customHeight="1" x14ac:dyDescent="0.15">
      <c r="A216" s="183" t="str">
        <f t="shared" si="18"/>
        <v/>
      </c>
      <c r="B216" s="164">
        <v>1</v>
      </c>
      <c r="D216" s="531"/>
      <c r="E216" s="531"/>
      <c r="F216" s="531"/>
      <c r="G216" s="531"/>
      <c r="H216" s="531"/>
      <c r="I216" s="531"/>
      <c r="J216" s="531"/>
      <c r="K216" s="531"/>
      <c r="L216" s="531"/>
      <c r="M216" s="531"/>
      <c r="N216" s="531"/>
      <c r="O216" s="531"/>
      <c r="P216" s="531"/>
      <c r="T216" s="166" t="s">
        <v>212</v>
      </c>
      <c r="U216" s="175"/>
      <c r="V216" s="21"/>
      <c r="W216" s="21"/>
    </row>
    <row r="217" spans="1:23" ht="21" customHeight="1" x14ac:dyDescent="0.15">
      <c r="A217" s="183" t="str">
        <f t="shared" si="18"/>
        <v/>
      </c>
      <c r="B217" s="164">
        <f>IF(Costing!$E$14="Steven Robinson",1,0)</f>
        <v>0</v>
      </c>
      <c r="D217" s="533" t="s">
        <v>198</v>
      </c>
      <c r="E217" s="533"/>
      <c r="F217" s="533"/>
      <c r="G217" s="533"/>
      <c r="H217" s="533"/>
      <c r="I217" s="533"/>
      <c r="J217" s="533"/>
      <c r="K217" s="533"/>
      <c r="L217" s="533"/>
      <c r="M217" s="533"/>
      <c r="N217" s="533"/>
      <c r="O217" s="533"/>
      <c r="P217" s="533"/>
      <c r="T217" s="166" t="s">
        <v>211</v>
      </c>
      <c r="U217" s="175"/>
      <c r="V217" s="21"/>
      <c r="W217" s="21"/>
    </row>
    <row r="218" spans="1:23" ht="14.25" customHeight="1" x14ac:dyDescent="0.15">
      <c r="A218" s="183" t="str">
        <f t="shared" si="18"/>
        <v/>
      </c>
      <c r="B218" s="164">
        <f>B217</f>
        <v>0</v>
      </c>
      <c r="D218" s="536" t="s">
        <v>199</v>
      </c>
      <c r="E218" s="536"/>
      <c r="F218" s="536"/>
      <c r="G218" s="536"/>
      <c r="H218" s="536"/>
      <c r="I218" s="536"/>
      <c r="J218" s="536"/>
      <c r="K218" s="536"/>
      <c r="L218" s="536"/>
      <c r="M218" s="536"/>
      <c r="N218" s="536"/>
      <c r="O218" s="536"/>
      <c r="P218" s="536"/>
      <c r="T218" s="166" t="s">
        <v>211</v>
      </c>
      <c r="U218" s="175"/>
      <c r="V218" s="21"/>
      <c r="W218" s="21"/>
    </row>
    <row r="219" spans="1:23" ht="14.25" customHeight="1" x14ac:dyDescent="0.15">
      <c r="A219" s="183" t="str">
        <f t="shared" si="18"/>
        <v/>
      </c>
      <c r="B219" s="164">
        <f>B218</f>
        <v>0</v>
      </c>
      <c r="D219" s="531" t="s">
        <v>200</v>
      </c>
      <c r="E219" s="531"/>
      <c r="F219" s="531"/>
      <c r="G219" s="531"/>
      <c r="H219" s="531"/>
      <c r="I219" s="531"/>
      <c r="J219" s="531"/>
      <c r="K219" s="531"/>
      <c r="L219" s="531"/>
      <c r="M219" s="531"/>
      <c r="N219" s="531"/>
      <c r="O219" s="531"/>
      <c r="P219" s="531"/>
      <c r="T219" s="166" t="s">
        <v>211</v>
      </c>
      <c r="U219" s="175"/>
      <c r="V219" s="21"/>
      <c r="W219" s="21"/>
    </row>
    <row r="220" spans="1:23" ht="21.5" customHeight="1" x14ac:dyDescent="0.35">
      <c r="A220" s="183" t="str">
        <f t="shared" si="18"/>
        <v/>
      </c>
      <c r="B220" s="164">
        <f>IF(Costing!$E$14="Graeme Hazel",1,0)</f>
        <v>0</v>
      </c>
      <c r="D220" s="537" t="s">
        <v>201</v>
      </c>
      <c r="E220" s="537"/>
      <c r="F220" s="537"/>
      <c r="G220" s="537"/>
      <c r="H220" s="537"/>
      <c r="I220" s="537"/>
      <c r="J220" s="537"/>
      <c r="K220" s="537"/>
      <c r="L220" s="537"/>
      <c r="M220" s="537"/>
      <c r="N220" s="537"/>
      <c r="O220" s="537"/>
      <c r="P220" s="537"/>
      <c r="T220" s="166" t="s">
        <v>211</v>
      </c>
      <c r="U220" s="175"/>
      <c r="V220" s="21"/>
      <c r="W220" s="21"/>
    </row>
    <row r="221" spans="1:23" ht="14.25" customHeight="1" x14ac:dyDescent="0.15">
      <c r="A221" s="183" t="str">
        <f t="shared" si="18"/>
        <v/>
      </c>
      <c r="B221" s="164">
        <f>B220</f>
        <v>0</v>
      </c>
      <c r="D221" s="531" t="s">
        <v>201</v>
      </c>
      <c r="E221" s="531"/>
      <c r="F221" s="531"/>
      <c r="G221" s="531"/>
      <c r="H221" s="531"/>
      <c r="I221" s="531"/>
      <c r="J221" s="531"/>
      <c r="K221" s="531"/>
      <c r="L221" s="531"/>
      <c r="M221" s="531"/>
      <c r="N221" s="531"/>
      <c r="O221" s="531"/>
      <c r="P221" s="531"/>
      <c r="T221" s="166" t="s">
        <v>211</v>
      </c>
      <c r="U221" s="175"/>
      <c r="V221" s="21"/>
      <c r="W221" s="21"/>
    </row>
    <row r="222" spans="1:23" ht="14.25" customHeight="1" x14ac:dyDescent="0.15">
      <c r="A222" s="183" t="str">
        <f t="shared" si="18"/>
        <v/>
      </c>
      <c r="B222" s="164">
        <f>B221</f>
        <v>0</v>
      </c>
      <c r="D222" s="531" t="s">
        <v>200</v>
      </c>
      <c r="E222" s="531"/>
      <c r="F222" s="531"/>
      <c r="G222" s="531"/>
      <c r="H222" s="531"/>
      <c r="I222" s="531"/>
      <c r="J222" s="531"/>
      <c r="K222" s="531"/>
      <c r="L222" s="531"/>
      <c r="M222" s="531"/>
      <c r="N222" s="531"/>
      <c r="O222" s="531"/>
      <c r="P222" s="531"/>
      <c r="T222" s="166" t="s">
        <v>211</v>
      </c>
      <c r="U222" s="175"/>
      <c r="V222" s="21"/>
      <c r="W222" s="21"/>
    </row>
    <row r="223" spans="1:23" ht="21" customHeight="1" x14ac:dyDescent="0.35">
      <c r="A223" s="183" t="str">
        <f t="shared" si="18"/>
        <v/>
      </c>
      <c r="B223" s="164">
        <f>IF(Costing!$E$14="Mike Davison",1,0)</f>
        <v>0</v>
      </c>
      <c r="D223" s="530" t="s">
        <v>202</v>
      </c>
      <c r="E223" s="530"/>
      <c r="F223" s="530"/>
      <c r="G223" s="530"/>
      <c r="H223" s="530"/>
      <c r="I223" s="530"/>
      <c r="J223" s="530"/>
      <c r="K223" s="530"/>
      <c r="L223" s="530"/>
      <c r="M223" s="530"/>
      <c r="N223" s="530"/>
      <c r="O223" s="530"/>
      <c r="P223" s="160"/>
      <c r="T223" s="166" t="s">
        <v>211</v>
      </c>
      <c r="U223" s="175"/>
      <c r="V223" s="21"/>
      <c r="W223" s="21"/>
    </row>
    <row r="224" spans="1:23" ht="14.25" customHeight="1" x14ac:dyDescent="0.2">
      <c r="A224" s="183" t="str">
        <f t="shared" si="18"/>
        <v/>
      </c>
      <c r="B224" s="164">
        <f>B223</f>
        <v>0</v>
      </c>
      <c r="D224" s="531" t="s">
        <v>203</v>
      </c>
      <c r="E224" s="531"/>
      <c r="F224" s="531"/>
      <c r="G224" s="531"/>
      <c r="H224" s="531"/>
      <c r="I224" s="531"/>
      <c r="J224" s="531"/>
      <c r="K224" s="531"/>
      <c r="L224" s="531"/>
      <c r="M224" s="531"/>
      <c r="N224" s="531"/>
      <c r="O224" s="531"/>
      <c r="P224" s="160"/>
      <c r="T224" s="166" t="s">
        <v>211</v>
      </c>
      <c r="U224" s="175"/>
      <c r="V224" s="21"/>
      <c r="W224" s="21"/>
    </row>
    <row r="225" spans="1:23" ht="14.25" customHeight="1" x14ac:dyDescent="0.2">
      <c r="A225" s="183" t="str">
        <f t="shared" si="18"/>
        <v/>
      </c>
      <c r="B225" s="164">
        <f>B224</f>
        <v>0</v>
      </c>
      <c r="D225" s="531" t="s">
        <v>204</v>
      </c>
      <c r="E225" s="531"/>
      <c r="F225" s="531"/>
      <c r="G225" s="531"/>
      <c r="H225" s="531"/>
      <c r="I225" s="531"/>
      <c r="J225" s="531"/>
      <c r="K225" s="531"/>
      <c r="L225" s="531"/>
      <c r="M225" s="531"/>
      <c r="N225" s="531"/>
      <c r="O225" s="531"/>
      <c r="P225" s="160"/>
      <c r="T225" s="166" t="s">
        <v>211</v>
      </c>
      <c r="U225" s="175"/>
      <c r="V225" s="21"/>
      <c r="W225" s="21"/>
    </row>
    <row r="226" spans="1:23" x14ac:dyDescent="0.15">
      <c r="M226" s="150"/>
      <c r="N226" s="150"/>
      <c r="U226" s="175"/>
    </row>
    <row r="227" spans="1:23" ht="23.25" customHeight="1" x14ac:dyDescent="0.15">
      <c r="D227" s="539" t="s">
        <v>275</v>
      </c>
      <c r="E227" s="539"/>
      <c r="F227" s="539"/>
      <c r="G227" s="539"/>
      <c r="H227" s="539"/>
      <c r="I227" s="539"/>
      <c r="J227" s="539"/>
      <c r="K227" s="539"/>
      <c r="L227" s="539"/>
      <c r="M227" s="539"/>
      <c r="N227" s="539"/>
      <c r="O227" s="539"/>
      <c r="P227" s="539"/>
      <c r="U227" s="175"/>
    </row>
    <row r="228" spans="1:23" ht="23.25" customHeight="1" x14ac:dyDescent="0.15">
      <c r="D228" s="540" t="s">
        <v>276</v>
      </c>
      <c r="E228" s="540"/>
      <c r="F228" s="540"/>
      <c r="G228" s="540"/>
      <c r="H228" s="540"/>
      <c r="I228" s="540"/>
      <c r="J228" s="540"/>
      <c r="K228" s="540"/>
      <c r="L228" s="540"/>
      <c r="M228" s="540"/>
      <c r="N228" s="540"/>
      <c r="O228" s="540"/>
      <c r="P228" s="540"/>
      <c r="U228" s="175"/>
    </row>
    <row r="229" spans="1:23" ht="23.25" customHeight="1" x14ac:dyDescent="0.15">
      <c r="D229" s="540" t="s">
        <v>277</v>
      </c>
      <c r="E229" s="540"/>
      <c r="F229" s="540"/>
      <c r="G229" s="540"/>
      <c r="H229" s="540"/>
      <c r="I229" s="540"/>
      <c r="J229" s="540"/>
      <c r="K229" s="540"/>
      <c r="L229" s="540"/>
      <c r="M229" s="540"/>
      <c r="N229" s="540"/>
      <c r="O229" s="540"/>
      <c r="P229" s="540"/>
      <c r="U229" s="175"/>
    </row>
    <row r="230" spans="1:23" ht="27" customHeight="1" x14ac:dyDescent="0.15">
      <c r="D230" s="540" t="s">
        <v>278</v>
      </c>
      <c r="E230" s="540"/>
      <c r="F230" s="540"/>
      <c r="G230" s="540"/>
      <c r="H230" s="540"/>
      <c r="I230" s="540"/>
      <c r="J230" s="540"/>
      <c r="K230" s="540"/>
      <c r="L230" s="540"/>
      <c r="M230" s="540"/>
      <c r="N230" s="540"/>
      <c r="O230" s="540"/>
      <c r="P230" s="540"/>
      <c r="U230" s="175"/>
    </row>
    <row r="231" spans="1:23" ht="32.25" customHeight="1" x14ac:dyDescent="0.15">
      <c r="D231" s="542" t="s">
        <v>279</v>
      </c>
      <c r="E231" s="542"/>
      <c r="F231" s="542"/>
      <c r="G231" s="542"/>
      <c r="H231" s="542"/>
      <c r="I231" s="542"/>
      <c r="J231" s="542"/>
      <c r="K231" s="542"/>
      <c r="L231" s="542"/>
      <c r="M231" s="542"/>
      <c r="N231" s="542"/>
      <c r="O231" s="542"/>
      <c r="P231" s="542"/>
      <c r="U231" s="175"/>
    </row>
    <row r="232" spans="1:23" x14ac:dyDescent="0.15">
      <c r="M232" s="150"/>
      <c r="N232" s="150"/>
      <c r="U232" s="175"/>
    </row>
    <row r="233" spans="1:23" ht="23.25" customHeight="1" x14ac:dyDescent="0.15">
      <c r="D233" s="539" t="s">
        <v>263</v>
      </c>
      <c r="E233" s="539"/>
      <c r="F233" s="539"/>
      <c r="G233" s="539"/>
      <c r="H233" s="539"/>
      <c r="I233" s="539"/>
      <c r="J233" s="539"/>
      <c r="K233" s="539"/>
      <c r="L233" s="539"/>
      <c r="M233" s="539"/>
      <c r="N233" s="539"/>
      <c r="O233" s="539"/>
      <c r="P233" s="539"/>
      <c r="U233" s="175"/>
    </row>
    <row r="234" spans="1:23" ht="23.25" customHeight="1" x14ac:dyDescent="0.15">
      <c r="D234" s="526" t="s">
        <v>265</v>
      </c>
      <c r="E234" s="526"/>
      <c r="F234" s="526"/>
      <c r="G234" s="526"/>
      <c r="H234" s="526"/>
      <c r="I234" s="526"/>
      <c r="J234" s="526"/>
      <c r="K234" s="526"/>
      <c r="L234" s="526"/>
      <c r="M234" s="526"/>
      <c r="N234" s="526"/>
      <c r="O234" s="526"/>
      <c r="P234" s="526"/>
      <c r="U234" s="175"/>
    </row>
    <row r="235" spans="1:23" ht="23.25" customHeight="1" x14ac:dyDescent="0.15">
      <c r="D235" s="540" t="s">
        <v>264</v>
      </c>
      <c r="E235" s="540"/>
      <c r="F235" s="540"/>
      <c r="G235" s="540"/>
      <c r="H235" s="540"/>
      <c r="I235" s="540"/>
      <c r="J235" s="540"/>
      <c r="K235" s="540"/>
      <c r="L235" s="540"/>
      <c r="M235" s="540"/>
      <c r="N235" s="540"/>
      <c r="O235" s="540"/>
      <c r="P235" s="540"/>
      <c r="U235" s="175"/>
    </row>
    <row r="236" spans="1:23" ht="27" customHeight="1" x14ac:dyDescent="0.2">
      <c r="D236" s="541" t="s">
        <v>262</v>
      </c>
      <c r="E236" s="541"/>
      <c r="F236" s="541"/>
      <c r="G236" s="541"/>
      <c r="H236" s="541"/>
      <c r="I236" s="541"/>
      <c r="J236" s="541"/>
      <c r="K236" s="541"/>
      <c r="L236" s="541"/>
      <c r="M236" s="541"/>
      <c r="N236" s="541"/>
      <c r="O236" s="541"/>
      <c r="P236" s="541"/>
      <c r="U236" s="175"/>
    </row>
    <row r="237" spans="1:23" ht="23.25" customHeight="1" x14ac:dyDescent="0.15">
      <c r="D237" s="526" t="s">
        <v>266</v>
      </c>
      <c r="E237" s="526"/>
      <c r="F237" s="526"/>
      <c r="G237" s="526"/>
      <c r="H237" s="526"/>
      <c r="I237" s="526"/>
      <c r="J237" s="526"/>
      <c r="K237" s="526"/>
      <c r="L237" s="526"/>
      <c r="M237" s="526"/>
      <c r="N237" s="526"/>
      <c r="O237" s="526"/>
      <c r="P237" s="526"/>
      <c r="U237" s="175"/>
    </row>
    <row r="238" spans="1:23" ht="23.25" customHeight="1" x14ac:dyDescent="0.15">
      <c r="D238" s="527" t="s">
        <v>267</v>
      </c>
      <c r="E238" s="528"/>
      <c r="F238" s="528"/>
      <c r="G238" s="528"/>
      <c r="H238" s="528"/>
      <c r="I238" s="528"/>
      <c r="J238" s="528"/>
      <c r="K238" s="528"/>
      <c r="L238" s="528"/>
      <c r="M238" s="528"/>
      <c r="N238" s="528"/>
      <c r="O238" s="528"/>
      <c r="P238" s="529"/>
      <c r="U238" s="175"/>
    </row>
    <row r="239" spans="1:23" ht="23.25" customHeight="1" x14ac:dyDescent="0.15">
      <c r="D239" s="527" t="s">
        <v>273</v>
      </c>
      <c r="E239" s="528"/>
      <c r="F239" s="528"/>
      <c r="G239" s="528"/>
      <c r="H239" s="528"/>
      <c r="I239" s="528"/>
      <c r="J239" s="528"/>
      <c r="K239" s="528"/>
      <c r="L239" s="528"/>
      <c r="M239" s="528"/>
      <c r="N239" s="528"/>
      <c r="O239" s="528"/>
      <c r="P239" s="529"/>
      <c r="U239" s="175"/>
    </row>
    <row r="240" spans="1:23" ht="33" customHeight="1" x14ac:dyDescent="0.15">
      <c r="D240" s="543" t="s">
        <v>268</v>
      </c>
      <c r="E240" s="544"/>
      <c r="F240" s="544"/>
      <c r="G240" s="544"/>
      <c r="H240" s="544"/>
      <c r="I240" s="544"/>
      <c r="J240" s="544"/>
      <c r="K240" s="544"/>
      <c r="L240" s="544"/>
      <c r="M240" s="544"/>
      <c r="N240" s="544"/>
      <c r="O240" s="544"/>
      <c r="P240" s="545"/>
      <c r="U240" s="175"/>
    </row>
    <row r="241" spans="4:21" ht="33" customHeight="1" x14ac:dyDescent="0.15">
      <c r="D241" s="543" t="s">
        <v>269</v>
      </c>
      <c r="E241" s="544"/>
      <c r="F241" s="544"/>
      <c r="G241" s="544"/>
      <c r="H241" s="544"/>
      <c r="I241" s="544"/>
      <c r="J241" s="544"/>
      <c r="K241" s="544"/>
      <c r="L241" s="544"/>
      <c r="M241" s="544"/>
      <c r="N241" s="544"/>
      <c r="O241" s="544"/>
      <c r="P241" s="545"/>
      <c r="U241" s="175"/>
    </row>
    <row r="242" spans="4:21" ht="23.25" customHeight="1" x14ac:dyDescent="0.15">
      <c r="D242" s="527" t="s">
        <v>270</v>
      </c>
      <c r="E242" s="528"/>
      <c r="F242" s="528"/>
      <c r="G242" s="528"/>
      <c r="H242" s="528"/>
      <c r="I242" s="528"/>
      <c r="J242" s="528"/>
      <c r="K242" s="528"/>
      <c r="L242" s="528"/>
      <c r="M242" s="528"/>
      <c r="N242" s="528"/>
      <c r="O242" s="528"/>
      <c r="P242" s="529"/>
      <c r="U242" s="175"/>
    </row>
    <row r="243" spans="4:21" x14ac:dyDescent="0.15">
      <c r="U243" s="175"/>
    </row>
    <row r="244" spans="4:21" x14ac:dyDescent="0.15">
      <c r="U244" s="175"/>
    </row>
    <row r="245" spans="4:21" x14ac:dyDescent="0.15">
      <c r="U245" s="175"/>
    </row>
    <row r="246" spans="4:21" x14ac:dyDescent="0.15">
      <c r="U246" s="178"/>
    </row>
    <row r="247" spans="4:21" x14ac:dyDescent="0.15">
      <c r="U247" s="179"/>
    </row>
  </sheetData>
  <sheetProtection formatRows="0" autoFilter="0"/>
  <autoFilter ref="A3:AC225" xr:uid="{DB0BEFE3-6641-46F7-8B4F-3B8091E0F087}">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296">
    <mergeCell ref="D164:P164"/>
    <mergeCell ref="D165:P165"/>
    <mergeCell ref="D166:P166"/>
    <mergeCell ref="D167:P167"/>
    <mergeCell ref="D168:J168"/>
    <mergeCell ref="D175:J175"/>
    <mergeCell ref="K175:P175"/>
    <mergeCell ref="D176:J176"/>
    <mergeCell ref="D204:P204"/>
    <mergeCell ref="D200:P200"/>
    <mergeCell ref="D201:P201"/>
    <mergeCell ref="D202:P202"/>
    <mergeCell ref="D203:P203"/>
    <mergeCell ref="F192:P192"/>
    <mergeCell ref="F193:P193"/>
    <mergeCell ref="F194:P194"/>
    <mergeCell ref="E189:P189"/>
    <mergeCell ref="E190:P190"/>
    <mergeCell ref="E191:P191"/>
    <mergeCell ref="D177:J177"/>
    <mergeCell ref="K177:P177"/>
    <mergeCell ref="D178:P178"/>
    <mergeCell ref="D174:P174"/>
    <mergeCell ref="K176:P176"/>
    <mergeCell ref="D52:P52"/>
    <mergeCell ref="D58:P58"/>
    <mergeCell ref="D59:P59"/>
    <mergeCell ref="D60:J60"/>
    <mergeCell ref="K60:P60"/>
    <mergeCell ref="D61:J61"/>
    <mergeCell ref="D214:P214"/>
    <mergeCell ref="D181:P181"/>
    <mergeCell ref="E188:P188"/>
    <mergeCell ref="D208:P208"/>
    <mergeCell ref="D209:P209"/>
    <mergeCell ref="D210:P210"/>
    <mergeCell ref="D211:P211"/>
    <mergeCell ref="D206:P206"/>
    <mergeCell ref="D199:P199"/>
    <mergeCell ref="D182:P182"/>
    <mergeCell ref="D198:O198"/>
    <mergeCell ref="D195:P195"/>
    <mergeCell ref="D196:P196"/>
    <mergeCell ref="D205:P205"/>
    <mergeCell ref="D197:G197"/>
    <mergeCell ref="H197:K197"/>
    <mergeCell ref="L197:P197"/>
    <mergeCell ref="D207:P207"/>
    <mergeCell ref="D47:P47"/>
    <mergeCell ref="D1:G1"/>
    <mergeCell ref="H1:P1"/>
    <mergeCell ref="D48:P48"/>
    <mergeCell ref="D49:P49"/>
    <mergeCell ref="D99:P99"/>
    <mergeCell ref="D37:P37"/>
    <mergeCell ref="D31:P31"/>
    <mergeCell ref="D35:P35"/>
    <mergeCell ref="H32:P32"/>
    <mergeCell ref="D74:P74"/>
    <mergeCell ref="D43:P43"/>
    <mergeCell ref="N44:O44"/>
    <mergeCell ref="D45:P45"/>
    <mergeCell ref="D46:P46"/>
    <mergeCell ref="D41:P41"/>
    <mergeCell ref="D42:P42"/>
    <mergeCell ref="D75:P75"/>
    <mergeCell ref="D39:P39"/>
    <mergeCell ref="D36:P36"/>
    <mergeCell ref="D40:P40"/>
    <mergeCell ref="D32:G32"/>
    <mergeCell ref="D50:P50"/>
    <mergeCell ref="D51:P51"/>
    <mergeCell ref="D79:J79"/>
    <mergeCell ref="K79:P79"/>
    <mergeCell ref="D80:J80"/>
    <mergeCell ref="D3:P3"/>
    <mergeCell ref="D4:P4"/>
    <mergeCell ref="D30:P30"/>
    <mergeCell ref="D7:P7"/>
    <mergeCell ref="D8:P8"/>
    <mergeCell ref="D9:P9"/>
    <mergeCell ref="D10:P10"/>
    <mergeCell ref="D11:P11"/>
    <mergeCell ref="D12:F12"/>
    <mergeCell ref="G12:P12"/>
    <mergeCell ref="D5:P5"/>
    <mergeCell ref="D6:P6"/>
    <mergeCell ref="D38:P38"/>
    <mergeCell ref="D57:P57"/>
    <mergeCell ref="D56:P56"/>
    <mergeCell ref="D53:J53"/>
    <mergeCell ref="K53:P53"/>
    <mergeCell ref="D55:J55"/>
    <mergeCell ref="K55:P55"/>
    <mergeCell ref="D54:J54"/>
    <mergeCell ref="K54:P54"/>
    <mergeCell ref="D68:J68"/>
    <mergeCell ref="K68:P68"/>
    <mergeCell ref="D69:J69"/>
    <mergeCell ref="K69:P69"/>
    <mergeCell ref="D70:P70"/>
    <mergeCell ref="D71:P71"/>
    <mergeCell ref="D76:P76"/>
    <mergeCell ref="D77:P77"/>
    <mergeCell ref="D78:P78"/>
    <mergeCell ref="D73:P73"/>
    <mergeCell ref="D72:P72"/>
    <mergeCell ref="K61:P61"/>
    <mergeCell ref="D62:J62"/>
    <mergeCell ref="K62:P62"/>
    <mergeCell ref="D63:P63"/>
    <mergeCell ref="D64:P64"/>
    <mergeCell ref="D65:P65"/>
    <mergeCell ref="D66:P66"/>
    <mergeCell ref="D67:J67"/>
    <mergeCell ref="K67:P67"/>
    <mergeCell ref="K80:P80"/>
    <mergeCell ref="D81:J81"/>
    <mergeCell ref="K81:P81"/>
    <mergeCell ref="D82:P82"/>
    <mergeCell ref="D83:P83"/>
    <mergeCell ref="D84:P84"/>
    <mergeCell ref="D85:P85"/>
    <mergeCell ref="D86:J86"/>
    <mergeCell ref="K86:P86"/>
    <mergeCell ref="D87:J87"/>
    <mergeCell ref="K87:P87"/>
    <mergeCell ref="D88:J88"/>
    <mergeCell ref="K88:P88"/>
    <mergeCell ref="D89:P89"/>
    <mergeCell ref="D90:P90"/>
    <mergeCell ref="D91:P91"/>
    <mergeCell ref="D92:P92"/>
    <mergeCell ref="D93:J93"/>
    <mergeCell ref="K93:P93"/>
    <mergeCell ref="D94:J94"/>
    <mergeCell ref="K94:P94"/>
    <mergeCell ref="D95:J95"/>
    <mergeCell ref="K95:P95"/>
    <mergeCell ref="D96:P96"/>
    <mergeCell ref="D97:P97"/>
    <mergeCell ref="D102:P102"/>
    <mergeCell ref="D103:P103"/>
    <mergeCell ref="D104:P104"/>
    <mergeCell ref="D105:J105"/>
    <mergeCell ref="K105:P105"/>
    <mergeCell ref="D106:J106"/>
    <mergeCell ref="K106:P106"/>
    <mergeCell ref="D107:J107"/>
    <mergeCell ref="K107:P107"/>
    <mergeCell ref="D98:P98"/>
    <mergeCell ref="D101:P101"/>
    <mergeCell ref="D100:P100"/>
    <mergeCell ref="D108:P108"/>
    <mergeCell ref="D109:P109"/>
    <mergeCell ref="D110:P110"/>
    <mergeCell ref="D111:P111"/>
    <mergeCell ref="D112:J112"/>
    <mergeCell ref="K112:P112"/>
    <mergeCell ref="D113:J113"/>
    <mergeCell ref="K113:P113"/>
    <mergeCell ref="D114:J114"/>
    <mergeCell ref="K114:P114"/>
    <mergeCell ref="D115:P115"/>
    <mergeCell ref="D116:P116"/>
    <mergeCell ref="D117:P117"/>
    <mergeCell ref="D118:P118"/>
    <mergeCell ref="D119:J119"/>
    <mergeCell ref="K119:P119"/>
    <mergeCell ref="D120:J120"/>
    <mergeCell ref="K120:P120"/>
    <mergeCell ref="D121:J121"/>
    <mergeCell ref="K121:P121"/>
    <mergeCell ref="D122:P122"/>
    <mergeCell ref="D123:P123"/>
    <mergeCell ref="D128:P128"/>
    <mergeCell ref="D129:P129"/>
    <mergeCell ref="D130:P130"/>
    <mergeCell ref="D126:P126"/>
    <mergeCell ref="D125:P125"/>
    <mergeCell ref="D124:P124"/>
    <mergeCell ref="D127:P127"/>
    <mergeCell ref="K131:P131"/>
    <mergeCell ref="D132:J132"/>
    <mergeCell ref="K132:P132"/>
    <mergeCell ref="D133:J133"/>
    <mergeCell ref="K133:P133"/>
    <mergeCell ref="D134:P134"/>
    <mergeCell ref="D135:P135"/>
    <mergeCell ref="D136:P136"/>
    <mergeCell ref="K146:P146"/>
    <mergeCell ref="D143:P143"/>
    <mergeCell ref="D144:P144"/>
    <mergeCell ref="D145:J145"/>
    <mergeCell ref="K145:P145"/>
    <mergeCell ref="D146:J146"/>
    <mergeCell ref="D137:P137"/>
    <mergeCell ref="D138:J138"/>
    <mergeCell ref="K138:P138"/>
    <mergeCell ref="D139:J139"/>
    <mergeCell ref="K139:P139"/>
    <mergeCell ref="D140:J140"/>
    <mergeCell ref="K140:P140"/>
    <mergeCell ref="D141:P141"/>
    <mergeCell ref="D142:P142"/>
    <mergeCell ref="D131:J131"/>
    <mergeCell ref="D147:J147"/>
    <mergeCell ref="K147:P147"/>
    <mergeCell ref="D148:P148"/>
    <mergeCell ref="K162:P162"/>
    <mergeCell ref="D163:J163"/>
    <mergeCell ref="K163:P163"/>
    <mergeCell ref="E151:P151"/>
    <mergeCell ref="E152:P152"/>
    <mergeCell ref="E153:P153"/>
    <mergeCell ref="E154:P154"/>
    <mergeCell ref="E155:P155"/>
    <mergeCell ref="E156:P156"/>
    <mergeCell ref="E157:P157"/>
    <mergeCell ref="D150:P150"/>
    <mergeCell ref="D242:P242"/>
    <mergeCell ref="D237:P237"/>
    <mergeCell ref="D233:P233"/>
    <mergeCell ref="D235:P235"/>
    <mergeCell ref="D236:P236"/>
    <mergeCell ref="D227:P227"/>
    <mergeCell ref="D228:P228"/>
    <mergeCell ref="D229:P229"/>
    <mergeCell ref="D230:P230"/>
    <mergeCell ref="D231:P231"/>
    <mergeCell ref="D240:P240"/>
    <mergeCell ref="D241:P241"/>
    <mergeCell ref="D222:P222"/>
    <mergeCell ref="D215:P215"/>
    <mergeCell ref="D217:P217"/>
    <mergeCell ref="D179:P179"/>
    <mergeCell ref="D180:P180"/>
    <mergeCell ref="D186:P186"/>
    <mergeCell ref="E184:P184"/>
    <mergeCell ref="E185:P185"/>
    <mergeCell ref="E187:P187"/>
    <mergeCell ref="D218:P218"/>
    <mergeCell ref="D219:P219"/>
    <mergeCell ref="D220:P220"/>
    <mergeCell ref="D216:P216"/>
    <mergeCell ref="D221:P221"/>
    <mergeCell ref="D212:P212"/>
    <mergeCell ref="D213:P213"/>
    <mergeCell ref="D28:H28"/>
    <mergeCell ref="D27:H27"/>
    <mergeCell ref="D34:P34"/>
    <mergeCell ref="D234:P234"/>
    <mergeCell ref="D238:P238"/>
    <mergeCell ref="D239:P239"/>
    <mergeCell ref="K168:P168"/>
    <mergeCell ref="D169:J169"/>
    <mergeCell ref="K169:P169"/>
    <mergeCell ref="D170:J170"/>
    <mergeCell ref="K170:P170"/>
    <mergeCell ref="D171:P171"/>
    <mergeCell ref="D172:P172"/>
    <mergeCell ref="D173:P173"/>
    <mergeCell ref="D149:P149"/>
    <mergeCell ref="D158:P158"/>
    <mergeCell ref="D159:P159"/>
    <mergeCell ref="D160:P160"/>
    <mergeCell ref="D161:J161"/>
    <mergeCell ref="K161:P161"/>
    <mergeCell ref="D162:J162"/>
    <mergeCell ref="D223:O223"/>
    <mergeCell ref="D224:O224"/>
    <mergeCell ref="D225:O225"/>
    <mergeCell ref="D14:P14"/>
    <mergeCell ref="D13:P13"/>
    <mergeCell ref="D15:G15"/>
    <mergeCell ref="D16:G16"/>
    <mergeCell ref="D17:G17"/>
    <mergeCell ref="H15:P15"/>
    <mergeCell ref="H16:P16"/>
    <mergeCell ref="D18:P18"/>
    <mergeCell ref="D33:P33"/>
    <mergeCell ref="I27:P27"/>
    <mergeCell ref="I28:P28"/>
    <mergeCell ref="I29:P29"/>
    <mergeCell ref="D19:P19"/>
    <mergeCell ref="D20:P20"/>
    <mergeCell ref="D21:P21"/>
    <mergeCell ref="D22:J22"/>
    <mergeCell ref="K22:P22"/>
    <mergeCell ref="D23:J23"/>
    <mergeCell ref="K23:P23"/>
    <mergeCell ref="D24:J24"/>
    <mergeCell ref="K24:P24"/>
    <mergeCell ref="D25:P25"/>
    <mergeCell ref="D26:P26"/>
    <mergeCell ref="D29:H29"/>
  </mergeCells>
  <conditionalFormatting sqref="H1:H2">
    <cfRule type="cellIs" dxfId="270" priority="293" operator="equal">
      <formula>"SHEET COMPLETE"</formula>
    </cfRule>
    <cfRule type="cellIs" dxfId="269" priority="294" operator="equal">
      <formula>"SHEET NOT COMPLETE"</formula>
    </cfRule>
  </conditionalFormatting>
  <conditionalFormatting sqref="H32:P32 B181 B41:B45 H15:H17">
    <cfRule type="containsBlanks" dxfId="268" priority="292">
      <formula>LEN(TRIM(B15))=0</formula>
    </cfRule>
  </conditionalFormatting>
  <conditionalFormatting sqref="D47:P47">
    <cfRule type="containsBlanks" dxfId="267" priority="291">
      <formula>LEN(TRIM(D47))=0</formula>
    </cfRule>
  </conditionalFormatting>
  <conditionalFormatting sqref="D48:P49">
    <cfRule type="containsBlanks" dxfId="266" priority="290">
      <formula>LEN(TRIM(D48))=0</formula>
    </cfRule>
  </conditionalFormatting>
  <conditionalFormatting sqref="D99:P101">
    <cfRule type="containsBlanks" dxfId="265" priority="289">
      <formula>LEN(TRIM(D99))=0</formula>
    </cfRule>
  </conditionalFormatting>
  <conditionalFormatting sqref="D125:P127">
    <cfRule type="containsBlanks" dxfId="264" priority="288">
      <formula>LEN(TRIM(D125))=0</formula>
    </cfRule>
  </conditionalFormatting>
  <conditionalFormatting sqref="E155:E157">
    <cfRule type="containsBlanks" dxfId="263" priority="287">
      <formula>LEN(TRIM(E155))=0</formula>
    </cfRule>
  </conditionalFormatting>
  <conditionalFormatting sqref="D73:P73">
    <cfRule type="containsBlanks" dxfId="262" priority="285">
      <formula>LEN(TRIM(D73))=0</formula>
    </cfRule>
  </conditionalFormatting>
  <conditionalFormatting sqref="D74:P75">
    <cfRule type="containsBlanks" dxfId="261" priority="284">
      <formula>LEN(TRIM(D74))=0</formula>
    </cfRule>
  </conditionalFormatting>
  <conditionalFormatting sqref="F192:F194">
    <cfRule type="containsBlanks" dxfId="260" priority="283">
      <formula>LEN(TRIM(F192))=0</formula>
    </cfRule>
  </conditionalFormatting>
  <conditionalFormatting sqref="B151:B153">
    <cfRule type="containsBlanks" dxfId="259" priority="281">
      <formula>LEN(TRIM(B151))=0</formula>
    </cfRule>
  </conditionalFormatting>
  <conditionalFormatting sqref="B182:B191">
    <cfRule type="containsBlanks" dxfId="258" priority="280">
      <formula>LEN(TRIM(B182))=0</formula>
    </cfRule>
  </conditionalFormatting>
  <conditionalFormatting sqref="B192:B194">
    <cfRule type="containsBlanks" dxfId="257" priority="279">
      <formula>LEN(TRIM(B192))=0</formula>
    </cfRule>
  </conditionalFormatting>
  <conditionalFormatting sqref="B46:B49 B72:B75 B98:B101 B124:B127 B150">
    <cfRule type="containsBlanks" dxfId="256" priority="277">
      <formula>LEN(TRIM(B46))=0</formula>
    </cfRule>
  </conditionalFormatting>
  <conditionalFormatting sqref="B155:B157">
    <cfRule type="containsBlanks" dxfId="255" priority="276">
      <formula>LEN(TRIM(B155))=0</formula>
    </cfRule>
  </conditionalFormatting>
  <conditionalFormatting sqref="D53:J53">
    <cfRule type="cellIs" dxfId="254" priority="273" operator="equal">
      <formula>"Show"</formula>
    </cfRule>
    <cfRule type="cellIs" dxfId="253" priority="274" operator="equal">
      <formula>"Hide"</formula>
    </cfRule>
    <cfRule type="containsBlanks" dxfId="252" priority="275">
      <formula>LEN(TRIM(D53))=0</formula>
    </cfRule>
  </conditionalFormatting>
  <conditionalFormatting sqref="D53:J53">
    <cfRule type="expression" dxfId="251" priority="272">
      <formula>OR(D53="Show",D53="Hide")</formula>
    </cfRule>
  </conditionalFormatting>
  <conditionalFormatting sqref="K53:P53">
    <cfRule type="cellIs" dxfId="250" priority="269" operator="equal">
      <formula>"Show"</formula>
    </cfRule>
    <cfRule type="cellIs" dxfId="249" priority="270" operator="equal">
      <formula>"Hide"</formula>
    </cfRule>
    <cfRule type="containsBlanks" dxfId="248" priority="271">
      <formula>LEN(TRIM(K53))=0</formula>
    </cfRule>
  </conditionalFormatting>
  <conditionalFormatting sqref="K53:P53">
    <cfRule type="expression" dxfId="247" priority="268">
      <formula>OR(K53="Show",K53="Hide")</formula>
    </cfRule>
  </conditionalFormatting>
  <conditionalFormatting sqref="D55:J55">
    <cfRule type="expression" dxfId="246" priority="252">
      <formula>OR(D53="Hide",D53="Show")</formula>
    </cfRule>
    <cfRule type="expression" dxfId="245" priority="259">
      <formula>AND(D53="Show",D55="")</formula>
    </cfRule>
  </conditionalFormatting>
  <conditionalFormatting sqref="K55:P55">
    <cfRule type="expression" dxfId="244" priority="250">
      <formula>OR(K53="Hide",K53="Show")</formula>
    </cfRule>
    <cfRule type="expression" dxfId="243" priority="257">
      <formula>AND(K53="Show",K55="")</formula>
    </cfRule>
  </conditionalFormatting>
  <conditionalFormatting sqref="B53">
    <cfRule type="containsBlanks" dxfId="242" priority="254">
      <formula>LEN(TRIM(B53))=0</formula>
    </cfRule>
  </conditionalFormatting>
  <conditionalFormatting sqref="D54:J54">
    <cfRule type="expression" dxfId="241" priority="253">
      <formula>OR(D53="Hide",D53="Show")</formula>
    </cfRule>
  </conditionalFormatting>
  <conditionalFormatting sqref="K54:P54">
    <cfRule type="expression" dxfId="240" priority="251">
      <formula>OR(K53="Hide",K53="Show")</formula>
    </cfRule>
  </conditionalFormatting>
  <conditionalFormatting sqref="D60:J60">
    <cfRule type="cellIs" dxfId="239" priority="247" operator="equal">
      <formula>"Show"</formula>
    </cfRule>
    <cfRule type="cellIs" dxfId="238" priority="248" operator="equal">
      <formula>"Hide"</formula>
    </cfRule>
    <cfRule type="containsBlanks" dxfId="237" priority="249">
      <formula>LEN(TRIM(D60))=0</formula>
    </cfRule>
  </conditionalFormatting>
  <conditionalFormatting sqref="D60:J60">
    <cfRule type="expression" dxfId="236" priority="246">
      <formula>OR(D60="Show",D60="Hide")</formula>
    </cfRule>
  </conditionalFormatting>
  <conditionalFormatting sqref="K60:P60">
    <cfRule type="cellIs" dxfId="235" priority="243" operator="equal">
      <formula>"Show"</formula>
    </cfRule>
    <cfRule type="cellIs" dxfId="234" priority="244" operator="equal">
      <formula>"Hide"</formula>
    </cfRule>
    <cfRule type="containsBlanks" dxfId="233" priority="245">
      <formula>LEN(TRIM(K60))=0</formula>
    </cfRule>
  </conditionalFormatting>
  <conditionalFormatting sqref="K60:P60">
    <cfRule type="expression" dxfId="232" priority="242">
      <formula>OR(K60="Show",K60="Hide")</formula>
    </cfRule>
  </conditionalFormatting>
  <conditionalFormatting sqref="D62:J62">
    <cfRule type="expression" dxfId="231" priority="237">
      <formula>OR(D60="Hide",D60="Show")</formula>
    </cfRule>
    <cfRule type="expression" dxfId="230" priority="241">
      <formula>AND(D60="Show",D62="")</formula>
    </cfRule>
  </conditionalFormatting>
  <conditionalFormatting sqref="K62:P62">
    <cfRule type="expression" dxfId="229" priority="235">
      <formula>OR(K60="Hide",K60="Show")</formula>
    </cfRule>
    <cfRule type="expression" dxfId="228" priority="240">
      <formula>AND(K60="Show",K62="")</formula>
    </cfRule>
  </conditionalFormatting>
  <conditionalFormatting sqref="D61:J61">
    <cfRule type="expression" dxfId="227" priority="238">
      <formula>OR(D60="Hide",D60="Show")</formula>
    </cfRule>
  </conditionalFormatting>
  <conditionalFormatting sqref="K61:P61">
    <cfRule type="expression" dxfId="226" priority="236">
      <formula>OR(K60="Hide",K60="Show")</formula>
    </cfRule>
  </conditionalFormatting>
  <conditionalFormatting sqref="D67:J67">
    <cfRule type="cellIs" dxfId="225" priority="232" operator="equal">
      <formula>"Show"</formula>
    </cfRule>
    <cfRule type="cellIs" dxfId="224" priority="233" operator="equal">
      <formula>"Hide"</formula>
    </cfRule>
    <cfRule type="containsBlanks" dxfId="223" priority="234">
      <formula>LEN(TRIM(D67))=0</formula>
    </cfRule>
  </conditionalFormatting>
  <conditionalFormatting sqref="D67:J67">
    <cfRule type="expression" dxfId="222" priority="231">
      <formula>OR(D67="Show",D67="Hide")</formula>
    </cfRule>
  </conditionalFormatting>
  <conditionalFormatting sqref="K67:P67">
    <cfRule type="cellIs" dxfId="221" priority="228" operator="equal">
      <formula>"Show"</formula>
    </cfRule>
    <cfRule type="cellIs" dxfId="220" priority="229" operator="equal">
      <formula>"Hide"</formula>
    </cfRule>
    <cfRule type="containsBlanks" dxfId="219" priority="230">
      <formula>LEN(TRIM(K67))=0</formula>
    </cfRule>
  </conditionalFormatting>
  <conditionalFormatting sqref="K67:P67">
    <cfRule type="expression" dxfId="218" priority="227">
      <formula>OR(K67="Show",K67="Hide")</formula>
    </cfRule>
  </conditionalFormatting>
  <conditionalFormatting sqref="D69:J69">
    <cfRule type="expression" dxfId="217" priority="222">
      <formula>OR(D67="Hide",D67="Show")</formula>
    </cfRule>
    <cfRule type="expression" dxfId="216" priority="226">
      <formula>AND(D67="Show",D69="")</formula>
    </cfRule>
  </conditionalFormatting>
  <conditionalFormatting sqref="K69:P69">
    <cfRule type="expression" dxfId="215" priority="220">
      <formula>OR(K67="Hide",K67="Show")</formula>
    </cfRule>
    <cfRule type="expression" dxfId="214" priority="225">
      <formula>AND(K67="Show",K69="")</formula>
    </cfRule>
  </conditionalFormatting>
  <conditionalFormatting sqref="D68:J68">
    <cfRule type="expression" dxfId="213" priority="223">
      <formula>OR(D67="Hide",D67="Show")</formula>
    </cfRule>
  </conditionalFormatting>
  <conditionalFormatting sqref="K68:P68">
    <cfRule type="expression" dxfId="212" priority="221">
      <formula>OR(K67="Hide",K67="Show")</formula>
    </cfRule>
  </conditionalFormatting>
  <conditionalFormatting sqref="D79:J79">
    <cfRule type="cellIs" dxfId="211" priority="217" operator="equal">
      <formula>"Show"</formula>
    </cfRule>
    <cfRule type="cellIs" dxfId="210" priority="218" operator="equal">
      <formula>"Hide"</formula>
    </cfRule>
    <cfRule type="containsBlanks" dxfId="209" priority="219">
      <formula>LEN(TRIM(D79))=0</formula>
    </cfRule>
  </conditionalFormatting>
  <conditionalFormatting sqref="D79:J79">
    <cfRule type="expression" dxfId="208" priority="216">
      <formula>OR(D79="Show",D79="Hide")</formula>
    </cfRule>
  </conditionalFormatting>
  <conditionalFormatting sqref="K79:P79">
    <cfRule type="cellIs" dxfId="207" priority="213" operator="equal">
      <formula>"Show"</formula>
    </cfRule>
    <cfRule type="cellIs" dxfId="206" priority="214" operator="equal">
      <formula>"Hide"</formula>
    </cfRule>
    <cfRule type="containsBlanks" dxfId="205" priority="215">
      <formula>LEN(TRIM(K79))=0</formula>
    </cfRule>
  </conditionalFormatting>
  <conditionalFormatting sqref="K79:P79">
    <cfRule type="expression" dxfId="204" priority="212">
      <formula>OR(K79="Show",K79="Hide")</formula>
    </cfRule>
  </conditionalFormatting>
  <conditionalFormatting sqref="D81:J81">
    <cfRule type="expression" dxfId="203" priority="207">
      <formula>OR(D79="Hide",D79="Show")</formula>
    </cfRule>
    <cfRule type="expression" dxfId="202" priority="211">
      <formula>AND(D79="Show",D81="")</formula>
    </cfRule>
  </conditionalFormatting>
  <conditionalFormatting sqref="K81:P81">
    <cfRule type="expression" dxfId="201" priority="205">
      <formula>OR(K79="Hide",K79="Show")</formula>
    </cfRule>
    <cfRule type="expression" dxfId="200" priority="210">
      <formula>AND(K79="Show",K81="")</formula>
    </cfRule>
  </conditionalFormatting>
  <conditionalFormatting sqref="D80:J80">
    <cfRule type="expression" dxfId="199" priority="208">
      <formula>OR(D79="Hide",D79="Show")</formula>
    </cfRule>
  </conditionalFormatting>
  <conditionalFormatting sqref="K80:P80">
    <cfRule type="expression" dxfId="198" priority="206">
      <formula>OR(K79="Hide",K79="Show")</formula>
    </cfRule>
  </conditionalFormatting>
  <conditionalFormatting sqref="D86:J86">
    <cfRule type="cellIs" dxfId="197" priority="202" operator="equal">
      <formula>"Show"</formula>
    </cfRule>
    <cfRule type="cellIs" dxfId="196" priority="203" operator="equal">
      <formula>"Hide"</formula>
    </cfRule>
    <cfRule type="containsBlanks" dxfId="195" priority="204">
      <formula>LEN(TRIM(D86))=0</formula>
    </cfRule>
  </conditionalFormatting>
  <conditionalFormatting sqref="D86:J86">
    <cfRule type="expression" dxfId="194" priority="201">
      <formula>OR(D86="Show",D86="Hide")</formula>
    </cfRule>
  </conditionalFormatting>
  <conditionalFormatting sqref="K86:P86">
    <cfRule type="cellIs" dxfId="193" priority="198" operator="equal">
      <formula>"Show"</formula>
    </cfRule>
    <cfRule type="cellIs" dxfId="192" priority="199" operator="equal">
      <formula>"Hide"</formula>
    </cfRule>
    <cfRule type="containsBlanks" dxfId="191" priority="200">
      <formula>LEN(TRIM(K86))=0</formula>
    </cfRule>
  </conditionalFormatting>
  <conditionalFormatting sqref="K86:P86">
    <cfRule type="expression" dxfId="190" priority="197">
      <formula>OR(K86="Show",K86="Hide")</formula>
    </cfRule>
  </conditionalFormatting>
  <conditionalFormatting sqref="D88:J88">
    <cfRule type="expression" dxfId="189" priority="192">
      <formula>OR(D86="Hide",D86="Show")</formula>
    </cfRule>
    <cfRule type="expression" dxfId="188" priority="196">
      <formula>AND(D86="Show",D88="")</formula>
    </cfRule>
  </conditionalFormatting>
  <conditionalFormatting sqref="K88:P88">
    <cfRule type="expression" dxfId="187" priority="190">
      <formula>OR(K86="Hide",K86="Show")</formula>
    </cfRule>
    <cfRule type="expression" dxfId="186" priority="195">
      <formula>AND(K86="Show",K88="")</formula>
    </cfRule>
  </conditionalFormatting>
  <conditionalFormatting sqref="D87:J87">
    <cfRule type="expression" dxfId="185" priority="193">
      <formula>OR(D86="Hide",D86="Show")</formula>
    </cfRule>
  </conditionalFormatting>
  <conditionalFormatting sqref="K87:P87">
    <cfRule type="expression" dxfId="184" priority="191">
      <formula>OR(K86="Hide",K86="Show")</formula>
    </cfRule>
  </conditionalFormatting>
  <conditionalFormatting sqref="D93:J93">
    <cfRule type="cellIs" dxfId="183" priority="187" operator="equal">
      <formula>"Show"</formula>
    </cfRule>
    <cfRule type="cellIs" dxfId="182" priority="188" operator="equal">
      <formula>"Hide"</formula>
    </cfRule>
    <cfRule type="containsBlanks" dxfId="181" priority="189">
      <formula>LEN(TRIM(D93))=0</formula>
    </cfRule>
  </conditionalFormatting>
  <conditionalFormatting sqref="D93:J93">
    <cfRule type="expression" dxfId="180" priority="186">
      <formula>OR(D93="Show",D93="Hide")</formula>
    </cfRule>
  </conditionalFormatting>
  <conditionalFormatting sqref="K93:P93">
    <cfRule type="cellIs" dxfId="179" priority="183" operator="equal">
      <formula>"Show"</formula>
    </cfRule>
    <cfRule type="cellIs" dxfId="178" priority="184" operator="equal">
      <formula>"Hide"</formula>
    </cfRule>
    <cfRule type="containsBlanks" dxfId="177" priority="185">
      <formula>LEN(TRIM(K93))=0</formula>
    </cfRule>
  </conditionalFormatting>
  <conditionalFormatting sqref="K93:P93">
    <cfRule type="expression" dxfId="176" priority="182">
      <formula>OR(K93="Show",K93="Hide")</formula>
    </cfRule>
  </conditionalFormatting>
  <conditionalFormatting sqref="D95:J95">
    <cfRule type="expression" dxfId="175" priority="177">
      <formula>OR(D93="Hide",D93="Show")</formula>
    </cfRule>
    <cfRule type="expression" dxfId="174" priority="181">
      <formula>AND(D93="Show",D95="")</formula>
    </cfRule>
  </conditionalFormatting>
  <conditionalFormatting sqref="K95:P95">
    <cfRule type="expression" dxfId="173" priority="175">
      <formula>OR(K93="Hide",K93="Show")</formula>
    </cfRule>
    <cfRule type="expression" dxfId="172" priority="180">
      <formula>AND(K93="Show",K95="")</formula>
    </cfRule>
  </conditionalFormatting>
  <conditionalFormatting sqref="D94:J94">
    <cfRule type="expression" dxfId="171" priority="178">
      <formula>OR(D93="Hide",D93="Show")</formula>
    </cfRule>
  </conditionalFormatting>
  <conditionalFormatting sqref="K94:P94">
    <cfRule type="expression" dxfId="170" priority="176">
      <formula>OR(K93="Hide",K93="Show")</formula>
    </cfRule>
  </conditionalFormatting>
  <conditionalFormatting sqref="D105:J105">
    <cfRule type="cellIs" dxfId="169" priority="172" operator="equal">
      <formula>"Show"</formula>
    </cfRule>
    <cfRule type="cellIs" dxfId="168" priority="173" operator="equal">
      <formula>"Hide"</formula>
    </cfRule>
    <cfRule type="containsBlanks" dxfId="167" priority="174">
      <formula>LEN(TRIM(D105))=0</formula>
    </cfRule>
  </conditionalFormatting>
  <conditionalFormatting sqref="D105:J105">
    <cfRule type="expression" dxfId="166" priority="171">
      <formula>OR(D105="Show",D105="Hide")</formula>
    </cfRule>
  </conditionalFormatting>
  <conditionalFormatting sqref="K105:P105">
    <cfRule type="cellIs" dxfId="165" priority="168" operator="equal">
      <formula>"Show"</formula>
    </cfRule>
    <cfRule type="cellIs" dxfId="164" priority="169" operator="equal">
      <formula>"Hide"</formula>
    </cfRule>
    <cfRule type="containsBlanks" dxfId="163" priority="170">
      <formula>LEN(TRIM(K105))=0</formula>
    </cfRule>
  </conditionalFormatting>
  <conditionalFormatting sqref="K105:P105">
    <cfRule type="expression" dxfId="162" priority="167">
      <formula>OR(K105="Show",K105="Hide")</formula>
    </cfRule>
  </conditionalFormatting>
  <conditionalFormatting sqref="D107:J107">
    <cfRule type="expression" dxfId="161" priority="162">
      <formula>OR(D105="Hide",D105="Show")</formula>
    </cfRule>
    <cfRule type="expression" dxfId="160" priority="166">
      <formula>AND(D105="Show",D107="")</formula>
    </cfRule>
  </conditionalFormatting>
  <conditionalFormatting sqref="K107:P107">
    <cfRule type="expression" dxfId="159" priority="160">
      <formula>OR(K105="Hide",K105="Show")</formula>
    </cfRule>
    <cfRule type="expression" dxfId="158" priority="165">
      <formula>AND(K105="Show",K107="")</formula>
    </cfRule>
  </conditionalFormatting>
  <conditionalFormatting sqref="D106:J106">
    <cfRule type="expression" dxfId="157" priority="163">
      <formula>OR(D105="Hide",D105="Show")</formula>
    </cfRule>
  </conditionalFormatting>
  <conditionalFormatting sqref="K106:P106">
    <cfRule type="expression" dxfId="156" priority="161">
      <formula>OR(K105="Hide",K105="Show")</formula>
    </cfRule>
  </conditionalFormatting>
  <conditionalFormatting sqref="D112:J112">
    <cfRule type="cellIs" dxfId="155" priority="157" operator="equal">
      <formula>"Show"</formula>
    </cfRule>
    <cfRule type="cellIs" dxfId="154" priority="158" operator="equal">
      <formula>"Hide"</formula>
    </cfRule>
    <cfRule type="containsBlanks" dxfId="153" priority="159">
      <formula>LEN(TRIM(D112))=0</formula>
    </cfRule>
  </conditionalFormatting>
  <conditionalFormatting sqref="D112:J112">
    <cfRule type="expression" dxfId="152" priority="156">
      <formula>OR(D112="Show",D112="Hide")</formula>
    </cfRule>
  </conditionalFormatting>
  <conditionalFormatting sqref="K112:P112">
    <cfRule type="cellIs" dxfId="151" priority="153" operator="equal">
      <formula>"Show"</formula>
    </cfRule>
    <cfRule type="cellIs" dxfId="150" priority="154" operator="equal">
      <formula>"Hide"</formula>
    </cfRule>
    <cfRule type="containsBlanks" dxfId="149" priority="155">
      <formula>LEN(TRIM(K112))=0</formula>
    </cfRule>
  </conditionalFormatting>
  <conditionalFormatting sqref="K112:P112">
    <cfRule type="expression" dxfId="148" priority="152">
      <formula>OR(K112="Show",K112="Hide")</formula>
    </cfRule>
  </conditionalFormatting>
  <conditionalFormatting sqref="D114:J114">
    <cfRule type="expression" dxfId="147" priority="147">
      <formula>OR(D112="Hide",D112="Show")</formula>
    </cfRule>
    <cfRule type="expression" dxfId="146" priority="151">
      <formula>AND(D112="Show",D114="")</formula>
    </cfRule>
  </conditionalFormatting>
  <conditionalFormatting sqref="K114:P114">
    <cfRule type="expression" dxfId="145" priority="145">
      <formula>OR(K112="Hide",K112="Show")</formula>
    </cfRule>
    <cfRule type="expression" dxfId="144" priority="150">
      <formula>AND(K112="Show",K114="")</formula>
    </cfRule>
  </conditionalFormatting>
  <conditionalFormatting sqref="D113:J113">
    <cfRule type="expression" dxfId="143" priority="148">
      <formula>OR(D112="Hide",D112="Show")</formula>
    </cfRule>
  </conditionalFormatting>
  <conditionalFormatting sqref="K113:P113">
    <cfRule type="expression" dxfId="142" priority="146">
      <formula>OR(K112="Hide",K112="Show")</formula>
    </cfRule>
  </conditionalFormatting>
  <conditionalFormatting sqref="D119:J119">
    <cfRule type="cellIs" dxfId="141" priority="142" operator="equal">
      <formula>"Show"</formula>
    </cfRule>
    <cfRule type="cellIs" dxfId="140" priority="143" operator="equal">
      <formula>"Hide"</formula>
    </cfRule>
    <cfRule type="containsBlanks" dxfId="139" priority="144">
      <formula>LEN(TRIM(D119))=0</formula>
    </cfRule>
  </conditionalFormatting>
  <conditionalFormatting sqref="D119:J119">
    <cfRule type="expression" dxfId="138" priority="141">
      <formula>OR(D119="Show",D119="Hide")</formula>
    </cfRule>
  </conditionalFormatting>
  <conditionalFormatting sqref="K119:P119">
    <cfRule type="cellIs" dxfId="137" priority="138" operator="equal">
      <formula>"Show"</formula>
    </cfRule>
    <cfRule type="cellIs" dxfId="136" priority="139" operator="equal">
      <formula>"Hide"</formula>
    </cfRule>
    <cfRule type="containsBlanks" dxfId="135" priority="140">
      <formula>LEN(TRIM(K119))=0</formula>
    </cfRule>
  </conditionalFormatting>
  <conditionalFormatting sqref="K119:P119">
    <cfRule type="expression" dxfId="134" priority="137">
      <formula>OR(K119="Show",K119="Hide")</formula>
    </cfRule>
  </conditionalFormatting>
  <conditionalFormatting sqref="D121:J121">
    <cfRule type="expression" dxfId="133" priority="132">
      <formula>OR(D119="Hide",D119="Show")</formula>
    </cfRule>
    <cfRule type="expression" dxfId="132" priority="136">
      <formula>AND(D119="Show",D121="")</formula>
    </cfRule>
  </conditionalFormatting>
  <conditionalFormatting sqref="K121:P121">
    <cfRule type="expression" dxfId="131" priority="130">
      <formula>OR(K119="Hide",K119="Show")</formula>
    </cfRule>
    <cfRule type="expression" dxfId="130" priority="135">
      <formula>AND(K119="Show",K121="")</formula>
    </cfRule>
  </conditionalFormatting>
  <conditionalFormatting sqref="D120:J120">
    <cfRule type="expression" dxfId="129" priority="133">
      <formula>OR(D119="Hide",D119="Show")</formula>
    </cfRule>
  </conditionalFormatting>
  <conditionalFormatting sqref="K120:P120">
    <cfRule type="expression" dxfId="128" priority="131">
      <formula>OR(K119="Hide",K119="Show")</formula>
    </cfRule>
  </conditionalFormatting>
  <conditionalFormatting sqref="D131:J131">
    <cfRule type="cellIs" dxfId="127" priority="127" operator="equal">
      <formula>"Show"</formula>
    </cfRule>
    <cfRule type="cellIs" dxfId="126" priority="128" operator="equal">
      <formula>"Hide"</formula>
    </cfRule>
    <cfRule type="containsBlanks" dxfId="125" priority="129">
      <formula>LEN(TRIM(D131))=0</formula>
    </cfRule>
  </conditionalFormatting>
  <conditionalFormatting sqref="D131:J131">
    <cfRule type="expression" dxfId="124" priority="126">
      <formula>OR(D131="Show",D131="Hide")</formula>
    </cfRule>
  </conditionalFormatting>
  <conditionalFormatting sqref="K131:P131">
    <cfRule type="cellIs" dxfId="123" priority="123" operator="equal">
      <formula>"Show"</formula>
    </cfRule>
    <cfRule type="cellIs" dxfId="122" priority="124" operator="equal">
      <formula>"Hide"</formula>
    </cfRule>
    <cfRule type="containsBlanks" dxfId="121" priority="125">
      <formula>LEN(TRIM(K131))=0</formula>
    </cfRule>
  </conditionalFormatting>
  <conditionalFormatting sqref="K131:P131">
    <cfRule type="expression" dxfId="120" priority="122">
      <formula>OR(K131="Show",K131="Hide")</formula>
    </cfRule>
  </conditionalFormatting>
  <conditionalFormatting sqref="D133:J133">
    <cfRule type="expression" dxfId="119" priority="117">
      <formula>OR(D131="Hide",D131="Show")</formula>
    </cfRule>
    <cfRule type="expression" dxfId="118" priority="121">
      <formula>AND(D131="Show",D133="")</formula>
    </cfRule>
  </conditionalFormatting>
  <conditionalFormatting sqref="K133:P133">
    <cfRule type="expression" dxfId="117" priority="115">
      <formula>OR(K131="Hide",K131="Show")</formula>
    </cfRule>
    <cfRule type="expression" dxfId="116" priority="120">
      <formula>AND(K131="Show",K133="")</formula>
    </cfRule>
  </conditionalFormatting>
  <conditionalFormatting sqref="D132:J132">
    <cfRule type="expression" dxfId="115" priority="118">
      <formula>OR(D131="Hide",D131="Show")</formula>
    </cfRule>
  </conditionalFormatting>
  <conditionalFormatting sqref="K132:P132">
    <cfRule type="expression" dxfId="114" priority="116">
      <formula>OR(K131="Hide",K131="Show")</formula>
    </cfRule>
  </conditionalFormatting>
  <conditionalFormatting sqref="D138:J138">
    <cfRule type="cellIs" dxfId="113" priority="112" operator="equal">
      <formula>"Show"</formula>
    </cfRule>
    <cfRule type="cellIs" dxfId="112" priority="113" operator="equal">
      <formula>"Hide"</formula>
    </cfRule>
    <cfRule type="containsBlanks" dxfId="111" priority="114">
      <formula>LEN(TRIM(D138))=0</formula>
    </cfRule>
  </conditionalFormatting>
  <conditionalFormatting sqref="D138:J138">
    <cfRule type="expression" dxfId="110" priority="111">
      <formula>OR(D138="Show",D138="Hide")</formula>
    </cfRule>
  </conditionalFormatting>
  <conditionalFormatting sqref="K138:P138">
    <cfRule type="cellIs" dxfId="109" priority="108" operator="equal">
      <formula>"Show"</formula>
    </cfRule>
    <cfRule type="cellIs" dxfId="108" priority="109" operator="equal">
      <formula>"Hide"</formula>
    </cfRule>
    <cfRule type="containsBlanks" dxfId="107" priority="110">
      <formula>LEN(TRIM(K138))=0</formula>
    </cfRule>
  </conditionalFormatting>
  <conditionalFormatting sqref="K138:P138">
    <cfRule type="expression" dxfId="106" priority="107">
      <formula>OR(K138="Show",K138="Hide")</formula>
    </cfRule>
  </conditionalFormatting>
  <conditionalFormatting sqref="D140:J140">
    <cfRule type="expression" dxfId="105" priority="102">
      <formula>OR(D138="Hide",D138="Show")</formula>
    </cfRule>
    <cfRule type="expression" dxfId="104" priority="106">
      <formula>AND(D138="Show",D140="")</formula>
    </cfRule>
  </conditionalFormatting>
  <conditionalFormatting sqref="K140:P140">
    <cfRule type="expression" dxfId="103" priority="100">
      <formula>OR(K138="Hide",K138="Show")</formula>
    </cfRule>
    <cfRule type="expression" dxfId="102" priority="105">
      <formula>AND(K138="Show",K140="")</formula>
    </cfRule>
  </conditionalFormatting>
  <conditionalFormatting sqref="D139:J139">
    <cfRule type="expression" dxfId="101" priority="103">
      <formula>OR(D138="Hide",D138="Show")</formula>
    </cfRule>
  </conditionalFormatting>
  <conditionalFormatting sqref="K139:P139">
    <cfRule type="expression" dxfId="100" priority="101">
      <formula>OR(K138="Hide",K138="Show")</formula>
    </cfRule>
  </conditionalFormatting>
  <conditionalFormatting sqref="D145:J145">
    <cfRule type="cellIs" dxfId="99" priority="97" operator="equal">
      <formula>"Show"</formula>
    </cfRule>
    <cfRule type="cellIs" dxfId="98" priority="98" operator="equal">
      <formula>"Hide"</formula>
    </cfRule>
    <cfRule type="containsBlanks" dxfId="97" priority="99">
      <formula>LEN(TRIM(D145))=0</formula>
    </cfRule>
  </conditionalFormatting>
  <conditionalFormatting sqref="D145:J145">
    <cfRule type="expression" dxfId="96" priority="96">
      <formula>OR(D145="Show",D145="Hide")</formula>
    </cfRule>
  </conditionalFormatting>
  <conditionalFormatting sqref="K145:P145">
    <cfRule type="cellIs" dxfId="95" priority="93" operator="equal">
      <formula>"Show"</formula>
    </cfRule>
    <cfRule type="cellIs" dxfId="94" priority="94" operator="equal">
      <formula>"Hide"</formula>
    </cfRule>
    <cfRule type="containsBlanks" dxfId="93" priority="95">
      <formula>LEN(TRIM(K145))=0</formula>
    </cfRule>
  </conditionalFormatting>
  <conditionalFormatting sqref="K145:P145">
    <cfRule type="expression" dxfId="92" priority="92">
      <formula>OR(K145="Show",K145="Hide")</formula>
    </cfRule>
  </conditionalFormatting>
  <conditionalFormatting sqref="D147:J147">
    <cfRule type="expression" dxfId="91" priority="87">
      <formula>OR(D145="Hide",D145="Show")</formula>
    </cfRule>
    <cfRule type="expression" dxfId="90" priority="91">
      <formula>AND(D145="Show",D147="")</formula>
    </cfRule>
  </conditionalFormatting>
  <conditionalFormatting sqref="K147:P147">
    <cfRule type="expression" dxfId="89" priority="85">
      <formula>OR(K145="Hide",K145="Show")</formula>
    </cfRule>
    <cfRule type="expression" dxfId="88" priority="90">
      <formula>AND(K145="Show",K147="")</formula>
    </cfRule>
  </conditionalFormatting>
  <conditionalFormatting sqref="D146:J146">
    <cfRule type="expression" dxfId="87" priority="88">
      <formula>OR(D145="Hide",D145="Show")</formula>
    </cfRule>
  </conditionalFormatting>
  <conditionalFormatting sqref="K146:P146">
    <cfRule type="expression" dxfId="86" priority="86">
      <formula>OR(K145="Hide",K145="Show")</formula>
    </cfRule>
  </conditionalFormatting>
  <conditionalFormatting sqref="D161:J161">
    <cfRule type="cellIs" dxfId="85" priority="82" operator="equal">
      <formula>"Show"</formula>
    </cfRule>
    <cfRule type="cellIs" dxfId="84" priority="83" operator="equal">
      <formula>"Hide"</formula>
    </cfRule>
    <cfRule type="containsBlanks" dxfId="83" priority="84">
      <formula>LEN(TRIM(D161))=0</formula>
    </cfRule>
  </conditionalFormatting>
  <conditionalFormatting sqref="D161:J161">
    <cfRule type="expression" dxfId="82" priority="81">
      <formula>OR(D161="Show",D161="Hide")</formula>
    </cfRule>
  </conditionalFormatting>
  <conditionalFormatting sqref="K161:P161">
    <cfRule type="cellIs" dxfId="81" priority="78" operator="equal">
      <formula>"Show"</formula>
    </cfRule>
    <cfRule type="cellIs" dxfId="80" priority="79" operator="equal">
      <formula>"Hide"</formula>
    </cfRule>
    <cfRule type="containsBlanks" dxfId="79" priority="80">
      <formula>LEN(TRIM(K161))=0</formula>
    </cfRule>
  </conditionalFormatting>
  <conditionalFormatting sqref="K161:P161">
    <cfRule type="expression" dxfId="78" priority="77">
      <formula>OR(K161="Show",K161="Hide")</formula>
    </cfRule>
  </conditionalFormatting>
  <conditionalFormatting sqref="D163:J163">
    <cfRule type="expression" dxfId="77" priority="72">
      <formula>OR(D161="Hide",D161="Show")</formula>
    </cfRule>
    <cfRule type="expression" dxfId="76" priority="76">
      <formula>AND(D161="Show",D163="")</formula>
    </cfRule>
  </conditionalFormatting>
  <conditionalFormatting sqref="K163:P163">
    <cfRule type="expression" dxfId="75" priority="70">
      <formula>OR(K161="Hide",K161="Show")</formula>
    </cfRule>
    <cfRule type="expression" dxfId="74" priority="75">
      <formula>AND(K161="Show",K163="")</formula>
    </cfRule>
  </conditionalFormatting>
  <conditionalFormatting sqref="D162:J162">
    <cfRule type="expression" dxfId="73" priority="73">
      <formula>OR(D161="Hide",D161="Show")</formula>
    </cfRule>
  </conditionalFormatting>
  <conditionalFormatting sqref="K162:P162">
    <cfRule type="expression" dxfId="72" priority="71">
      <formula>OR(K161="Hide",K161="Show")</formula>
    </cfRule>
  </conditionalFormatting>
  <conditionalFormatting sqref="D168:J168">
    <cfRule type="cellIs" dxfId="71" priority="67" operator="equal">
      <formula>"Show"</formula>
    </cfRule>
    <cfRule type="cellIs" dxfId="70" priority="68" operator="equal">
      <formula>"Hide"</formula>
    </cfRule>
    <cfRule type="containsBlanks" dxfId="69" priority="69">
      <formula>LEN(TRIM(D168))=0</formula>
    </cfRule>
  </conditionalFormatting>
  <conditionalFormatting sqref="D168:J168">
    <cfRule type="expression" dxfId="68" priority="66">
      <formula>OR(D168="Show",D168="Hide")</formula>
    </cfRule>
  </conditionalFormatting>
  <conditionalFormatting sqref="K168:P168">
    <cfRule type="cellIs" dxfId="67" priority="63" operator="equal">
      <formula>"Show"</formula>
    </cfRule>
    <cfRule type="cellIs" dxfId="66" priority="64" operator="equal">
      <formula>"Hide"</formula>
    </cfRule>
    <cfRule type="containsBlanks" dxfId="65" priority="65">
      <formula>LEN(TRIM(K168))=0</formula>
    </cfRule>
  </conditionalFormatting>
  <conditionalFormatting sqref="K168:P168">
    <cfRule type="expression" dxfId="64" priority="62">
      <formula>OR(K168="Show",K168="Hide")</formula>
    </cfRule>
  </conditionalFormatting>
  <conditionalFormatting sqref="D170:J170">
    <cfRule type="expression" dxfId="63" priority="57">
      <formula>OR(D168="Hide",D168="Show")</formula>
    </cfRule>
    <cfRule type="expression" dxfId="62" priority="61">
      <formula>AND(D168="Show",D170="")</formula>
    </cfRule>
  </conditionalFormatting>
  <conditionalFormatting sqref="K170:P170">
    <cfRule type="expression" dxfId="61" priority="55">
      <formula>OR(K168="Hide",K168="Show")</formula>
    </cfRule>
    <cfRule type="expression" dxfId="60" priority="60">
      <formula>AND(K168="Show",K170="")</formula>
    </cfRule>
  </conditionalFormatting>
  <conditionalFormatting sqref="D169:J169">
    <cfRule type="expression" dxfId="59" priority="58">
      <formula>OR(D168="Hide",D168="Show")</formula>
    </cfRule>
  </conditionalFormatting>
  <conditionalFormatting sqref="K169:P169">
    <cfRule type="expression" dxfId="58" priority="56">
      <formula>OR(K168="Hide",K168="Show")</formula>
    </cfRule>
  </conditionalFormatting>
  <conditionalFormatting sqref="D175:J175">
    <cfRule type="cellIs" dxfId="57" priority="52" operator="equal">
      <formula>"Show"</formula>
    </cfRule>
    <cfRule type="cellIs" dxfId="56" priority="53" operator="equal">
      <formula>"Hide"</formula>
    </cfRule>
    <cfRule type="containsBlanks" dxfId="55" priority="54">
      <formula>LEN(TRIM(D175))=0</formula>
    </cfRule>
  </conditionalFormatting>
  <conditionalFormatting sqref="D175:J175">
    <cfRule type="expression" dxfId="54" priority="51">
      <formula>OR(D175="Show",D175="Hide")</formula>
    </cfRule>
  </conditionalFormatting>
  <conditionalFormatting sqref="K175:P175">
    <cfRule type="cellIs" dxfId="53" priority="48" operator="equal">
      <formula>"Show"</formula>
    </cfRule>
    <cfRule type="cellIs" dxfId="52" priority="49" operator="equal">
      <formula>"Hide"</formula>
    </cfRule>
    <cfRule type="containsBlanks" dxfId="51" priority="50">
      <formula>LEN(TRIM(K175))=0</formula>
    </cfRule>
  </conditionalFormatting>
  <conditionalFormatting sqref="K175:P175">
    <cfRule type="expression" dxfId="50" priority="47">
      <formula>OR(K175="Show",K175="Hide")</formula>
    </cfRule>
  </conditionalFormatting>
  <conditionalFormatting sqref="D177:J177">
    <cfRule type="expression" dxfId="49" priority="42">
      <formula>OR(D175="Hide",D175="Show")</formula>
    </cfRule>
    <cfRule type="expression" dxfId="48" priority="46">
      <formula>AND(D175="Show",D177="")</formula>
    </cfRule>
  </conditionalFormatting>
  <conditionalFormatting sqref="K177:P177">
    <cfRule type="expression" dxfId="47" priority="40">
      <formula>OR(K175="Hide",K175="Show")</formula>
    </cfRule>
    <cfRule type="expression" dxfId="46" priority="45">
      <formula>AND(K175="Show",K177="")</formula>
    </cfRule>
  </conditionalFormatting>
  <conditionalFormatting sqref="D176:J176">
    <cfRule type="expression" dxfId="45" priority="43">
      <formula>OR(D175="Hide",D175="Show")</formula>
    </cfRule>
  </conditionalFormatting>
  <conditionalFormatting sqref="K176:P176">
    <cfRule type="expression" dxfId="44" priority="41">
      <formula>OR(K175="Hide",K175="Show")</formula>
    </cfRule>
  </conditionalFormatting>
  <conditionalFormatting sqref="B60">
    <cfRule type="containsBlanks" dxfId="43" priority="39">
      <formula>LEN(TRIM(B60))=0</formula>
    </cfRule>
  </conditionalFormatting>
  <conditionalFormatting sqref="B67">
    <cfRule type="containsBlanks" dxfId="42" priority="38">
      <formula>LEN(TRIM(B67))=0</formula>
    </cfRule>
  </conditionalFormatting>
  <conditionalFormatting sqref="B79">
    <cfRule type="containsBlanks" dxfId="41" priority="37">
      <formula>LEN(TRIM(B79))=0</formula>
    </cfRule>
  </conditionalFormatting>
  <conditionalFormatting sqref="B86">
    <cfRule type="containsBlanks" dxfId="40" priority="36">
      <formula>LEN(TRIM(B86))=0</formula>
    </cfRule>
  </conditionalFormatting>
  <conditionalFormatting sqref="B93">
    <cfRule type="containsBlanks" dxfId="39" priority="35">
      <formula>LEN(TRIM(B93))=0</formula>
    </cfRule>
  </conditionalFormatting>
  <conditionalFormatting sqref="B105">
    <cfRule type="containsBlanks" dxfId="38" priority="34">
      <formula>LEN(TRIM(B105))=0</formula>
    </cfRule>
  </conditionalFormatting>
  <conditionalFormatting sqref="B112">
    <cfRule type="containsBlanks" dxfId="37" priority="33">
      <formula>LEN(TRIM(B112))=0</formula>
    </cfRule>
  </conditionalFormatting>
  <conditionalFormatting sqref="B119">
    <cfRule type="containsBlanks" dxfId="36" priority="32">
      <formula>LEN(TRIM(B119))=0</formula>
    </cfRule>
  </conditionalFormatting>
  <conditionalFormatting sqref="B131">
    <cfRule type="containsBlanks" dxfId="35" priority="31">
      <formula>LEN(TRIM(B131))=0</formula>
    </cfRule>
  </conditionalFormatting>
  <conditionalFormatting sqref="B138">
    <cfRule type="containsBlanks" dxfId="34" priority="30">
      <formula>LEN(TRIM(B138))=0</formula>
    </cfRule>
  </conditionalFormatting>
  <conditionalFormatting sqref="B145">
    <cfRule type="containsBlanks" dxfId="33" priority="29">
      <formula>LEN(TRIM(B145))=0</formula>
    </cfRule>
  </conditionalFormatting>
  <conditionalFormatting sqref="B161">
    <cfRule type="containsBlanks" dxfId="32" priority="28">
      <formula>LEN(TRIM(B161))=0</formula>
    </cfRule>
  </conditionalFormatting>
  <conditionalFormatting sqref="B168">
    <cfRule type="containsBlanks" dxfId="31" priority="27">
      <formula>LEN(TRIM(B168))=0</formula>
    </cfRule>
  </conditionalFormatting>
  <conditionalFormatting sqref="B175">
    <cfRule type="containsBlanks" dxfId="30" priority="26">
      <formula>LEN(TRIM(B175))=0</formula>
    </cfRule>
  </conditionalFormatting>
  <conditionalFormatting sqref="D34:P34">
    <cfRule type="containsBlanks" dxfId="29" priority="20">
      <formula>LEN(TRIM(D34))=0</formula>
    </cfRule>
  </conditionalFormatting>
  <conditionalFormatting sqref="I27:I29">
    <cfRule type="containsBlanks" dxfId="28" priority="18">
      <formula>LEN(TRIM(I27))=0</formula>
    </cfRule>
  </conditionalFormatting>
  <conditionalFormatting sqref="D22:J22">
    <cfRule type="cellIs" dxfId="27" priority="15" operator="equal">
      <formula>"Show"</formula>
    </cfRule>
    <cfRule type="cellIs" dxfId="26" priority="16" operator="equal">
      <formula>"Hide"</formula>
    </cfRule>
    <cfRule type="containsBlanks" dxfId="25" priority="17">
      <formula>LEN(TRIM(D22))=0</formula>
    </cfRule>
  </conditionalFormatting>
  <conditionalFormatting sqref="D22:J22">
    <cfRule type="expression" dxfId="24" priority="14">
      <formula>OR(D22="Show",D22="Hide")</formula>
    </cfRule>
  </conditionalFormatting>
  <conditionalFormatting sqref="K22:P22">
    <cfRule type="cellIs" dxfId="23" priority="11" operator="equal">
      <formula>"Show"</formula>
    </cfRule>
    <cfRule type="cellIs" dxfId="22" priority="12" operator="equal">
      <formula>"Hide"</formula>
    </cfRule>
    <cfRule type="containsBlanks" dxfId="21" priority="13">
      <formula>LEN(TRIM(K22))=0</formula>
    </cfRule>
  </conditionalFormatting>
  <conditionalFormatting sqref="K22:P22">
    <cfRule type="expression" dxfId="20" priority="10">
      <formula>OR(K22="Show",K22="Hide")</formula>
    </cfRule>
  </conditionalFormatting>
  <conditionalFormatting sqref="D24:J24">
    <cfRule type="expression" dxfId="19" priority="5">
      <formula>OR(D22="Hide",D22="Show")</formula>
    </cfRule>
    <cfRule type="expression" dxfId="18" priority="9">
      <formula>AND(D22="Show",D24="")</formula>
    </cfRule>
  </conditionalFormatting>
  <conditionalFormatting sqref="K24:P24">
    <cfRule type="expression" dxfId="17" priority="3">
      <formula>OR(K22="Hide",K22="Show")</formula>
    </cfRule>
    <cfRule type="expression" dxfId="16" priority="8">
      <formula>AND(K22="Show",K24="")</formula>
    </cfRule>
  </conditionalFormatting>
  <conditionalFormatting sqref="B22">
    <cfRule type="containsBlanks" dxfId="15" priority="7">
      <formula>LEN(TRIM(B22))=0</formula>
    </cfRule>
  </conditionalFormatting>
  <conditionalFormatting sqref="D23:J23">
    <cfRule type="expression" dxfId="14" priority="6">
      <formula>OR(D22="Hide",D22="Show")</formula>
    </cfRule>
  </conditionalFormatting>
  <conditionalFormatting sqref="K23:P23">
    <cfRule type="expression" dxfId="13" priority="4">
      <formula>OR(K22="Hide",K22="Show")</formula>
    </cfRule>
  </conditionalFormatting>
  <conditionalFormatting sqref="D213:P213">
    <cfRule type="containsBlanks" dxfId="12" priority="2">
      <formula>LEN(TRIM(D213))=0</formula>
    </cfRule>
  </conditionalFormatting>
  <conditionalFormatting sqref="B213">
    <cfRule type="containsBlanks" dxfId="11" priority="1">
      <formula>LEN(TRIM(B213))=0</formula>
    </cfRule>
  </conditionalFormatting>
  <dataValidations count="1">
    <dataValidation type="list" allowBlank="1" showInputMessage="1" showErrorMessage="1" sqref="D53:P53 D60:P60 D67:P67 D79:P79 D86:P86 D93:P93 D105:P105 D112:P112 D119:P119 D131:P131 D138:P138 D145:P145 D161:P161 D168:P168 D175:P175 D22:P22" xr:uid="{966AA314-20E6-46B8-A2F8-31CAF1F0CBE1}">
      <formula1>"Hide,Show"</formula1>
    </dataValidation>
  </dataValidations>
  <hyperlinks>
    <hyperlink ref="D236" r:id="rId1" xr:uid="{574CE053-2D4C-4023-8BAE-C3E9C7779598}"/>
  </hyperlinks>
  <pageMargins left="0.23622047244094491" right="0.23622047244094491" top="0.74803149606299213" bottom="0.74803149606299213" header="0.31496062992125984" footer="0.31496062992125984"/>
  <pageSetup paperSize="9" orientation="portrait" r:id="rId2"/>
  <headerFooter>
    <oddHeader>&amp;C&amp;14Specific Defects Inspection - Woodworm&amp;R&amp;G</oddHeader>
    <oddFooter>&amp;C&amp;P of &amp;N</oddFooter>
  </headerFooter>
  <drawing r:id="rId3"/>
  <legacyDrawing r:id="rId4"/>
  <legacyDrawingHF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A88D5-01A8-4C5C-B803-A71E7DF4039D}">
  <sheetPr codeName="Sheet1">
    <tabColor rgb="FFFFFF00"/>
  </sheetPr>
  <dimension ref="A1:AX188"/>
  <sheetViews>
    <sheetView zoomScale="110" zoomScaleNormal="110" workbookViewId="0">
      <pane xSplit="1" ySplit="19" topLeftCell="B20" activePane="bottomRight" state="frozen"/>
      <selection pane="topRight" activeCell="B1" sqref="B1"/>
      <selection pane="bottomLeft" activeCell="A20" sqref="A20"/>
      <selection pane="bottomRight" activeCell="F85" sqref="F85:F87"/>
    </sheetView>
  </sheetViews>
  <sheetFormatPr baseColWidth="10" defaultColWidth="9.1640625" defaultRowHeight="15" outlineLevelRow="1" outlineLevelCol="1" x14ac:dyDescent="0.2"/>
  <cols>
    <col min="1" max="1" width="2.33203125" style="14" customWidth="1"/>
    <col min="2" max="2" width="11.1640625" style="14" customWidth="1"/>
    <col min="3" max="3" width="8.5" style="14" customWidth="1"/>
    <col min="4" max="4" width="7.1640625" style="14" customWidth="1"/>
    <col min="5" max="5" width="14.5" style="14" customWidth="1"/>
    <col min="6" max="7" width="9.1640625" style="17" customWidth="1"/>
    <col min="8" max="9" width="10" style="18" customWidth="1"/>
    <col min="10" max="10" width="5.1640625" style="18" customWidth="1"/>
    <col min="11" max="11" width="12.1640625" style="18" customWidth="1"/>
    <col min="12" max="12" width="1.5" style="14" customWidth="1"/>
    <col min="13" max="13" width="32" style="14" customWidth="1"/>
    <col min="14" max="14" width="6.5" style="99" customWidth="1"/>
    <col min="15" max="15" width="5.5" style="93" customWidth="1"/>
    <col min="16" max="17" width="7.6640625" style="93" customWidth="1"/>
    <col min="18" max="18" width="4.83203125" style="83" customWidth="1"/>
    <col min="19" max="19" width="7" style="83" customWidth="1"/>
    <col min="20" max="20" width="14" style="18" customWidth="1"/>
    <col min="21" max="21" width="9.1640625" style="18"/>
    <col min="22" max="22" width="9.1640625" style="19"/>
    <col min="23" max="23" width="27.33203125" style="14" customWidth="1"/>
    <col min="24" max="27" width="13" style="14" customWidth="1"/>
    <col min="28" max="28" width="2.6640625" style="14" customWidth="1"/>
    <col min="29" max="30" width="11.5" style="14" customWidth="1"/>
    <col min="31" max="32" width="11.5" customWidth="1"/>
    <col min="34" max="34" width="9.1640625" style="14" customWidth="1"/>
    <col min="35" max="44" width="9.1640625" style="14"/>
    <col min="45" max="45" width="16.33203125" style="14" customWidth="1" outlineLevel="1"/>
    <col min="46" max="46" width="13.5" style="14" customWidth="1" outlineLevel="1"/>
    <col min="47" max="47" width="17.5" style="14" customWidth="1" outlineLevel="1"/>
    <col min="48" max="16384" width="9.1640625" style="14"/>
  </cols>
  <sheetData>
    <row r="1" spans="1:47" ht="44.25" customHeight="1" thickBot="1" x14ac:dyDescent="0.25">
      <c r="B1" s="476" t="s">
        <v>127</v>
      </c>
      <c r="C1" s="477"/>
      <c r="D1" s="477"/>
      <c r="E1" s="478" t="str">
        <f>IF(SUM(AT:AT)=0,"SHEET NOT YET STARTED",IF(SUM(AU:AU)&gt;0,"SHEET NOT COMPLETE","SHEET COMPLETE"))</f>
        <v>SHEET NOT COMPLETE</v>
      </c>
      <c r="F1" s="479"/>
      <c r="G1" s="479"/>
      <c r="H1" s="479"/>
      <c r="I1" s="479"/>
      <c r="J1" s="479"/>
      <c r="K1" s="479"/>
      <c r="L1" s="479"/>
      <c r="M1" s="479"/>
      <c r="N1" s="479"/>
      <c r="O1" s="479"/>
      <c r="P1" s="479"/>
      <c r="Q1" s="479"/>
      <c r="R1" s="479"/>
      <c r="S1" s="479"/>
      <c r="T1" s="479"/>
      <c r="U1" s="479"/>
      <c r="V1" s="480"/>
      <c r="W1" s="108"/>
      <c r="AS1" s="15" t="s">
        <v>128</v>
      </c>
      <c r="AT1" s="16" t="s">
        <v>129</v>
      </c>
      <c r="AU1" s="16" t="s">
        <v>130</v>
      </c>
    </row>
    <row r="2" spans="1:47" ht="9" customHeight="1" thickBot="1" x14ac:dyDescent="0.25">
      <c r="H2" s="17"/>
      <c r="I2" s="17"/>
      <c r="J2" s="17"/>
      <c r="K2" s="17"/>
      <c r="L2" s="17"/>
      <c r="M2" s="17"/>
      <c r="N2" s="17"/>
      <c r="O2" s="17"/>
      <c r="P2" s="17"/>
      <c r="Q2" s="17"/>
      <c r="R2" s="17"/>
      <c r="S2" s="17"/>
      <c r="T2" s="17"/>
      <c r="AS2" s="20"/>
      <c r="AT2" s="21"/>
      <c r="AU2" s="21"/>
    </row>
    <row r="3" spans="1:47" s="20" customFormat="1" ht="18" hidden="1" outlineLevel="1" x14ac:dyDescent="0.2">
      <c r="A3" s="22" t="str">
        <f t="shared" ref="A3:A38" si="0">IF(AU3=1,"X","")</f>
        <v/>
      </c>
      <c r="B3" s="481" t="s">
        <v>131</v>
      </c>
      <c r="C3" s="482"/>
      <c r="D3" s="482"/>
      <c r="E3" s="482"/>
      <c r="F3" s="482"/>
      <c r="G3" s="482"/>
      <c r="H3" s="482"/>
      <c r="I3" s="482"/>
      <c r="J3" s="482"/>
      <c r="K3" s="482"/>
      <c r="L3" s="482"/>
      <c r="M3" s="483"/>
      <c r="O3" s="23"/>
      <c r="P3" s="23"/>
      <c r="Q3" s="23"/>
      <c r="R3" s="23"/>
      <c r="S3" s="23"/>
      <c r="T3" s="23"/>
      <c r="U3" s="24"/>
      <c r="V3" s="24"/>
      <c r="W3" s="12"/>
      <c r="X3" s="12"/>
      <c r="Y3" s="12"/>
      <c r="AT3" s="21"/>
      <c r="AU3" s="21"/>
    </row>
    <row r="4" spans="1:47" s="20" customFormat="1" hidden="1" outlineLevel="1" thickBot="1" x14ac:dyDescent="0.2">
      <c r="A4" s="22" t="str">
        <f t="shared" si="0"/>
        <v>X</v>
      </c>
      <c r="B4" s="484" t="s">
        <v>132</v>
      </c>
      <c r="C4" s="485"/>
      <c r="D4" s="486"/>
      <c r="E4" s="487" t="str">
        <f>IF([1]Details!$C$4=0,"",UPPER([1]Details!$C$4))</f>
        <v/>
      </c>
      <c r="F4" s="487"/>
      <c r="G4" s="487"/>
      <c r="H4" s="487"/>
      <c r="I4" s="487"/>
      <c r="J4" s="487"/>
      <c r="K4" s="487"/>
      <c r="L4" s="487"/>
      <c r="M4" s="488"/>
      <c r="O4" s="23"/>
      <c r="P4" s="23"/>
      <c r="Q4" s="23"/>
      <c r="R4" s="23"/>
      <c r="S4" s="23"/>
      <c r="T4" s="23"/>
      <c r="U4" s="24"/>
      <c r="V4" s="24"/>
      <c r="W4" s="12"/>
      <c r="X4" s="12"/>
      <c r="Y4" s="12"/>
      <c r="AT4" s="25">
        <f>IF(E4&lt;&gt;"",1,0)</f>
        <v>0</v>
      </c>
      <c r="AU4" s="25">
        <f>IF(AND(SUM(AT:AT)&gt;0,E4=""),1,0)</f>
        <v>1</v>
      </c>
    </row>
    <row r="5" spans="1:47" s="20" customFormat="1" hidden="1" outlineLevel="1" thickBot="1" x14ac:dyDescent="0.2">
      <c r="A5" s="22" t="str">
        <f t="shared" si="0"/>
        <v/>
      </c>
      <c r="O5" s="23"/>
      <c r="P5" s="23"/>
      <c r="Q5" s="23"/>
      <c r="R5" s="23"/>
      <c r="S5" s="23"/>
      <c r="T5" s="23"/>
      <c r="U5" s="24"/>
      <c r="V5" s="24"/>
      <c r="W5" s="12"/>
      <c r="X5" s="12"/>
      <c r="Y5" s="12"/>
      <c r="AT5" s="21"/>
      <c r="AU5" s="21"/>
    </row>
    <row r="6" spans="1:47" s="20" customFormat="1" ht="18" hidden="1" outlineLevel="1" x14ac:dyDescent="0.2">
      <c r="A6" s="22" t="str">
        <f t="shared" si="0"/>
        <v/>
      </c>
      <c r="B6" s="481" t="s">
        <v>133</v>
      </c>
      <c r="C6" s="482"/>
      <c r="D6" s="482"/>
      <c r="E6" s="482"/>
      <c r="F6" s="482"/>
      <c r="G6" s="482"/>
      <c r="H6" s="482"/>
      <c r="I6" s="482"/>
      <c r="J6" s="482"/>
      <c r="K6" s="482"/>
      <c r="L6" s="482"/>
      <c r="M6" s="483"/>
      <c r="O6" s="23"/>
      <c r="P6" s="23"/>
      <c r="Q6" s="23"/>
      <c r="R6" s="23"/>
      <c r="S6" s="23"/>
      <c r="T6" s="23"/>
      <c r="U6" s="24"/>
      <c r="V6" s="24"/>
      <c r="W6" s="12"/>
      <c r="X6" s="12"/>
      <c r="Y6" s="12"/>
      <c r="AT6" s="21"/>
      <c r="AU6" s="21"/>
    </row>
    <row r="7" spans="1:47" s="20" customFormat="1" ht="14" hidden="1" outlineLevel="1" x14ac:dyDescent="0.15">
      <c r="A7" s="22" t="str">
        <f t="shared" si="0"/>
        <v>X</v>
      </c>
      <c r="B7" s="494" t="str">
        <f>[1]Details!$B$7</f>
        <v>Client Name</v>
      </c>
      <c r="C7" s="495"/>
      <c r="D7" s="496"/>
      <c r="E7" s="497" t="str">
        <f>IF([1]Details!$C$7=0,"",PROPER([1]Details!$C$7))</f>
        <v/>
      </c>
      <c r="F7" s="497"/>
      <c r="G7" s="497"/>
      <c r="H7" s="497"/>
      <c r="I7" s="497"/>
      <c r="J7" s="497"/>
      <c r="K7" s="497"/>
      <c r="L7" s="497"/>
      <c r="M7" s="498"/>
      <c r="O7" s="23"/>
      <c r="P7" s="23"/>
      <c r="Q7" s="23"/>
      <c r="R7" s="23"/>
      <c r="S7" s="23"/>
      <c r="T7" s="23"/>
      <c r="U7" s="24"/>
      <c r="V7" s="24"/>
      <c r="W7" s="12"/>
      <c r="X7" s="12"/>
      <c r="Y7" s="12"/>
      <c r="AT7" s="25">
        <f>IF(E7&lt;&gt;"",1,0)</f>
        <v>0</v>
      </c>
      <c r="AU7" s="25">
        <f>IF(AND(SUM(AT:AT)&gt;0,E7=""),1,0)</f>
        <v>1</v>
      </c>
    </row>
    <row r="8" spans="1:47" s="20" customFormat="1" ht="14" hidden="1" outlineLevel="1" x14ac:dyDescent="0.15">
      <c r="A8" s="22" t="str">
        <f t="shared" si="0"/>
        <v>X</v>
      </c>
      <c r="B8" s="494" t="str">
        <f>[1]Details!$B$8</f>
        <v>First Line of site address</v>
      </c>
      <c r="C8" s="495"/>
      <c r="D8" s="496"/>
      <c r="E8" s="499" t="str">
        <f>IF([1]Details!$C$8=0,"",PROPER([1]Details!$C$8))</f>
        <v/>
      </c>
      <c r="F8" s="495"/>
      <c r="G8" s="495"/>
      <c r="H8" s="495"/>
      <c r="I8" s="495"/>
      <c r="J8" s="495"/>
      <c r="K8" s="495"/>
      <c r="L8" s="495"/>
      <c r="M8" s="500"/>
      <c r="O8" s="23"/>
      <c r="P8" s="23"/>
      <c r="Q8" s="23"/>
      <c r="R8" s="23"/>
      <c r="S8" s="23"/>
      <c r="T8" s="23"/>
      <c r="U8" s="24"/>
      <c r="V8" s="24"/>
      <c r="W8" s="12"/>
      <c r="X8" s="12"/>
      <c r="Y8" s="12"/>
      <c r="AT8" s="25">
        <f>IF(E8&lt;&gt;"",1,0)</f>
        <v>0</v>
      </c>
      <c r="AU8" s="25">
        <f>IF(AND(SUM(AT:AT)&gt;0,E8=""),1,0)</f>
        <v>1</v>
      </c>
    </row>
    <row r="9" spans="1:47" s="20" customFormat="1" ht="14" hidden="1" outlineLevel="1" x14ac:dyDescent="0.15">
      <c r="A9" s="22" t="str">
        <f t="shared" si="0"/>
        <v>X</v>
      </c>
      <c r="B9" s="494" t="str">
        <f>[1]Details!$B$9</f>
        <v>Town / City</v>
      </c>
      <c r="C9" s="495"/>
      <c r="D9" s="496"/>
      <c r="E9" s="499" t="str">
        <f>IF([1]Details!$C$9=0,"",PROPER([1]Details!$C$9))</f>
        <v/>
      </c>
      <c r="F9" s="495"/>
      <c r="G9" s="495"/>
      <c r="H9" s="495"/>
      <c r="I9" s="495"/>
      <c r="J9" s="495"/>
      <c r="K9" s="495"/>
      <c r="L9" s="495"/>
      <c r="M9" s="500"/>
      <c r="O9" s="23"/>
      <c r="P9" s="23"/>
      <c r="Q9" s="23"/>
      <c r="R9" s="23"/>
      <c r="S9" s="23"/>
      <c r="T9" s="23"/>
      <c r="U9" s="24"/>
      <c r="V9" s="24"/>
      <c r="W9" s="12"/>
      <c r="X9" s="12"/>
      <c r="Y9" s="12"/>
      <c r="AT9" s="25">
        <f>IF(E9&lt;&gt;"",1,0)</f>
        <v>0</v>
      </c>
      <c r="AU9" s="25">
        <f>IF(AND(SUM(AT:AT)&gt;0,E9=""),1,0)</f>
        <v>1</v>
      </c>
    </row>
    <row r="10" spans="1:47" s="20" customFormat="1" ht="14" hidden="1" outlineLevel="1" x14ac:dyDescent="0.15">
      <c r="A10" s="22" t="str">
        <f t="shared" si="0"/>
        <v>X</v>
      </c>
      <c r="B10" s="494" t="str">
        <f>[1]Details!$B$10</f>
        <v>County</v>
      </c>
      <c r="C10" s="495"/>
      <c r="D10" s="496"/>
      <c r="E10" s="499" t="str">
        <f>IF([1]Details!$C$10=0,"",PROPER([1]Details!$C$10))</f>
        <v/>
      </c>
      <c r="F10" s="495"/>
      <c r="G10" s="495"/>
      <c r="H10" s="495"/>
      <c r="I10" s="495"/>
      <c r="J10" s="495"/>
      <c r="K10" s="495"/>
      <c r="L10" s="495"/>
      <c r="M10" s="500"/>
      <c r="O10" s="23"/>
      <c r="P10" s="23"/>
      <c r="Q10" s="23"/>
      <c r="R10" s="23"/>
      <c r="S10" s="23"/>
      <c r="T10" s="23"/>
      <c r="U10" s="24"/>
      <c r="V10" s="24"/>
      <c r="W10" s="12"/>
      <c r="X10" s="12"/>
      <c r="Y10" s="12"/>
      <c r="AT10" s="25">
        <f>IF(E10&lt;&gt;"",1,0)</f>
        <v>0</v>
      </c>
      <c r="AU10" s="25">
        <f>IF(AND(SUM(AT:AT)&gt;0,E10=""),1,0)</f>
        <v>1</v>
      </c>
    </row>
    <row r="11" spans="1:47" s="20" customFormat="1" hidden="1" outlineLevel="1" thickBot="1" x14ac:dyDescent="0.2">
      <c r="A11" s="22" t="str">
        <f t="shared" si="0"/>
        <v>X</v>
      </c>
      <c r="B11" s="484" t="str">
        <f>[1]Details!$B$11</f>
        <v>Site Post Code</v>
      </c>
      <c r="C11" s="485"/>
      <c r="D11" s="486"/>
      <c r="E11" s="487" t="str">
        <f>IF([1]Details!$C$11=0,"",UPPER([1]Details!$C$11))</f>
        <v/>
      </c>
      <c r="F11" s="487"/>
      <c r="G11" s="487"/>
      <c r="H11" s="487"/>
      <c r="I11" s="487"/>
      <c r="J11" s="487"/>
      <c r="K11" s="487"/>
      <c r="L11" s="487"/>
      <c r="M11" s="488"/>
      <c r="O11" s="23"/>
      <c r="P11" s="23"/>
      <c r="Q11" s="23"/>
      <c r="R11" s="23"/>
      <c r="S11" s="23"/>
      <c r="T11" s="23"/>
      <c r="U11" s="24"/>
      <c r="V11" s="24"/>
      <c r="W11" s="12"/>
      <c r="X11" s="12"/>
      <c r="Y11" s="12"/>
      <c r="AT11" s="25">
        <f>IF(E11&lt;&gt;"",1,0)</f>
        <v>0</v>
      </c>
      <c r="AU11" s="25">
        <f>IF(AND(SUM(AT:AT)&gt;0,E11=""),1,0)</f>
        <v>1</v>
      </c>
    </row>
    <row r="12" spans="1:47" s="20" customFormat="1" hidden="1" outlineLevel="1" thickBot="1" x14ac:dyDescent="0.2">
      <c r="A12" s="22" t="str">
        <f t="shared" si="0"/>
        <v/>
      </c>
      <c r="O12" s="23"/>
      <c r="P12" s="23"/>
      <c r="Q12" s="23"/>
      <c r="R12" s="23"/>
      <c r="S12" s="23"/>
      <c r="T12" s="23"/>
      <c r="U12" s="24"/>
      <c r="V12" s="24"/>
      <c r="W12" s="12"/>
      <c r="X12" s="12"/>
      <c r="Y12" s="12"/>
      <c r="AT12" s="21"/>
      <c r="AU12" s="21"/>
    </row>
    <row r="13" spans="1:47" s="20" customFormat="1" ht="18" hidden="1" outlineLevel="1" x14ac:dyDescent="0.2">
      <c r="A13" s="22" t="str">
        <f t="shared" si="0"/>
        <v/>
      </c>
      <c r="B13" s="481" t="s">
        <v>134</v>
      </c>
      <c r="C13" s="482"/>
      <c r="D13" s="482"/>
      <c r="E13" s="482"/>
      <c r="F13" s="482"/>
      <c r="G13" s="482"/>
      <c r="H13" s="482"/>
      <c r="I13" s="482"/>
      <c r="J13" s="482"/>
      <c r="K13" s="482"/>
      <c r="L13" s="482"/>
      <c r="M13" s="483"/>
      <c r="O13" s="23"/>
      <c r="P13" s="23"/>
      <c r="Q13" s="23"/>
      <c r="R13" s="23"/>
      <c r="S13" s="23"/>
      <c r="T13" s="23"/>
      <c r="U13" s="24"/>
      <c r="V13" s="24"/>
      <c r="W13" s="12"/>
      <c r="X13" s="12"/>
      <c r="Y13" s="12"/>
      <c r="AT13" s="21"/>
      <c r="AU13" s="21"/>
    </row>
    <row r="14" spans="1:47" s="20" customFormat="1" hidden="1" outlineLevel="1" thickBot="1" x14ac:dyDescent="0.2">
      <c r="A14" s="22" t="str">
        <f t="shared" si="0"/>
        <v>X</v>
      </c>
      <c r="B14" s="484" t="s">
        <v>135</v>
      </c>
      <c r="C14" s="485"/>
      <c r="D14" s="486"/>
      <c r="E14" s="487" t="str">
        <f>IF([1]Details!$C$16=0,"",[1]Details!$C$16)</f>
        <v/>
      </c>
      <c r="F14" s="487"/>
      <c r="G14" s="487"/>
      <c r="H14" s="487"/>
      <c r="I14" s="487"/>
      <c r="J14" s="487"/>
      <c r="K14" s="487"/>
      <c r="L14" s="487"/>
      <c r="M14" s="488"/>
      <c r="O14" s="23"/>
      <c r="P14" s="23"/>
      <c r="Q14" s="23"/>
      <c r="R14" s="23"/>
      <c r="S14" s="23"/>
      <c r="T14" s="23"/>
      <c r="U14" s="24"/>
      <c r="V14" s="24"/>
      <c r="W14" s="12"/>
      <c r="X14" s="12"/>
      <c r="Y14" s="12"/>
      <c r="AT14" s="25">
        <f>IF(E14&lt;&gt;"",1,0)</f>
        <v>0</v>
      </c>
      <c r="AU14" s="25">
        <f>IF(AND(SUM(AT:AT)&gt;0,E14=""),1,0)</f>
        <v>1</v>
      </c>
    </row>
    <row r="15" spans="1:47" s="20" customFormat="1" hidden="1" outlineLevel="1" thickBot="1" x14ac:dyDescent="0.2">
      <c r="A15" s="22" t="str">
        <f t="shared" si="0"/>
        <v/>
      </c>
      <c r="O15" s="23"/>
      <c r="P15" s="23"/>
      <c r="Q15" s="23"/>
      <c r="R15" s="23"/>
      <c r="S15" s="23"/>
      <c r="T15" s="23"/>
      <c r="U15" s="24"/>
      <c r="V15" s="24"/>
      <c r="W15" s="12"/>
      <c r="X15" s="12"/>
      <c r="Y15" s="12"/>
      <c r="AT15" s="21"/>
      <c r="AU15" s="21"/>
    </row>
    <row r="16" spans="1:47" s="26" customFormat="1" ht="17.25" customHeight="1" collapsed="1" thickBot="1" x14ac:dyDescent="0.2">
      <c r="A16" s="22" t="str">
        <f t="shared" si="0"/>
        <v/>
      </c>
      <c r="B16" s="509" t="s">
        <v>136</v>
      </c>
      <c r="C16" s="510"/>
      <c r="D16" s="510"/>
      <c r="E16" s="510"/>
      <c r="F16" s="510"/>
      <c r="G16" s="510"/>
      <c r="H16" s="510"/>
      <c r="I16" s="510"/>
      <c r="J16" s="510"/>
      <c r="K16" s="510"/>
      <c r="L16" s="510"/>
      <c r="M16" s="510"/>
      <c r="N16" s="510"/>
      <c r="O16" s="510"/>
      <c r="P16" s="510"/>
      <c r="Q16" s="510"/>
      <c r="R16" s="510"/>
      <c r="S16" s="510"/>
      <c r="T16" s="510"/>
      <c r="U16" s="510"/>
      <c r="V16" s="511"/>
      <c r="X16" s="12"/>
      <c r="Y16" s="12"/>
      <c r="Z16" s="20"/>
      <c r="AA16" s="20"/>
      <c r="AB16" s="20"/>
      <c r="AC16" s="20"/>
      <c r="AD16" s="20"/>
      <c r="AE16" s="20"/>
      <c r="AF16" s="20"/>
      <c r="AT16" s="21"/>
      <c r="AU16" s="21"/>
    </row>
    <row r="17" spans="1:50" ht="17.5" customHeight="1" x14ac:dyDescent="0.2">
      <c r="A17" s="22" t="str">
        <f t="shared" si="0"/>
        <v/>
      </c>
      <c r="B17" s="415" t="s">
        <v>0</v>
      </c>
      <c r="C17" s="416"/>
      <c r="D17" s="416"/>
      <c r="E17" s="416"/>
      <c r="F17" s="501" t="s">
        <v>15</v>
      </c>
      <c r="G17" s="501" t="s">
        <v>121</v>
      </c>
      <c r="H17" s="471" t="s">
        <v>320</v>
      </c>
      <c r="I17" s="471" t="s">
        <v>321</v>
      </c>
      <c r="J17" s="501" t="s">
        <v>16</v>
      </c>
      <c r="K17" s="502" t="s">
        <v>1</v>
      </c>
      <c r="L17" s="203"/>
      <c r="M17" s="415" t="s">
        <v>298</v>
      </c>
      <c r="N17" s="471" t="s">
        <v>299</v>
      </c>
      <c r="O17" s="490" t="s">
        <v>300</v>
      </c>
      <c r="P17" s="471" t="s">
        <v>322</v>
      </c>
      <c r="Q17" s="471" t="s">
        <v>323</v>
      </c>
      <c r="R17" s="471" t="s">
        <v>17</v>
      </c>
      <c r="S17" s="471" t="s">
        <v>301</v>
      </c>
      <c r="T17" s="492" t="s">
        <v>302</v>
      </c>
      <c r="U17" s="504" t="s">
        <v>303</v>
      </c>
      <c r="V17" s="454" t="s">
        <v>304</v>
      </c>
      <c r="X17" s="12"/>
      <c r="Y17" s="12"/>
      <c r="Z17" s="20"/>
      <c r="AA17" s="20"/>
      <c r="AB17" s="20"/>
      <c r="AC17" s="20"/>
      <c r="AD17" s="20"/>
      <c r="AE17" s="20"/>
      <c r="AF17" s="20"/>
      <c r="AT17" s="21"/>
      <c r="AU17" s="21"/>
    </row>
    <row r="18" spans="1:50" ht="13.5" customHeight="1" x14ac:dyDescent="0.2">
      <c r="A18" s="22" t="str">
        <f t="shared" si="0"/>
        <v/>
      </c>
      <c r="B18" s="456"/>
      <c r="C18" s="457"/>
      <c r="D18" s="457"/>
      <c r="E18" s="457"/>
      <c r="F18" s="472"/>
      <c r="G18" s="472"/>
      <c r="H18" s="472"/>
      <c r="I18" s="472"/>
      <c r="J18" s="472"/>
      <c r="K18" s="503"/>
      <c r="L18" s="207"/>
      <c r="M18" s="456"/>
      <c r="N18" s="489"/>
      <c r="O18" s="491"/>
      <c r="P18" s="472"/>
      <c r="Q18" s="472"/>
      <c r="R18" s="489"/>
      <c r="S18" s="489"/>
      <c r="T18" s="493"/>
      <c r="U18" s="505"/>
      <c r="V18" s="455"/>
      <c r="X18" s="12"/>
      <c r="Y18" s="12"/>
      <c r="Z18" s="20"/>
      <c r="AA18" s="20"/>
      <c r="AB18" s="20"/>
      <c r="AC18" s="20"/>
      <c r="AD18" s="20"/>
      <c r="AE18" s="20"/>
      <c r="AF18" s="20"/>
      <c r="AT18" s="21"/>
      <c r="AU18" s="21"/>
    </row>
    <row r="19" spans="1:50" s="108" customFormat="1" ht="5" customHeight="1" thickBot="1" x14ac:dyDescent="0.25">
      <c r="A19" s="293"/>
      <c r="B19" s="294"/>
      <c r="C19" s="294"/>
      <c r="D19" s="294"/>
      <c r="E19" s="294"/>
      <c r="F19" s="295"/>
      <c r="G19" s="296"/>
      <c r="H19" s="297"/>
      <c r="I19" s="297"/>
      <c r="J19" s="297"/>
      <c r="K19" s="298"/>
      <c r="L19" s="299"/>
      <c r="M19" s="300"/>
      <c r="N19" s="298"/>
      <c r="O19" s="298"/>
      <c r="P19" s="298"/>
      <c r="Q19" s="298"/>
      <c r="R19" s="301"/>
      <c r="S19" s="301"/>
      <c r="T19" s="301"/>
      <c r="U19" s="302"/>
      <c r="V19" s="303"/>
      <c r="W19" s="304"/>
      <c r="X19" s="299"/>
      <c r="Y19" s="305"/>
      <c r="Z19" s="306"/>
      <c r="AA19" s="307"/>
      <c r="AB19" s="307"/>
      <c r="AC19" s="307"/>
      <c r="AD19" s="307"/>
      <c r="AE19" s="308"/>
      <c r="AF19" s="307"/>
      <c r="AG19" s="307"/>
      <c r="AH19" s="307"/>
      <c r="AI19" s="307"/>
      <c r="AJ19" s="125"/>
      <c r="AK19" s="125"/>
      <c r="AV19" s="185"/>
      <c r="AW19" s="21"/>
      <c r="AX19" s="21"/>
    </row>
    <row r="20" spans="1:50" ht="25" customHeight="1" thickBot="1" x14ac:dyDescent="0.25">
      <c r="A20" s="22" t="str">
        <f t="shared" si="0"/>
        <v/>
      </c>
      <c r="B20" s="31" t="s">
        <v>5</v>
      </c>
      <c r="C20" s="208"/>
      <c r="D20" s="208"/>
      <c r="E20" s="208"/>
      <c r="F20" s="209"/>
      <c r="G20" s="209"/>
      <c r="H20" s="210"/>
      <c r="I20" s="210"/>
      <c r="J20" s="210"/>
      <c r="K20" s="215"/>
      <c r="L20" s="211"/>
      <c r="M20" s="405" t="str">
        <f t="shared" ref="M20:M25" si="1">B20</f>
        <v>Preparatory work</v>
      </c>
      <c r="N20" s="406"/>
      <c r="O20" s="406"/>
      <c r="P20" s="406"/>
      <c r="Q20" s="406"/>
      <c r="R20" s="406"/>
      <c r="S20" s="406"/>
      <c r="T20" s="407"/>
      <c r="U20" s="461" t="str">
        <f>B20</f>
        <v>Preparatory work</v>
      </c>
      <c r="V20" s="395"/>
      <c r="X20" s="12"/>
      <c r="Y20" s="12"/>
      <c r="Z20" s="20"/>
      <c r="AA20" s="20"/>
      <c r="AB20" s="20"/>
      <c r="AC20" s="20"/>
      <c r="AD20" s="20"/>
      <c r="AE20" s="20"/>
      <c r="AF20" s="20"/>
      <c r="AT20" s="21"/>
      <c r="AU20" s="21"/>
    </row>
    <row r="21" spans="1:50" ht="15" customHeight="1" thickBot="1" x14ac:dyDescent="0.25">
      <c r="A21" s="22" t="str">
        <f t="shared" si="0"/>
        <v>X</v>
      </c>
      <c r="B21" s="473" t="s">
        <v>306</v>
      </c>
      <c r="C21" s="474"/>
      <c r="D21" s="474"/>
      <c r="E21" s="475"/>
      <c r="F21" s="13"/>
      <c r="G21" s="34" t="s">
        <v>87</v>
      </c>
      <c r="H21" s="35">
        <v>7</v>
      </c>
      <c r="I21" s="201">
        <f>(H21/100)*(100+$F$26)</f>
        <v>7.0000000000000009</v>
      </c>
      <c r="J21" s="36">
        <v>0.3</v>
      </c>
      <c r="K21" s="216">
        <f>F21*I21*(1+J21)</f>
        <v>0</v>
      </c>
      <c r="L21" s="206"/>
      <c r="M21" s="202" t="str">
        <f t="shared" si="1"/>
        <v>Remove radiators &amp; cap valves</v>
      </c>
      <c r="N21" s="227">
        <f>(1/60)*20</f>
        <v>0.33333333333333331</v>
      </c>
      <c r="O21" s="227">
        <f>F21*N21</f>
        <v>0</v>
      </c>
      <c r="P21" s="319">
        <f>$D$110</f>
        <v>30.63</v>
      </c>
      <c r="Q21" s="201">
        <f>(P21/100)*(100+$F$26)</f>
        <v>30.630000000000003</v>
      </c>
      <c r="R21" s="272">
        <v>1</v>
      </c>
      <c r="S21" s="204">
        <f>(O21*Q21*(1+R21))</f>
        <v>0</v>
      </c>
      <c r="T21" s="228">
        <f>K21+S21</f>
        <v>0</v>
      </c>
      <c r="U21" s="219">
        <f>F21*H21*1.1</f>
        <v>0</v>
      </c>
      <c r="V21" s="220">
        <f>O21*$E$110</f>
        <v>0</v>
      </c>
      <c r="W21" s="22"/>
      <c r="X21" s="12"/>
      <c r="Y21" s="12"/>
      <c r="Z21" s="20"/>
      <c r="AA21" s="20"/>
      <c r="AB21" s="20"/>
      <c r="AC21" s="20"/>
      <c r="AD21" s="20"/>
      <c r="AE21" s="20"/>
      <c r="AF21" s="20"/>
      <c r="AS21" s="105"/>
      <c r="AT21" s="25">
        <f>IF(F21&lt;&gt;"",1,0)</f>
        <v>0</v>
      </c>
      <c r="AU21" s="25">
        <f>IF(AND(SUM(AT:AT)&gt;0,F21=""),1,0)</f>
        <v>1</v>
      </c>
    </row>
    <row r="22" spans="1:50" ht="15" customHeight="1" thickBot="1" x14ac:dyDescent="0.25">
      <c r="A22" s="22" t="str">
        <f t="shared" si="0"/>
        <v>X</v>
      </c>
      <c r="B22" s="473" t="s">
        <v>28</v>
      </c>
      <c r="C22" s="474"/>
      <c r="D22" s="474"/>
      <c r="E22" s="475"/>
      <c r="F22" s="13"/>
      <c r="G22" s="34" t="s">
        <v>87</v>
      </c>
      <c r="H22" s="35">
        <v>2</v>
      </c>
      <c r="I22" s="201">
        <f>(H22/100)*(100+$F$26)</f>
        <v>2</v>
      </c>
      <c r="J22" s="38">
        <v>0.3</v>
      </c>
      <c r="K22" s="216">
        <f t="shared" ref="K22:K25" si="2">F22*I22*(1+J22)</f>
        <v>0</v>
      </c>
      <c r="L22" s="206"/>
      <c r="M22" s="202" t="str">
        <f t="shared" si="1"/>
        <v>Remove socket fronts and isolate</v>
      </c>
      <c r="N22" s="60">
        <f>(1/60)*12</f>
        <v>0.2</v>
      </c>
      <c r="O22" s="227">
        <f>F22*N22</f>
        <v>0</v>
      </c>
      <c r="P22" s="319">
        <f>$D$110</f>
        <v>30.63</v>
      </c>
      <c r="Q22" s="201">
        <f>(P22/100)*(100+$F$26)</f>
        <v>30.630000000000003</v>
      </c>
      <c r="R22" s="272">
        <v>1</v>
      </c>
      <c r="S22" s="204">
        <f t="shared" ref="S22:S25" si="3">(O22*Q22*(1+R22))</f>
        <v>0</v>
      </c>
      <c r="T22" s="228">
        <f t="shared" ref="T22:T25" si="4">K22+S22</f>
        <v>0</v>
      </c>
      <c r="U22" s="219">
        <f>F22*H22*1.1</f>
        <v>0</v>
      </c>
      <c r="V22" s="220">
        <f>O22*$E$110</f>
        <v>0</v>
      </c>
      <c r="W22" s="22"/>
      <c r="X22" s="12"/>
      <c r="Y22" s="12"/>
      <c r="Z22" s="20"/>
      <c r="AA22" s="20"/>
      <c r="AB22" s="20"/>
      <c r="AC22" s="20"/>
      <c r="AD22" s="20"/>
      <c r="AE22" s="20"/>
      <c r="AF22" s="20"/>
      <c r="AS22" s="105"/>
      <c r="AT22" s="25">
        <f>IF(F22&lt;&gt;"",1,0)</f>
        <v>0</v>
      </c>
      <c r="AU22" s="25">
        <f>IF(AND(SUM(AT:AT)&gt;0,F22=""),1,0)</f>
        <v>1</v>
      </c>
    </row>
    <row r="23" spans="1:50" ht="15" customHeight="1" thickBot="1" x14ac:dyDescent="0.2">
      <c r="A23" s="22" t="str">
        <f t="shared" si="0"/>
        <v>X</v>
      </c>
      <c r="B23" s="366" t="s">
        <v>32</v>
      </c>
      <c r="C23" s="367"/>
      <c r="D23" s="367"/>
      <c r="E23" s="368"/>
      <c r="F23" s="13"/>
      <c r="G23" s="34" t="s">
        <v>112</v>
      </c>
      <c r="H23" s="39">
        <v>0.1</v>
      </c>
      <c r="I23" s="201">
        <f>(H23/100)*(100+$F$26)</f>
        <v>0.1</v>
      </c>
      <c r="J23" s="38">
        <v>0.3</v>
      </c>
      <c r="K23" s="217">
        <f t="shared" si="2"/>
        <v>0</v>
      </c>
      <c r="L23" s="205">
        <v>0.25</v>
      </c>
      <c r="M23" s="202" t="str">
        <f t="shared" si="1"/>
        <v>Skirting board removal &amp; set aside</v>
      </c>
      <c r="N23" s="60">
        <v>7.0000000000000007E-2</v>
      </c>
      <c r="O23" s="227">
        <f>F23*N23</f>
        <v>0</v>
      </c>
      <c r="P23" s="319">
        <f>$D$110</f>
        <v>30.63</v>
      </c>
      <c r="Q23" s="201">
        <f>(P23/100)*(100+$F$26)</f>
        <v>30.630000000000003</v>
      </c>
      <c r="R23" s="272">
        <v>1</v>
      </c>
      <c r="S23" s="204">
        <f t="shared" si="3"/>
        <v>0</v>
      </c>
      <c r="T23" s="228">
        <f t="shared" si="4"/>
        <v>0</v>
      </c>
      <c r="U23" s="219">
        <f>F23*H23*1.1</f>
        <v>0</v>
      </c>
      <c r="V23" s="220">
        <f>O23*$E$110</f>
        <v>0</v>
      </c>
      <c r="X23" s="12"/>
      <c r="Y23" s="12"/>
      <c r="Z23" s="20"/>
      <c r="AA23" s="20"/>
      <c r="AB23" s="20"/>
      <c r="AC23" s="20"/>
      <c r="AD23" s="20"/>
      <c r="AE23" s="20"/>
      <c r="AF23" s="20"/>
      <c r="AG23" s="14"/>
      <c r="AS23" s="105"/>
      <c r="AT23" s="25">
        <f>IF(F23&lt;&gt;"",1,0)</f>
        <v>0</v>
      </c>
      <c r="AU23" s="25">
        <f>IF(AND(SUM(AT:AT)&gt;0,F23=""),1,0)</f>
        <v>1</v>
      </c>
    </row>
    <row r="24" spans="1:50" ht="15" customHeight="1" thickBot="1" x14ac:dyDescent="0.2">
      <c r="A24" s="22" t="str">
        <f t="shared" ref="A24" si="5">IF(AU24=1,"X","")</f>
        <v>X</v>
      </c>
      <c r="B24" s="366" t="s">
        <v>316</v>
      </c>
      <c r="C24" s="367"/>
      <c r="D24" s="367"/>
      <c r="E24" s="368"/>
      <c r="F24" s="13"/>
      <c r="G24" s="34" t="s">
        <v>86</v>
      </c>
      <c r="H24" s="280">
        <v>0.5</v>
      </c>
      <c r="I24" s="201">
        <f>(H24/100)*(100+$F$26)</f>
        <v>0.5</v>
      </c>
      <c r="J24" s="38">
        <v>0.3</v>
      </c>
      <c r="K24" s="217">
        <f t="shared" ref="K24" si="6">F24*I24*(1+J24)</f>
        <v>0</v>
      </c>
      <c r="L24" s="205">
        <v>0.25</v>
      </c>
      <c r="M24" s="202" t="str">
        <f t="shared" si="1"/>
        <v>Strip Wall Paper</v>
      </c>
      <c r="N24" s="60">
        <v>0.5</v>
      </c>
      <c r="O24" s="227">
        <f>F24*N24</f>
        <v>0</v>
      </c>
      <c r="P24" s="319">
        <f>$D$110</f>
        <v>30.63</v>
      </c>
      <c r="Q24" s="201">
        <f>(P24/100)*(100+$F$26)</f>
        <v>30.630000000000003</v>
      </c>
      <c r="R24" s="272">
        <v>1</v>
      </c>
      <c r="S24" s="204">
        <f t="shared" ref="S24" si="7">(O24*Q24*(1+R24))</f>
        <v>0</v>
      </c>
      <c r="T24" s="228">
        <f t="shared" ref="T24" si="8">K24+S24</f>
        <v>0</v>
      </c>
      <c r="U24" s="219">
        <f>F24*H24*1.1</f>
        <v>0</v>
      </c>
      <c r="V24" s="220">
        <f>O24*$E$110</f>
        <v>0</v>
      </c>
      <c r="X24" s="12"/>
      <c r="Y24" s="12"/>
      <c r="Z24" s="20"/>
      <c r="AA24" s="20"/>
      <c r="AB24" s="20"/>
      <c r="AC24" s="20"/>
      <c r="AD24" s="20"/>
      <c r="AE24" s="20"/>
      <c r="AF24" s="20"/>
      <c r="AG24" s="14"/>
      <c r="AS24" s="105"/>
      <c r="AT24" s="25">
        <f>IF(F24&lt;&gt;"",1,0)</f>
        <v>0</v>
      </c>
      <c r="AU24" s="25">
        <f>IF(AND(SUM(AT:AT)&gt;0,F24=""),1,0)</f>
        <v>1</v>
      </c>
    </row>
    <row r="25" spans="1:50" ht="15" customHeight="1" thickBot="1" x14ac:dyDescent="0.2">
      <c r="A25" s="22" t="str">
        <f t="shared" si="0"/>
        <v>X</v>
      </c>
      <c r="B25" s="366" t="s">
        <v>384</v>
      </c>
      <c r="C25" s="367"/>
      <c r="D25" s="367"/>
      <c r="E25" s="368"/>
      <c r="F25" s="13"/>
      <c r="G25" s="34" t="s">
        <v>86</v>
      </c>
      <c r="H25" s="39">
        <f>4.16*1.1</f>
        <v>4.5760000000000005</v>
      </c>
      <c r="I25" s="201">
        <f>(H25/100)*(100+$F$26)</f>
        <v>4.5760000000000005</v>
      </c>
      <c r="J25" s="38">
        <v>0.3</v>
      </c>
      <c r="K25" s="217">
        <f t="shared" si="2"/>
        <v>0</v>
      </c>
      <c r="L25" s="205">
        <v>0.25</v>
      </c>
      <c r="M25" s="202" t="str">
        <f t="shared" si="1"/>
        <v>Antinox HD Floor Protection Boards – 2.4m x 1.2m</v>
      </c>
      <c r="N25" s="227">
        <f>(1/60)*2</f>
        <v>3.3333333333333333E-2</v>
      </c>
      <c r="O25" s="227">
        <f>F25*N25</f>
        <v>0</v>
      </c>
      <c r="P25" s="319">
        <f>$D$110</f>
        <v>30.63</v>
      </c>
      <c r="Q25" s="201">
        <f>(P25/100)*(100+$F$26)</f>
        <v>30.630000000000003</v>
      </c>
      <c r="R25" s="272">
        <v>1</v>
      </c>
      <c r="S25" s="204">
        <f t="shared" si="3"/>
        <v>0</v>
      </c>
      <c r="T25" s="228">
        <f t="shared" si="4"/>
        <v>0</v>
      </c>
      <c r="U25" s="219">
        <f>F25*H25*1.1</f>
        <v>0</v>
      </c>
      <c r="V25" s="220">
        <f>O25*$E$110</f>
        <v>0</v>
      </c>
      <c r="X25" s="12"/>
      <c r="Y25" s="12"/>
      <c r="Z25" s="20"/>
      <c r="AA25" s="20"/>
      <c r="AB25" s="20"/>
      <c r="AC25" s="20"/>
      <c r="AD25" s="20"/>
      <c r="AE25" s="20"/>
      <c r="AF25" s="20"/>
      <c r="AG25" s="14"/>
      <c r="AS25" s="105"/>
      <c r="AT25" s="25">
        <f>IF(F25&lt;&gt;"",1,0)</f>
        <v>0</v>
      </c>
      <c r="AU25" s="25">
        <f>IF(AND(SUM(AT:AT)&gt;0,F25=""),1,0)</f>
        <v>1</v>
      </c>
    </row>
    <row r="26" spans="1:50" thickBot="1" x14ac:dyDescent="0.2">
      <c r="A26" s="22" t="str">
        <f t="shared" si="0"/>
        <v/>
      </c>
      <c r="B26" s="391" t="s">
        <v>325</v>
      </c>
      <c r="C26" s="392"/>
      <c r="D26" s="392"/>
      <c r="E26" s="392"/>
      <c r="F26" s="313">
        <v>0</v>
      </c>
      <c r="G26" s="212"/>
      <c r="H26" s="213"/>
      <c r="I26" s="213"/>
      <c r="J26" s="78" t="s">
        <v>152</v>
      </c>
      <c r="K26" s="218">
        <f>SUM(K21:K25)</f>
        <v>0</v>
      </c>
      <c r="L26" s="214"/>
      <c r="M26" s="437" t="s">
        <v>152</v>
      </c>
      <c r="N26" s="438"/>
      <c r="O26" s="229">
        <f>SUM(O21:O23)</f>
        <v>0</v>
      </c>
      <c r="P26" s="314"/>
      <c r="Q26" s="314"/>
      <c r="R26" s="315"/>
      <c r="S26" s="234">
        <f>SUM(S21:S25)</f>
        <v>0</v>
      </c>
      <c r="T26" s="230">
        <f>SUM(T21:T25)</f>
        <v>0</v>
      </c>
      <c r="U26" s="221">
        <f>SUM(U21:U25)</f>
        <v>0</v>
      </c>
      <c r="V26" s="222">
        <f>SUM(V21:V25)</f>
        <v>0</v>
      </c>
      <c r="W26" s="105"/>
      <c r="X26" s="12"/>
      <c r="Y26" s="12"/>
      <c r="Z26" s="20"/>
      <c r="AA26" s="20"/>
      <c r="AB26" s="20"/>
      <c r="AC26" s="20"/>
      <c r="AD26" s="20"/>
      <c r="AE26" s="20"/>
      <c r="AF26" s="20"/>
      <c r="AG26" s="14"/>
      <c r="AS26" s="105"/>
      <c r="AT26" s="21"/>
      <c r="AU26" s="21"/>
    </row>
    <row r="27" spans="1:50" s="108" customFormat="1" ht="5" customHeight="1" thickBot="1" x14ac:dyDescent="0.25">
      <c r="A27" s="293"/>
      <c r="B27" s="294"/>
      <c r="C27" s="294"/>
      <c r="D27" s="294"/>
      <c r="E27" s="294"/>
      <c r="F27" s="295"/>
      <c r="G27" s="296"/>
      <c r="H27" s="297"/>
      <c r="I27" s="297"/>
      <c r="J27" s="297"/>
      <c r="K27" s="298"/>
      <c r="L27" s="299"/>
      <c r="M27" s="300"/>
      <c r="N27" s="298"/>
      <c r="O27" s="298"/>
      <c r="P27" s="298"/>
      <c r="Q27" s="298"/>
      <c r="R27" s="301"/>
      <c r="S27" s="301"/>
      <c r="T27" s="301"/>
      <c r="U27" s="302"/>
      <c r="V27" s="303"/>
      <c r="W27" s="304"/>
      <c r="X27" s="299"/>
      <c r="Y27" s="305"/>
      <c r="Z27" s="306"/>
      <c r="AA27" s="307"/>
      <c r="AB27" s="307"/>
      <c r="AC27" s="307"/>
      <c r="AD27" s="307"/>
      <c r="AE27" s="308"/>
      <c r="AF27" s="307"/>
      <c r="AG27" s="307"/>
      <c r="AH27" s="307"/>
      <c r="AI27" s="307"/>
      <c r="AJ27" s="125"/>
      <c r="AK27" s="125"/>
      <c r="AV27" s="185"/>
      <c r="AW27" s="21"/>
      <c r="AX27" s="21"/>
    </row>
    <row r="28" spans="1:50" ht="25" customHeight="1" thickBot="1" x14ac:dyDescent="0.2">
      <c r="A28" s="22" t="str">
        <f t="shared" si="0"/>
        <v/>
      </c>
      <c r="B28" s="388" t="s">
        <v>3</v>
      </c>
      <c r="C28" s="389"/>
      <c r="D28" s="389"/>
      <c r="E28" s="389"/>
      <c r="F28" s="389"/>
      <c r="G28" s="389"/>
      <c r="H28" s="389"/>
      <c r="I28" s="389"/>
      <c r="J28" s="389"/>
      <c r="K28" s="390"/>
      <c r="L28" s="223"/>
      <c r="M28" s="405" t="str">
        <f>B28</f>
        <v>Strip out</v>
      </c>
      <c r="N28" s="406"/>
      <c r="O28" s="406"/>
      <c r="P28" s="406"/>
      <c r="Q28" s="406"/>
      <c r="R28" s="406"/>
      <c r="S28" s="406"/>
      <c r="T28" s="407"/>
      <c r="U28" s="394" t="str">
        <f>B28</f>
        <v>Strip out</v>
      </c>
      <c r="V28" s="395"/>
      <c r="X28" s="12"/>
      <c r="Y28" s="12"/>
      <c r="Z28" s="20"/>
      <c r="AA28" s="20"/>
      <c r="AB28" s="20"/>
      <c r="AC28" s="20"/>
      <c r="AD28" s="20"/>
      <c r="AE28" s="20"/>
      <c r="AF28" s="20"/>
      <c r="AG28" s="14"/>
      <c r="AS28" s="105"/>
      <c r="AT28" s="21"/>
      <c r="AU28" s="21"/>
    </row>
    <row r="29" spans="1:50" ht="15" customHeight="1" thickBot="1" x14ac:dyDescent="0.2">
      <c r="A29" s="22" t="str">
        <f t="shared" si="0"/>
        <v>X</v>
      </c>
      <c r="B29" s="366" t="s">
        <v>29</v>
      </c>
      <c r="C29" s="367"/>
      <c r="D29" s="367"/>
      <c r="E29" s="368"/>
      <c r="F29" s="13"/>
      <c r="G29" s="34" t="s">
        <v>86</v>
      </c>
      <c r="H29" s="39">
        <v>0</v>
      </c>
      <c r="I29" s="201">
        <f t="shared" ref="I29:I35" si="9">(H29/100)*(100+$F$36)</f>
        <v>0</v>
      </c>
      <c r="J29" s="38">
        <v>0</v>
      </c>
      <c r="K29" s="216">
        <f t="shared" ref="K29:K35" si="10">F29*I29*(1+J29)</f>
        <v>0</v>
      </c>
      <c r="L29" s="205">
        <v>0.75</v>
      </c>
      <c r="M29" s="202" t="str">
        <f t="shared" ref="M29:M35" si="11">B29</f>
        <v>Remove plaster/render (Walls)</v>
      </c>
      <c r="N29" s="60">
        <v>0.3</v>
      </c>
      <c r="O29" s="227">
        <f t="shared" ref="O29:O34" si="12">F29*N29</f>
        <v>0</v>
      </c>
      <c r="P29" s="319">
        <f t="shared" ref="P29:P35" si="13">$D$110</f>
        <v>30.63</v>
      </c>
      <c r="Q29" s="201">
        <f t="shared" ref="Q29:Q35" si="14">(P29/100)*(100+$F$36)</f>
        <v>30.630000000000003</v>
      </c>
      <c r="R29" s="272">
        <v>1</v>
      </c>
      <c r="S29" s="204">
        <f t="shared" ref="S29:S35" si="15">(O29*Q29*(1+R29))</f>
        <v>0</v>
      </c>
      <c r="T29" s="228">
        <f t="shared" ref="T29:T35" si="16">K29+S29</f>
        <v>0</v>
      </c>
      <c r="U29" s="219">
        <f t="shared" ref="U29:U35" si="17">F29*H29*1.1</f>
        <v>0</v>
      </c>
      <c r="V29" s="220">
        <f t="shared" ref="V29:V35" si="18">O29*$E$110</f>
        <v>0</v>
      </c>
      <c r="X29" s="12"/>
      <c r="Y29" s="12"/>
      <c r="Z29" s="20"/>
      <c r="AA29" s="20"/>
      <c r="AB29" s="20"/>
      <c r="AC29" s="20"/>
      <c r="AD29" s="20"/>
      <c r="AE29" s="20"/>
      <c r="AF29" s="20"/>
      <c r="AG29" s="14"/>
      <c r="AS29" s="105"/>
      <c r="AT29" s="25">
        <f>IF(F29&lt;&gt;"",1,0)</f>
        <v>0</v>
      </c>
      <c r="AU29" s="25">
        <f>IF(AND(SUM(AT:AT)&gt;0,F29=""),1,0)</f>
        <v>1</v>
      </c>
    </row>
    <row r="30" spans="1:50" ht="15" customHeight="1" thickBot="1" x14ac:dyDescent="0.2">
      <c r="A30" s="22" t="str">
        <f t="shared" si="0"/>
        <v>X</v>
      </c>
      <c r="B30" s="366" t="s">
        <v>4</v>
      </c>
      <c r="C30" s="367"/>
      <c r="D30" s="367"/>
      <c r="E30" s="368"/>
      <c r="F30" s="13"/>
      <c r="G30" s="34" t="s">
        <v>86</v>
      </c>
      <c r="H30" s="39">
        <v>0</v>
      </c>
      <c r="I30" s="201">
        <f t="shared" si="9"/>
        <v>0</v>
      </c>
      <c r="J30" s="38">
        <v>0</v>
      </c>
      <c r="K30" s="216">
        <f t="shared" si="10"/>
        <v>0</v>
      </c>
      <c r="L30" s="205">
        <v>0.8</v>
      </c>
      <c r="M30" s="202" t="str">
        <f t="shared" si="11"/>
        <v>Removal of stud walls etc (Bag &amp; cart away)</v>
      </c>
      <c r="N30" s="60">
        <v>0.4</v>
      </c>
      <c r="O30" s="227">
        <f t="shared" si="12"/>
        <v>0</v>
      </c>
      <c r="P30" s="319">
        <f t="shared" si="13"/>
        <v>30.63</v>
      </c>
      <c r="Q30" s="201">
        <f t="shared" si="14"/>
        <v>30.630000000000003</v>
      </c>
      <c r="R30" s="272">
        <v>1</v>
      </c>
      <c r="S30" s="204">
        <f t="shared" si="15"/>
        <v>0</v>
      </c>
      <c r="T30" s="228">
        <f t="shared" si="16"/>
        <v>0</v>
      </c>
      <c r="U30" s="219">
        <f t="shared" si="17"/>
        <v>0</v>
      </c>
      <c r="V30" s="220">
        <f t="shared" si="18"/>
        <v>0</v>
      </c>
      <c r="X30" s="12"/>
      <c r="Y30" s="12"/>
      <c r="Z30" s="20"/>
      <c r="AA30" s="20"/>
      <c r="AB30" s="20"/>
      <c r="AC30" s="20"/>
      <c r="AD30" s="20"/>
      <c r="AE30" s="20"/>
      <c r="AF30" s="20"/>
      <c r="AG30" s="14"/>
      <c r="AS30" s="105"/>
      <c r="AT30" s="25">
        <f>IF(F30&lt;&gt;"",1,0)</f>
        <v>0</v>
      </c>
      <c r="AU30" s="25">
        <f>IF(AND(SUM(AT:AT)&gt;0,F30=""),1,0)</f>
        <v>1</v>
      </c>
    </row>
    <row r="31" spans="1:50" ht="15" customHeight="1" thickBot="1" x14ac:dyDescent="0.2">
      <c r="A31" s="22" t="str">
        <f t="shared" si="0"/>
        <v>X</v>
      </c>
      <c r="B31" s="366" t="s">
        <v>56</v>
      </c>
      <c r="C31" s="367"/>
      <c r="D31" s="367"/>
      <c r="E31" s="368"/>
      <c r="F31" s="13"/>
      <c r="G31" s="34" t="s">
        <v>86</v>
      </c>
      <c r="H31" s="39">
        <v>0</v>
      </c>
      <c r="I31" s="201">
        <f t="shared" si="9"/>
        <v>0</v>
      </c>
      <c r="J31" s="38">
        <v>0</v>
      </c>
      <c r="K31" s="216">
        <f t="shared" si="10"/>
        <v>0</v>
      </c>
      <c r="L31" s="205">
        <v>0.6</v>
      </c>
      <c r="M31" s="202" t="str">
        <f t="shared" si="11"/>
        <v>Plaster &amp; lath removal )&amp; de-nail  (Ceilings)</v>
      </c>
      <c r="N31" s="60">
        <v>0.8</v>
      </c>
      <c r="O31" s="227">
        <f t="shared" si="12"/>
        <v>0</v>
      </c>
      <c r="P31" s="319">
        <f t="shared" si="13"/>
        <v>30.63</v>
      </c>
      <c r="Q31" s="201">
        <f t="shared" si="14"/>
        <v>30.630000000000003</v>
      </c>
      <c r="R31" s="272">
        <v>1</v>
      </c>
      <c r="S31" s="204">
        <f t="shared" si="15"/>
        <v>0</v>
      </c>
      <c r="T31" s="228">
        <f t="shared" si="16"/>
        <v>0</v>
      </c>
      <c r="U31" s="219">
        <f t="shared" si="17"/>
        <v>0</v>
      </c>
      <c r="V31" s="220">
        <f t="shared" si="18"/>
        <v>0</v>
      </c>
      <c r="X31" s="12"/>
      <c r="Y31" s="12"/>
      <c r="Z31" s="20"/>
      <c r="AA31" s="20"/>
      <c r="AB31" s="20"/>
      <c r="AC31" s="20"/>
      <c r="AD31" s="20"/>
      <c r="AE31" s="20"/>
      <c r="AF31" s="20"/>
      <c r="AG31" s="14"/>
      <c r="AS31" s="105"/>
      <c r="AT31" s="25">
        <f>IF(F31&lt;&gt;"",1,0)</f>
        <v>0</v>
      </c>
      <c r="AU31" s="25">
        <f>IF(AND(SUM(AT:AT)&gt;0,F31=""),1,0)</f>
        <v>1</v>
      </c>
    </row>
    <row r="32" spans="1:50" ht="15" customHeight="1" thickBot="1" x14ac:dyDescent="0.2">
      <c r="A32" s="22" t="str">
        <f t="shared" si="0"/>
        <v>X</v>
      </c>
      <c r="B32" s="366" t="s">
        <v>27</v>
      </c>
      <c r="C32" s="367"/>
      <c r="D32" s="367"/>
      <c r="E32" s="368"/>
      <c r="F32" s="13"/>
      <c r="G32" s="34" t="s">
        <v>86</v>
      </c>
      <c r="H32" s="39">
        <v>0</v>
      </c>
      <c r="I32" s="201">
        <f t="shared" si="9"/>
        <v>0</v>
      </c>
      <c r="J32" s="38">
        <v>0</v>
      </c>
      <c r="K32" s="216">
        <f t="shared" si="10"/>
        <v>0</v>
      </c>
      <c r="L32" s="205"/>
      <c r="M32" s="202" t="str">
        <f t="shared" si="11"/>
        <v>Strip out existing timber floor (GF)</v>
      </c>
      <c r="N32" s="60">
        <v>0.5</v>
      </c>
      <c r="O32" s="227">
        <f t="shared" si="12"/>
        <v>0</v>
      </c>
      <c r="P32" s="319">
        <f t="shared" si="13"/>
        <v>30.63</v>
      </c>
      <c r="Q32" s="201">
        <f t="shared" si="14"/>
        <v>30.630000000000003</v>
      </c>
      <c r="R32" s="272">
        <v>1</v>
      </c>
      <c r="S32" s="204">
        <f t="shared" si="15"/>
        <v>0</v>
      </c>
      <c r="T32" s="228">
        <f t="shared" si="16"/>
        <v>0</v>
      </c>
      <c r="U32" s="219">
        <f t="shared" si="17"/>
        <v>0</v>
      </c>
      <c r="V32" s="220">
        <f t="shared" si="18"/>
        <v>0</v>
      </c>
      <c r="X32" s="12"/>
      <c r="Y32" s="12"/>
      <c r="Z32" s="20"/>
      <c r="AA32" s="20"/>
      <c r="AB32" s="20"/>
      <c r="AC32" s="20"/>
      <c r="AD32" s="20"/>
      <c r="AE32" s="20"/>
      <c r="AF32" s="20"/>
      <c r="AG32" s="14"/>
      <c r="AS32" s="105"/>
      <c r="AT32" s="25">
        <f>IF(F32&lt;&gt;"",1,0)</f>
        <v>0</v>
      </c>
      <c r="AU32" s="25">
        <f>IF(AND(SUM(AT:AT)&gt;0,F32=""),1,0)</f>
        <v>1</v>
      </c>
    </row>
    <row r="33" spans="1:50" ht="15" customHeight="1" thickBot="1" x14ac:dyDescent="0.2">
      <c r="A33" s="22" t="str">
        <f t="shared" si="0"/>
        <v>X</v>
      </c>
      <c r="B33" s="366" t="s">
        <v>26</v>
      </c>
      <c r="C33" s="367"/>
      <c r="D33" s="367"/>
      <c r="E33" s="368"/>
      <c r="F33" s="13"/>
      <c r="G33" s="34" t="s">
        <v>86</v>
      </c>
      <c r="H33" s="39">
        <v>0</v>
      </c>
      <c r="I33" s="201">
        <f t="shared" si="9"/>
        <v>0</v>
      </c>
      <c r="J33" s="38">
        <v>0</v>
      </c>
      <c r="K33" s="216">
        <f t="shared" si="10"/>
        <v>0</v>
      </c>
      <c r="L33" s="205"/>
      <c r="M33" s="202" t="str">
        <f t="shared" si="11"/>
        <v>Scrape back/clear sub floors</v>
      </c>
      <c r="N33" s="60">
        <v>0.25</v>
      </c>
      <c r="O33" s="227">
        <f t="shared" si="12"/>
        <v>0</v>
      </c>
      <c r="P33" s="319">
        <f t="shared" si="13"/>
        <v>30.63</v>
      </c>
      <c r="Q33" s="201">
        <f t="shared" si="14"/>
        <v>30.630000000000003</v>
      </c>
      <c r="R33" s="272">
        <v>1</v>
      </c>
      <c r="S33" s="204">
        <f t="shared" si="15"/>
        <v>0</v>
      </c>
      <c r="T33" s="228">
        <f t="shared" si="16"/>
        <v>0</v>
      </c>
      <c r="U33" s="219">
        <f t="shared" si="17"/>
        <v>0</v>
      </c>
      <c r="V33" s="220">
        <f t="shared" si="18"/>
        <v>0</v>
      </c>
      <c r="X33" s="12"/>
      <c r="Y33" s="12"/>
      <c r="Z33" s="20"/>
      <c r="AA33" s="20"/>
      <c r="AB33" s="20"/>
      <c r="AC33" s="20"/>
      <c r="AD33" s="20"/>
      <c r="AE33" s="20"/>
      <c r="AF33" s="20"/>
      <c r="AG33" s="14"/>
      <c r="AS33" s="105"/>
      <c r="AT33" s="25">
        <f>IF(F33&lt;&gt;"",1,0)</f>
        <v>0</v>
      </c>
      <c r="AU33" s="25">
        <f>IF(AND(SUM(AT:AT)&gt;0,F33=""),1,0)</f>
        <v>1</v>
      </c>
    </row>
    <row r="34" spans="1:50" ht="14.5" customHeight="1" x14ac:dyDescent="0.15">
      <c r="A34" s="22" t="str">
        <f t="shared" si="0"/>
        <v/>
      </c>
      <c r="B34" s="385" t="s">
        <v>23</v>
      </c>
      <c r="C34" s="386"/>
      <c r="D34" s="386"/>
      <c r="E34" s="387"/>
      <c r="F34" s="45">
        <f>SUM(F29:F33)*2</f>
        <v>0</v>
      </c>
      <c r="G34" s="34" t="s">
        <v>113</v>
      </c>
      <c r="H34" s="39">
        <v>1</v>
      </c>
      <c r="I34" s="201">
        <f t="shared" si="9"/>
        <v>1</v>
      </c>
      <c r="J34" s="36">
        <v>0.3</v>
      </c>
      <c r="K34" s="217">
        <f t="shared" si="10"/>
        <v>0</v>
      </c>
      <c r="L34" s="205"/>
      <c r="M34" s="202" t="str">
        <f t="shared" si="11"/>
        <v xml:space="preserve">Bag up debris &amp; cart outside </v>
      </c>
      <c r="N34" s="60">
        <v>0.01</v>
      </c>
      <c r="O34" s="227">
        <f t="shared" si="12"/>
        <v>0</v>
      </c>
      <c r="P34" s="319">
        <f t="shared" si="13"/>
        <v>30.63</v>
      </c>
      <c r="Q34" s="201">
        <f t="shared" si="14"/>
        <v>30.630000000000003</v>
      </c>
      <c r="R34" s="272">
        <v>1</v>
      </c>
      <c r="S34" s="204">
        <f t="shared" si="15"/>
        <v>0</v>
      </c>
      <c r="T34" s="228">
        <f t="shared" si="16"/>
        <v>0</v>
      </c>
      <c r="U34" s="219">
        <f t="shared" si="17"/>
        <v>0</v>
      </c>
      <c r="V34" s="220">
        <f t="shared" si="18"/>
        <v>0</v>
      </c>
      <c r="X34" s="12"/>
      <c r="Y34" s="12"/>
      <c r="Z34" s="20"/>
      <c r="AA34" s="20"/>
      <c r="AB34" s="20"/>
      <c r="AC34" s="20"/>
      <c r="AD34" s="20"/>
      <c r="AE34" s="20"/>
      <c r="AF34" s="20"/>
      <c r="AG34" s="14"/>
      <c r="AS34" s="105"/>
      <c r="AT34" s="21"/>
      <c r="AU34" s="21"/>
    </row>
    <row r="35" spans="1:50" ht="31.5" customHeight="1" thickBot="1" x14ac:dyDescent="0.2">
      <c r="A35" s="22" t="str">
        <f t="shared" si="0"/>
        <v/>
      </c>
      <c r="B35" s="385" t="s">
        <v>24</v>
      </c>
      <c r="C35" s="386"/>
      <c r="D35" s="386"/>
      <c r="E35" s="387"/>
      <c r="F35" s="46">
        <f>F34</f>
        <v>0</v>
      </c>
      <c r="G35" s="34" t="s">
        <v>113</v>
      </c>
      <c r="H35" s="39">
        <f>IF(F35=0,0,IF(F35&lt;=20,40/F35,2))</f>
        <v>0</v>
      </c>
      <c r="I35" s="201">
        <f t="shared" si="9"/>
        <v>0</v>
      </c>
      <c r="J35" s="38">
        <v>0.3</v>
      </c>
      <c r="K35" s="217">
        <f t="shared" si="10"/>
        <v>0</v>
      </c>
      <c r="L35" s="205"/>
      <c r="M35" s="202" t="str">
        <f t="shared" si="11"/>
        <v>Disposal via licensed transfer agent</v>
      </c>
      <c r="N35" s="60">
        <v>0</v>
      </c>
      <c r="O35" s="227">
        <v>0</v>
      </c>
      <c r="P35" s="319">
        <f t="shared" si="13"/>
        <v>30.63</v>
      </c>
      <c r="Q35" s="201">
        <f t="shared" si="14"/>
        <v>30.630000000000003</v>
      </c>
      <c r="R35" s="272">
        <v>1</v>
      </c>
      <c r="S35" s="204">
        <f t="shared" si="15"/>
        <v>0</v>
      </c>
      <c r="T35" s="228">
        <f t="shared" si="16"/>
        <v>0</v>
      </c>
      <c r="U35" s="219">
        <f t="shared" si="17"/>
        <v>0</v>
      </c>
      <c r="V35" s="220">
        <f t="shared" si="18"/>
        <v>0</v>
      </c>
      <c r="X35" s="12"/>
      <c r="Y35" s="12"/>
      <c r="Z35" s="20"/>
      <c r="AA35" s="20"/>
      <c r="AB35" s="20"/>
      <c r="AC35" s="20"/>
      <c r="AD35" s="20"/>
      <c r="AE35" s="20"/>
      <c r="AF35" s="20"/>
      <c r="AG35" s="14"/>
      <c r="AS35" s="105"/>
      <c r="AT35" s="21"/>
      <c r="AU35" s="21"/>
    </row>
    <row r="36" spans="1:50" ht="15.75" customHeight="1" thickBot="1" x14ac:dyDescent="0.2">
      <c r="A36" s="22" t="str">
        <f t="shared" si="0"/>
        <v/>
      </c>
      <c r="B36" s="391" t="s">
        <v>325</v>
      </c>
      <c r="C36" s="392"/>
      <c r="D36" s="392"/>
      <c r="E36" s="392"/>
      <c r="F36" s="313">
        <v>0</v>
      </c>
      <c r="G36" s="224"/>
      <c r="H36" s="225"/>
      <c r="I36" s="225"/>
      <c r="J36" s="78" t="s">
        <v>152</v>
      </c>
      <c r="K36" s="226">
        <f>SUM(K29:K35)</f>
        <v>0</v>
      </c>
      <c r="L36" s="214"/>
      <c r="M36" s="437" t="s">
        <v>152</v>
      </c>
      <c r="N36" s="438"/>
      <c r="O36" s="229">
        <f>SUM(O29:O35)</f>
        <v>0</v>
      </c>
      <c r="P36" s="314"/>
      <c r="Q36" s="314"/>
      <c r="R36" s="315"/>
      <c r="S36" s="234">
        <f>SUM(S29:S35)</f>
        <v>0</v>
      </c>
      <c r="T36" s="230">
        <f t="shared" ref="T36:V36" si="19">SUM(T29:T35)</f>
        <v>0</v>
      </c>
      <c r="U36" s="233">
        <f>SUM(U29:U35)</f>
        <v>0</v>
      </c>
      <c r="V36" s="232">
        <f t="shared" si="19"/>
        <v>0</v>
      </c>
      <c r="W36" s="105"/>
      <c r="X36" s="12"/>
      <c r="Y36" s="12"/>
      <c r="Z36" s="20"/>
      <c r="AA36" s="20"/>
      <c r="AB36" s="20"/>
      <c r="AC36" s="20"/>
      <c r="AD36" s="20"/>
      <c r="AE36" s="20"/>
      <c r="AF36" s="20"/>
      <c r="AG36" s="14"/>
      <c r="AS36" s="105"/>
      <c r="AT36" s="21"/>
      <c r="AU36" s="21"/>
    </row>
    <row r="37" spans="1:50" s="108" customFormat="1" ht="5" customHeight="1" thickBot="1" x14ac:dyDescent="0.25">
      <c r="A37" s="293"/>
      <c r="B37" s="294"/>
      <c r="C37" s="294"/>
      <c r="D37" s="294"/>
      <c r="E37" s="294"/>
      <c r="F37" s="295"/>
      <c r="G37" s="296"/>
      <c r="H37" s="297"/>
      <c r="I37" s="297"/>
      <c r="J37" s="297"/>
      <c r="K37" s="298"/>
      <c r="L37" s="299"/>
      <c r="M37" s="300"/>
      <c r="N37" s="298"/>
      <c r="O37" s="298"/>
      <c r="P37" s="298"/>
      <c r="Q37" s="298"/>
      <c r="R37" s="301"/>
      <c r="S37" s="301"/>
      <c r="T37" s="301"/>
      <c r="U37" s="302"/>
      <c r="V37" s="303"/>
      <c r="W37" s="304"/>
      <c r="X37" s="299"/>
      <c r="Y37" s="305"/>
      <c r="Z37" s="306"/>
      <c r="AA37" s="307"/>
      <c r="AB37" s="307"/>
      <c r="AC37" s="307"/>
      <c r="AD37" s="307"/>
      <c r="AE37" s="308"/>
      <c r="AF37" s="307"/>
      <c r="AG37" s="307"/>
      <c r="AH37" s="307"/>
      <c r="AI37" s="307"/>
      <c r="AJ37" s="125"/>
      <c r="AK37" s="125"/>
      <c r="AV37" s="185"/>
      <c r="AW37" s="21"/>
      <c r="AX37" s="21"/>
    </row>
    <row r="38" spans="1:50" ht="25" customHeight="1" thickBot="1" x14ac:dyDescent="0.2">
      <c r="A38" s="22" t="str">
        <f t="shared" si="0"/>
        <v/>
      </c>
      <c r="B38" s="415" t="s">
        <v>6</v>
      </c>
      <c r="C38" s="416"/>
      <c r="D38" s="416"/>
      <c r="E38" s="416"/>
      <c r="F38" s="416"/>
      <c r="G38" s="416"/>
      <c r="H38" s="416"/>
      <c r="I38" s="416"/>
      <c r="J38" s="416"/>
      <c r="K38" s="417"/>
      <c r="L38" s="240"/>
      <c r="M38" s="405" t="str">
        <f>B38</f>
        <v>Plastering/finishing</v>
      </c>
      <c r="N38" s="406"/>
      <c r="O38" s="406"/>
      <c r="P38" s="406"/>
      <c r="Q38" s="406"/>
      <c r="R38" s="406"/>
      <c r="S38" s="406"/>
      <c r="T38" s="407"/>
      <c r="U38" s="461" t="str">
        <f>B38</f>
        <v>Plastering/finishing</v>
      </c>
      <c r="V38" s="395"/>
      <c r="X38" s="12"/>
      <c r="Y38" s="12"/>
      <c r="Z38" s="20"/>
      <c r="AA38" s="20"/>
      <c r="AB38" s="20"/>
      <c r="AC38" s="20"/>
      <c r="AD38" s="20"/>
      <c r="AE38" s="20"/>
      <c r="AF38" s="20"/>
      <c r="AG38" s="14"/>
      <c r="AS38" s="105"/>
      <c r="AT38" s="21"/>
      <c r="AU38" s="21"/>
    </row>
    <row r="39" spans="1:50" ht="15" customHeight="1" thickBot="1" x14ac:dyDescent="0.2">
      <c r="A39" s="22" t="str">
        <f t="shared" ref="A39:A79" si="20">IF(AU39=1,"X","")</f>
        <v>X</v>
      </c>
      <c r="B39" s="381" t="s">
        <v>7</v>
      </c>
      <c r="C39" s="382"/>
      <c r="D39" s="382"/>
      <c r="E39" s="442"/>
      <c r="F39" s="100"/>
      <c r="G39" s="34" t="s">
        <v>86</v>
      </c>
      <c r="H39" s="51">
        <v>14</v>
      </c>
      <c r="I39" s="201">
        <f t="shared" ref="I39:I45" si="21">(H39/100)*(100+$F$46)</f>
        <v>14.000000000000002</v>
      </c>
      <c r="J39" s="38">
        <v>0.3</v>
      </c>
      <c r="K39" s="237">
        <f t="shared" ref="K39:K45" si="22">F39*I39*(1+J39)</f>
        <v>0</v>
      </c>
      <c r="L39" s="235"/>
      <c r="M39" s="202" t="str">
        <f t="shared" ref="M39:M45" si="23">B39</f>
        <v>Construct stud wall to perimiter</v>
      </c>
      <c r="N39" s="60">
        <v>0.4</v>
      </c>
      <c r="O39" s="227">
        <f>F39*N39</f>
        <v>0</v>
      </c>
      <c r="P39" s="319">
        <f t="shared" ref="P39:P45" si="24">$D$110</f>
        <v>30.63</v>
      </c>
      <c r="Q39" s="201">
        <f t="shared" ref="Q39:Q45" si="25">(P39/100)*(100+$F$46)</f>
        <v>30.630000000000003</v>
      </c>
      <c r="R39" s="272">
        <v>1</v>
      </c>
      <c r="S39" s="204">
        <f t="shared" ref="S39:S45" si="26">(O39*Q39*(1+R39))</f>
        <v>0</v>
      </c>
      <c r="T39" s="228">
        <f t="shared" ref="T39:T45" si="27">K39+S39</f>
        <v>0</v>
      </c>
      <c r="U39" s="219">
        <f t="shared" ref="U39:U45" si="28">F39*H39*1.1</f>
        <v>0</v>
      </c>
      <c r="V39" s="220">
        <f t="shared" ref="V39:V45" si="29">O39*$E$110</f>
        <v>0</v>
      </c>
      <c r="X39" s="12"/>
      <c r="Y39" s="12"/>
      <c r="Z39" s="20"/>
      <c r="AA39" s="20"/>
      <c r="AB39" s="20"/>
      <c r="AC39" s="20"/>
      <c r="AD39" s="20"/>
      <c r="AE39" s="20"/>
      <c r="AF39" s="20"/>
      <c r="AG39" s="14"/>
      <c r="AS39" s="105"/>
      <c r="AT39" s="25">
        <f t="shared" ref="AT39:AT45" si="30">IF(F39&lt;&gt;"",1,0)</f>
        <v>0</v>
      </c>
      <c r="AU39" s="25">
        <f t="shared" ref="AU39:AU45" si="31">IF(AND(SUM(AT:AT)&gt;0,F39=""),1,0)</f>
        <v>1</v>
      </c>
    </row>
    <row r="40" spans="1:50" ht="15" customHeight="1" thickBot="1" x14ac:dyDescent="0.2">
      <c r="A40" s="22" t="str">
        <f t="shared" si="20"/>
        <v>X</v>
      </c>
      <c r="B40" s="383" t="s">
        <v>18</v>
      </c>
      <c r="C40" s="384"/>
      <c r="D40" s="384"/>
      <c r="E40" s="445"/>
      <c r="F40" s="11"/>
      <c r="G40" s="34" t="s">
        <v>86</v>
      </c>
      <c r="H40" s="51">
        <f>(8.24/1.098)*1.3</f>
        <v>9.7559198542805099</v>
      </c>
      <c r="I40" s="201">
        <f t="shared" si="21"/>
        <v>9.7559198542805099</v>
      </c>
      <c r="J40" s="36">
        <v>0.3</v>
      </c>
      <c r="K40" s="237">
        <f t="shared" si="22"/>
        <v>0</v>
      </c>
      <c r="L40" s="235"/>
      <c r="M40" s="202" t="str">
        <f t="shared" si="23"/>
        <v>Plasterboarding (inc dab/screws)</v>
      </c>
      <c r="N40" s="60">
        <v>0.4</v>
      </c>
      <c r="O40" s="227">
        <f>F40*N40</f>
        <v>0</v>
      </c>
      <c r="P40" s="319">
        <f t="shared" si="24"/>
        <v>30.63</v>
      </c>
      <c r="Q40" s="201">
        <f t="shared" si="25"/>
        <v>30.630000000000003</v>
      </c>
      <c r="R40" s="272">
        <v>1</v>
      </c>
      <c r="S40" s="204">
        <f t="shared" si="26"/>
        <v>0</v>
      </c>
      <c r="T40" s="228">
        <f t="shared" si="27"/>
        <v>0</v>
      </c>
      <c r="U40" s="219">
        <f t="shared" si="28"/>
        <v>0</v>
      </c>
      <c r="V40" s="220">
        <f t="shared" si="29"/>
        <v>0</v>
      </c>
      <c r="X40" s="12"/>
      <c r="Y40" s="12"/>
      <c r="Z40" s="20"/>
      <c r="AA40" s="20"/>
      <c r="AB40" s="20"/>
      <c r="AC40" s="20"/>
      <c r="AD40" s="20"/>
      <c r="AE40" s="20"/>
      <c r="AF40" s="20"/>
      <c r="AG40" s="14"/>
      <c r="AS40" s="105"/>
      <c r="AT40" s="25">
        <f t="shared" si="30"/>
        <v>0</v>
      </c>
      <c r="AU40" s="25">
        <f t="shared" si="31"/>
        <v>1</v>
      </c>
    </row>
    <row r="41" spans="1:50" ht="15" customHeight="1" thickBot="1" x14ac:dyDescent="0.2">
      <c r="A41" s="22" t="str">
        <f t="shared" si="20"/>
        <v>X</v>
      </c>
      <c r="B41" s="381" t="s">
        <v>8</v>
      </c>
      <c r="C41" s="382"/>
      <c r="D41" s="382"/>
      <c r="E41" s="442"/>
      <c r="F41" s="101"/>
      <c r="G41" s="34" t="s">
        <v>86</v>
      </c>
      <c r="H41" s="51">
        <f>IF(F41=0,0,(_xlfn.CEILING.MATH(F41,10)*((12.08/10)*1.1))/F41)</f>
        <v>0</v>
      </c>
      <c r="I41" s="201">
        <f t="shared" si="21"/>
        <v>0</v>
      </c>
      <c r="J41" s="38">
        <v>0.3</v>
      </c>
      <c r="K41" s="238">
        <f t="shared" si="22"/>
        <v>0</v>
      </c>
      <c r="L41" s="205"/>
      <c r="M41" s="202" t="str">
        <f t="shared" si="23"/>
        <v>Skimming walls (multi finish plaster)</v>
      </c>
      <c r="N41" s="227">
        <f>4/15</f>
        <v>0.26666666666666666</v>
      </c>
      <c r="O41" s="227">
        <f>ROUNDUP(F41/15,0)*4</f>
        <v>0</v>
      </c>
      <c r="P41" s="319">
        <f t="shared" si="24"/>
        <v>30.63</v>
      </c>
      <c r="Q41" s="201">
        <f t="shared" si="25"/>
        <v>30.630000000000003</v>
      </c>
      <c r="R41" s="272">
        <v>1</v>
      </c>
      <c r="S41" s="204">
        <f t="shared" si="26"/>
        <v>0</v>
      </c>
      <c r="T41" s="228">
        <f t="shared" si="27"/>
        <v>0</v>
      </c>
      <c r="U41" s="219">
        <f t="shared" si="28"/>
        <v>0</v>
      </c>
      <c r="V41" s="220">
        <f t="shared" si="29"/>
        <v>0</v>
      </c>
      <c r="X41" s="12"/>
      <c r="Y41" s="12"/>
      <c r="Z41" s="20"/>
      <c r="AA41" s="20"/>
      <c r="AB41" s="20"/>
      <c r="AC41" s="20"/>
      <c r="AD41" s="20"/>
      <c r="AE41" s="20"/>
      <c r="AF41" s="20"/>
      <c r="AG41" s="14"/>
      <c r="AS41" s="105"/>
      <c r="AT41" s="25">
        <f t="shared" si="30"/>
        <v>0</v>
      </c>
      <c r="AU41" s="25">
        <f t="shared" si="31"/>
        <v>1</v>
      </c>
    </row>
    <row r="42" spans="1:50" ht="15" customHeight="1" thickBot="1" x14ac:dyDescent="0.2">
      <c r="A42" s="22" t="str">
        <f t="shared" ref="A42" si="32">IF(AU42=1,"X","")</f>
        <v>X</v>
      </c>
      <c r="B42" s="366" t="s">
        <v>385</v>
      </c>
      <c r="C42" s="367"/>
      <c r="D42" s="367"/>
      <c r="E42" s="367"/>
      <c r="F42" s="364"/>
      <c r="G42" s="34" t="s">
        <v>87</v>
      </c>
      <c r="H42" s="51">
        <f>1*1.1</f>
        <v>1.1000000000000001</v>
      </c>
      <c r="I42" s="201">
        <f t="shared" si="21"/>
        <v>1.1000000000000001</v>
      </c>
      <c r="J42" s="38">
        <v>0.3</v>
      </c>
      <c r="K42" s="238">
        <f t="shared" ref="K42" si="33">F42*I42*(1+J42)</f>
        <v>0</v>
      </c>
      <c r="L42" s="205"/>
      <c r="M42" s="202" t="str">
        <f t="shared" ref="M42" si="34">B42</f>
        <v>Plastering Stop Bead - 3m length</v>
      </c>
      <c r="N42" s="60">
        <v>0</v>
      </c>
      <c r="O42" s="227">
        <f>F42*N42</f>
        <v>0</v>
      </c>
      <c r="P42" s="319">
        <f t="shared" si="24"/>
        <v>30.63</v>
      </c>
      <c r="Q42" s="201">
        <f t="shared" si="25"/>
        <v>30.630000000000003</v>
      </c>
      <c r="R42" s="272">
        <v>1</v>
      </c>
      <c r="S42" s="204">
        <f t="shared" ref="S42" si="35">(O42*Q42*(1+R42))</f>
        <v>0</v>
      </c>
      <c r="T42" s="228">
        <f t="shared" ref="T42" si="36">K42+S42</f>
        <v>0</v>
      </c>
      <c r="U42" s="219">
        <f t="shared" si="28"/>
        <v>0</v>
      </c>
      <c r="V42" s="220">
        <f t="shared" si="29"/>
        <v>0</v>
      </c>
      <c r="X42" s="12"/>
      <c r="Y42" s="12"/>
      <c r="Z42" s="20"/>
      <c r="AA42" s="20"/>
      <c r="AB42" s="20"/>
      <c r="AC42" s="20"/>
      <c r="AD42" s="20"/>
      <c r="AE42" s="20"/>
      <c r="AF42" s="20"/>
      <c r="AG42" s="14"/>
      <c r="AS42" s="105"/>
      <c r="AT42" s="25">
        <f t="shared" si="30"/>
        <v>0</v>
      </c>
      <c r="AU42" s="25">
        <f t="shared" si="31"/>
        <v>1</v>
      </c>
    </row>
    <row r="43" spans="1:50" ht="15" customHeight="1" thickBot="1" x14ac:dyDescent="0.2">
      <c r="A43" s="22" t="str">
        <f t="shared" si="20"/>
        <v>X</v>
      </c>
      <c r="B43" s="366" t="s">
        <v>386</v>
      </c>
      <c r="C43" s="367"/>
      <c r="D43" s="367"/>
      <c r="E43" s="367"/>
      <c r="F43" s="364"/>
      <c r="G43" s="34" t="s">
        <v>87</v>
      </c>
      <c r="H43" s="51">
        <f>1.66*1.1</f>
        <v>1.8260000000000001</v>
      </c>
      <c r="I43" s="201">
        <f t="shared" si="21"/>
        <v>1.8260000000000003</v>
      </c>
      <c r="J43" s="38">
        <v>0.3</v>
      </c>
      <c r="K43" s="238">
        <f t="shared" si="22"/>
        <v>0</v>
      </c>
      <c r="L43" s="205"/>
      <c r="M43" s="202" t="str">
        <f t="shared" si="23"/>
        <v>Plastering Thin Coat Angle/Corner Bead - 2.4m length</v>
      </c>
      <c r="N43" s="60">
        <v>0</v>
      </c>
      <c r="O43" s="227">
        <f>F43*N43</f>
        <v>0</v>
      </c>
      <c r="P43" s="319">
        <f t="shared" si="24"/>
        <v>30.63</v>
      </c>
      <c r="Q43" s="201">
        <f t="shared" si="25"/>
        <v>30.630000000000003</v>
      </c>
      <c r="R43" s="272">
        <v>1</v>
      </c>
      <c r="S43" s="204">
        <f t="shared" si="26"/>
        <v>0</v>
      </c>
      <c r="T43" s="228">
        <f t="shared" si="27"/>
        <v>0</v>
      </c>
      <c r="U43" s="219">
        <f t="shared" si="28"/>
        <v>0</v>
      </c>
      <c r="V43" s="220">
        <f t="shared" si="29"/>
        <v>0</v>
      </c>
      <c r="X43" s="12"/>
      <c r="Y43" s="12"/>
      <c r="Z43" s="20"/>
      <c r="AA43" s="20"/>
      <c r="AB43" s="20"/>
      <c r="AC43" s="20"/>
      <c r="AD43" s="20"/>
      <c r="AE43" s="20"/>
      <c r="AF43" s="20"/>
      <c r="AG43" s="14"/>
      <c r="AS43" s="105"/>
      <c r="AT43" s="25">
        <f t="shared" si="30"/>
        <v>0</v>
      </c>
      <c r="AU43" s="25">
        <f t="shared" si="31"/>
        <v>1</v>
      </c>
    </row>
    <row r="44" spans="1:50" ht="15" customHeight="1" thickBot="1" x14ac:dyDescent="0.2">
      <c r="A44" s="22" t="str">
        <f t="shared" ref="A44" si="37">IF(AU44=1,"X","")</f>
        <v>X</v>
      </c>
      <c r="B44" s="366" t="s">
        <v>387</v>
      </c>
      <c r="C44" s="367"/>
      <c r="D44" s="367"/>
      <c r="E44" s="367"/>
      <c r="F44" s="11"/>
      <c r="G44" s="34" t="s">
        <v>87</v>
      </c>
      <c r="H44" s="51">
        <f>2.5*1.1</f>
        <v>2.75</v>
      </c>
      <c r="I44" s="201">
        <f t="shared" si="21"/>
        <v>2.75</v>
      </c>
      <c r="J44" s="38">
        <v>0.3</v>
      </c>
      <c r="K44" s="238">
        <f t="shared" ref="K44" si="38">F44*I44*(1+J44)</f>
        <v>0</v>
      </c>
      <c r="L44" s="205"/>
      <c r="M44" s="202" t="str">
        <f t="shared" ref="M44" si="39">B44</f>
        <v>Plastering Thin Coat Angle/Corner Bead - 3m length</v>
      </c>
      <c r="N44" s="60">
        <v>0</v>
      </c>
      <c r="O44" s="227">
        <f>F44*N44</f>
        <v>0</v>
      </c>
      <c r="P44" s="319">
        <f t="shared" si="24"/>
        <v>30.63</v>
      </c>
      <c r="Q44" s="201">
        <f t="shared" si="25"/>
        <v>30.630000000000003</v>
      </c>
      <c r="R44" s="272">
        <v>1</v>
      </c>
      <c r="S44" s="204">
        <f t="shared" ref="S44" si="40">(O44*Q44*(1+R44))</f>
        <v>0</v>
      </c>
      <c r="T44" s="228">
        <f t="shared" ref="T44" si="41">K44+S44</f>
        <v>0</v>
      </c>
      <c r="U44" s="219">
        <f t="shared" si="28"/>
        <v>0</v>
      </c>
      <c r="V44" s="220">
        <f t="shared" si="29"/>
        <v>0</v>
      </c>
      <c r="X44" s="12"/>
      <c r="Y44" s="12"/>
      <c r="Z44" s="20"/>
      <c r="AA44" s="20"/>
      <c r="AB44" s="20"/>
      <c r="AC44" s="20"/>
      <c r="AD44" s="20"/>
      <c r="AE44" s="20"/>
      <c r="AF44" s="20"/>
      <c r="AG44" s="14"/>
      <c r="AS44" s="105"/>
      <c r="AT44" s="25">
        <f t="shared" si="30"/>
        <v>0</v>
      </c>
      <c r="AU44" s="25">
        <f t="shared" si="31"/>
        <v>1</v>
      </c>
    </row>
    <row r="45" spans="1:50" ht="15" customHeight="1" thickBot="1" x14ac:dyDescent="0.2">
      <c r="A45" s="22" t="str">
        <f t="shared" si="20"/>
        <v>X</v>
      </c>
      <c r="B45" s="381" t="s">
        <v>143</v>
      </c>
      <c r="C45" s="382"/>
      <c r="D45" s="382"/>
      <c r="E45" s="442"/>
      <c r="F45" s="101"/>
      <c r="G45" s="34" t="s">
        <v>2</v>
      </c>
      <c r="H45" s="51">
        <v>0</v>
      </c>
      <c r="I45" s="201">
        <f t="shared" si="21"/>
        <v>0</v>
      </c>
      <c r="J45" s="38">
        <v>0</v>
      </c>
      <c r="K45" s="238">
        <f t="shared" si="22"/>
        <v>0</v>
      </c>
      <c r="L45" s="205"/>
      <c r="M45" s="202" t="str">
        <f t="shared" si="23"/>
        <v>Difficulty hours (fireplace, corners etc)</v>
      </c>
      <c r="N45" s="227">
        <v>1</v>
      </c>
      <c r="O45" s="227">
        <f>F45*N45</f>
        <v>0</v>
      </c>
      <c r="P45" s="319">
        <f t="shared" si="24"/>
        <v>30.63</v>
      </c>
      <c r="Q45" s="201">
        <f t="shared" si="25"/>
        <v>30.630000000000003</v>
      </c>
      <c r="R45" s="272">
        <v>1</v>
      </c>
      <c r="S45" s="204">
        <f t="shared" si="26"/>
        <v>0</v>
      </c>
      <c r="T45" s="228">
        <f t="shared" si="27"/>
        <v>0</v>
      </c>
      <c r="U45" s="219">
        <f t="shared" si="28"/>
        <v>0</v>
      </c>
      <c r="V45" s="220">
        <f t="shared" si="29"/>
        <v>0</v>
      </c>
      <c r="X45" s="12"/>
      <c r="Y45" s="12"/>
      <c r="Z45" s="20"/>
      <c r="AA45" s="20"/>
      <c r="AB45" s="20"/>
      <c r="AC45" s="20"/>
      <c r="AD45" s="20"/>
      <c r="AE45" s="20"/>
      <c r="AF45" s="20"/>
      <c r="AG45" s="14"/>
      <c r="AS45" s="105"/>
      <c r="AT45" s="25">
        <f t="shared" si="30"/>
        <v>0</v>
      </c>
      <c r="AU45" s="25">
        <f t="shared" si="31"/>
        <v>1</v>
      </c>
    </row>
    <row r="46" spans="1:50" thickBot="1" x14ac:dyDescent="0.2">
      <c r="A46" s="22" t="str">
        <f t="shared" si="20"/>
        <v/>
      </c>
      <c r="B46" s="391" t="s">
        <v>325</v>
      </c>
      <c r="C46" s="392"/>
      <c r="D46" s="392"/>
      <c r="E46" s="392"/>
      <c r="F46" s="313">
        <v>0</v>
      </c>
      <c r="G46" s="47"/>
      <c r="H46" s="52"/>
      <c r="I46" s="52"/>
      <c r="J46" s="78" t="s">
        <v>152</v>
      </c>
      <c r="K46" s="238">
        <f>SUM(K39:K45)</f>
        <v>0</v>
      </c>
      <c r="L46" s="214"/>
      <c r="M46" s="437" t="s">
        <v>152</v>
      </c>
      <c r="N46" s="438"/>
      <c r="O46" s="229">
        <f>SUM(O39:O45)</f>
        <v>0</v>
      </c>
      <c r="P46" s="314"/>
      <c r="Q46" s="314"/>
      <c r="R46" s="315"/>
      <c r="S46" s="234">
        <f>SUM(S39:S45)</f>
        <v>0</v>
      </c>
      <c r="T46" s="230">
        <f t="shared" ref="T46:V46" si="42">SUM(T39:T45)</f>
        <v>0</v>
      </c>
      <c r="U46" s="231">
        <f t="shared" si="42"/>
        <v>0</v>
      </c>
      <c r="V46" s="232">
        <f t="shared" si="42"/>
        <v>0</v>
      </c>
      <c r="W46" s="105"/>
      <c r="X46" s="12"/>
      <c r="Y46" s="12"/>
      <c r="Z46" s="20"/>
      <c r="AA46" s="20"/>
      <c r="AB46" s="20"/>
      <c r="AC46" s="20"/>
      <c r="AD46" s="20"/>
      <c r="AE46" s="20"/>
      <c r="AF46" s="20"/>
      <c r="AG46" s="14"/>
      <c r="AS46" s="105"/>
      <c r="AT46" s="21"/>
      <c r="AU46" s="21"/>
    </row>
    <row r="47" spans="1:50" s="108" customFormat="1" ht="5" customHeight="1" thickBot="1" x14ac:dyDescent="0.25">
      <c r="A47" s="293"/>
      <c r="B47" s="294"/>
      <c r="C47" s="294"/>
      <c r="D47" s="294"/>
      <c r="E47" s="294"/>
      <c r="F47" s="295"/>
      <c r="G47" s="296"/>
      <c r="H47" s="297"/>
      <c r="I47" s="297"/>
      <c r="J47" s="297"/>
      <c r="K47" s="298"/>
      <c r="L47" s="299"/>
      <c r="M47" s="300"/>
      <c r="N47" s="298"/>
      <c r="O47" s="298"/>
      <c r="P47" s="298"/>
      <c r="Q47" s="298"/>
      <c r="R47" s="301"/>
      <c r="S47" s="301"/>
      <c r="T47" s="301"/>
      <c r="U47" s="302"/>
      <c r="V47" s="303"/>
      <c r="W47" s="304"/>
      <c r="X47" s="299"/>
      <c r="Y47" s="305"/>
      <c r="Z47" s="306"/>
      <c r="AA47" s="307"/>
      <c r="AB47" s="307"/>
      <c r="AC47" s="307"/>
      <c r="AD47" s="307"/>
      <c r="AE47" s="308"/>
      <c r="AF47" s="307"/>
      <c r="AG47" s="307"/>
      <c r="AH47" s="307"/>
      <c r="AI47" s="307"/>
      <c r="AJ47" s="125"/>
      <c r="AK47" s="125"/>
      <c r="AV47" s="185"/>
      <c r="AW47" s="21"/>
      <c r="AX47" s="21"/>
    </row>
    <row r="48" spans="1:50" ht="25" customHeight="1" x14ac:dyDescent="0.15">
      <c r="A48" s="22" t="str">
        <f t="shared" si="20"/>
        <v/>
      </c>
      <c r="B48" s="469" t="s">
        <v>43</v>
      </c>
      <c r="C48" s="470"/>
      <c r="D48" s="470"/>
      <c r="E48" s="453" t="s">
        <v>372</v>
      </c>
      <c r="F48" s="453"/>
      <c r="G48" s="453"/>
      <c r="H48" s="453"/>
      <c r="I48" s="250"/>
      <c r="J48" s="250"/>
      <c r="K48" s="251"/>
      <c r="L48" s="240"/>
      <c r="M48" s="405" t="str">
        <f>B48</f>
        <v>Floor Joists LM @ 400mm centres</v>
      </c>
      <c r="N48" s="406"/>
      <c r="O48" s="406"/>
      <c r="P48" s="406"/>
      <c r="Q48" s="406"/>
      <c r="R48" s="406"/>
      <c r="S48" s="406"/>
      <c r="T48" s="407"/>
      <c r="U48" s="462" t="str">
        <f>B48</f>
        <v>Floor Joists LM @ 400mm centres</v>
      </c>
      <c r="V48" s="463"/>
      <c r="X48" s="12"/>
      <c r="Y48" s="12"/>
      <c r="Z48" s="20"/>
      <c r="AA48" s="20"/>
      <c r="AB48" s="20"/>
      <c r="AC48" s="20"/>
      <c r="AD48" s="20"/>
      <c r="AE48" s="20"/>
      <c r="AF48" s="20"/>
      <c r="AG48" s="14"/>
      <c r="AS48" s="105"/>
      <c r="AT48" s="21"/>
      <c r="AU48" s="21"/>
    </row>
    <row r="49" spans="1:47" s="18" customFormat="1" ht="15.5" customHeight="1" thickBot="1" x14ac:dyDescent="0.2">
      <c r="A49" s="22" t="str">
        <f t="shared" si="20"/>
        <v/>
      </c>
      <c r="B49" s="443" t="s">
        <v>44</v>
      </c>
      <c r="C49" s="444"/>
      <c r="D49" s="241" t="s">
        <v>49</v>
      </c>
      <c r="E49" s="54" t="s">
        <v>37</v>
      </c>
      <c r="F49" s="443"/>
      <c r="G49" s="458"/>
      <c r="H49" s="458"/>
      <c r="I49" s="458"/>
      <c r="J49" s="458"/>
      <c r="K49" s="459"/>
      <c r="L49" s="53"/>
      <c r="M49" s="512"/>
      <c r="N49" s="513"/>
      <c r="O49" s="513"/>
      <c r="P49" s="513"/>
      <c r="Q49" s="513"/>
      <c r="R49" s="513"/>
      <c r="S49" s="242"/>
      <c r="T49" s="249"/>
      <c r="U49" s="248"/>
      <c r="V49" s="55"/>
      <c r="W49" s="56"/>
      <c r="X49" s="12"/>
      <c r="Y49" s="12"/>
      <c r="Z49" s="20"/>
      <c r="AA49" s="20"/>
      <c r="AB49" s="20"/>
      <c r="AC49" s="20"/>
      <c r="AD49" s="20"/>
      <c r="AE49" s="20"/>
      <c r="AF49" s="20"/>
      <c r="AS49" s="56"/>
      <c r="AT49" s="21"/>
      <c r="AU49" s="21"/>
    </row>
    <row r="50" spans="1:47" s="59" customFormat="1" ht="15" customHeight="1" thickBot="1" x14ac:dyDescent="0.2">
      <c r="A50" s="22" t="str">
        <f t="shared" si="20"/>
        <v>X</v>
      </c>
      <c r="B50" s="446" t="s">
        <v>58</v>
      </c>
      <c r="C50" s="452"/>
      <c r="D50" s="13"/>
      <c r="E50" s="13"/>
      <c r="F50" s="103">
        <f>D50*E50</f>
        <v>0</v>
      </c>
      <c r="G50" s="34" t="s">
        <v>112</v>
      </c>
      <c r="H50" s="57">
        <v>5.46</v>
      </c>
      <c r="I50" s="201">
        <f t="shared" ref="I50:I59" si="43">(H50/100)*(100+$F$69)</f>
        <v>5.46</v>
      </c>
      <c r="J50" s="38">
        <v>0.3</v>
      </c>
      <c r="K50" s="243">
        <f t="shared" ref="K50:K59" si="44">F50*I50*(1+J50)</f>
        <v>0</v>
      </c>
      <c r="L50" s="236"/>
      <c r="M50" s="202" t="str">
        <f t="shared" ref="M50:M59" si="45">B50</f>
        <v>Joists/Timbers, 100 x 50</v>
      </c>
      <c r="N50" s="246">
        <v>0.25</v>
      </c>
      <c r="O50" s="227">
        <f t="shared" ref="O50:O59" si="46">F50*N50</f>
        <v>0</v>
      </c>
      <c r="P50" s="319">
        <f t="shared" ref="P50:P59" si="47">$D$110</f>
        <v>30.63</v>
      </c>
      <c r="Q50" s="201">
        <f t="shared" ref="Q50:Q59" si="48">(P50/100)*(100+$F$69)</f>
        <v>30.630000000000003</v>
      </c>
      <c r="R50" s="272">
        <v>1</v>
      </c>
      <c r="S50" s="204">
        <f t="shared" ref="S50:S59" si="49">(O50*Q50*(1+R50))</f>
        <v>0</v>
      </c>
      <c r="T50" s="228">
        <f t="shared" ref="T50:T59" si="50">K50+S50</f>
        <v>0</v>
      </c>
      <c r="U50" s="219">
        <f t="shared" ref="U50:U59" si="51">F50*H50*1.1</f>
        <v>0</v>
      </c>
      <c r="V50" s="220">
        <f t="shared" ref="V50:V59" si="52">O50*$E$110</f>
        <v>0</v>
      </c>
      <c r="W50" s="58"/>
      <c r="X50" s="12"/>
      <c r="Y50" s="12"/>
      <c r="Z50" s="20"/>
      <c r="AA50" s="20"/>
      <c r="AB50" s="20"/>
      <c r="AC50" s="20"/>
      <c r="AD50" s="20"/>
      <c r="AE50" s="20"/>
      <c r="AF50" s="20"/>
      <c r="AS50" s="106"/>
      <c r="AT50" s="25">
        <f t="shared" ref="AT50:AT55" si="53">IF(OR(D50&lt;&gt;"",E50&lt;&gt;""),1,0)</f>
        <v>0</v>
      </c>
      <c r="AU50" s="25">
        <f t="shared" ref="AU50:AU55" si="54">IF(AND(SUM(AT:AT)&gt;0,OR(D50="",E50="")),1,0)</f>
        <v>1</v>
      </c>
    </row>
    <row r="51" spans="1:47" s="59" customFormat="1" ht="15" customHeight="1" thickBot="1" x14ac:dyDescent="0.2">
      <c r="A51" s="22" t="str">
        <f t="shared" si="20"/>
        <v>X</v>
      </c>
      <c r="B51" s="446" t="s">
        <v>57</v>
      </c>
      <c r="C51" s="447"/>
      <c r="D51" s="13"/>
      <c r="E51" s="13"/>
      <c r="F51" s="104">
        <f t="shared" ref="F51:F55" si="55">D51*E51</f>
        <v>0</v>
      </c>
      <c r="G51" s="34" t="s">
        <v>112</v>
      </c>
      <c r="H51" s="57">
        <v>6.5</v>
      </c>
      <c r="I51" s="201">
        <f t="shared" si="43"/>
        <v>6.5</v>
      </c>
      <c r="J51" s="36">
        <v>0.3</v>
      </c>
      <c r="K51" s="243">
        <f t="shared" si="44"/>
        <v>0</v>
      </c>
      <c r="L51" s="236"/>
      <c r="M51" s="202" t="str">
        <f t="shared" si="45"/>
        <v>Joists/Timbers, 125 x 50</v>
      </c>
      <c r="N51" s="246">
        <v>0.25</v>
      </c>
      <c r="O51" s="227">
        <f t="shared" si="46"/>
        <v>0</v>
      </c>
      <c r="P51" s="319">
        <f t="shared" si="47"/>
        <v>30.63</v>
      </c>
      <c r="Q51" s="201">
        <f t="shared" si="48"/>
        <v>30.630000000000003</v>
      </c>
      <c r="R51" s="272">
        <v>1</v>
      </c>
      <c r="S51" s="204">
        <f t="shared" si="49"/>
        <v>0</v>
      </c>
      <c r="T51" s="228">
        <f t="shared" si="50"/>
        <v>0</v>
      </c>
      <c r="U51" s="219">
        <f t="shared" si="51"/>
        <v>0</v>
      </c>
      <c r="V51" s="220">
        <f t="shared" si="52"/>
        <v>0</v>
      </c>
      <c r="W51" s="58"/>
      <c r="X51" s="12"/>
      <c r="Y51" s="12"/>
      <c r="Z51" s="20"/>
      <c r="AA51" s="20"/>
      <c r="AB51" s="20"/>
      <c r="AC51" s="20"/>
      <c r="AD51" s="20"/>
      <c r="AE51" s="20"/>
      <c r="AF51" s="20"/>
      <c r="AS51" s="106"/>
      <c r="AT51" s="25">
        <f t="shared" si="53"/>
        <v>0</v>
      </c>
      <c r="AU51" s="25">
        <f t="shared" si="54"/>
        <v>1</v>
      </c>
    </row>
    <row r="52" spans="1:47" s="59" customFormat="1" ht="15" customHeight="1" thickBot="1" x14ac:dyDescent="0.2">
      <c r="A52" s="22" t="str">
        <f t="shared" si="20"/>
        <v>X</v>
      </c>
      <c r="B52" s="446" t="s">
        <v>59</v>
      </c>
      <c r="C52" s="447"/>
      <c r="D52" s="13"/>
      <c r="E52" s="13"/>
      <c r="F52" s="104">
        <f t="shared" si="55"/>
        <v>0</v>
      </c>
      <c r="G52" s="34" t="s">
        <v>112</v>
      </c>
      <c r="H52" s="57">
        <v>7.7</v>
      </c>
      <c r="I52" s="201">
        <f t="shared" si="43"/>
        <v>7.7</v>
      </c>
      <c r="J52" s="38">
        <v>0.3</v>
      </c>
      <c r="K52" s="243">
        <f t="shared" si="44"/>
        <v>0</v>
      </c>
      <c r="L52" s="236"/>
      <c r="M52" s="202" t="str">
        <f t="shared" si="45"/>
        <v>Joists/Timbers, 150 x 50</v>
      </c>
      <c r="N52" s="246">
        <v>0.25</v>
      </c>
      <c r="O52" s="227">
        <f t="shared" si="46"/>
        <v>0</v>
      </c>
      <c r="P52" s="319">
        <f t="shared" si="47"/>
        <v>30.63</v>
      </c>
      <c r="Q52" s="201">
        <f t="shared" si="48"/>
        <v>30.630000000000003</v>
      </c>
      <c r="R52" s="272">
        <v>1</v>
      </c>
      <c r="S52" s="204">
        <f t="shared" si="49"/>
        <v>0</v>
      </c>
      <c r="T52" s="228">
        <f t="shared" si="50"/>
        <v>0</v>
      </c>
      <c r="U52" s="219">
        <f t="shared" si="51"/>
        <v>0</v>
      </c>
      <c r="V52" s="220">
        <f t="shared" si="52"/>
        <v>0</v>
      </c>
      <c r="W52" s="58"/>
      <c r="X52" s="12"/>
      <c r="Y52" s="12"/>
      <c r="Z52" s="20"/>
      <c r="AA52" s="20"/>
      <c r="AB52" s="20"/>
      <c r="AC52" s="20"/>
      <c r="AD52" s="20"/>
      <c r="AE52" s="20"/>
      <c r="AF52" s="20"/>
      <c r="AS52" s="106"/>
      <c r="AT52" s="25">
        <f t="shared" si="53"/>
        <v>0</v>
      </c>
      <c r="AU52" s="25">
        <f t="shared" si="54"/>
        <v>1</v>
      </c>
    </row>
    <row r="53" spans="1:47" s="59" customFormat="1" ht="15" customHeight="1" thickBot="1" x14ac:dyDescent="0.2">
      <c r="A53" s="22" t="str">
        <f t="shared" si="20"/>
        <v>X</v>
      </c>
      <c r="B53" s="446" t="s">
        <v>60</v>
      </c>
      <c r="C53" s="447"/>
      <c r="D53" s="13"/>
      <c r="E53" s="13"/>
      <c r="F53" s="104">
        <f t="shared" si="55"/>
        <v>0</v>
      </c>
      <c r="G53" s="34" t="s">
        <v>112</v>
      </c>
      <c r="H53" s="57">
        <v>8</v>
      </c>
      <c r="I53" s="201">
        <f t="shared" si="43"/>
        <v>8</v>
      </c>
      <c r="J53" s="38">
        <v>0.3</v>
      </c>
      <c r="K53" s="243">
        <f t="shared" si="44"/>
        <v>0</v>
      </c>
      <c r="L53" s="236"/>
      <c r="M53" s="202" t="str">
        <f t="shared" si="45"/>
        <v>Joists/Timbers, 175 x 50</v>
      </c>
      <c r="N53" s="246">
        <v>0.3</v>
      </c>
      <c r="O53" s="227">
        <f t="shared" si="46"/>
        <v>0</v>
      </c>
      <c r="P53" s="319">
        <f t="shared" si="47"/>
        <v>30.63</v>
      </c>
      <c r="Q53" s="201">
        <f t="shared" si="48"/>
        <v>30.630000000000003</v>
      </c>
      <c r="R53" s="272">
        <v>1</v>
      </c>
      <c r="S53" s="204">
        <f t="shared" si="49"/>
        <v>0</v>
      </c>
      <c r="T53" s="228">
        <f t="shared" si="50"/>
        <v>0</v>
      </c>
      <c r="U53" s="219">
        <f t="shared" si="51"/>
        <v>0</v>
      </c>
      <c r="V53" s="220">
        <f t="shared" si="52"/>
        <v>0</v>
      </c>
      <c r="W53" s="58"/>
      <c r="X53" s="12"/>
      <c r="Y53" s="12"/>
      <c r="Z53" s="20"/>
      <c r="AA53" s="20"/>
      <c r="AB53" s="20"/>
      <c r="AC53" s="20"/>
      <c r="AD53" s="20"/>
      <c r="AE53" s="20"/>
      <c r="AF53" s="20"/>
      <c r="AS53" s="106"/>
      <c r="AT53" s="25">
        <f t="shared" si="53"/>
        <v>0</v>
      </c>
      <c r="AU53" s="25">
        <f t="shared" si="54"/>
        <v>1</v>
      </c>
    </row>
    <row r="54" spans="1:47" s="59" customFormat="1" ht="15" customHeight="1" thickBot="1" x14ac:dyDescent="0.2">
      <c r="A54" s="22" t="str">
        <f t="shared" si="20"/>
        <v>X</v>
      </c>
      <c r="B54" s="446" t="s">
        <v>61</v>
      </c>
      <c r="C54" s="447"/>
      <c r="D54" s="13"/>
      <c r="E54" s="13"/>
      <c r="F54" s="104">
        <f t="shared" si="55"/>
        <v>0</v>
      </c>
      <c r="G54" s="34" t="s">
        <v>112</v>
      </c>
      <c r="H54" s="57">
        <v>8.9</v>
      </c>
      <c r="I54" s="201">
        <f t="shared" si="43"/>
        <v>8.9</v>
      </c>
      <c r="J54" s="36">
        <v>0.3</v>
      </c>
      <c r="K54" s="243">
        <f t="shared" si="44"/>
        <v>0</v>
      </c>
      <c r="L54" s="236"/>
      <c r="M54" s="202" t="str">
        <f t="shared" si="45"/>
        <v>Joists/Timbers, 200 x 50</v>
      </c>
      <c r="N54" s="246">
        <v>0.3</v>
      </c>
      <c r="O54" s="227">
        <f t="shared" si="46"/>
        <v>0</v>
      </c>
      <c r="P54" s="319">
        <f t="shared" si="47"/>
        <v>30.63</v>
      </c>
      <c r="Q54" s="201">
        <f t="shared" si="48"/>
        <v>30.630000000000003</v>
      </c>
      <c r="R54" s="272">
        <v>1</v>
      </c>
      <c r="S54" s="204">
        <f t="shared" si="49"/>
        <v>0</v>
      </c>
      <c r="T54" s="228">
        <f t="shared" si="50"/>
        <v>0</v>
      </c>
      <c r="U54" s="219">
        <f t="shared" si="51"/>
        <v>0</v>
      </c>
      <c r="V54" s="220">
        <f t="shared" si="52"/>
        <v>0</v>
      </c>
      <c r="W54" s="58"/>
      <c r="X54" s="12"/>
      <c r="Y54" s="12"/>
      <c r="Z54" s="20"/>
      <c r="AA54" s="20"/>
      <c r="AB54" s="20"/>
      <c r="AC54" s="20"/>
      <c r="AD54" s="20"/>
      <c r="AE54" s="20"/>
      <c r="AF54" s="20"/>
      <c r="AS54" s="106"/>
      <c r="AT54" s="25">
        <f t="shared" si="53"/>
        <v>0</v>
      </c>
      <c r="AU54" s="25">
        <f t="shared" si="54"/>
        <v>1</v>
      </c>
    </row>
    <row r="55" spans="1:47" s="59" customFormat="1" ht="15" customHeight="1" thickBot="1" x14ac:dyDescent="0.2">
      <c r="A55" s="22" t="str">
        <f t="shared" si="20"/>
        <v>X</v>
      </c>
      <c r="B55" s="446" t="s">
        <v>62</v>
      </c>
      <c r="C55" s="447"/>
      <c r="D55" s="13"/>
      <c r="E55" s="13"/>
      <c r="F55" s="104">
        <f t="shared" si="55"/>
        <v>0</v>
      </c>
      <c r="G55" s="34" t="s">
        <v>112</v>
      </c>
      <c r="H55" s="57">
        <v>9.5</v>
      </c>
      <c r="I55" s="201">
        <f t="shared" si="43"/>
        <v>9.5</v>
      </c>
      <c r="J55" s="38">
        <v>0.3</v>
      </c>
      <c r="K55" s="243">
        <f t="shared" si="44"/>
        <v>0</v>
      </c>
      <c r="L55" s="236"/>
      <c r="M55" s="202" t="str">
        <f t="shared" si="45"/>
        <v>Joists/Timbers, 225 x 50</v>
      </c>
      <c r="N55" s="246">
        <v>0.4</v>
      </c>
      <c r="O55" s="227">
        <f t="shared" si="46"/>
        <v>0</v>
      </c>
      <c r="P55" s="319">
        <f t="shared" si="47"/>
        <v>30.63</v>
      </c>
      <c r="Q55" s="201">
        <f t="shared" si="48"/>
        <v>30.630000000000003</v>
      </c>
      <c r="R55" s="272">
        <v>1</v>
      </c>
      <c r="S55" s="204">
        <f t="shared" si="49"/>
        <v>0</v>
      </c>
      <c r="T55" s="228">
        <f t="shared" si="50"/>
        <v>0</v>
      </c>
      <c r="U55" s="219">
        <f t="shared" si="51"/>
        <v>0</v>
      </c>
      <c r="V55" s="220">
        <f t="shared" si="52"/>
        <v>0</v>
      </c>
      <c r="W55" s="58"/>
      <c r="X55" s="12"/>
      <c r="Y55" s="12"/>
      <c r="Z55" s="20"/>
      <c r="AA55" s="20"/>
      <c r="AB55" s="20"/>
      <c r="AC55" s="20"/>
      <c r="AD55" s="20"/>
      <c r="AE55" s="20"/>
      <c r="AF55" s="20"/>
      <c r="AS55" s="106"/>
      <c r="AT55" s="25">
        <f t="shared" si="53"/>
        <v>0</v>
      </c>
      <c r="AU55" s="25">
        <f t="shared" si="54"/>
        <v>1</v>
      </c>
    </row>
    <row r="56" spans="1:47" s="18" customFormat="1" ht="14.5" customHeight="1" thickBot="1" x14ac:dyDescent="0.2">
      <c r="A56" s="22" t="str">
        <f t="shared" si="20"/>
        <v>X</v>
      </c>
      <c r="B56" s="448" t="s">
        <v>122</v>
      </c>
      <c r="C56" s="449"/>
      <c r="D56" s="13"/>
      <c r="E56" s="60">
        <v>1</v>
      </c>
      <c r="F56" s="104">
        <f>D56*E56</f>
        <v>0</v>
      </c>
      <c r="G56" s="34" t="s">
        <v>87</v>
      </c>
      <c r="H56" s="61">
        <v>3</v>
      </c>
      <c r="I56" s="201">
        <f t="shared" si="43"/>
        <v>3</v>
      </c>
      <c r="J56" s="38">
        <v>0.3</v>
      </c>
      <c r="K56" s="243">
        <f t="shared" si="44"/>
        <v>0</v>
      </c>
      <c r="L56" s="44"/>
      <c r="M56" s="202" t="str">
        <f t="shared" si="45"/>
        <v>Treat and endwrap joist</v>
      </c>
      <c r="N56" s="60">
        <v>0.15</v>
      </c>
      <c r="O56" s="227">
        <f t="shared" si="46"/>
        <v>0</v>
      </c>
      <c r="P56" s="319">
        <f t="shared" si="47"/>
        <v>30.63</v>
      </c>
      <c r="Q56" s="201">
        <f t="shared" si="48"/>
        <v>30.630000000000003</v>
      </c>
      <c r="R56" s="272">
        <v>1</v>
      </c>
      <c r="S56" s="204">
        <f t="shared" si="49"/>
        <v>0</v>
      </c>
      <c r="T56" s="228">
        <f t="shared" si="50"/>
        <v>0</v>
      </c>
      <c r="U56" s="219">
        <f t="shared" si="51"/>
        <v>0</v>
      </c>
      <c r="V56" s="220">
        <f t="shared" si="52"/>
        <v>0</v>
      </c>
      <c r="X56" s="12"/>
      <c r="Y56" s="12"/>
      <c r="Z56" s="20"/>
      <c r="AA56" s="20"/>
      <c r="AB56" s="20"/>
      <c r="AC56" s="20"/>
      <c r="AD56" s="20"/>
      <c r="AE56" s="20"/>
      <c r="AF56" s="20"/>
      <c r="AS56" s="107"/>
      <c r="AT56" s="25">
        <f>IF(D56&lt;&gt;"",1,0)</f>
        <v>0</v>
      </c>
      <c r="AU56" s="25">
        <f>IF(AND(SUM(AT:AT)&gt;0,D56=""),1,0)</f>
        <v>1</v>
      </c>
    </row>
    <row r="57" spans="1:47" s="18" customFormat="1" ht="14.5" customHeight="1" thickBot="1" x14ac:dyDescent="0.2">
      <c r="A57" s="22" t="str">
        <f t="shared" si="20"/>
        <v>X</v>
      </c>
      <c r="B57" s="448" t="s">
        <v>38</v>
      </c>
      <c r="C57" s="449"/>
      <c r="D57" s="13"/>
      <c r="E57" s="60">
        <v>1</v>
      </c>
      <c r="F57" s="104">
        <f>D57*E57</f>
        <v>0</v>
      </c>
      <c r="G57" s="34" t="s">
        <v>87</v>
      </c>
      <c r="H57" s="61">
        <v>4.84</v>
      </c>
      <c r="I57" s="201">
        <f t="shared" si="43"/>
        <v>4.84</v>
      </c>
      <c r="J57" s="38">
        <v>0.3</v>
      </c>
      <c r="K57" s="243">
        <f t="shared" si="44"/>
        <v>0</v>
      </c>
      <c r="L57" s="44"/>
      <c r="M57" s="202" t="str">
        <f t="shared" si="45"/>
        <v>Wall plate 100x25</v>
      </c>
      <c r="N57" s="60">
        <v>0.4</v>
      </c>
      <c r="O57" s="227">
        <f t="shared" si="46"/>
        <v>0</v>
      </c>
      <c r="P57" s="319">
        <f t="shared" si="47"/>
        <v>30.63</v>
      </c>
      <c r="Q57" s="201">
        <f t="shared" si="48"/>
        <v>30.630000000000003</v>
      </c>
      <c r="R57" s="272">
        <v>1</v>
      </c>
      <c r="S57" s="204">
        <f t="shared" si="49"/>
        <v>0</v>
      </c>
      <c r="T57" s="228">
        <f t="shared" si="50"/>
        <v>0</v>
      </c>
      <c r="U57" s="219">
        <f t="shared" si="51"/>
        <v>0</v>
      </c>
      <c r="V57" s="220">
        <f t="shared" si="52"/>
        <v>0</v>
      </c>
      <c r="X57" s="12"/>
      <c r="Y57" s="12"/>
      <c r="Z57" s="20"/>
      <c r="AA57" s="20"/>
      <c r="AB57" s="20"/>
      <c r="AC57" s="20"/>
      <c r="AD57" s="20"/>
      <c r="AE57" s="20"/>
      <c r="AF57" s="20"/>
      <c r="AS57" s="56"/>
      <c r="AT57" s="25">
        <f>IF(D57&lt;&gt;"",1,0)</f>
        <v>0</v>
      </c>
      <c r="AU57" s="25">
        <f>IF(AND(SUM(AT:AT)&gt;0,D57=""),1,0)</f>
        <v>1</v>
      </c>
    </row>
    <row r="58" spans="1:47" s="18" customFormat="1" ht="14.5" customHeight="1" thickBot="1" x14ac:dyDescent="0.2">
      <c r="A58" s="22" t="str">
        <f t="shared" si="20"/>
        <v>X</v>
      </c>
      <c r="B58" s="448" t="s">
        <v>145</v>
      </c>
      <c r="C58" s="449"/>
      <c r="D58" s="13"/>
      <c r="E58" s="60">
        <v>1</v>
      </c>
      <c r="F58" s="110">
        <f>D58*E58</f>
        <v>0</v>
      </c>
      <c r="G58" s="34" t="s">
        <v>114</v>
      </c>
      <c r="H58" s="61">
        <v>36</v>
      </c>
      <c r="I58" s="201">
        <f t="shared" si="43"/>
        <v>36</v>
      </c>
      <c r="J58" s="38">
        <v>0.3</v>
      </c>
      <c r="K58" s="243">
        <f t="shared" si="44"/>
        <v>0</v>
      </c>
      <c r="L58" s="44"/>
      <c r="M58" s="202" t="str">
        <f t="shared" si="45"/>
        <v>Bower beams (pair)</v>
      </c>
      <c r="N58" s="60">
        <v>1.5</v>
      </c>
      <c r="O58" s="227">
        <f t="shared" si="46"/>
        <v>0</v>
      </c>
      <c r="P58" s="319">
        <f t="shared" si="47"/>
        <v>30.63</v>
      </c>
      <c r="Q58" s="201">
        <f t="shared" si="48"/>
        <v>30.630000000000003</v>
      </c>
      <c r="R58" s="272">
        <v>1</v>
      </c>
      <c r="S58" s="204">
        <f t="shared" si="49"/>
        <v>0</v>
      </c>
      <c r="T58" s="228">
        <f t="shared" si="50"/>
        <v>0</v>
      </c>
      <c r="U58" s="219">
        <f t="shared" si="51"/>
        <v>0</v>
      </c>
      <c r="V58" s="220">
        <f t="shared" si="52"/>
        <v>0</v>
      </c>
      <c r="X58" s="12"/>
      <c r="Y58" s="12"/>
      <c r="Z58" s="20"/>
      <c r="AA58" s="20"/>
      <c r="AB58" s="20"/>
      <c r="AC58" s="20"/>
      <c r="AD58" s="20"/>
      <c r="AE58" s="20"/>
      <c r="AF58" s="20"/>
      <c r="AS58" s="56"/>
      <c r="AT58" s="25">
        <f>IF(D58&lt;&gt;"",1,0)</f>
        <v>0</v>
      </c>
      <c r="AU58" s="25">
        <f>IF(AND(SUM(AT:AT)&gt;0,D58=""),1,0)</f>
        <v>1</v>
      </c>
    </row>
    <row r="59" spans="1:47" s="18" customFormat="1" ht="14.5" customHeight="1" thickBot="1" x14ac:dyDescent="0.2">
      <c r="A59" s="22" t="str">
        <f t="shared" si="20"/>
        <v>X</v>
      </c>
      <c r="B59" s="448" t="s">
        <v>146</v>
      </c>
      <c r="C59" s="449"/>
      <c r="D59" s="13"/>
      <c r="E59" s="60">
        <v>1</v>
      </c>
      <c r="F59" s="110">
        <f t="shared" ref="F59" si="56">D59*E59</f>
        <v>0</v>
      </c>
      <c r="G59" s="34" t="s">
        <v>114</v>
      </c>
      <c r="H59" s="61">
        <v>42</v>
      </c>
      <c r="I59" s="201">
        <f t="shared" si="43"/>
        <v>42</v>
      </c>
      <c r="J59" s="38">
        <v>0.3</v>
      </c>
      <c r="K59" s="243">
        <f t="shared" si="44"/>
        <v>0</v>
      </c>
      <c r="L59" s="44"/>
      <c r="M59" s="202" t="str">
        <f t="shared" si="45"/>
        <v>Flitch plates (pair)</v>
      </c>
      <c r="N59" s="60">
        <v>1.5</v>
      </c>
      <c r="O59" s="227">
        <f t="shared" si="46"/>
        <v>0</v>
      </c>
      <c r="P59" s="319">
        <f t="shared" si="47"/>
        <v>30.63</v>
      </c>
      <c r="Q59" s="201">
        <f t="shared" si="48"/>
        <v>30.630000000000003</v>
      </c>
      <c r="R59" s="272">
        <v>1</v>
      </c>
      <c r="S59" s="204">
        <f t="shared" si="49"/>
        <v>0</v>
      </c>
      <c r="T59" s="228">
        <f t="shared" si="50"/>
        <v>0</v>
      </c>
      <c r="U59" s="219">
        <f t="shared" si="51"/>
        <v>0</v>
      </c>
      <c r="V59" s="220">
        <f t="shared" si="52"/>
        <v>0</v>
      </c>
      <c r="X59" s="12"/>
      <c r="Y59" s="12"/>
      <c r="Z59" s="20"/>
      <c r="AA59" s="20"/>
      <c r="AB59" s="20"/>
      <c r="AC59" s="20"/>
      <c r="AD59" s="20"/>
      <c r="AE59" s="20"/>
      <c r="AF59" s="20"/>
      <c r="AS59" s="56"/>
      <c r="AT59" s="25">
        <f>IF(D59&lt;&gt;"",1,0)</f>
        <v>0</v>
      </c>
      <c r="AU59" s="25">
        <f>IF(AND(SUM(AT:AT)&gt;0,D59=""),1,0)</f>
        <v>1</v>
      </c>
    </row>
    <row r="60" spans="1:47" s="18" customFormat="1" ht="25" customHeight="1" thickBot="1" x14ac:dyDescent="0.2">
      <c r="A60" s="22" t="str">
        <f t="shared" si="20"/>
        <v/>
      </c>
      <c r="B60" s="200" t="s">
        <v>45</v>
      </c>
      <c r="C60" s="64"/>
      <c r="D60" s="64"/>
      <c r="E60" s="64"/>
      <c r="F60" s="65"/>
      <c r="G60" s="64"/>
      <c r="H60" s="64"/>
      <c r="I60" s="64"/>
      <c r="J60" s="64"/>
      <c r="K60" s="244"/>
      <c r="L60" s="44"/>
      <c r="M60" s="464" t="str">
        <f>B60</f>
        <v>Flooring deck type (M2)</v>
      </c>
      <c r="N60" s="465"/>
      <c r="O60" s="465"/>
      <c r="P60" s="465"/>
      <c r="Q60" s="465"/>
      <c r="R60" s="465"/>
      <c r="S60" s="465"/>
      <c r="T60" s="466"/>
      <c r="U60" s="467" t="str">
        <f>B60</f>
        <v>Flooring deck type (M2)</v>
      </c>
      <c r="V60" s="468"/>
      <c r="X60" s="12"/>
      <c r="Y60" s="12"/>
      <c r="Z60" s="20"/>
      <c r="AA60" s="20"/>
      <c r="AB60" s="20"/>
      <c r="AC60" s="20"/>
      <c r="AD60" s="20"/>
      <c r="AE60" s="20"/>
      <c r="AF60" s="20"/>
      <c r="AS60" s="56"/>
      <c r="AT60" s="21"/>
      <c r="AU60" s="21"/>
    </row>
    <row r="61" spans="1:47" s="18" customFormat="1" ht="15" customHeight="1" thickBot="1" x14ac:dyDescent="0.2">
      <c r="A61" s="22" t="str">
        <f t="shared" si="20"/>
        <v/>
      </c>
      <c r="B61" s="381" t="s">
        <v>39</v>
      </c>
      <c r="C61" s="382"/>
      <c r="D61" s="382"/>
      <c r="E61" s="382"/>
      <c r="F61" s="13">
        <v>20</v>
      </c>
      <c r="G61" s="34" t="s">
        <v>86</v>
      </c>
      <c r="H61" s="61">
        <v>18</v>
      </c>
      <c r="I61" s="201">
        <f t="shared" ref="I61:I68" si="57">(H61/100)*(100+$F$69)</f>
        <v>18</v>
      </c>
      <c r="J61" s="38">
        <v>0.3</v>
      </c>
      <c r="K61" s="237">
        <f t="shared" ref="K61:K68" si="58">F61*I61*(1+J61)</f>
        <v>468</v>
      </c>
      <c r="L61" s="52"/>
      <c r="M61" s="202" t="str">
        <f t="shared" ref="M61:M68" si="59">B61</f>
        <v>Install Weyrock flooring 18mm (M2)</v>
      </c>
      <c r="N61" s="60">
        <v>0.4</v>
      </c>
      <c r="O61" s="227">
        <f t="shared" ref="O61:O68" si="60">F61*N61</f>
        <v>8</v>
      </c>
      <c r="P61" s="319">
        <f t="shared" ref="P61:P68" si="61">$D$110</f>
        <v>30.63</v>
      </c>
      <c r="Q61" s="201">
        <f t="shared" ref="Q61:Q68" si="62">(P61/100)*(100+$F$69)</f>
        <v>30.630000000000003</v>
      </c>
      <c r="R61" s="272">
        <v>1</v>
      </c>
      <c r="S61" s="204">
        <f t="shared" ref="S61:S68" si="63">(O61*Q61*(1+R61))</f>
        <v>490.08000000000004</v>
      </c>
      <c r="T61" s="228">
        <f t="shared" ref="T61:T68" si="64">K61+S61</f>
        <v>958.08</v>
      </c>
      <c r="U61" s="219">
        <f t="shared" ref="U61:U68" si="65">F61*H61*1.1</f>
        <v>396.00000000000006</v>
      </c>
      <c r="V61" s="220">
        <f t="shared" ref="V61:V68" si="66">O61*$E$110</f>
        <v>224</v>
      </c>
      <c r="X61" s="12"/>
      <c r="Y61" s="12"/>
      <c r="Z61" s="20"/>
      <c r="AA61" s="20"/>
      <c r="AB61" s="20"/>
      <c r="AC61" s="20"/>
      <c r="AD61" s="20"/>
      <c r="AE61" s="20"/>
      <c r="AF61" s="20"/>
      <c r="AS61" s="56"/>
      <c r="AT61" s="25">
        <f t="shared" ref="AT61:AT68" si="67">IF(F61&lt;&gt;"",1,0)</f>
        <v>1</v>
      </c>
      <c r="AU61" s="25">
        <f t="shared" ref="AU61:AU68" si="68">IF(AND(SUM(AT:AT)&gt;0,F61=""),1,0)</f>
        <v>0</v>
      </c>
    </row>
    <row r="62" spans="1:47" s="18" customFormat="1" ht="15" customHeight="1" thickBot="1" x14ac:dyDescent="0.2">
      <c r="A62" s="22" t="str">
        <f t="shared" si="20"/>
        <v/>
      </c>
      <c r="B62" s="381" t="s">
        <v>40</v>
      </c>
      <c r="C62" s="382"/>
      <c r="D62" s="382"/>
      <c r="E62" s="460"/>
      <c r="F62" s="13">
        <v>20</v>
      </c>
      <c r="G62" s="34" t="s">
        <v>86</v>
      </c>
      <c r="H62" s="39">
        <v>22</v>
      </c>
      <c r="I62" s="201">
        <f t="shared" si="57"/>
        <v>22</v>
      </c>
      <c r="J62" s="38">
        <v>0.3</v>
      </c>
      <c r="K62" s="237">
        <f t="shared" si="58"/>
        <v>572</v>
      </c>
      <c r="L62" s="52"/>
      <c r="M62" s="202" t="str">
        <f t="shared" si="59"/>
        <v>Install Weyrock flooring 22mm (M2)</v>
      </c>
      <c r="N62" s="60">
        <v>0.42499999999999999</v>
      </c>
      <c r="O62" s="227">
        <f t="shared" si="60"/>
        <v>8.5</v>
      </c>
      <c r="P62" s="319">
        <f t="shared" si="61"/>
        <v>30.63</v>
      </c>
      <c r="Q62" s="201">
        <f t="shared" si="62"/>
        <v>30.630000000000003</v>
      </c>
      <c r="R62" s="272">
        <v>1</v>
      </c>
      <c r="S62" s="204">
        <f t="shared" si="63"/>
        <v>520.71</v>
      </c>
      <c r="T62" s="228">
        <f t="shared" si="64"/>
        <v>1092.71</v>
      </c>
      <c r="U62" s="219">
        <f t="shared" si="65"/>
        <v>484.00000000000006</v>
      </c>
      <c r="V62" s="220">
        <f t="shared" si="66"/>
        <v>238</v>
      </c>
      <c r="X62" s="12"/>
      <c r="Y62" s="12"/>
      <c r="Z62" s="20"/>
      <c r="AA62" s="20"/>
      <c r="AB62" s="20"/>
      <c r="AC62" s="20"/>
      <c r="AD62" s="20"/>
      <c r="AE62" s="20"/>
      <c r="AF62" s="20"/>
      <c r="AS62" s="56"/>
      <c r="AT62" s="25">
        <f t="shared" si="67"/>
        <v>1</v>
      </c>
      <c r="AU62" s="25">
        <f t="shared" si="68"/>
        <v>0</v>
      </c>
    </row>
    <row r="63" spans="1:47" s="18" customFormat="1" ht="14.5" customHeight="1" thickBot="1" x14ac:dyDescent="0.2">
      <c r="A63" s="22" t="str">
        <f t="shared" si="20"/>
        <v/>
      </c>
      <c r="B63" s="381" t="s">
        <v>41</v>
      </c>
      <c r="C63" s="382"/>
      <c r="D63" s="382"/>
      <c r="E63" s="460"/>
      <c r="F63" s="13">
        <v>20</v>
      </c>
      <c r="G63" s="34" t="s">
        <v>86</v>
      </c>
      <c r="H63" s="66">
        <v>46.3</v>
      </c>
      <c r="I63" s="201">
        <f t="shared" si="57"/>
        <v>46.3</v>
      </c>
      <c r="J63" s="38">
        <v>0.3</v>
      </c>
      <c r="K63" s="237">
        <f t="shared" si="58"/>
        <v>1203.8</v>
      </c>
      <c r="L63" s="52"/>
      <c r="M63" s="202" t="str">
        <f t="shared" si="59"/>
        <v>Install std T&amp;G Floorboards (M2)</v>
      </c>
      <c r="N63" s="60">
        <v>0.6</v>
      </c>
      <c r="O63" s="227">
        <f t="shared" si="60"/>
        <v>12</v>
      </c>
      <c r="P63" s="319">
        <f t="shared" si="61"/>
        <v>30.63</v>
      </c>
      <c r="Q63" s="201">
        <f t="shared" si="62"/>
        <v>30.630000000000003</v>
      </c>
      <c r="R63" s="272">
        <v>1</v>
      </c>
      <c r="S63" s="204">
        <f t="shared" si="63"/>
        <v>735.12000000000012</v>
      </c>
      <c r="T63" s="228">
        <f t="shared" si="64"/>
        <v>1938.92</v>
      </c>
      <c r="U63" s="219">
        <f t="shared" si="65"/>
        <v>1018.6000000000001</v>
      </c>
      <c r="V63" s="220">
        <f t="shared" si="66"/>
        <v>336</v>
      </c>
      <c r="X63" s="12"/>
      <c r="Y63" s="12"/>
      <c r="Z63" s="20"/>
      <c r="AA63" s="20"/>
      <c r="AB63" s="20"/>
      <c r="AC63" s="20"/>
      <c r="AD63" s="20"/>
      <c r="AE63" s="20"/>
      <c r="AF63" s="20"/>
      <c r="AS63" s="56"/>
      <c r="AT63" s="25">
        <f t="shared" si="67"/>
        <v>1</v>
      </c>
      <c r="AU63" s="25">
        <f t="shared" si="68"/>
        <v>0</v>
      </c>
    </row>
    <row r="64" spans="1:47" s="18" customFormat="1" ht="15" customHeight="1" thickBot="1" x14ac:dyDescent="0.2">
      <c r="A64" s="22" t="str">
        <f t="shared" ref="A64" si="69">IF(AU64=1,"X","")</f>
        <v/>
      </c>
      <c r="B64" s="381" t="s">
        <v>42</v>
      </c>
      <c r="C64" s="382"/>
      <c r="D64" s="382"/>
      <c r="E64" s="382"/>
      <c r="F64" s="13">
        <v>20</v>
      </c>
      <c r="G64" s="34" t="s">
        <v>86</v>
      </c>
      <c r="H64" s="61">
        <v>52.8</v>
      </c>
      <c r="I64" s="201">
        <f t="shared" si="57"/>
        <v>52.800000000000004</v>
      </c>
      <c r="J64" s="67">
        <v>0.3</v>
      </c>
      <c r="K64" s="238">
        <f t="shared" ref="K64" si="70">F64*I64*(1+J64)</f>
        <v>1372.8</v>
      </c>
      <c r="L64" s="52"/>
      <c r="M64" s="202" t="str">
        <f t="shared" ref="M64" si="71">B64</f>
        <v>Install victorian T&amp;G Floorboards (M2)</v>
      </c>
      <c r="N64" s="60">
        <v>0.6</v>
      </c>
      <c r="O64" s="227">
        <f t="shared" si="60"/>
        <v>12</v>
      </c>
      <c r="P64" s="319">
        <f t="shared" si="61"/>
        <v>30.63</v>
      </c>
      <c r="Q64" s="201">
        <f t="shared" si="62"/>
        <v>30.630000000000003</v>
      </c>
      <c r="R64" s="272">
        <v>1</v>
      </c>
      <c r="S64" s="204">
        <f t="shared" ref="S64" si="72">(O64*Q64*(1+R64))</f>
        <v>735.12000000000012</v>
      </c>
      <c r="T64" s="228">
        <f t="shared" ref="T64" si="73">K64+S64</f>
        <v>2107.92</v>
      </c>
      <c r="U64" s="219">
        <f t="shared" si="65"/>
        <v>1161.6000000000001</v>
      </c>
      <c r="V64" s="220">
        <f t="shared" si="66"/>
        <v>336</v>
      </c>
      <c r="X64" s="12"/>
      <c r="Y64" s="12"/>
      <c r="Z64" s="20"/>
      <c r="AA64" s="20"/>
      <c r="AB64" s="20"/>
      <c r="AC64" s="20"/>
      <c r="AD64" s="20"/>
      <c r="AE64" s="20"/>
      <c r="AF64" s="20"/>
      <c r="AS64" s="56"/>
      <c r="AT64" s="25">
        <f t="shared" si="67"/>
        <v>1</v>
      </c>
      <c r="AU64" s="25">
        <f t="shared" si="68"/>
        <v>0</v>
      </c>
    </row>
    <row r="65" spans="1:50" s="18" customFormat="1" ht="15" customHeight="1" thickBot="1" x14ac:dyDescent="0.2">
      <c r="A65" s="22" t="str">
        <f t="shared" ref="A65" si="74">IF(AU65=1,"X","")</f>
        <v/>
      </c>
      <c r="B65" s="381" t="s">
        <v>392</v>
      </c>
      <c r="C65" s="382"/>
      <c r="D65" s="382"/>
      <c r="E65" s="382"/>
      <c r="F65" s="13">
        <v>20</v>
      </c>
      <c r="G65" s="34" t="s">
        <v>86</v>
      </c>
      <c r="H65" s="61">
        <v>49.99</v>
      </c>
      <c r="I65" s="201">
        <f t="shared" si="57"/>
        <v>49.99</v>
      </c>
      <c r="J65" s="67">
        <v>0.3</v>
      </c>
      <c r="K65" s="238">
        <f t="shared" ref="K65" si="75">F65*I65*(1+J65)</f>
        <v>1299.7400000000002</v>
      </c>
      <c r="L65" s="52"/>
      <c r="M65" s="202" t="str">
        <f t="shared" ref="M65" si="76">B65</f>
        <v>Install Engineered Flooring sheet (M2)</v>
      </c>
      <c r="N65" s="60">
        <v>0.4</v>
      </c>
      <c r="O65" s="227">
        <f t="shared" si="60"/>
        <v>8</v>
      </c>
      <c r="P65" s="319">
        <f t="shared" si="61"/>
        <v>30.63</v>
      </c>
      <c r="Q65" s="201">
        <f t="shared" si="62"/>
        <v>30.630000000000003</v>
      </c>
      <c r="R65" s="272">
        <v>1</v>
      </c>
      <c r="S65" s="204">
        <f t="shared" ref="S65" si="77">(O65*Q65*(1+R65))</f>
        <v>490.08000000000004</v>
      </c>
      <c r="T65" s="228">
        <f t="shared" ref="T65" si="78">K65+S65</f>
        <v>1789.8200000000002</v>
      </c>
      <c r="U65" s="219">
        <f t="shared" si="65"/>
        <v>1099.7800000000002</v>
      </c>
      <c r="V65" s="220">
        <f t="shared" si="66"/>
        <v>224</v>
      </c>
      <c r="X65" s="12"/>
      <c r="Y65" s="12"/>
      <c r="Z65" s="20"/>
      <c r="AA65" s="20"/>
      <c r="AB65" s="20"/>
      <c r="AC65" s="20"/>
      <c r="AD65" s="20"/>
      <c r="AE65" s="20"/>
      <c r="AF65" s="20"/>
      <c r="AS65" s="56"/>
      <c r="AT65" s="25">
        <f t="shared" si="67"/>
        <v>1</v>
      </c>
      <c r="AU65" s="25">
        <f t="shared" si="68"/>
        <v>0</v>
      </c>
    </row>
    <row r="66" spans="1:50" s="18" customFormat="1" ht="33" customHeight="1" thickBot="1" x14ac:dyDescent="0.2">
      <c r="A66" s="22" t="str">
        <f t="shared" ref="A66:A67" si="79">IF(AU66=1,"X","")</f>
        <v/>
      </c>
      <c r="B66" s="383" t="s">
        <v>397</v>
      </c>
      <c r="C66" s="384"/>
      <c r="D66" s="384"/>
      <c r="E66" s="393"/>
      <c r="F66" s="13">
        <v>20</v>
      </c>
      <c r="G66" s="34" t="s">
        <v>86</v>
      </c>
      <c r="H66" s="61">
        <v>52.8</v>
      </c>
      <c r="I66" s="201">
        <f t="shared" si="57"/>
        <v>52.800000000000004</v>
      </c>
      <c r="J66" s="67">
        <v>0.3</v>
      </c>
      <c r="K66" s="238">
        <f t="shared" ref="K66:K67" si="80">F66*I66*(1+J66)</f>
        <v>1372.8</v>
      </c>
      <c r="L66" s="52"/>
      <c r="M66" s="365" t="str">
        <f t="shared" ref="M66:M67" si="81">B66</f>
        <v>Install Structural Engineered Flooring sheet (M2) onto joists</v>
      </c>
      <c r="N66" s="60">
        <v>0.9</v>
      </c>
      <c r="O66" s="227">
        <f t="shared" ref="O66:O67" si="82">F66*N66</f>
        <v>18</v>
      </c>
      <c r="P66" s="319">
        <f t="shared" si="61"/>
        <v>30.63</v>
      </c>
      <c r="Q66" s="201">
        <f t="shared" si="62"/>
        <v>30.630000000000003</v>
      </c>
      <c r="R66" s="272">
        <v>1</v>
      </c>
      <c r="S66" s="204">
        <f t="shared" ref="S66:S67" si="83">(O66*Q66*(1+R66))</f>
        <v>1102.68</v>
      </c>
      <c r="T66" s="228">
        <f t="shared" ref="T66:T67" si="84">K66+S66</f>
        <v>2475.48</v>
      </c>
      <c r="U66" s="219">
        <f t="shared" ref="U66:U67" si="85">F66*H66*1.1</f>
        <v>1161.6000000000001</v>
      </c>
      <c r="V66" s="220">
        <f t="shared" si="66"/>
        <v>504</v>
      </c>
      <c r="X66" s="12"/>
      <c r="Y66" s="12"/>
      <c r="Z66" s="20"/>
      <c r="AA66" s="20"/>
      <c r="AB66" s="20"/>
      <c r="AC66" s="20"/>
      <c r="AD66" s="20"/>
      <c r="AE66" s="20"/>
      <c r="AF66" s="20"/>
      <c r="AS66" s="56"/>
      <c r="AT66" s="25">
        <f t="shared" ref="AT66:AT67" si="86">IF(F66&lt;&gt;"",1,0)</f>
        <v>1</v>
      </c>
      <c r="AU66" s="25">
        <f t="shared" si="68"/>
        <v>0</v>
      </c>
    </row>
    <row r="67" spans="1:50" s="18" customFormat="1" ht="15" customHeight="1" thickBot="1" x14ac:dyDescent="0.2">
      <c r="A67" s="22" t="str">
        <f t="shared" si="79"/>
        <v>X</v>
      </c>
      <c r="B67" s="381" t="s">
        <v>382</v>
      </c>
      <c r="C67" s="382"/>
      <c r="D67" s="382"/>
      <c r="E67" s="382"/>
      <c r="F67" s="13"/>
      <c r="G67" s="34" t="s">
        <v>86</v>
      </c>
      <c r="H67" s="61">
        <v>6.8</v>
      </c>
      <c r="I67" s="201">
        <f t="shared" si="57"/>
        <v>6.8000000000000007</v>
      </c>
      <c r="J67" s="67">
        <v>0.3</v>
      </c>
      <c r="K67" s="238">
        <f t="shared" si="80"/>
        <v>0</v>
      </c>
      <c r="L67" s="52"/>
      <c r="M67" s="202" t="str">
        <f t="shared" si="81"/>
        <v>Provide insulation to suspended flooring</v>
      </c>
      <c r="N67" s="60">
        <v>0.2</v>
      </c>
      <c r="O67" s="227">
        <f t="shared" si="82"/>
        <v>0</v>
      </c>
      <c r="P67" s="319">
        <f t="shared" si="61"/>
        <v>30.63</v>
      </c>
      <c r="Q67" s="201">
        <f t="shared" si="62"/>
        <v>30.630000000000003</v>
      </c>
      <c r="R67" s="272">
        <v>1</v>
      </c>
      <c r="S67" s="204">
        <f t="shared" si="83"/>
        <v>0</v>
      </c>
      <c r="T67" s="228">
        <f t="shared" si="84"/>
        <v>0</v>
      </c>
      <c r="U67" s="219">
        <f t="shared" si="85"/>
        <v>0</v>
      </c>
      <c r="V67" s="220">
        <f t="shared" si="66"/>
        <v>0</v>
      </c>
      <c r="X67" s="12"/>
      <c r="Y67" s="12"/>
      <c r="Z67" s="20"/>
      <c r="AA67" s="20"/>
      <c r="AB67" s="20"/>
      <c r="AC67" s="20"/>
      <c r="AD67" s="20"/>
      <c r="AE67" s="20"/>
      <c r="AF67" s="20"/>
      <c r="AS67" s="56"/>
      <c r="AT67" s="25">
        <f t="shared" si="86"/>
        <v>0</v>
      </c>
      <c r="AU67" s="25">
        <f t="shared" si="68"/>
        <v>1</v>
      </c>
    </row>
    <row r="68" spans="1:50" s="18" customFormat="1" ht="15" customHeight="1" thickBot="1" x14ac:dyDescent="0.2">
      <c r="A68" s="22" t="str">
        <f t="shared" si="20"/>
        <v/>
      </c>
      <c r="B68" s="366" t="s">
        <v>398</v>
      </c>
      <c r="C68" s="367"/>
      <c r="D68" s="367"/>
      <c r="E68" s="367"/>
      <c r="F68" s="11">
        <v>2</v>
      </c>
      <c r="G68" s="34" t="s">
        <v>2</v>
      </c>
      <c r="H68" s="61">
        <v>0</v>
      </c>
      <c r="I68" s="201">
        <f t="shared" si="57"/>
        <v>0</v>
      </c>
      <c r="J68" s="67">
        <v>0.3</v>
      </c>
      <c r="K68" s="238">
        <f t="shared" si="58"/>
        <v>0</v>
      </c>
      <c r="L68" s="52"/>
      <c r="M68" s="202" t="str">
        <f t="shared" si="59"/>
        <v>Difficulty hours (additional hours if required)</v>
      </c>
      <c r="N68" s="60">
        <v>1</v>
      </c>
      <c r="O68" s="227">
        <f t="shared" si="60"/>
        <v>2</v>
      </c>
      <c r="P68" s="319">
        <f t="shared" si="61"/>
        <v>30.63</v>
      </c>
      <c r="Q68" s="201">
        <f t="shared" si="62"/>
        <v>30.630000000000003</v>
      </c>
      <c r="R68" s="272">
        <v>1</v>
      </c>
      <c r="S68" s="204">
        <f t="shared" si="63"/>
        <v>122.52000000000001</v>
      </c>
      <c r="T68" s="228">
        <f t="shared" si="64"/>
        <v>122.52000000000001</v>
      </c>
      <c r="U68" s="219">
        <f t="shared" si="65"/>
        <v>0</v>
      </c>
      <c r="V68" s="220">
        <f t="shared" si="66"/>
        <v>56</v>
      </c>
      <c r="X68" s="12"/>
      <c r="Y68" s="12"/>
      <c r="Z68" s="20"/>
      <c r="AA68" s="20"/>
      <c r="AB68" s="20"/>
      <c r="AC68" s="20"/>
      <c r="AD68" s="20"/>
      <c r="AE68" s="20"/>
      <c r="AF68" s="20"/>
      <c r="AS68" s="56"/>
      <c r="AT68" s="25">
        <f t="shared" si="67"/>
        <v>1</v>
      </c>
      <c r="AU68" s="25">
        <f t="shared" si="68"/>
        <v>0</v>
      </c>
    </row>
    <row r="69" spans="1:50" thickBot="1" x14ac:dyDescent="0.2">
      <c r="A69" s="22" t="str">
        <f t="shared" si="20"/>
        <v/>
      </c>
      <c r="B69" s="391" t="s">
        <v>325</v>
      </c>
      <c r="C69" s="392"/>
      <c r="D69" s="392"/>
      <c r="E69" s="392"/>
      <c r="F69" s="313">
        <v>0</v>
      </c>
      <c r="G69" s="30"/>
      <c r="H69" s="245"/>
      <c r="I69" s="245"/>
      <c r="J69" s="78" t="s">
        <v>152</v>
      </c>
      <c r="K69" s="218">
        <f>SUM(K50:K68)</f>
        <v>6289.14</v>
      </c>
      <c r="L69" s="247"/>
      <c r="M69" s="437" t="s">
        <v>152</v>
      </c>
      <c r="N69" s="438"/>
      <c r="O69" s="229">
        <f>SUM(O50:O68)</f>
        <v>68.5</v>
      </c>
      <c r="P69" s="314"/>
      <c r="Q69" s="314"/>
      <c r="R69" s="315"/>
      <c r="S69" s="234">
        <f>SUM(S50:S68)</f>
        <v>4196.3100000000013</v>
      </c>
      <c r="T69" s="230">
        <f>SUM(T50:T68)</f>
        <v>10485.450000000001</v>
      </c>
      <c r="U69" s="233">
        <f>SUM(U50:U68)</f>
        <v>5321.5800000000017</v>
      </c>
      <c r="V69" s="232">
        <f>SUM(V50:V68)</f>
        <v>1918</v>
      </c>
      <c r="W69" s="105"/>
      <c r="X69" s="12"/>
      <c r="Y69" s="12"/>
      <c r="Z69" s="20"/>
      <c r="AA69" s="20"/>
      <c r="AB69" s="20"/>
      <c r="AC69" s="20"/>
      <c r="AD69" s="20"/>
      <c r="AE69" s="20"/>
      <c r="AF69" s="20"/>
      <c r="AG69" s="14"/>
      <c r="AS69" s="105"/>
      <c r="AT69" s="21"/>
      <c r="AU69" s="21"/>
    </row>
    <row r="70" spans="1:50" s="108" customFormat="1" ht="5" customHeight="1" thickBot="1" x14ac:dyDescent="0.25">
      <c r="A70" s="293"/>
      <c r="B70" s="294"/>
      <c r="C70" s="294"/>
      <c r="D70" s="294"/>
      <c r="E70" s="294"/>
      <c r="F70" s="295"/>
      <c r="G70" s="296"/>
      <c r="H70" s="297"/>
      <c r="I70" s="297"/>
      <c r="J70" s="297"/>
      <c r="K70" s="298"/>
      <c r="L70" s="299"/>
      <c r="M70" s="300"/>
      <c r="N70" s="298"/>
      <c r="O70" s="298"/>
      <c r="P70" s="298"/>
      <c r="Q70" s="298"/>
      <c r="R70" s="301"/>
      <c r="S70" s="301"/>
      <c r="T70" s="301"/>
      <c r="U70" s="302"/>
      <c r="V70" s="303"/>
      <c r="W70" s="304"/>
      <c r="X70" s="299"/>
      <c r="Y70" s="305"/>
      <c r="Z70" s="306"/>
      <c r="AA70" s="307"/>
      <c r="AB70" s="307"/>
      <c r="AC70" s="307"/>
      <c r="AD70" s="307"/>
      <c r="AE70" s="308"/>
      <c r="AF70" s="307"/>
      <c r="AG70" s="307"/>
      <c r="AH70" s="307"/>
      <c r="AI70" s="307"/>
      <c r="AJ70" s="125"/>
      <c r="AK70" s="125"/>
      <c r="AV70" s="185"/>
      <c r="AW70" s="21"/>
      <c r="AX70" s="21"/>
    </row>
    <row r="71" spans="1:50" s="18" customFormat="1" ht="25" customHeight="1" thickBot="1" x14ac:dyDescent="0.2">
      <c r="A71" s="22" t="str">
        <f t="shared" si="20"/>
        <v/>
      </c>
      <c r="B71" s="415" t="s">
        <v>51</v>
      </c>
      <c r="C71" s="416"/>
      <c r="D71" s="416"/>
      <c r="E71" s="416"/>
      <c r="F71" s="416"/>
      <c r="G71" s="416"/>
      <c r="H71" s="416"/>
      <c r="I71" s="416"/>
      <c r="J71" s="416"/>
      <c r="K71" s="417"/>
      <c r="L71" s="52"/>
      <c r="M71" s="405" t="str">
        <f>B71</f>
        <v xml:space="preserve">Timber treatments </v>
      </c>
      <c r="N71" s="406"/>
      <c r="O71" s="406"/>
      <c r="P71" s="406"/>
      <c r="Q71" s="406"/>
      <c r="R71" s="406"/>
      <c r="S71" s="406"/>
      <c r="T71" s="407"/>
      <c r="U71" s="394" t="str">
        <f>B71</f>
        <v xml:space="preserve">Timber treatments </v>
      </c>
      <c r="V71" s="395"/>
      <c r="X71" s="12"/>
      <c r="Y71" s="12"/>
      <c r="Z71" s="20"/>
      <c r="AA71" s="20"/>
      <c r="AB71" s="20"/>
      <c r="AC71" s="20"/>
      <c r="AD71" s="20"/>
      <c r="AE71" s="20"/>
      <c r="AF71" s="20"/>
      <c r="AS71" s="56"/>
      <c r="AT71" s="21"/>
      <c r="AU71" s="21"/>
    </row>
    <row r="72" spans="1:50" s="18" customFormat="1" ht="15" customHeight="1" thickBot="1" x14ac:dyDescent="0.2">
      <c r="A72" s="22" t="str">
        <f t="shared" si="20"/>
        <v>X</v>
      </c>
      <c r="B72" s="366" t="s">
        <v>50</v>
      </c>
      <c r="C72" s="367"/>
      <c r="D72" s="367"/>
      <c r="E72" s="368"/>
      <c r="F72" s="13"/>
      <c r="G72" s="34" t="s">
        <v>86</v>
      </c>
      <c r="H72" s="61">
        <v>0</v>
      </c>
      <c r="I72" s="201">
        <f>(H72/100)*(100+$F$82)</f>
        <v>0</v>
      </c>
      <c r="J72" s="38">
        <v>0.3</v>
      </c>
      <c r="K72" s="237">
        <f t="shared" ref="K72:K81" si="87">F72*I72*(1+J72)</f>
        <v>0</v>
      </c>
      <c r="L72" s="52"/>
      <c r="M72" s="202" t="str">
        <f t="shared" ref="M72:M81" si="88">B72</f>
        <v>Clear debris from sub floor</v>
      </c>
      <c r="N72" s="60">
        <v>0.15</v>
      </c>
      <c r="O72" s="227">
        <f t="shared" ref="O72:O81" si="89">F72*N72</f>
        <v>0</v>
      </c>
      <c r="P72" s="319">
        <f t="shared" ref="P72:P81" si="90">$D$110</f>
        <v>30.63</v>
      </c>
      <c r="Q72" s="201">
        <f>(P72/100)*(100+$F$82)</f>
        <v>30.630000000000003</v>
      </c>
      <c r="R72" s="272">
        <v>1</v>
      </c>
      <c r="S72" s="204">
        <f t="shared" ref="S72:S81" si="91">(O72*Q72*(1+R72))</f>
        <v>0</v>
      </c>
      <c r="T72" s="228">
        <f t="shared" ref="T72:T81" si="92">K72+S72</f>
        <v>0</v>
      </c>
      <c r="U72" s="219">
        <f t="shared" ref="U72:U81" si="93">F72*H72*1.1</f>
        <v>0</v>
      </c>
      <c r="V72" s="220">
        <f t="shared" ref="V72:V81" si="94">O72*$E$110</f>
        <v>0</v>
      </c>
      <c r="W72" s="56"/>
      <c r="X72" s="12"/>
      <c r="Y72" s="12"/>
      <c r="Z72" s="20"/>
      <c r="AA72" s="20"/>
      <c r="AB72" s="20"/>
      <c r="AC72" s="20"/>
      <c r="AD72" s="20"/>
      <c r="AE72" s="20"/>
      <c r="AF72" s="20"/>
      <c r="AS72" s="56"/>
      <c r="AT72" s="25">
        <f t="shared" ref="AT72:AT81" si="95">IF(F72&lt;&gt;"",1,0)</f>
        <v>0</v>
      </c>
      <c r="AU72" s="25">
        <f t="shared" ref="AU72:AU81" si="96">IF(AND(SUM(AT:AT)&gt;0,F72=""),1,0)</f>
        <v>1</v>
      </c>
    </row>
    <row r="73" spans="1:50" s="18" customFormat="1" ht="15" customHeight="1" thickBot="1" x14ac:dyDescent="0.2">
      <c r="A73" s="22" t="str">
        <f t="shared" si="20"/>
        <v>X</v>
      </c>
      <c r="B73" s="366" t="s">
        <v>66</v>
      </c>
      <c r="C73" s="367"/>
      <c r="D73" s="367"/>
      <c r="E73" s="368"/>
      <c r="F73" s="13"/>
      <c r="G73" s="34" t="s">
        <v>86</v>
      </c>
      <c r="H73" s="61">
        <v>0.5</v>
      </c>
      <c r="I73" s="201">
        <f t="shared" ref="I73:I81" si="97">(H73/100)*(100+$F$82)</f>
        <v>0.5</v>
      </c>
      <c r="J73" s="36">
        <v>0.3</v>
      </c>
      <c r="K73" s="237">
        <f t="shared" si="87"/>
        <v>0</v>
      </c>
      <c r="L73" s="52"/>
      <c r="M73" s="202" t="str">
        <f t="shared" si="88"/>
        <v>Protective treatment to new timbers installation</v>
      </c>
      <c r="N73" s="60">
        <v>0.02</v>
      </c>
      <c r="O73" s="227">
        <f t="shared" si="89"/>
        <v>0</v>
      </c>
      <c r="P73" s="319">
        <f t="shared" si="90"/>
        <v>30.63</v>
      </c>
      <c r="Q73" s="201">
        <f t="shared" ref="Q73:Q81" si="98">(P73/100)*(100+$F$82)</f>
        <v>30.630000000000003</v>
      </c>
      <c r="R73" s="272">
        <v>1</v>
      </c>
      <c r="S73" s="204">
        <f t="shared" si="91"/>
        <v>0</v>
      </c>
      <c r="T73" s="228">
        <f t="shared" si="92"/>
        <v>0</v>
      </c>
      <c r="U73" s="219">
        <f t="shared" si="93"/>
        <v>0</v>
      </c>
      <c r="V73" s="220">
        <f t="shared" si="94"/>
        <v>0</v>
      </c>
      <c r="W73" s="56"/>
      <c r="X73" s="12"/>
      <c r="Y73" s="12"/>
      <c r="Z73" s="20"/>
      <c r="AA73" s="20"/>
      <c r="AB73" s="20"/>
      <c r="AC73" s="20"/>
      <c r="AD73" s="20"/>
      <c r="AE73" s="20"/>
      <c r="AF73" s="20"/>
      <c r="AS73" s="56"/>
      <c r="AT73" s="25">
        <f t="shared" si="95"/>
        <v>0</v>
      </c>
      <c r="AU73" s="25">
        <f t="shared" si="96"/>
        <v>1</v>
      </c>
    </row>
    <row r="74" spans="1:50" s="18" customFormat="1" ht="32.25" customHeight="1" thickBot="1" x14ac:dyDescent="0.2">
      <c r="A74" s="22" t="str">
        <f t="shared" si="20"/>
        <v>X</v>
      </c>
      <c r="B74" s="412" t="s">
        <v>52</v>
      </c>
      <c r="C74" s="413"/>
      <c r="D74" s="413"/>
      <c r="E74" s="414"/>
      <c r="F74" s="13"/>
      <c r="G74" s="34" t="s">
        <v>86</v>
      </c>
      <c r="H74" s="61">
        <v>2.2200000000000002</v>
      </c>
      <c r="I74" s="201">
        <f t="shared" si="97"/>
        <v>2.2200000000000002</v>
      </c>
      <c r="J74" s="38">
        <v>0.3</v>
      </c>
      <c r="K74" s="237">
        <f t="shared" si="87"/>
        <v>0</v>
      </c>
      <c r="L74" s="52"/>
      <c r="M74" s="202" t="str">
        <f t="shared" si="88"/>
        <v>40.1 Gel injection @100mm centres, plug with dowel</v>
      </c>
      <c r="N74" s="60">
        <v>0.25</v>
      </c>
      <c r="O74" s="227">
        <f t="shared" si="89"/>
        <v>0</v>
      </c>
      <c r="P74" s="319">
        <f t="shared" si="90"/>
        <v>30.63</v>
      </c>
      <c r="Q74" s="201">
        <f t="shared" si="98"/>
        <v>30.630000000000003</v>
      </c>
      <c r="R74" s="272">
        <v>1</v>
      </c>
      <c r="S74" s="204">
        <f t="shared" si="91"/>
        <v>0</v>
      </c>
      <c r="T74" s="228">
        <f t="shared" si="92"/>
        <v>0</v>
      </c>
      <c r="U74" s="219">
        <f t="shared" si="93"/>
        <v>0</v>
      </c>
      <c r="V74" s="220">
        <f t="shared" si="94"/>
        <v>0</v>
      </c>
      <c r="W74" s="56"/>
      <c r="X74" s="12"/>
      <c r="Y74" s="12"/>
      <c r="Z74" s="20"/>
      <c r="AA74" s="20"/>
      <c r="AB74" s="20"/>
      <c r="AC74" s="20"/>
      <c r="AD74" s="20"/>
      <c r="AE74" s="20"/>
      <c r="AF74" s="20"/>
      <c r="AS74" s="56"/>
      <c r="AT74" s="25">
        <f t="shared" si="95"/>
        <v>0</v>
      </c>
      <c r="AU74" s="25">
        <f t="shared" si="96"/>
        <v>1</v>
      </c>
    </row>
    <row r="75" spans="1:50" s="18" customFormat="1" ht="15" customHeight="1" thickBot="1" x14ac:dyDescent="0.2">
      <c r="A75" s="22" t="str">
        <f t="shared" si="20"/>
        <v>X</v>
      </c>
      <c r="B75" s="381" t="s">
        <v>63</v>
      </c>
      <c r="C75" s="382"/>
      <c r="D75" s="382"/>
      <c r="E75" s="382"/>
      <c r="F75" s="13"/>
      <c r="G75" s="34" t="s">
        <v>86</v>
      </c>
      <c r="H75" s="61">
        <v>0.5</v>
      </c>
      <c r="I75" s="201">
        <f t="shared" si="97"/>
        <v>0.5</v>
      </c>
      <c r="J75" s="38">
        <v>0.3</v>
      </c>
      <c r="K75" s="237">
        <f t="shared" si="87"/>
        <v>0</v>
      </c>
      <c r="L75" s="52"/>
      <c r="M75" s="202" t="str">
        <f t="shared" si="88"/>
        <v>Fogging floor area</v>
      </c>
      <c r="N75" s="60">
        <v>0.1</v>
      </c>
      <c r="O75" s="227">
        <f t="shared" si="89"/>
        <v>0</v>
      </c>
      <c r="P75" s="319">
        <f t="shared" si="90"/>
        <v>30.63</v>
      </c>
      <c r="Q75" s="201">
        <f t="shared" si="98"/>
        <v>30.630000000000003</v>
      </c>
      <c r="R75" s="272">
        <v>1</v>
      </c>
      <c r="S75" s="204">
        <f t="shared" si="91"/>
        <v>0</v>
      </c>
      <c r="T75" s="228">
        <f t="shared" si="92"/>
        <v>0</v>
      </c>
      <c r="U75" s="219">
        <f t="shared" si="93"/>
        <v>0</v>
      </c>
      <c r="V75" s="220">
        <f t="shared" si="94"/>
        <v>0</v>
      </c>
      <c r="W75" s="56"/>
      <c r="X75" s="12"/>
      <c r="Y75" s="12"/>
      <c r="Z75" s="20"/>
      <c r="AA75" s="20"/>
      <c r="AB75" s="20"/>
      <c r="AC75" s="20"/>
      <c r="AD75" s="20"/>
      <c r="AE75" s="20"/>
      <c r="AF75" s="20"/>
      <c r="AS75" s="56"/>
      <c r="AT75" s="25">
        <f t="shared" si="95"/>
        <v>0</v>
      </c>
      <c r="AU75" s="25">
        <f t="shared" si="96"/>
        <v>1</v>
      </c>
    </row>
    <row r="76" spans="1:50" s="18" customFormat="1" ht="15" customHeight="1" thickBot="1" x14ac:dyDescent="0.2">
      <c r="A76" s="22" t="str">
        <f t="shared" si="20"/>
        <v>X</v>
      </c>
      <c r="B76" s="381" t="s">
        <v>144</v>
      </c>
      <c r="C76" s="382"/>
      <c r="D76" s="382"/>
      <c r="E76" s="382"/>
      <c r="F76" s="13"/>
      <c r="G76" s="34" t="s">
        <v>86</v>
      </c>
      <c r="H76" s="61">
        <v>0.5</v>
      </c>
      <c r="I76" s="201">
        <f t="shared" si="97"/>
        <v>0.5</v>
      </c>
      <c r="J76" s="38">
        <v>0.3</v>
      </c>
      <c r="K76" s="237">
        <f t="shared" si="87"/>
        <v>0</v>
      </c>
      <c r="L76" s="52"/>
      <c r="M76" s="202" t="str">
        <f t="shared" si="88"/>
        <v>Fogging boarded area</v>
      </c>
      <c r="N76" s="227">
        <f>1/43</f>
        <v>2.3255813953488372E-2</v>
      </c>
      <c r="O76" s="227">
        <f t="shared" si="89"/>
        <v>0</v>
      </c>
      <c r="P76" s="319">
        <f t="shared" si="90"/>
        <v>30.63</v>
      </c>
      <c r="Q76" s="201">
        <f t="shared" si="98"/>
        <v>30.630000000000003</v>
      </c>
      <c r="R76" s="272">
        <v>1</v>
      </c>
      <c r="S76" s="204">
        <f t="shared" si="91"/>
        <v>0</v>
      </c>
      <c r="T76" s="228">
        <f t="shared" si="92"/>
        <v>0</v>
      </c>
      <c r="U76" s="219">
        <f t="shared" si="93"/>
        <v>0</v>
      </c>
      <c r="V76" s="220">
        <f t="shared" si="94"/>
        <v>0</v>
      </c>
      <c r="W76" s="56"/>
      <c r="X76" s="12"/>
      <c r="Y76" s="12"/>
      <c r="Z76" s="20"/>
      <c r="AA76" s="20"/>
      <c r="AB76" s="20"/>
      <c r="AC76" s="20"/>
      <c r="AD76" s="20"/>
      <c r="AE76" s="20"/>
      <c r="AF76" s="20"/>
      <c r="AS76" s="56"/>
      <c r="AT76" s="25">
        <f t="shared" si="95"/>
        <v>0</v>
      </c>
      <c r="AU76" s="25">
        <f t="shared" si="96"/>
        <v>1</v>
      </c>
    </row>
    <row r="77" spans="1:50" s="18" customFormat="1" ht="15" customHeight="1" thickBot="1" x14ac:dyDescent="0.2">
      <c r="A77" s="22" t="str">
        <f t="shared" si="20"/>
        <v>X</v>
      </c>
      <c r="B77" s="198" t="s">
        <v>123</v>
      </c>
      <c r="C77" s="199"/>
      <c r="D77" s="199"/>
      <c r="E77" s="199"/>
      <c r="F77" s="13"/>
      <c r="G77" s="34" t="s">
        <v>87</v>
      </c>
      <c r="H77" s="61">
        <v>0.5</v>
      </c>
      <c r="I77" s="201">
        <f t="shared" si="97"/>
        <v>0.5</v>
      </c>
      <c r="J77" s="38">
        <v>0.3</v>
      </c>
      <c r="K77" s="237">
        <f t="shared" si="87"/>
        <v>0</v>
      </c>
      <c r="L77" s="52"/>
      <c r="M77" s="202" t="str">
        <f t="shared" si="88"/>
        <v>Fogging staircase - open rear treads Per step</v>
      </c>
      <c r="N77" s="60">
        <v>0.1</v>
      </c>
      <c r="O77" s="227">
        <f t="shared" si="89"/>
        <v>0</v>
      </c>
      <c r="P77" s="319">
        <f t="shared" si="90"/>
        <v>30.63</v>
      </c>
      <c r="Q77" s="201">
        <f t="shared" si="98"/>
        <v>30.630000000000003</v>
      </c>
      <c r="R77" s="272">
        <v>1</v>
      </c>
      <c r="S77" s="204">
        <f t="shared" si="91"/>
        <v>0</v>
      </c>
      <c r="T77" s="228">
        <f t="shared" si="92"/>
        <v>0</v>
      </c>
      <c r="U77" s="219">
        <f t="shared" si="93"/>
        <v>0</v>
      </c>
      <c r="V77" s="220">
        <f t="shared" si="94"/>
        <v>0</v>
      </c>
      <c r="W77" s="56"/>
      <c r="X77" s="12"/>
      <c r="Y77" s="12"/>
      <c r="Z77" s="20"/>
      <c r="AA77" s="20"/>
      <c r="AB77" s="20"/>
      <c r="AC77" s="20"/>
      <c r="AD77" s="20"/>
      <c r="AE77" s="20"/>
      <c r="AF77" s="20"/>
      <c r="AS77" s="56"/>
      <c r="AT77" s="25">
        <f t="shared" si="95"/>
        <v>0</v>
      </c>
      <c r="AU77" s="25">
        <f t="shared" si="96"/>
        <v>1</v>
      </c>
    </row>
    <row r="78" spans="1:50" s="18" customFormat="1" ht="26.25" customHeight="1" thickBot="1" x14ac:dyDescent="0.2">
      <c r="A78" s="22" t="str">
        <f t="shared" si="20"/>
        <v>X</v>
      </c>
      <c r="B78" s="385" t="s">
        <v>124</v>
      </c>
      <c r="C78" s="386"/>
      <c r="D78" s="386"/>
      <c r="E78" s="387"/>
      <c r="F78" s="13"/>
      <c r="G78" s="34" t="s">
        <v>87</v>
      </c>
      <c r="H78" s="61">
        <v>2</v>
      </c>
      <c r="I78" s="201">
        <f t="shared" si="97"/>
        <v>2</v>
      </c>
      <c r="J78" s="38">
        <v>0.3</v>
      </c>
      <c r="K78" s="237">
        <f t="shared" si="87"/>
        <v>0</v>
      </c>
      <c r="L78" s="52"/>
      <c r="M78" s="202" t="str">
        <f t="shared" si="88"/>
        <v>Fogging staircase - rear closed, drill and plug per step</v>
      </c>
      <c r="N78" s="60">
        <v>0.2</v>
      </c>
      <c r="O78" s="227">
        <f t="shared" si="89"/>
        <v>0</v>
      </c>
      <c r="P78" s="319">
        <f t="shared" si="90"/>
        <v>30.63</v>
      </c>
      <c r="Q78" s="201">
        <f t="shared" si="98"/>
        <v>30.630000000000003</v>
      </c>
      <c r="R78" s="272">
        <v>1</v>
      </c>
      <c r="S78" s="204">
        <f t="shared" si="91"/>
        <v>0</v>
      </c>
      <c r="T78" s="228">
        <f t="shared" si="92"/>
        <v>0</v>
      </c>
      <c r="U78" s="219">
        <f t="shared" si="93"/>
        <v>0</v>
      </c>
      <c r="V78" s="220">
        <f t="shared" si="94"/>
        <v>0</v>
      </c>
      <c r="W78" s="56"/>
      <c r="X78" s="12"/>
      <c r="Y78" s="12"/>
      <c r="Z78" s="20"/>
      <c r="AA78" s="20"/>
      <c r="AB78" s="20"/>
      <c r="AC78" s="20"/>
      <c r="AD78" s="20"/>
      <c r="AE78" s="20"/>
      <c r="AF78" s="20"/>
      <c r="AS78" s="56"/>
      <c r="AT78" s="25">
        <f t="shared" si="95"/>
        <v>0</v>
      </c>
      <c r="AU78" s="25">
        <f t="shared" si="96"/>
        <v>1</v>
      </c>
    </row>
    <row r="79" spans="1:50" s="18" customFormat="1" ht="15" customHeight="1" thickBot="1" x14ac:dyDescent="0.2">
      <c r="A79" s="22" t="str">
        <f t="shared" si="20"/>
        <v>X</v>
      </c>
      <c r="B79" s="381" t="s">
        <v>64</v>
      </c>
      <c r="C79" s="382"/>
      <c r="D79" s="382"/>
      <c r="E79" s="382"/>
      <c r="F79" s="13"/>
      <c r="G79" s="34" t="s">
        <v>86</v>
      </c>
      <c r="H79" s="61">
        <v>0</v>
      </c>
      <c r="I79" s="201">
        <f t="shared" si="97"/>
        <v>0</v>
      </c>
      <c r="J79" s="38">
        <v>0.3</v>
      </c>
      <c r="K79" s="237">
        <f t="shared" si="87"/>
        <v>0</v>
      </c>
      <c r="L79" s="52"/>
      <c r="M79" s="202" t="str">
        <f t="shared" si="88"/>
        <v>Lifting loft insulation</v>
      </c>
      <c r="N79" s="60">
        <v>0.05</v>
      </c>
      <c r="O79" s="227">
        <f t="shared" si="89"/>
        <v>0</v>
      </c>
      <c r="P79" s="319">
        <f t="shared" si="90"/>
        <v>30.63</v>
      </c>
      <c r="Q79" s="201">
        <f t="shared" si="98"/>
        <v>30.630000000000003</v>
      </c>
      <c r="R79" s="272">
        <v>1</v>
      </c>
      <c r="S79" s="204">
        <f t="shared" si="91"/>
        <v>0</v>
      </c>
      <c r="T79" s="228">
        <f t="shared" si="92"/>
        <v>0</v>
      </c>
      <c r="U79" s="219">
        <f t="shared" si="93"/>
        <v>0</v>
      </c>
      <c r="V79" s="220">
        <f t="shared" si="94"/>
        <v>0</v>
      </c>
      <c r="W79" s="56"/>
      <c r="X79" s="12"/>
      <c r="Y79" s="12"/>
      <c r="Z79" s="20"/>
      <c r="AA79" s="20"/>
      <c r="AB79" s="20"/>
      <c r="AC79" s="20"/>
      <c r="AD79" s="20"/>
      <c r="AE79" s="20"/>
      <c r="AF79" s="20"/>
      <c r="AS79" s="56"/>
      <c r="AT79" s="25">
        <f t="shared" si="95"/>
        <v>0</v>
      </c>
      <c r="AU79" s="25">
        <f t="shared" si="96"/>
        <v>1</v>
      </c>
    </row>
    <row r="80" spans="1:50" s="18" customFormat="1" ht="27" customHeight="1" thickBot="1" x14ac:dyDescent="0.2">
      <c r="A80" s="22" t="str">
        <f t="shared" ref="A80:A110" si="99">IF(AU80=1,"X","")</f>
        <v>X</v>
      </c>
      <c r="B80" s="383" t="s">
        <v>125</v>
      </c>
      <c r="C80" s="384"/>
      <c r="D80" s="384"/>
      <c r="E80" s="384"/>
      <c r="F80" s="13"/>
      <c r="G80" s="34" t="s">
        <v>86</v>
      </c>
      <c r="H80" s="61">
        <v>0.5</v>
      </c>
      <c r="I80" s="201">
        <f t="shared" si="97"/>
        <v>0.5</v>
      </c>
      <c r="J80" s="38">
        <v>0.3</v>
      </c>
      <c r="K80" s="237">
        <f t="shared" si="87"/>
        <v>0</v>
      </c>
      <c r="L80" s="52"/>
      <c r="M80" s="202" t="str">
        <f t="shared" si="88"/>
        <v>Fogging loft area (calculated from floor area of loft)</v>
      </c>
      <c r="N80" s="60">
        <v>0.04</v>
      </c>
      <c r="O80" s="227">
        <f t="shared" si="89"/>
        <v>0</v>
      </c>
      <c r="P80" s="319">
        <f t="shared" si="90"/>
        <v>30.63</v>
      </c>
      <c r="Q80" s="201">
        <f t="shared" si="98"/>
        <v>30.630000000000003</v>
      </c>
      <c r="R80" s="272">
        <v>1</v>
      </c>
      <c r="S80" s="204">
        <f t="shared" si="91"/>
        <v>0</v>
      </c>
      <c r="T80" s="228">
        <f t="shared" si="92"/>
        <v>0</v>
      </c>
      <c r="U80" s="219">
        <f t="shared" si="93"/>
        <v>0</v>
      </c>
      <c r="V80" s="220">
        <f t="shared" si="94"/>
        <v>0</v>
      </c>
      <c r="W80" s="56"/>
      <c r="X80" s="12"/>
      <c r="Y80" s="12"/>
      <c r="Z80" s="20"/>
      <c r="AA80" s="20"/>
      <c r="AB80" s="20"/>
      <c r="AC80" s="20"/>
      <c r="AD80" s="20"/>
      <c r="AE80" s="20"/>
      <c r="AF80" s="20"/>
      <c r="AS80" s="56"/>
      <c r="AT80" s="25">
        <f t="shared" si="95"/>
        <v>0</v>
      </c>
      <c r="AU80" s="25">
        <f t="shared" si="96"/>
        <v>1</v>
      </c>
    </row>
    <row r="81" spans="1:50" s="18" customFormat="1" ht="15" customHeight="1" thickBot="1" x14ac:dyDescent="0.2">
      <c r="A81" s="22" t="str">
        <f t="shared" si="99"/>
        <v>X</v>
      </c>
      <c r="B81" s="381" t="s">
        <v>65</v>
      </c>
      <c r="C81" s="382"/>
      <c r="D81" s="382"/>
      <c r="E81" s="382"/>
      <c r="F81" s="13"/>
      <c r="G81" s="34" t="s">
        <v>86</v>
      </c>
      <c r="H81" s="61">
        <v>0</v>
      </c>
      <c r="I81" s="201">
        <f t="shared" si="97"/>
        <v>0</v>
      </c>
      <c r="J81" s="38">
        <v>0.3</v>
      </c>
      <c r="K81" s="238">
        <f t="shared" si="87"/>
        <v>0</v>
      </c>
      <c r="L81" s="52"/>
      <c r="M81" s="202" t="str">
        <f t="shared" si="88"/>
        <v>Relaying loft insulation</v>
      </c>
      <c r="N81" s="60">
        <v>0.03</v>
      </c>
      <c r="O81" s="227">
        <f t="shared" si="89"/>
        <v>0</v>
      </c>
      <c r="P81" s="319">
        <f t="shared" si="90"/>
        <v>30.63</v>
      </c>
      <c r="Q81" s="201">
        <f t="shared" si="98"/>
        <v>30.630000000000003</v>
      </c>
      <c r="R81" s="272">
        <v>1</v>
      </c>
      <c r="S81" s="204">
        <f t="shared" si="91"/>
        <v>0</v>
      </c>
      <c r="T81" s="228">
        <f t="shared" si="92"/>
        <v>0</v>
      </c>
      <c r="U81" s="219">
        <f t="shared" si="93"/>
        <v>0</v>
      </c>
      <c r="V81" s="220">
        <f t="shared" si="94"/>
        <v>0</v>
      </c>
      <c r="W81" s="56"/>
      <c r="X81" s="12"/>
      <c r="Y81" s="12"/>
      <c r="Z81" s="20"/>
      <c r="AA81" s="20"/>
      <c r="AB81" s="20"/>
      <c r="AC81" s="20"/>
      <c r="AD81" s="20"/>
      <c r="AE81" s="20"/>
      <c r="AF81" s="20"/>
      <c r="AS81" s="56"/>
      <c r="AT81" s="25">
        <f t="shared" si="95"/>
        <v>0</v>
      </c>
      <c r="AU81" s="25">
        <f t="shared" si="96"/>
        <v>1</v>
      </c>
    </row>
    <row r="82" spans="1:50" thickBot="1" x14ac:dyDescent="0.2">
      <c r="A82" s="22" t="str">
        <f t="shared" si="99"/>
        <v/>
      </c>
      <c r="B82" s="391" t="s">
        <v>325</v>
      </c>
      <c r="C82" s="392"/>
      <c r="D82" s="392"/>
      <c r="E82" s="392"/>
      <c r="F82" s="313">
        <v>0</v>
      </c>
      <c r="G82" s="41"/>
      <c r="H82" s="48"/>
      <c r="I82" s="48"/>
      <c r="J82" s="37" t="s">
        <v>152</v>
      </c>
      <c r="K82" s="238">
        <f>SUM(K72:K81)</f>
        <v>0</v>
      </c>
      <c r="L82" s="235"/>
      <c r="M82" s="450" t="s">
        <v>152</v>
      </c>
      <c r="N82" s="451"/>
      <c r="O82" s="252">
        <f>SUM(O72:O81)</f>
        <v>0</v>
      </c>
      <c r="P82" s="314"/>
      <c r="Q82" s="314"/>
      <c r="R82" s="315"/>
      <c r="S82" s="253">
        <f t="shared" ref="S82:V82" si="100">SUM(S72:S81)</f>
        <v>0</v>
      </c>
      <c r="T82" s="254">
        <f t="shared" si="100"/>
        <v>0</v>
      </c>
      <c r="U82" s="255">
        <f t="shared" si="100"/>
        <v>0</v>
      </c>
      <c r="V82" s="256">
        <f t="shared" si="100"/>
        <v>0</v>
      </c>
      <c r="W82" s="105"/>
      <c r="X82" s="12"/>
      <c r="Y82" s="12"/>
      <c r="Z82" s="20"/>
      <c r="AA82" s="20"/>
      <c r="AB82" s="20"/>
      <c r="AC82" s="20"/>
      <c r="AD82" s="20"/>
      <c r="AE82" s="20"/>
      <c r="AF82" s="20"/>
      <c r="AG82" s="14"/>
      <c r="AS82" s="105"/>
      <c r="AT82" s="21"/>
      <c r="AU82" s="21"/>
    </row>
    <row r="83" spans="1:50" s="108" customFormat="1" ht="5" customHeight="1" thickBot="1" x14ac:dyDescent="0.25">
      <c r="A83" s="293"/>
      <c r="B83" s="294"/>
      <c r="C83" s="294"/>
      <c r="D83" s="294"/>
      <c r="E83" s="294"/>
      <c r="F83" s="295"/>
      <c r="G83" s="296"/>
      <c r="H83" s="297"/>
      <c r="I83" s="297"/>
      <c r="J83" s="297"/>
      <c r="K83" s="298"/>
      <c r="L83" s="299"/>
      <c r="M83" s="300"/>
      <c r="N83" s="298"/>
      <c r="O83" s="298"/>
      <c r="P83" s="298"/>
      <c r="Q83" s="298"/>
      <c r="R83" s="301"/>
      <c r="S83" s="301"/>
      <c r="T83" s="301"/>
      <c r="U83" s="302"/>
      <c r="V83" s="303"/>
      <c r="W83" s="304"/>
      <c r="X83" s="299"/>
      <c r="Y83" s="305"/>
      <c r="Z83" s="306"/>
      <c r="AA83" s="307"/>
      <c r="AB83" s="307"/>
      <c r="AC83" s="307"/>
      <c r="AD83" s="307"/>
      <c r="AE83" s="308"/>
      <c r="AF83" s="307"/>
      <c r="AG83" s="307"/>
      <c r="AH83" s="307"/>
      <c r="AI83" s="307"/>
      <c r="AJ83" s="125"/>
      <c r="AK83" s="125"/>
      <c r="AV83" s="185"/>
      <c r="AW83" s="21"/>
      <c r="AX83" s="21"/>
    </row>
    <row r="84" spans="1:50" ht="25" customHeight="1" thickBot="1" x14ac:dyDescent="0.2">
      <c r="A84" s="22" t="str">
        <f t="shared" si="99"/>
        <v/>
      </c>
      <c r="B84" s="415" t="s">
        <v>55</v>
      </c>
      <c r="C84" s="416"/>
      <c r="D84" s="416"/>
      <c r="E84" s="416"/>
      <c r="F84" s="416"/>
      <c r="G84" s="416"/>
      <c r="H84" s="416"/>
      <c r="I84" s="416"/>
      <c r="J84" s="416"/>
      <c r="K84" s="417"/>
      <c r="L84" s="32"/>
      <c r="M84" s="405" t="str">
        <f>B84</f>
        <v>Airbricks</v>
      </c>
      <c r="N84" s="406"/>
      <c r="O84" s="406"/>
      <c r="P84" s="406"/>
      <c r="Q84" s="406"/>
      <c r="R84" s="406"/>
      <c r="S84" s="406"/>
      <c r="T84" s="407"/>
      <c r="U84" s="394" t="str">
        <f>B84</f>
        <v>Airbricks</v>
      </c>
      <c r="V84" s="395"/>
      <c r="X84" s="12"/>
      <c r="Y84" s="12"/>
      <c r="Z84" s="20"/>
      <c r="AA84" s="20"/>
      <c r="AB84" s="20"/>
      <c r="AC84" s="20"/>
      <c r="AD84" s="20"/>
      <c r="AE84" s="20"/>
      <c r="AF84" s="20"/>
      <c r="AG84" s="14"/>
      <c r="AS84" s="105"/>
      <c r="AT84" s="21"/>
      <c r="AU84" s="21"/>
    </row>
    <row r="85" spans="1:50" thickBot="1" x14ac:dyDescent="0.2">
      <c r="A85" s="22" t="str">
        <f t="shared" si="99"/>
        <v>X</v>
      </c>
      <c r="B85" s="366" t="s">
        <v>53</v>
      </c>
      <c r="C85" s="367"/>
      <c r="D85" s="367"/>
      <c r="E85" s="368"/>
      <c r="F85" s="13"/>
      <c r="G85" s="34" t="s">
        <v>87</v>
      </c>
      <c r="H85" s="61">
        <v>16</v>
      </c>
      <c r="I85" s="201">
        <f>(H85/100)*(100+$F$88)</f>
        <v>16</v>
      </c>
      <c r="J85" s="38">
        <v>0.3</v>
      </c>
      <c r="K85" s="237">
        <f t="shared" ref="K85:K87" si="101">F85*I85*(1+J85)</f>
        <v>0</v>
      </c>
      <c r="L85" s="235"/>
      <c r="M85" s="202" t="str">
        <f t="shared" ref="M85:M87" si="102">B85</f>
        <v>Clean out airbrick/fit new face</v>
      </c>
      <c r="N85" s="60">
        <v>0.5</v>
      </c>
      <c r="O85" s="227">
        <f>F85*N85</f>
        <v>0</v>
      </c>
      <c r="P85" s="319">
        <f>$D$110</f>
        <v>30.63</v>
      </c>
      <c r="Q85" s="201">
        <f>(P85/100)*(100+$F$88)</f>
        <v>30.630000000000003</v>
      </c>
      <c r="R85" s="272">
        <v>1</v>
      </c>
      <c r="S85" s="204">
        <f t="shared" ref="S85:S87" si="103">(O85*Q85*(1+R85))</f>
        <v>0</v>
      </c>
      <c r="T85" s="228">
        <f t="shared" ref="T85:T87" si="104">K85+S85</f>
        <v>0</v>
      </c>
      <c r="U85" s="219">
        <f>F85*H85*1.1</f>
        <v>0</v>
      </c>
      <c r="V85" s="220">
        <f t="shared" ref="V85:V87" si="105">O85*$E$110</f>
        <v>0</v>
      </c>
      <c r="X85" s="12"/>
      <c r="Y85" s="12"/>
      <c r="Z85" s="20"/>
      <c r="AA85" s="20"/>
      <c r="AB85" s="20"/>
      <c r="AC85" s="20"/>
      <c r="AD85" s="20"/>
      <c r="AE85" s="20"/>
      <c r="AF85" s="20"/>
      <c r="AG85" s="14"/>
      <c r="AS85" s="105"/>
      <c r="AT85" s="25">
        <f>IF(F85&lt;&gt;"",1,0)</f>
        <v>0</v>
      </c>
      <c r="AU85" s="25">
        <f>IF(AND(SUM(AT:AT)&gt;0,F85=""),1,0)</f>
        <v>1</v>
      </c>
    </row>
    <row r="86" spans="1:50" thickBot="1" x14ac:dyDescent="0.2">
      <c r="A86" s="22" t="str">
        <f t="shared" si="99"/>
        <v>X</v>
      </c>
      <c r="B86" s="366" t="s">
        <v>297</v>
      </c>
      <c r="C86" s="367"/>
      <c r="D86" s="367"/>
      <c r="E86" s="368"/>
      <c r="F86" s="13"/>
      <c r="G86" s="34" t="s">
        <v>87</v>
      </c>
      <c r="H86" s="61">
        <v>16</v>
      </c>
      <c r="I86" s="201">
        <f t="shared" ref="I86:I87" si="106">(H86/100)*(100+$F$88)</f>
        <v>16</v>
      </c>
      <c r="J86" s="38">
        <v>0.3</v>
      </c>
      <c r="K86" s="237">
        <f t="shared" si="101"/>
        <v>0</v>
      </c>
      <c r="L86" s="235"/>
      <c r="M86" s="202" t="str">
        <f t="shared" si="102"/>
        <v>Lift/upgrade existing airbrick/fit new face</v>
      </c>
      <c r="N86" s="60">
        <v>0.8</v>
      </c>
      <c r="O86" s="227">
        <f>F86*N86</f>
        <v>0</v>
      </c>
      <c r="P86" s="319">
        <f>$D$110</f>
        <v>30.63</v>
      </c>
      <c r="Q86" s="201">
        <f t="shared" ref="Q86:Q87" si="107">(P86/100)*(100+$F$88)</f>
        <v>30.630000000000003</v>
      </c>
      <c r="R86" s="272">
        <v>1</v>
      </c>
      <c r="S86" s="204">
        <f t="shared" si="103"/>
        <v>0</v>
      </c>
      <c r="T86" s="228">
        <f t="shared" si="104"/>
        <v>0</v>
      </c>
      <c r="U86" s="219">
        <f>F86*H86*1.1</f>
        <v>0</v>
      </c>
      <c r="V86" s="220">
        <f t="shared" si="105"/>
        <v>0</v>
      </c>
      <c r="X86" s="12"/>
      <c r="Y86" s="12"/>
      <c r="Z86" s="20"/>
      <c r="AA86" s="20"/>
      <c r="AB86" s="20"/>
      <c r="AC86" s="20"/>
      <c r="AD86" s="20"/>
      <c r="AE86" s="20"/>
      <c r="AF86" s="20"/>
      <c r="AG86" s="14"/>
      <c r="AS86" s="105"/>
      <c r="AT86" s="25">
        <f>IF(F86&lt;&gt;"",1,0)</f>
        <v>0</v>
      </c>
      <c r="AU86" s="25">
        <f>IF(AND(SUM(AT:AT)&gt;0,F86=""),1,0)</f>
        <v>1</v>
      </c>
    </row>
    <row r="87" spans="1:50" thickBot="1" x14ac:dyDescent="0.2">
      <c r="A87" s="22" t="str">
        <f t="shared" si="99"/>
        <v>X</v>
      </c>
      <c r="B87" s="366" t="s">
        <v>54</v>
      </c>
      <c r="C87" s="367"/>
      <c r="D87" s="367"/>
      <c r="E87" s="368"/>
      <c r="F87" s="13"/>
      <c r="G87" s="34" t="s">
        <v>87</v>
      </c>
      <c r="H87" s="61">
        <v>16</v>
      </c>
      <c r="I87" s="201">
        <f t="shared" si="106"/>
        <v>16</v>
      </c>
      <c r="J87" s="38">
        <v>0.3</v>
      </c>
      <c r="K87" s="237">
        <f t="shared" si="101"/>
        <v>0</v>
      </c>
      <c r="L87" s="235"/>
      <c r="M87" s="202" t="str">
        <f t="shared" si="102"/>
        <v>Install additional  airbrick</v>
      </c>
      <c r="N87" s="60">
        <v>2</v>
      </c>
      <c r="O87" s="227">
        <f>F87*N87</f>
        <v>0</v>
      </c>
      <c r="P87" s="319">
        <f>$D$110</f>
        <v>30.63</v>
      </c>
      <c r="Q87" s="201">
        <f t="shared" si="107"/>
        <v>30.630000000000003</v>
      </c>
      <c r="R87" s="272">
        <v>1</v>
      </c>
      <c r="S87" s="204">
        <f t="shared" si="103"/>
        <v>0</v>
      </c>
      <c r="T87" s="228">
        <f t="shared" si="104"/>
        <v>0</v>
      </c>
      <c r="U87" s="219">
        <f>F87*H87*1.1</f>
        <v>0</v>
      </c>
      <c r="V87" s="220">
        <f t="shared" si="105"/>
        <v>0</v>
      </c>
      <c r="X87" s="12"/>
      <c r="Y87" s="12"/>
      <c r="Z87" s="20"/>
      <c r="AA87" s="20"/>
      <c r="AB87" s="20"/>
      <c r="AC87" s="20"/>
      <c r="AD87" s="20"/>
      <c r="AE87" s="20"/>
      <c r="AF87" s="20"/>
      <c r="AG87" s="14"/>
      <c r="AS87" s="105"/>
      <c r="AT87" s="25">
        <f>IF(F87&lt;&gt;"",1,0)</f>
        <v>0</v>
      </c>
      <c r="AU87" s="25">
        <f>IF(AND(SUM(AT:AT)&gt;0,F87=""),1,0)</f>
        <v>1</v>
      </c>
    </row>
    <row r="88" spans="1:50" thickBot="1" x14ac:dyDescent="0.2">
      <c r="A88" s="22" t="str">
        <f t="shared" si="99"/>
        <v/>
      </c>
      <c r="B88" s="391" t="s">
        <v>325</v>
      </c>
      <c r="C88" s="392"/>
      <c r="D88" s="392"/>
      <c r="E88" s="392"/>
      <c r="F88" s="313">
        <v>0</v>
      </c>
      <c r="G88" s="90"/>
      <c r="H88" s="225"/>
      <c r="I88" s="225"/>
      <c r="J88" s="78" t="s">
        <v>152</v>
      </c>
      <c r="K88" s="239">
        <f>SUM(K85:K87)</f>
        <v>0</v>
      </c>
      <c r="L88" s="257"/>
      <c r="M88" s="437" t="s">
        <v>152</v>
      </c>
      <c r="N88" s="438"/>
      <c r="O88" s="229">
        <f>SUM(O85:O87)</f>
        <v>0</v>
      </c>
      <c r="P88" s="314"/>
      <c r="Q88" s="314"/>
      <c r="R88" s="315"/>
      <c r="S88" s="234">
        <f t="shared" ref="S88:V88" si="108">SUM(S85:S87)</f>
        <v>0</v>
      </c>
      <c r="T88" s="230">
        <f t="shared" si="108"/>
        <v>0</v>
      </c>
      <c r="U88" s="233">
        <f t="shared" si="108"/>
        <v>0</v>
      </c>
      <c r="V88" s="232">
        <f t="shared" si="108"/>
        <v>0</v>
      </c>
      <c r="W88" s="105"/>
      <c r="X88" s="12"/>
      <c r="Y88" s="12"/>
      <c r="Z88" s="20"/>
      <c r="AA88" s="20"/>
      <c r="AB88" s="20"/>
      <c r="AC88" s="20"/>
      <c r="AD88" s="20"/>
      <c r="AE88" s="20"/>
      <c r="AF88" s="20"/>
      <c r="AG88" s="14"/>
      <c r="AS88" s="105"/>
      <c r="AT88" s="21"/>
      <c r="AU88" s="21"/>
    </row>
    <row r="89" spans="1:50" s="108" customFormat="1" ht="5" customHeight="1" thickBot="1" x14ac:dyDescent="0.25">
      <c r="A89" s="293"/>
      <c r="B89" s="294"/>
      <c r="C89" s="294"/>
      <c r="D89" s="294"/>
      <c r="E89" s="294"/>
      <c r="F89" s="295"/>
      <c r="G89" s="296"/>
      <c r="H89" s="297"/>
      <c r="I89" s="297"/>
      <c r="J89" s="297"/>
      <c r="K89" s="298"/>
      <c r="L89" s="299"/>
      <c r="M89" s="300"/>
      <c r="N89" s="298"/>
      <c r="O89" s="298"/>
      <c r="P89" s="298"/>
      <c r="Q89" s="298"/>
      <c r="R89" s="301"/>
      <c r="S89" s="301"/>
      <c r="T89" s="301"/>
      <c r="U89" s="302"/>
      <c r="V89" s="303"/>
      <c r="W89" s="304"/>
      <c r="X89" s="299"/>
      <c r="Y89" s="305"/>
      <c r="Z89" s="306"/>
      <c r="AA89" s="307"/>
      <c r="AB89" s="307"/>
      <c r="AC89" s="307"/>
      <c r="AD89" s="307"/>
      <c r="AE89" s="308"/>
      <c r="AF89" s="307"/>
      <c r="AG89" s="307"/>
      <c r="AH89" s="307"/>
      <c r="AI89" s="307"/>
      <c r="AJ89" s="125"/>
      <c r="AK89" s="125"/>
      <c r="AV89" s="185"/>
      <c r="AW89" s="21"/>
      <c r="AX89" s="21"/>
    </row>
    <row r="90" spans="1:50" ht="25" customHeight="1" thickBot="1" x14ac:dyDescent="0.2">
      <c r="A90" s="22" t="str">
        <f t="shared" si="99"/>
        <v/>
      </c>
      <c r="B90" s="415" t="s">
        <v>20</v>
      </c>
      <c r="C90" s="416"/>
      <c r="D90" s="416"/>
      <c r="E90" s="416"/>
      <c r="F90" s="416"/>
      <c r="G90" s="258"/>
      <c r="H90" s="260"/>
      <c r="I90" s="260"/>
      <c r="J90" s="260"/>
      <c r="K90" s="261"/>
      <c r="L90" s="266"/>
      <c r="M90" s="405" t="str">
        <f>B90</f>
        <v>Skip hire 8yd</v>
      </c>
      <c r="N90" s="406"/>
      <c r="O90" s="406"/>
      <c r="P90" s="406"/>
      <c r="Q90" s="406"/>
      <c r="R90" s="406"/>
      <c r="S90" s="406"/>
      <c r="T90" s="407"/>
      <c r="U90" s="394" t="str">
        <f>B90</f>
        <v>Skip hire 8yd</v>
      </c>
      <c r="V90" s="395"/>
      <c r="X90" s="12"/>
      <c r="Y90" s="12"/>
      <c r="Z90" s="20"/>
      <c r="AA90" s="20"/>
      <c r="AB90" s="20"/>
      <c r="AC90" s="20"/>
      <c r="AD90" s="20"/>
      <c r="AE90" s="20"/>
      <c r="AF90" s="20"/>
      <c r="AG90" s="14"/>
      <c r="AS90" s="105"/>
      <c r="AT90" s="21"/>
      <c r="AU90" s="21"/>
    </row>
    <row r="91" spans="1:50" ht="15" customHeight="1" thickBot="1" x14ac:dyDescent="0.2">
      <c r="A91" s="22" t="str">
        <f t="shared" si="99"/>
        <v>X</v>
      </c>
      <c r="B91" s="506" t="s">
        <v>10</v>
      </c>
      <c r="C91" s="507"/>
      <c r="D91" s="507"/>
      <c r="E91" s="508"/>
      <c r="F91" s="13"/>
      <c r="G91" s="263" t="s">
        <v>87</v>
      </c>
      <c r="H91" s="264">
        <v>270</v>
      </c>
      <c r="I91" s="264">
        <f>H91</f>
        <v>270</v>
      </c>
      <c r="J91" s="265">
        <v>0.3</v>
      </c>
      <c r="K91" s="49">
        <f>F91*I91*(1+J91)</f>
        <v>0</v>
      </c>
      <c r="L91" s="267"/>
      <c r="M91" s="262" t="str">
        <f t="shared" ref="M91" si="109">B91</f>
        <v>Rubbish removal skips</v>
      </c>
      <c r="N91" s="268">
        <v>0</v>
      </c>
      <c r="O91" s="229">
        <f>F91*N91</f>
        <v>0</v>
      </c>
      <c r="P91" s="320">
        <f>$D$110</f>
        <v>30.63</v>
      </c>
      <c r="Q91" s="321">
        <f>P91</f>
        <v>30.63</v>
      </c>
      <c r="R91" s="273">
        <v>1</v>
      </c>
      <c r="S91" s="269">
        <f>(O91*Q91*(1+R91))</f>
        <v>0</v>
      </c>
      <c r="T91" s="230">
        <f>K91+S91</f>
        <v>0</v>
      </c>
      <c r="U91" s="270">
        <f>F91*H91*1.1</f>
        <v>0</v>
      </c>
      <c r="V91" s="220">
        <f>O91*$E$110</f>
        <v>0</v>
      </c>
      <c r="X91" s="12"/>
      <c r="Y91" s="12"/>
      <c r="Z91" s="20"/>
      <c r="AA91" s="20"/>
      <c r="AB91" s="20"/>
      <c r="AC91" s="20"/>
      <c r="AD91" s="20"/>
      <c r="AE91" s="20"/>
      <c r="AF91" s="20"/>
      <c r="AG91" s="14"/>
      <c r="AS91" s="105"/>
      <c r="AT91" s="25">
        <f>IF(F91&lt;&gt;"",1,0)</f>
        <v>0</v>
      </c>
      <c r="AU91" s="25">
        <f>IF(AND(SUM(AT:AT)&gt;0,F91=""),1,0)</f>
        <v>1</v>
      </c>
    </row>
    <row r="92" spans="1:50" s="108" customFormat="1" ht="5" customHeight="1" x14ac:dyDescent="0.2">
      <c r="A92" s="293"/>
      <c r="B92" s="294"/>
      <c r="C92" s="294"/>
      <c r="D92" s="294"/>
      <c r="E92" s="294"/>
      <c r="F92" s="295"/>
      <c r="G92" s="296"/>
      <c r="H92" s="297"/>
      <c r="I92" s="297"/>
      <c r="J92" s="297"/>
      <c r="K92" s="298"/>
      <c r="L92" s="299"/>
      <c r="M92" s="317"/>
      <c r="N92" s="316"/>
      <c r="O92" s="316"/>
      <c r="P92" s="316"/>
      <c r="Q92" s="316"/>
      <c r="R92" s="318"/>
      <c r="S92" s="318"/>
      <c r="T92" s="318"/>
      <c r="U92" s="302"/>
      <c r="V92" s="303"/>
      <c r="W92" s="304"/>
      <c r="X92" s="299"/>
      <c r="Y92" s="305"/>
      <c r="Z92" s="306"/>
      <c r="AA92" s="307"/>
      <c r="AB92" s="307"/>
      <c r="AC92" s="307"/>
      <c r="AD92" s="307"/>
      <c r="AE92" s="308"/>
      <c r="AF92" s="307"/>
      <c r="AG92" s="307"/>
      <c r="AH92" s="307"/>
      <c r="AI92" s="307"/>
      <c r="AJ92" s="125"/>
      <c r="AK92" s="125"/>
      <c r="AV92" s="185"/>
      <c r="AW92" s="21"/>
      <c r="AX92" s="21"/>
    </row>
    <row r="93" spans="1:50" thickBot="1" x14ac:dyDescent="0.25">
      <c r="A93" s="22" t="str">
        <f t="shared" si="99"/>
        <v/>
      </c>
      <c r="B93" s="379"/>
      <c r="C93" s="380"/>
      <c r="D93" s="380"/>
      <c r="E93" s="380"/>
      <c r="F93" s="380"/>
      <c r="G93" s="41"/>
      <c r="H93" s="52"/>
      <c r="I93" s="52"/>
      <c r="J93" s="52"/>
      <c r="K93" s="259"/>
      <c r="L93" s="50"/>
      <c r="M93" s="89"/>
      <c r="N93" s="78"/>
      <c r="O93" s="78"/>
      <c r="P93" s="78"/>
      <c r="Q93" s="78"/>
      <c r="R93" s="78"/>
      <c r="S93" s="78"/>
      <c r="T93" s="135"/>
      <c r="U93" s="136"/>
      <c r="V93" s="80"/>
      <c r="AE93" s="14"/>
      <c r="AF93" s="14"/>
      <c r="AG93" s="14"/>
      <c r="AS93" s="105"/>
      <c r="AT93" s="21"/>
      <c r="AU93" s="21"/>
    </row>
    <row r="94" spans="1:50" ht="12.5" customHeight="1" thickBot="1" x14ac:dyDescent="0.25">
      <c r="A94" s="22" t="str">
        <f t="shared" si="99"/>
        <v/>
      </c>
      <c r="B94" s="40"/>
      <c r="C94" s="41"/>
      <c r="D94" s="41"/>
      <c r="E94" s="408" t="s">
        <v>11</v>
      </c>
      <c r="F94" s="409"/>
      <c r="G94" s="70"/>
      <c r="H94" s="71"/>
      <c r="I94" s="71"/>
      <c r="J94" s="72"/>
      <c r="K94" s="73">
        <f>K26+K36+K46+K69+K82+K88+K91</f>
        <v>6289.14</v>
      </c>
      <c r="L94" s="74"/>
      <c r="M94" s="433" t="s">
        <v>30</v>
      </c>
      <c r="N94" s="434"/>
      <c r="O94" s="434"/>
      <c r="P94" s="434"/>
      <c r="Q94" s="434"/>
      <c r="R94" s="434"/>
      <c r="S94" s="434"/>
      <c r="T94" s="434"/>
      <c r="U94" s="435" t="s">
        <v>46</v>
      </c>
      <c r="V94" s="436"/>
      <c r="AE94" s="14"/>
      <c r="AF94" s="14"/>
      <c r="AG94" s="14"/>
      <c r="AS94" s="105"/>
      <c r="AT94" s="21"/>
      <c r="AU94" s="21"/>
    </row>
    <row r="95" spans="1:50" thickBot="1" x14ac:dyDescent="0.25">
      <c r="A95" s="22" t="str">
        <f t="shared" si="99"/>
        <v/>
      </c>
      <c r="B95" s="40"/>
      <c r="C95" s="41"/>
      <c r="D95" s="41"/>
      <c r="E95" s="408" t="s">
        <v>12</v>
      </c>
      <c r="F95" s="409"/>
      <c r="G95" s="410"/>
      <c r="H95" s="376">
        <f>O95</f>
        <v>68.5</v>
      </c>
      <c r="I95" s="377"/>
      <c r="J95" s="378"/>
      <c r="K95" s="73">
        <f>(S26+S36+S46+S69+S82+S88+S91)</f>
        <v>4196.3100000000013</v>
      </c>
      <c r="L95" s="140"/>
      <c r="M95" s="141" t="s">
        <v>9</v>
      </c>
      <c r="N95" s="32"/>
      <c r="O95" s="142">
        <f>O26+O36+O46+O69+O82+O88</f>
        <v>68.5</v>
      </c>
      <c r="P95" s="309"/>
      <c r="Q95" s="309"/>
      <c r="R95" s="143"/>
      <c r="S95" s="143"/>
      <c r="T95" s="147"/>
      <c r="U95" s="145">
        <f>U26+U36+U46+U69+U82+U88</f>
        <v>5321.5800000000017</v>
      </c>
      <c r="V95" s="144">
        <f>V26+V36+V46+V69+V82+V88</f>
        <v>1918</v>
      </c>
      <c r="AE95" s="14"/>
      <c r="AF95" s="14"/>
      <c r="AG95" s="14"/>
      <c r="AS95" s="105"/>
      <c r="AT95" s="21"/>
      <c r="AU95" s="21"/>
    </row>
    <row r="96" spans="1:50" thickTop="1" x14ac:dyDescent="0.2">
      <c r="A96" s="22" t="str">
        <f t="shared" si="99"/>
        <v/>
      </c>
      <c r="B96" s="40"/>
      <c r="C96" s="41"/>
      <c r="D96" s="41"/>
      <c r="E96" s="75"/>
      <c r="F96" s="27"/>
      <c r="G96" s="27"/>
      <c r="H96" s="76" t="s">
        <v>21</v>
      </c>
      <c r="I96" s="76"/>
      <c r="J96" s="47"/>
      <c r="K96" s="362" t="e">
        <f>(F110*C110)+((K101*K102)*2)*J110</f>
        <v>#DIV/0!</v>
      </c>
      <c r="L96" s="140"/>
      <c r="M96" s="69" t="s">
        <v>68</v>
      </c>
      <c r="N96" s="37"/>
      <c r="O96" s="29" t="e">
        <f>K101*(K102*2)*K103/30</f>
        <v>#DIV/0!</v>
      </c>
      <c r="P96" s="29"/>
      <c r="Q96" s="29"/>
      <c r="R96" s="43"/>
      <c r="S96" s="43"/>
      <c r="T96" s="63"/>
      <c r="U96" s="146"/>
      <c r="V96" s="33"/>
      <c r="AE96" s="14"/>
      <c r="AF96" s="14"/>
      <c r="AG96" s="14"/>
      <c r="AS96" s="105"/>
      <c r="AT96" s="21"/>
      <c r="AU96" s="21"/>
    </row>
    <row r="97" spans="1:47" thickBot="1" x14ac:dyDescent="0.25">
      <c r="A97" s="22" t="str">
        <f t="shared" si="99"/>
        <v/>
      </c>
      <c r="B97" s="40"/>
      <c r="C97" s="41"/>
      <c r="D97" s="41"/>
      <c r="E97" s="68"/>
      <c r="F97" s="27"/>
      <c r="G97" s="27"/>
      <c r="H97" s="81" t="s">
        <v>13</v>
      </c>
      <c r="I97" s="81"/>
      <c r="J97" s="44"/>
      <c r="K97" s="82" t="e">
        <f>SUM(K94:K96)</f>
        <v>#DIV/0!</v>
      </c>
      <c r="L97" s="140"/>
      <c r="M97" s="69" t="s">
        <v>31</v>
      </c>
      <c r="N97" s="37"/>
      <c r="O97" s="42" t="e">
        <f>SUM(O95:O96)</f>
        <v>#DIV/0!</v>
      </c>
      <c r="P97" s="29"/>
      <c r="Q97" s="29"/>
      <c r="R97" s="43"/>
      <c r="S97" s="43"/>
      <c r="T97" s="63"/>
      <c r="U97" s="146" t="s">
        <v>21</v>
      </c>
      <c r="V97" s="33" t="e">
        <f>K101*(K102*2)*0.45</f>
        <v>#DIV/0!</v>
      </c>
      <c r="AE97" s="14"/>
      <c r="AF97" s="14"/>
      <c r="AG97" s="14"/>
      <c r="AS97" s="105"/>
      <c r="AT97" s="21"/>
      <c r="AU97" s="21"/>
    </row>
    <row r="98" spans="1:47" ht="16" thickTop="1" thickBot="1" x14ac:dyDescent="0.25">
      <c r="A98" s="22" t="str">
        <f t="shared" si="99"/>
        <v/>
      </c>
      <c r="B98" s="40"/>
      <c r="C98" s="41"/>
      <c r="D98" s="41"/>
      <c r="E98" s="68"/>
      <c r="F98" s="27"/>
      <c r="G98" s="27"/>
      <c r="H98" s="81" t="s">
        <v>14</v>
      </c>
      <c r="I98" s="81"/>
      <c r="J98" s="44"/>
      <c r="K98" s="84" t="e">
        <f>K97*0.2</f>
        <v>#DIV/0!</v>
      </c>
      <c r="L98" s="140"/>
      <c r="M98" s="69"/>
      <c r="N98" s="37"/>
      <c r="O98" s="37"/>
      <c r="P98" s="37"/>
      <c r="Q98" s="37"/>
      <c r="R98" s="37"/>
      <c r="S98" s="37"/>
      <c r="T98" s="62"/>
      <c r="U98" s="146" t="s">
        <v>25</v>
      </c>
      <c r="V98" s="33" t="e">
        <f>U95+V95+V97</f>
        <v>#DIV/0!</v>
      </c>
      <c r="AE98" s="14"/>
      <c r="AF98" s="14"/>
      <c r="AG98" s="14"/>
      <c r="AS98" s="105"/>
      <c r="AT98" s="21"/>
      <c r="AU98" s="21"/>
    </row>
    <row r="99" spans="1:47" ht="16" thickTop="1" thickBot="1" x14ac:dyDescent="0.25">
      <c r="A99" s="22" t="str">
        <f t="shared" si="99"/>
        <v/>
      </c>
      <c r="B99" s="40"/>
      <c r="C99" s="41"/>
      <c r="D99" s="41"/>
      <c r="E99" s="68"/>
      <c r="F99" s="27"/>
      <c r="G99" s="27"/>
      <c r="H99" s="85" t="s">
        <v>19</v>
      </c>
      <c r="I99" s="85"/>
      <c r="J99" s="44"/>
      <c r="K99" s="86" t="e">
        <f>SUM(K97:K98)</f>
        <v>#DIV/0!</v>
      </c>
      <c r="L99" s="140"/>
      <c r="M99" s="77"/>
      <c r="N99" s="78"/>
      <c r="O99" s="78"/>
      <c r="P99" s="78"/>
      <c r="Q99" s="78"/>
      <c r="R99" s="78"/>
      <c r="S99" s="78"/>
      <c r="T99" s="137"/>
      <c r="U99" s="138"/>
      <c r="V99" s="139"/>
      <c r="AE99" s="14"/>
      <c r="AF99" s="14"/>
      <c r="AG99" s="14"/>
      <c r="AS99" s="105"/>
      <c r="AT99" s="21"/>
      <c r="AU99" s="21"/>
    </row>
    <row r="100" spans="1:47" ht="10.5" customHeight="1" thickBot="1" x14ac:dyDescent="0.25">
      <c r="A100" s="22" t="str">
        <f t="shared" si="99"/>
        <v/>
      </c>
      <c r="B100" s="40"/>
      <c r="C100" s="41"/>
      <c r="D100" s="41"/>
      <c r="E100" s="41"/>
      <c r="F100" s="27"/>
      <c r="G100" s="27"/>
      <c r="H100" s="44"/>
      <c r="I100" s="44"/>
      <c r="J100" s="44"/>
      <c r="K100" s="44"/>
      <c r="L100" s="87"/>
      <c r="M100" s="423" t="s">
        <v>157</v>
      </c>
      <c r="N100" s="424"/>
      <c r="O100" s="424"/>
      <c r="P100" s="424"/>
      <c r="Q100" s="424"/>
      <c r="R100" s="424"/>
      <c r="S100" s="424"/>
      <c r="T100" s="424"/>
      <c r="U100" s="424"/>
      <c r="V100" s="425"/>
      <c r="AE100" s="14"/>
      <c r="AF100" s="14"/>
      <c r="AG100" s="14"/>
      <c r="AT100" s="21"/>
      <c r="AU100" s="21"/>
    </row>
    <row r="101" spans="1:47" ht="22" customHeight="1" thickBot="1" x14ac:dyDescent="0.25">
      <c r="A101" s="22" t="str">
        <f t="shared" si="99"/>
        <v/>
      </c>
      <c r="B101" s="40"/>
      <c r="C101" s="41"/>
      <c r="D101" s="41"/>
      <c r="E101" s="41"/>
      <c r="F101" s="27"/>
      <c r="G101" s="27"/>
      <c r="H101" s="44"/>
      <c r="I101" s="44"/>
      <c r="J101" s="37" t="s">
        <v>22</v>
      </c>
      <c r="K101" s="88" t="e">
        <f>(ROUNDUP((O95/6.5)/K103,0))</f>
        <v>#DIV/0!</v>
      </c>
      <c r="L101" s="28"/>
      <c r="M101" s="426"/>
      <c r="N101" s="427"/>
      <c r="O101" s="427"/>
      <c r="P101" s="427"/>
      <c r="Q101" s="427"/>
      <c r="R101" s="427"/>
      <c r="S101" s="427"/>
      <c r="T101" s="427"/>
      <c r="U101" s="427"/>
      <c r="V101" s="428"/>
      <c r="AE101" s="14"/>
      <c r="AF101" s="14"/>
      <c r="AG101" s="14"/>
      <c r="AT101" s="21"/>
      <c r="AU101" s="21"/>
    </row>
    <row r="102" spans="1:47" ht="22" customHeight="1" thickBot="1" x14ac:dyDescent="0.25">
      <c r="A102" s="22" t="str">
        <f t="shared" si="99"/>
        <v>X</v>
      </c>
      <c r="B102" s="40"/>
      <c r="C102" s="41"/>
      <c r="D102" s="41"/>
      <c r="E102" s="41"/>
      <c r="F102" s="27"/>
      <c r="G102" s="27"/>
      <c r="H102" s="44"/>
      <c r="I102" s="44"/>
      <c r="J102" s="37" t="s">
        <v>67</v>
      </c>
      <c r="K102" s="113" t="str">
        <f>IF([1]Details!$C$12=0,"",[1]Details!$C$12)</f>
        <v/>
      </c>
      <c r="L102" s="28"/>
      <c r="M102" s="396" t="s">
        <v>305</v>
      </c>
      <c r="N102" s="397"/>
      <c r="O102" s="397"/>
      <c r="P102" s="397"/>
      <c r="Q102" s="397"/>
      <c r="R102" s="397"/>
      <c r="S102" s="398"/>
      <c r="T102" s="123" t="s">
        <v>153</v>
      </c>
      <c r="U102" s="429" t="e">
        <f>SUMIFS('CF CSV Upload'!P:P,'CF CSV Upload'!L:L,"No",'CF CSV Upload'!Q:Q,"Yes")</f>
        <v>#DIV/0!</v>
      </c>
      <c r="V102" s="430"/>
      <c r="AE102" s="14"/>
      <c r="AF102" s="14"/>
      <c r="AG102" s="14"/>
      <c r="AT102" s="25">
        <f>IF(K102&lt;&gt;"",1,0)</f>
        <v>0</v>
      </c>
      <c r="AU102" s="25">
        <f>IF(AND(SUM(AT:AT)&gt;0,K102=""),1,0)</f>
        <v>1</v>
      </c>
    </row>
    <row r="103" spans="1:47" ht="22" customHeight="1" thickBot="1" x14ac:dyDescent="0.25">
      <c r="A103" s="22" t="str">
        <f t="shared" si="99"/>
        <v>X</v>
      </c>
      <c r="B103" s="40"/>
      <c r="C103" s="41"/>
      <c r="D103" s="41"/>
      <c r="E103" s="41"/>
      <c r="F103" s="27"/>
      <c r="G103" s="27"/>
      <c r="H103" s="44"/>
      <c r="I103" s="44"/>
      <c r="J103" s="37" t="s">
        <v>36</v>
      </c>
      <c r="K103" s="102"/>
      <c r="L103" s="28"/>
      <c r="M103" s="399"/>
      <c r="N103" s="400"/>
      <c r="O103" s="400"/>
      <c r="P103" s="400"/>
      <c r="Q103" s="400"/>
      <c r="R103" s="400"/>
      <c r="S103" s="401"/>
      <c r="T103" s="123" t="s">
        <v>158</v>
      </c>
      <c r="U103" s="429" t="e">
        <f>U102*0.2</f>
        <v>#DIV/0!</v>
      </c>
      <c r="V103" s="430"/>
      <c r="AE103" s="14"/>
      <c r="AF103" s="14"/>
      <c r="AG103" s="14"/>
      <c r="AT103" s="25">
        <f>IF(K103&lt;&gt;"",1,0)</f>
        <v>0</v>
      </c>
      <c r="AU103" s="25">
        <f>IF(AND(SUM(AT:AT)&gt;0,K103=""),1,0)</f>
        <v>1</v>
      </c>
    </row>
    <row r="104" spans="1:47" ht="24" customHeight="1" thickBot="1" x14ac:dyDescent="0.25">
      <c r="A104" s="22" t="str">
        <f t="shared" si="99"/>
        <v/>
      </c>
      <c r="B104" s="89"/>
      <c r="C104" s="90"/>
      <c r="D104" s="90"/>
      <c r="E104" s="91"/>
      <c r="F104" s="30"/>
      <c r="G104" s="30"/>
      <c r="H104" s="79"/>
      <c r="I104" s="79"/>
      <c r="J104" s="79"/>
      <c r="K104" s="79"/>
      <c r="L104" s="92"/>
      <c r="M104" s="402"/>
      <c r="N104" s="403"/>
      <c r="O104" s="403"/>
      <c r="P104" s="403"/>
      <c r="Q104" s="403"/>
      <c r="R104" s="403"/>
      <c r="S104" s="404"/>
      <c r="T104" s="124" t="s">
        <v>34</v>
      </c>
      <c r="U104" s="431" t="e">
        <f>U102+U103</f>
        <v>#DIV/0!</v>
      </c>
      <c r="V104" s="432"/>
      <c r="AE104" s="14"/>
      <c r="AF104" s="14"/>
      <c r="AG104" s="14"/>
      <c r="AT104" s="21"/>
      <c r="AU104" s="21"/>
    </row>
    <row r="105" spans="1:47" ht="16" thickBot="1" x14ac:dyDescent="0.25">
      <c r="N105" s="83"/>
      <c r="AE105" s="14"/>
      <c r="AF105" s="14"/>
      <c r="AH105"/>
      <c r="AS105" s="360"/>
      <c r="AT105" s="23"/>
      <c r="AU105" s="23"/>
    </row>
    <row r="106" spans="1:47" ht="16" thickBot="1" x14ac:dyDescent="0.25">
      <c r="A106" s="293" t="str">
        <f t="shared" ref="A106" si="110">IF(AU106=1,"X","")</f>
        <v>X</v>
      </c>
      <c r="B106" s="418" t="s">
        <v>376</v>
      </c>
      <c r="C106" s="419"/>
      <c r="D106" s="419"/>
      <c r="E106" s="419"/>
      <c r="F106" s="420"/>
      <c r="G106" s="421"/>
      <c r="H106" s="421"/>
      <c r="I106" s="421"/>
      <c r="J106" s="421"/>
      <c r="K106" s="421"/>
      <c r="L106" s="422"/>
      <c r="M106" s="439" t="s">
        <v>377</v>
      </c>
      <c r="N106" s="440"/>
      <c r="O106" s="440"/>
      <c r="P106" s="440"/>
      <c r="Q106" s="440"/>
      <c r="R106" s="440"/>
      <c r="S106" s="440"/>
      <c r="T106" s="440"/>
      <c r="U106" s="440"/>
      <c r="V106" s="441"/>
      <c r="X106" s="12"/>
      <c r="Y106" s="12"/>
      <c r="Z106" s="20"/>
      <c r="AA106" s="20"/>
      <c r="AB106" s="20"/>
      <c r="AC106" s="12"/>
      <c r="AD106" s="12"/>
      <c r="AE106" s="20"/>
      <c r="AF106" s="20"/>
      <c r="AH106"/>
      <c r="AS106" s="20"/>
      <c r="AT106" s="25">
        <f>IF(F106&lt;&gt;"",1,0)</f>
        <v>0</v>
      </c>
      <c r="AU106" s="25">
        <f>IF(AND(SUM(AT:AT)&gt;0,F106=""),1,0)</f>
        <v>1</v>
      </c>
    </row>
    <row r="107" spans="1:47" ht="22" customHeight="1" thickBot="1" x14ac:dyDescent="0.25">
      <c r="A107" s="22" t="str">
        <f t="shared" si="99"/>
        <v/>
      </c>
      <c r="B107" s="411" t="s">
        <v>48</v>
      </c>
      <c r="C107" s="411"/>
      <c r="D107" s="411"/>
      <c r="E107" s="411"/>
      <c r="F107" s="411"/>
      <c r="G107" s="411"/>
      <c r="H107" s="411"/>
      <c r="I107" s="411"/>
      <c r="J107" s="411"/>
      <c r="K107" s="411"/>
      <c r="L107" s="411"/>
      <c r="N107" s="83"/>
      <c r="O107" s="83"/>
      <c r="P107" s="83"/>
      <c r="Q107" s="83"/>
      <c r="W107" s="105"/>
      <c r="AE107" s="14"/>
      <c r="AF107" s="14"/>
      <c r="AG107" s="14"/>
      <c r="AS107" s="105"/>
    </row>
    <row r="108" spans="1:47" ht="15" customHeight="1" x14ac:dyDescent="0.2">
      <c r="A108" s="22" t="str">
        <f t="shared" si="99"/>
        <v/>
      </c>
      <c r="C108" s="369" t="s">
        <v>378</v>
      </c>
      <c r="D108" s="369" t="s">
        <v>126</v>
      </c>
      <c r="E108" s="371" t="s">
        <v>350</v>
      </c>
      <c r="F108" s="373" t="s">
        <v>35</v>
      </c>
      <c r="G108" s="374"/>
      <c r="H108" s="374"/>
      <c r="I108" s="374"/>
      <c r="J108" s="374"/>
      <c r="K108" s="375"/>
      <c r="N108" s="83"/>
      <c r="AE108" s="14"/>
      <c r="AF108" s="14"/>
      <c r="AG108" s="14"/>
    </row>
    <row r="109" spans="1:47" s="94" customFormat="1" ht="40.5" customHeight="1" x14ac:dyDescent="0.2">
      <c r="A109" s="22" t="str">
        <f t="shared" si="99"/>
        <v/>
      </c>
      <c r="C109" s="370"/>
      <c r="D109" s="370"/>
      <c r="E109" s="372"/>
      <c r="F109" s="342" t="s">
        <v>2</v>
      </c>
      <c r="G109" s="339"/>
      <c r="H109" s="339" t="s">
        <v>33</v>
      </c>
      <c r="I109" s="339"/>
      <c r="J109" s="340" t="s">
        <v>47</v>
      </c>
      <c r="K109" s="343" t="s">
        <v>34</v>
      </c>
      <c r="L109" s="95"/>
      <c r="N109" s="95"/>
      <c r="O109" s="96"/>
      <c r="P109" s="96"/>
      <c r="Q109" s="96"/>
      <c r="R109" s="95"/>
      <c r="S109" s="95"/>
      <c r="T109" s="97"/>
      <c r="V109" s="98"/>
      <c r="AT109" s="14"/>
      <c r="AU109" s="14"/>
    </row>
    <row r="110" spans="1:47" s="18" customFormat="1" ht="14" thickBot="1" x14ac:dyDescent="0.25">
      <c r="A110" s="22" t="str">
        <f t="shared" si="99"/>
        <v/>
      </c>
      <c r="C110" s="335">
        <f>D110</f>
        <v>30.63</v>
      </c>
      <c r="D110" s="335">
        <v>30.63</v>
      </c>
      <c r="E110" s="341">
        <v>28</v>
      </c>
      <c r="F110" s="336" t="e">
        <f>O96</f>
        <v>#DIV/0!</v>
      </c>
      <c r="G110" s="314"/>
      <c r="H110" s="337" t="e">
        <f>F110*D110</f>
        <v>#DIV/0!</v>
      </c>
      <c r="I110" s="337"/>
      <c r="J110" s="338">
        <v>0.5</v>
      </c>
      <c r="K110" s="361" t="e">
        <f>(F110*C110)+(K101*K102*2)*J110</f>
        <v>#DIV/0!</v>
      </c>
      <c r="L110" s="56"/>
      <c r="N110" s="83"/>
      <c r="O110" s="93"/>
      <c r="P110" s="93"/>
      <c r="Q110" s="93"/>
      <c r="R110" s="83"/>
      <c r="S110" s="83"/>
      <c r="V110" s="19"/>
      <c r="AT110" s="14"/>
      <c r="AU110" s="14"/>
    </row>
    <row r="111" spans="1:47" ht="13" x14ac:dyDescent="0.2">
      <c r="N111" s="83"/>
      <c r="AE111" s="14"/>
      <c r="AF111" s="14"/>
      <c r="AG111" s="14"/>
    </row>
    <row r="112" spans="1:47" ht="13" x14ac:dyDescent="0.2">
      <c r="N112" s="83"/>
      <c r="AE112" s="14"/>
      <c r="AF112" s="14"/>
      <c r="AG112" s="14"/>
    </row>
    <row r="113" spans="14:33" ht="13" x14ac:dyDescent="0.2">
      <c r="N113" s="83"/>
      <c r="AE113" s="14"/>
      <c r="AF113" s="14"/>
      <c r="AG113" s="14"/>
    </row>
    <row r="114" spans="14:33" ht="13" x14ac:dyDescent="0.2">
      <c r="N114" s="83"/>
      <c r="AE114" s="14"/>
      <c r="AF114" s="14"/>
      <c r="AG114" s="14"/>
    </row>
    <row r="115" spans="14:33" ht="13" x14ac:dyDescent="0.2">
      <c r="N115" s="83"/>
      <c r="AE115" s="14"/>
      <c r="AF115" s="14"/>
      <c r="AG115" s="14"/>
    </row>
    <row r="116" spans="14:33" ht="13" x14ac:dyDescent="0.2">
      <c r="N116" s="83"/>
      <c r="AE116" s="14"/>
      <c r="AF116" s="14"/>
      <c r="AG116" s="14"/>
    </row>
    <row r="117" spans="14:33" ht="13" x14ac:dyDescent="0.2">
      <c r="N117" s="83"/>
      <c r="AE117" s="14"/>
      <c r="AF117" s="14"/>
      <c r="AG117" s="14"/>
    </row>
    <row r="118" spans="14:33" ht="13" x14ac:dyDescent="0.2">
      <c r="N118" s="83"/>
      <c r="AE118" s="14"/>
      <c r="AF118" s="14"/>
      <c r="AG118" s="14"/>
    </row>
    <row r="119" spans="14:33" ht="13" x14ac:dyDescent="0.2">
      <c r="N119" s="83"/>
      <c r="AE119" s="14"/>
      <c r="AF119" s="14"/>
      <c r="AG119" s="14"/>
    </row>
    <row r="120" spans="14:33" ht="13" x14ac:dyDescent="0.2">
      <c r="N120" s="83"/>
      <c r="AE120" s="14"/>
      <c r="AF120" s="14"/>
      <c r="AG120" s="14"/>
    </row>
    <row r="121" spans="14:33" ht="13" x14ac:dyDescent="0.2">
      <c r="N121" s="83"/>
      <c r="AE121" s="14"/>
      <c r="AF121" s="14"/>
      <c r="AG121" s="14"/>
    </row>
    <row r="122" spans="14:33" ht="13" x14ac:dyDescent="0.2">
      <c r="N122" s="83"/>
      <c r="AE122" s="14"/>
      <c r="AF122" s="14"/>
      <c r="AG122" s="14"/>
    </row>
    <row r="123" spans="14:33" ht="13" x14ac:dyDescent="0.2">
      <c r="N123" s="83"/>
      <c r="AE123" s="14"/>
      <c r="AF123" s="14"/>
      <c r="AG123" s="14"/>
    </row>
    <row r="124" spans="14:33" ht="13" x14ac:dyDescent="0.2">
      <c r="N124" s="83"/>
      <c r="AE124" s="14"/>
      <c r="AF124" s="14"/>
      <c r="AG124" s="14"/>
    </row>
    <row r="125" spans="14:33" ht="15" customHeight="1" x14ac:dyDescent="0.2">
      <c r="N125" s="83"/>
      <c r="AE125" s="14"/>
      <c r="AF125" s="14"/>
      <c r="AG125" s="14"/>
    </row>
    <row r="126" spans="14:33" ht="13" x14ac:dyDescent="0.2">
      <c r="N126" s="83"/>
      <c r="AE126" s="14"/>
      <c r="AF126" s="14"/>
      <c r="AG126" s="14"/>
    </row>
    <row r="127" spans="14:33" ht="13" x14ac:dyDescent="0.2">
      <c r="N127" s="83"/>
      <c r="AE127" s="14"/>
      <c r="AF127" s="14"/>
      <c r="AG127" s="14"/>
    </row>
    <row r="128" spans="14:33" ht="13" x14ac:dyDescent="0.2">
      <c r="N128" s="83"/>
      <c r="AE128" s="14"/>
      <c r="AF128" s="14"/>
      <c r="AG128" s="14"/>
    </row>
    <row r="129" spans="14:33" ht="13" x14ac:dyDescent="0.2">
      <c r="N129" s="83"/>
      <c r="AE129" s="14"/>
      <c r="AF129" s="14"/>
      <c r="AG129" s="14"/>
    </row>
    <row r="130" spans="14:33" ht="13" x14ac:dyDescent="0.2">
      <c r="N130" s="83"/>
      <c r="AE130" s="14"/>
      <c r="AF130" s="14"/>
      <c r="AG130" s="14"/>
    </row>
    <row r="131" spans="14:33" ht="13" x14ac:dyDescent="0.2">
      <c r="N131" s="83"/>
      <c r="AE131" s="14"/>
      <c r="AF131" s="14"/>
      <c r="AG131" s="14"/>
    </row>
    <row r="132" spans="14:33" ht="13" x14ac:dyDescent="0.2">
      <c r="N132" s="83"/>
      <c r="AE132" s="14"/>
      <c r="AF132" s="14"/>
      <c r="AG132" s="14"/>
    </row>
    <row r="133" spans="14:33" ht="13" x14ac:dyDescent="0.2">
      <c r="N133" s="83"/>
      <c r="AE133" s="14"/>
      <c r="AF133" s="14"/>
      <c r="AG133" s="14"/>
    </row>
    <row r="134" spans="14:33" ht="13" x14ac:dyDescent="0.2">
      <c r="N134" s="83"/>
      <c r="AE134" s="14"/>
      <c r="AF134" s="14"/>
      <c r="AG134" s="14"/>
    </row>
    <row r="135" spans="14:33" ht="13" x14ac:dyDescent="0.2">
      <c r="N135" s="83"/>
      <c r="AE135" s="14"/>
      <c r="AF135" s="14"/>
      <c r="AG135" s="14"/>
    </row>
    <row r="136" spans="14:33" ht="13" x14ac:dyDescent="0.2">
      <c r="N136" s="83"/>
      <c r="AE136" s="14"/>
      <c r="AF136" s="14"/>
      <c r="AG136" s="14"/>
    </row>
    <row r="137" spans="14:33" ht="13" x14ac:dyDescent="0.2">
      <c r="N137" s="83"/>
      <c r="AE137" s="14"/>
      <c r="AF137" s="14"/>
      <c r="AG137" s="14"/>
    </row>
    <row r="138" spans="14:33" ht="13" x14ac:dyDescent="0.2">
      <c r="N138" s="83"/>
      <c r="AE138" s="14"/>
      <c r="AF138" s="14"/>
      <c r="AG138" s="14"/>
    </row>
    <row r="139" spans="14:33" ht="13" x14ac:dyDescent="0.2">
      <c r="N139" s="83"/>
      <c r="AE139" s="14"/>
      <c r="AF139" s="14"/>
      <c r="AG139" s="14"/>
    </row>
    <row r="140" spans="14:33" ht="13" x14ac:dyDescent="0.2">
      <c r="N140" s="83"/>
      <c r="AE140" s="14"/>
      <c r="AF140" s="14"/>
      <c r="AG140" s="14"/>
    </row>
    <row r="141" spans="14:33" ht="13" x14ac:dyDescent="0.2">
      <c r="N141" s="83"/>
      <c r="AE141" s="14"/>
      <c r="AF141" s="14"/>
      <c r="AG141" s="14"/>
    </row>
    <row r="142" spans="14:33" ht="13" x14ac:dyDescent="0.2">
      <c r="N142" s="83"/>
      <c r="AE142" s="14"/>
      <c r="AF142" s="14"/>
      <c r="AG142" s="14"/>
    </row>
    <row r="143" spans="14:33" ht="13" x14ac:dyDescent="0.2">
      <c r="N143" s="83"/>
      <c r="AE143" s="14"/>
      <c r="AF143" s="14"/>
      <c r="AG143" s="14"/>
    </row>
    <row r="144" spans="14:33" ht="13" x14ac:dyDescent="0.2">
      <c r="N144" s="83"/>
      <c r="AE144" s="14"/>
      <c r="AF144" s="14"/>
      <c r="AG144" s="14"/>
    </row>
    <row r="145" spans="14:33" ht="13" x14ac:dyDescent="0.2">
      <c r="N145" s="83"/>
      <c r="AE145" s="14"/>
      <c r="AF145" s="14"/>
      <c r="AG145" s="14"/>
    </row>
    <row r="146" spans="14:33" ht="13" x14ac:dyDescent="0.2">
      <c r="N146" s="83"/>
      <c r="AE146" s="14"/>
      <c r="AF146" s="14"/>
      <c r="AG146" s="14"/>
    </row>
    <row r="147" spans="14:33" ht="13" x14ac:dyDescent="0.2">
      <c r="N147" s="83"/>
      <c r="AE147" s="14"/>
      <c r="AF147" s="14"/>
      <c r="AG147" s="14"/>
    </row>
    <row r="148" spans="14:33" ht="13" x14ac:dyDescent="0.2">
      <c r="N148" s="83"/>
      <c r="AE148" s="14"/>
      <c r="AF148" s="14"/>
      <c r="AG148" s="14"/>
    </row>
    <row r="149" spans="14:33" ht="13" x14ac:dyDescent="0.2">
      <c r="N149" s="83"/>
      <c r="AE149" s="14"/>
      <c r="AF149" s="14"/>
      <c r="AG149" s="14"/>
    </row>
    <row r="150" spans="14:33" ht="13" x14ac:dyDescent="0.2">
      <c r="N150" s="83"/>
      <c r="AE150" s="14"/>
      <c r="AF150" s="14"/>
      <c r="AG150" s="14"/>
    </row>
    <row r="151" spans="14:33" ht="13" x14ac:dyDescent="0.2">
      <c r="N151" s="83"/>
      <c r="AE151" s="14"/>
      <c r="AF151" s="14"/>
      <c r="AG151" s="14"/>
    </row>
    <row r="152" spans="14:33" ht="13" x14ac:dyDescent="0.2">
      <c r="N152" s="83"/>
      <c r="AE152" s="14"/>
      <c r="AF152" s="14"/>
      <c r="AG152" s="14"/>
    </row>
    <row r="153" spans="14:33" ht="13" x14ac:dyDescent="0.2">
      <c r="N153" s="83"/>
      <c r="AE153" s="14"/>
      <c r="AF153" s="14"/>
      <c r="AG153" s="14"/>
    </row>
    <row r="154" spans="14:33" ht="13" x14ac:dyDescent="0.2">
      <c r="N154" s="83"/>
      <c r="AE154" s="14"/>
      <c r="AF154" s="14"/>
      <c r="AG154" s="14"/>
    </row>
    <row r="155" spans="14:33" ht="13" x14ac:dyDescent="0.2">
      <c r="N155" s="83"/>
      <c r="AE155" s="14"/>
      <c r="AF155" s="14"/>
      <c r="AG155" s="14"/>
    </row>
    <row r="156" spans="14:33" ht="13" x14ac:dyDescent="0.2">
      <c r="N156" s="83"/>
      <c r="AE156" s="14"/>
      <c r="AF156" s="14"/>
      <c r="AG156" s="14"/>
    </row>
    <row r="157" spans="14:33" ht="13" x14ac:dyDescent="0.2">
      <c r="N157" s="83"/>
      <c r="AE157" s="14"/>
      <c r="AF157" s="14"/>
      <c r="AG157" s="14"/>
    </row>
    <row r="158" spans="14:33" ht="13" x14ac:dyDescent="0.2">
      <c r="N158" s="83"/>
      <c r="AE158" s="14"/>
      <c r="AF158" s="14"/>
      <c r="AG158" s="14"/>
    </row>
    <row r="159" spans="14:33" ht="13" x14ac:dyDescent="0.2">
      <c r="N159" s="83"/>
      <c r="AE159" s="14"/>
      <c r="AF159" s="14"/>
      <c r="AG159" s="14"/>
    </row>
    <row r="160" spans="14:33" ht="13" x14ac:dyDescent="0.2">
      <c r="N160" s="83"/>
      <c r="AE160" s="14"/>
      <c r="AF160" s="14"/>
      <c r="AG160" s="14"/>
    </row>
    <row r="161" spans="14:33" ht="13" x14ac:dyDescent="0.2">
      <c r="N161" s="83"/>
      <c r="AE161" s="14"/>
      <c r="AF161" s="14"/>
      <c r="AG161" s="14"/>
    </row>
    <row r="162" spans="14:33" ht="13" x14ac:dyDescent="0.2">
      <c r="N162" s="83"/>
      <c r="AE162" s="14"/>
      <c r="AF162" s="14"/>
      <c r="AG162" s="14"/>
    </row>
    <row r="163" spans="14:33" ht="13" x14ac:dyDescent="0.2">
      <c r="N163" s="83"/>
      <c r="AE163" s="14"/>
      <c r="AF163" s="14"/>
      <c r="AG163" s="14"/>
    </row>
    <row r="164" spans="14:33" ht="13" x14ac:dyDescent="0.2">
      <c r="N164" s="83"/>
      <c r="AE164" s="14"/>
      <c r="AF164" s="14"/>
      <c r="AG164" s="14"/>
    </row>
    <row r="165" spans="14:33" ht="13" x14ac:dyDescent="0.2">
      <c r="N165" s="83"/>
      <c r="AE165" s="14"/>
      <c r="AF165" s="14"/>
      <c r="AG165" s="14"/>
    </row>
    <row r="166" spans="14:33" ht="13" x14ac:dyDescent="0.2">
      <c r="N166" s="83"/>
      <c r="AE166" s="14"/>
      <c r="AF166" s="14"/>
      <c r="AG166" s="14"/>
    </row>
    <row r="167" spans="14:33" ht="13" x14ac:dyDescent="0.2">
      <c r="N167" s="83"/>
      <c r="AE167" s="14"/>
      <c r="AF167" s="14"/>
      <c r="AG167" s="14"/>
    </row>
    <row r="168" spans="14:33" ht="13" x14ac:dyDescent="0.2">
      <c r="N168" s="83"/>
      <c r="AE168" s="14"/>
      <c r="AF168" s="14"/>
      <c r="AG168" s="14"/>
    </row>
    <row r="169" spans="14:33" ht="13" x14ac:dyDescent="0.2">
      <c r="N169" s="83"/>
      <c r="AE169" s="14"/>
      <c r="AF169" s="14"/>
      <c r="AG169" s="14"/>
    </row>
    <row r="170" spans="14:33" ht="13" x14ac:dyDescent="0.2">
      <c r="N170" s="83"/>
      <c r="AE170" s="14"/>
      <c r="AF170" s="14"/>
      <c r="AG170" s="14"/>
    </row>
    <row r="171" spans="14:33" ht="13" x14ac:dyDescent="0.2">
      <c r="N171" s="83"/>
      <c r="AE171" s="14"/>
      <c r="AF171" s="14"/>
      <c r="AG171" s="14"/>
    </row>
    <row r="172" spans="14:33" ht="13" x14ac:dyDescent="0.2">
      <c r="N172" s="83"/>
      <c r="AE172" s="14"/>
      <c r="AF172" s="14"/>
      <c r="AG172" s="14"/>
    </row>
    <row r="173" spans="14:33" ht="13" x14ac:dyDescent="0.2">
      <c r="N173" s="83"/>
      <c r="AE173" s="14"/>
      <c r="AF173" s="14"/>
      <c r="AG173" s="14"/>
    </row>
    <row r="174" spans="14:33" ht="13" x14ac:dyDescent="0.2">
      <c r="N174" s="83"/>
      <c r="AE174" s="14"/>
      <c r="AF174" s="14"/>
      <c r="AG174" s="14"/>
    </row>
    <row r="175" spans="14:33" ht="13" x14ac:dyDescent="0.2">
      <c r="N175" s="83"/>
      <c r="AE175" s="14"/>
      <c r="AF175" s="14"/>
      <c r="AG175" s="14"/>
    </row>
    <row r="176" spans="14:33" ht="13" x14ac:dyDescent="0.2">
      <c r="N176" s="83"/>
      <c r="AE176" s="14"/>
      <c r="AF176" s="14"/>
      <c r="AG176" s="14"/>
    </row>
    <row r="177" spans="14:33" ht="13" x14ac:dyDescent="0.2">
      <c r="N177" s="83"/>
      <c r="AE177" s="14"/>
      <c r="AF177" s="14"/>
      <c r="AG177" s="14"/>
    </row>
    <row r="178" spans="14:33" ht="13" x14ac:dyDescent="0.2">
      <c r="N178" s="83"/>
      <c r="AE178" s="14"/>
      <c r="AF178" s="14"/>
      <c r="AG178" s="14"/>
    </row>
    <row r="179" spans="14:33" ht="13" x14ac:dyDescent="0.2">
      <c r="N179" s="83"/>
      <c r="AE179" s="14"/>
      <c r="AF179" s="14"/>
      <c r="AG179" s="14"/>
    </row>
    <row r="180" spans="14:33" ht="13" x14ac:dyDescent="0.2">
      <c r="N180" s="83"/>
      <c r="AE180" s="14"/>
      <c r="AF180" s="14"/>
      <c r="AG180" s="14"/>
    </row>
    <row r="181" spans="14:33" ht="13" x14ac:dyDescent="0.2">
      <c r="N181" s="83"/>
      <c r="AE181" s="14"/>
      <c r="AF181" s="14"/>
      <c r="AG181" s="14"/>
    </row>
    <row r="182" spans="14:33" ht="13" x14ac:dyDescent="0.2">
      <c r="N182" s="83"/>
      <c r="AE182" s="14"/>
      <c r="AF182" s="14"/>
      <c r="AG182" s="14"/>
    </row>
    <row r="183" spans="14:33" ht="13" x14ac:dyDescent="0.2">
      <c r="N183" s="83"/>
      <c r="AE183" s="14"/>
      <c r="AF183" s="14"/>
      <c r="AG183" s="14"/>
    </row>
    <row r="184" spans="14:33" ht="13" x14ac:dyDescent="0.2">
      <c r="N184" s="83"/>
      <c r="AE184" s="14"/>
      <c r="AF184" s="14"/>
      <c r="AG184" s="14"/>
    </row>
    <row r="185" spans="14:33" ht="13" x14ac:dyDescent="0.2">
      <c r="N185" s="83"/>
      <c r="AE185" s="14"/>
      <c r="AF185" s="14"/>
      <c r="AG185" s="14"/>
    </row>
    <row r="186" spans="14:33" ht="13" x14ac:dyDescent="0.2">
      <c r="N186" s="83"/>
      <c r="AE186" s="14"/>
      <c r="AF186" s="14"/>
      <c r="AG186" s="14"/>
    </row>
    <row r="187" spans="14:33" ht="13" x14ac:dyDescent="0.2">
      <c r="N187" s="83"/>
      <c r="AE187" s="14"/>
      <c r="AF187" s="14"/>
      <c r="AG187" s="14"/>
    </row>
    <row r="188" spans="14:33" ht="13" x14ac:dyDescent="0.2">
      <c r="N188" s="83"/>
      <c r="AE188" s="14"/>
      <c r="AF188" s="14"/>
      <c r="AG188" s="14"/>
    </row>
  </sheetData>
  <sheetProtection formatRows="0" autoFilter="0"/>
  <mergeCells count="144">
    <mergeCell ref="B9:D9"/>
    <mergeCell ref="E9:M9"/>
    <mergeCell ref="B90:F90"/>
    <mergeCell ref="B91:E91"/>
    <mergeCell ref="B38:K38"/>
    <mergeCell ref="M38:T38"/>
    <mergeCell ref="B13:M13"/>
    <mergeCell ref="B14:D14"/>
    <mergeCell ref="E14:M14"/>
    <mergeCell ref="F17:F18"/>
    <mergeCell ref="B58:C58"/>
    <mergeCell ref="B59:C59"/>
    <mergeCell ref="B16:V16"/>
    <mergeCell ref="S17:S18"/>
    <mergeCell ref="M20:T20"/>
    <mergeCell ref="U20:V20"/>
    <mergeCell ref="M26:N26"/>
    <mergeCell ref="M28:T28"/>
    <mergeCell ref="U28:V28"/>
    <mergeCell ref="M49:R49"/>
    <mergeCell ref="B22:E22"/>
    <mergeCell ref="B23:E23"/>
    <mergeCell ref="B26:E26"/>
    <mergeCell ref="B33:E33"/>
    <mergeCell ref="B1:D1"/>
    <mergeCell ref="E1:V1"/>
    <mergeCell ref="B3:M3"/>
    <mergeCell ref="B4:D4"/>
    <mergeCell ref="E4:M4"/>
    <mergeCell ref="N17:N18"/>
    <mergeCell ref="O17:O18"/>
    <mergeCell ref="T17:T18"/>
    <mergeCell ref="R17:R18"/>
    <mergeCell ref="B6:M6"/>
    <mergeCell ref="B7:D7"/>
    <mergeCell ref="E7:M7"/>
    <mergeCell ref="B8:D8"/>
    <mergeCell ref="E8:M8"/>
    <mergeCell ref="H17:H18"/>
    <mergeCell ref="J17:J18"/>
    <mergeCell ref="K17:K18"/>
    <mergeCell ref="M17:M18"/>
    <mergeCell ref="G17:G18"/>
    <mergeCell ref="B10:D10"/>
    <mergeCell ref="U17:U18"/>
    <mergeCell ref="E10:M10"/>
    <mergeCell ref="B11:D11"/>
    <mergeCell ref="E11:M11"/>
    <mergeCell ref="V17:V18"/>
    <mergeCell ref="B76:E76"/>
    <mergeCell ref="B17:E18"/>
    <mergeCell ref="F49:K49"/>
    <mergeCell ref="B25:E25"/>
    <mergeCell ref="B63:E63"/>
    <mergeCell ref="U38:V38"/>
    <mergeCell ref="M48:T48"/>
    <mergeCell ref="U48:V48"/>
    <mergeCell ref="M60:T60"/>
    <mergeCell ref="U60:V60"/>
    <mergeCell ref="M71:T71"/>
    <mergeCell ref="U71:V71"/>
    <mergeCell ref="B71:K71"/>
    <mergeCell ref="B55:C55"/>
    <mergeCell ref="B48:D48"/>
    <mergeCell ref="B57:C57"/>
    <mergeCell ref="B51:C51"/>
    <mergeCell ref="I17:I18"/>
    <mergeCell ref="P17:P18"/>
    <mergeCell ref="Q17:Q18"/>
    <mergeCell ref="B21:E21"/>
    <mergeCell ref="B62:E62"/>
    <mergeCell ref="B73:E73"/>
    <mergeCell ref="M36:N36"/>
    <mergeCell ref="B69:E69"/>
    <mergeCell ref="B82:E82"/>
    <mergeCell ref="B88:E88"/>
    <mergeCell ref="B39:E39"/>
    <mergeCell ref="B49:C49"/>
    <mergeCell ref="B45:E45"/>
    <mergeCell ref="B40:E40"/>
    <mergeCell ref="B41:E41"/>
    <mergeCell ref="B46:E46"/>
    <mergeCell ref="B61:E61"/>
    <mergeCell ref="M46:N46"/>
    <mergeCell ref="B52:C52"/>
    <mergeCell ref="B53:C53"/>
    <mergeCell ref="B54:C54"/>
    <mergeCell ref="B56:C56"/>
    <mergeCell ref="B85:E85"/>
    <mergeCell ref="B86:E86"/>
    <mergeCell ref="B87:E87"/>
    <mergeCell ref="M69:N69"/>
    <mergeCell ref="M82:N82"/>
    <mergeCell ref="B64:E64"/>
    <mergeCell ref="B50:C50"/>
    <mergeCell ref="E48:H48"/>
    <mergeCell ref="U90:V90"/>
    <mergeCell ref="M102:S104"/>
    <mergeCell ref="M84:T84"/>
    <mergeCell ref="U84:V84"/>
    <mergeCell ref="D108:D109"/>
    <mergeCell ref="E95:G95"/>
    <mergeCell ref="B107:L107"/>
    <mergeCell ref="E94:F94"/>
    <mergeCell ref="B72:E72"/>
    <mergeCell ref="B74:E74"/>
    <mergeCell ref="B84:K84"/>
    <mergeCell ref="B106:E106"/>
    <mergeCell ref="F106:L106"/>
    <mergeCell ref="M100:V101"/>
    <mergeCell ref="U102:V102"/>
    <mergeCell ref="U103:V103"/>
    <mergeCell ref="U104:V104"/>
    <mergeCell ref="M94:T94"/>
    <mergeCell ref="U94:V94"/>
    <mergeCell ref="M90:T90"/>
    <mergeCell ref="M88:N88"/>
    <mergeCell ref="M106:V106"/>
    <mergeCell ref="B75:E75"/>
    <mergeCell ref="B78:E78"/>
    <mergeCell ref="B24:E24"/>
    <mergeCell ref="C108:C109"/>
    <mergeCell ref="E108:E109"/>
    <mergeCell ref="F108:K108"/>
    <mergeCell ref="H95:J95"/>
    <mergeCell ref="B93:F93"/>
    <mergeCell ref="B81:E81"/>
    <mergeCell ref="B79:E79"/>
    <mergeCell ref="B80:E80"/>
    <mergeCell ref="B68:E68"/>
    <mergeCell ref="B34:E34"/>
    <mergeCell ref="B35:E35"/>
    <mergeCell ref="B29:E29"/>
    <mergeCell ref="B30:E30"/>
    <mergeCell ref="B31:E31"/>
    <mergeCell ref="B28:K28"/>
    <mergeCell ref="B32:E32"/>
    <mergeCell ref="B36:E36"/>
    <mergeCell ref="B44:E44"/>
    <mergeCell ref="B43:E43"/>
    <mergeCell ref="B42:E42"/>
    <mergeCell ref="B65:E65"/>
    <mergeCell ref="B66:E66"/>
    <mergeCell ref="B67:E67"/>
  </mergeCells>
  <conditionalFormatting sqref="E1">
    <cfRule type="cellIs" dxfId="300" priority="33" operator="equal">
      <formula>"SHEET COMPLETE"</formula>
    </cfRule>
    <cfRule type="cellIs" dxfId="299" priority="34" operator="equal">
      <formula>"SHEET NOT COMPLETE"</formula>
    </cfRule>
  </conditionalFormatting>
  <conditionalFormatting sqref="F19">
    <cfRule type="cellIs" dxfId="298" priority="31" operator="greaterThan">
      <formula>0</formula>
    </cfRule>
    <cfRule type="cellIs" dxfId="297" priority="32" operator="lessThan">
      <formula>0</formula>
    </cfRule>
  </conditionalFormatting>
  <conditionalFormatting sqref="F27">
    <cfRule type="cellIs" dxfId="296" priority="29" operator="greaterThan">
      <formula>0</formula>
    </cfRule>
    <cfRule type="cellIs" dxfId="295" priority="30" operator="lessThan">
      <formula>0</formula>
    </cfRule>
  </conditionalFormatting>
  <conditionalFormatting sqref="F37">
    <cfRule type="cellIs" dxfId="294" priority="27" operator="greaterThan">
      <formula>0</formula>
    </cfRule>
    <cfRule type="cellIs" dxfId="293" priority="28" operator="lessThan">
      <formula>0</formula>
    </cfRule>
  </conditionalFormatting>
  <conditionalFormatting sqref="F47">
    <cfRule type="cellIs" dxfId="292" priority="25" operator="greaterThan">
      <formula>0</formula>
    </cfRule>
    <cfRule type="cellIs" dxfId="291" priority="26" operator="lessThan">
      <formula>0</formula>
    </cfRule>
  </conditionalFormatting>
  <conditionalFormatting sqref="F70">
    <cfRule type="cellIs" dxfId="290" priority="23" operator="greaterThan">
      <formula>0</formula>
    </cfRule>
    <cfRule type="cellIs" dxfId="289" priority="24" operator="lessThan">
      <formula>0</formula>
    </cfRule>
  </conditionalFormatting>
  <conditionalFormatting sqref="F83">
    <cfRule type="cellIs" dxfId="288" priority="21" operator="greaterThan">
      <formula>0</formula>
    </cfRule>
    <cfRule type="cellIs" dxfId="287" priority="22" operator="lessThan">
      <formula>0</formula>
    </cfRule>
  </conditionalFormatting>
  <conditionalFormatting sqref="F89">
    <cfRule type="cellIs" dxfId="286" priority="17" operator="greaterThan">
      <formula>0</formula>
    </cfRule>
    <cfRule type="cellIs" dxfId="285" priority="18" operator="lessThan">
      <formula>0</formula>
    </cfRule>
  </conditionalFormatting>
  <conditionalFormatting sqref="F92">
    <cfRule type="cellIs" dxfId="284" priority="15" operator="greaterThan">
      <formula>0</formula>
    </cfRule>
    <cfRule type="cellIs" dxfId="283" priority="16" operator="lessThan">
      <formula>0</formula>
    </cfRule>
  </conditionalFormatting>
  <conditionalFormatting sqref="F26">
    <cfRule type="cellIs" dxfId="282" priority="13" operator="greaterThan">
      <formula>0</formula>
    </cfRule>
    <cfRule type="cellIs" dxfId="281" priority="14" operator="lessThan">
      <formula>0</formula>
    </cfRule>
  </conditionalFormatting>
  <conditionalFormatting sqref="F36">
    <cfRule type="cellIs" dxfId="280" priority="11" operator="greaterThan">
      <formula>0</formula>
    </cfRule>
    <cfRule type="cellIs" dxfId="279" priority="12" operator="lessThan">
      <formula>0</formula>
    </cfRule>
  </conditionalFormatting>
  <conditionalFormatting sqref="F46">
    <cfRule type="cellIs" dxfId="278" priority="9" operator="greaterThan">
      <formula>0</formula>
    </cfRule>
    <cfRule type="cellIs" dxfId="277" priority="10" operator="lessThan">
      <formula>0</formula>
    </cfRule>
  </conditionalFormatting>
  <conditionalFormatting sqref="F69">
    <cfRule type="cellIs" dxfId="276" priority="7" operator="greaterThan">
      <formula>0</formula>
    </cfRule>
    <cfRule type="cellIs" dxfId="275" priority="8" operator="lessThan">
      <formula>0</formula>
    </cfRule>
  </conditionalFormatting>
  <conditionalFormatting sqref="F82">
    <cfRule type="cellIs" dxfId="274" priority="5" operator="greaterThan">
      <formula>0</formula>
    </cfRule>
    <cfRule type="cellIs" dxfId="273" priority="6" operator="lessThan">
      <formula>0</formula>
    </cfRule>
  </conditionalFormatting>
  <conditionalFormatting sqref="F88">
    <cfRule type="cellIs" dxfId="272" priority="3" operator="greaterThan">
      <formula>0</formula>
    </cfRule>
    <cfRule type="cellIs" dxfId="271" priority="4" operator="lessThan">
      <formula>0</formula>
    </cfRule>
  </conditionalFormatting>
  <dataValidations count="1">
    <dataValidation type="list" allowBlank="1" showInputMessage="1" showErrorMessage="1" sqref="F106:L106" xr:uid="{7F691AB0-AB91-4099-ABC0-DA6BEF20D22E}">
      <formula1>"Image 1: Default or Miscellaneous, Image 2: Single Male (Young), Image 3: Single Male (Elderly), Image 4: Single Female (Young), Image 5: Single Female (Elderly), Image 6: Young Couple, Image 7: Elderly Couple, Image 8: Family"</formula1>
    </dataValidation>
  </dataValidations>
  <hyperlinks>
    <hyperlink ref="M106:V106" location="'Estimate Coversheet Images'!A1" display="View Images (this link will take you to the the Estimates Coversheet Images Tab)" xr:uid="{2DD770B4-EF2A-4CB7-BF52-5CEE76B0DF71}"/>
  </hyperlinks>
  <printOptions horizontalCentered="1" verticalCentered="1"/>
  <pageMargins left="0.25" right="0.25" top="0.75" bottom="0.75" header="0.3" footer="0.3"/>
  <pageSetup paperSize="9" scale="81"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6ECD2F2-2902-4B91-BFAA-434FBBCA2631}">
          <x14:formula1>
            <xm:f>'Data Lists'!$A$47:$A$55</xm:f>
          </x14:formula1>
          <xm:sqref>G45 G29:G35 G72:G81 G85:G87 G91 G21:G25 G57 G50:G55 G39:G41 G61:G67</xm:sqref>
        </x14:dataValidation>
        <x14:dataValidation type="list" allowBlank="1" showInputMessage="1" showErrorMessage="1" xr:uid="{C92B499A-CEE7-4967-84E4-0D13C6E62978}">
          <x14:formula1>
            <xm:f>'Data Lists'!$A$66:$A$121</xm:f>
          </x14:formula1>
          <xm:sqref>F26 F36 F46 F69 F82 F88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10A09-99FD-4C7A-92CA-B6B75A67C8BF}">
  <sheetPr codeName="Sheet4">
    <tabColor rgb="FFFFC000"/>
    <pageSetUpPr fitToPage="1"/>
  </sheetPr>
  <dimension ref="B1:H19"/>
  <sheetViews>
    <sheetView zoomScale="130" zoomScaleNormal="130" workbookViewId="0">
      <selection activeCell="K2" sqref="K2"/>
    </sheetView>
  </sheetViews>
  <sheetFormatPr baseColWidth="10" defaultColWidth="9.1640625" defaultRowHeight="15" x14ac:dyDescent="0.2"/>
  <cols>
    <col min="1" max="1" width="3.6640625" style="114" customWidth="1"/>
    <col min="2" max="2" width="4.5" style="114" customWidth="1"/>
    <col min="3" max="3" width="81" style="114" customWidth="1"/>
    <col min="4" max="4" width="11.5" style="114" customWidth="1"/>
    <col min="5" max="6" width="16.6640625" style="114" customWidth="1"/>
    <col min="7" max="8" width="9" style="114" customWidth="1"/>
    <col min="9" max="16384" width="9.1640625" style="114"/>
  </cols>
  <sheetData>
    <row r="1" spans="2:8" ht="16.5" customHeight="1" thickBot="1" x14ac:dyDescent="0.25">
      <c r="B1" s="556" t="str">
        <f>IF(Costing!E1="SHEET NOT COMPLETE","PLEASE COMPLETE COSTING BEFORE SUPPLYING A PRICE","")</f>
        <v>PLEASE COMPLETE COSTING BEFORE SUPPLYING A PRICE</v>
      </c>
      <c r="C1" s="556"/>
      <c r="D1" s="556"/>
      <c r="E1" s="556"/>
      <c r="F1" s="556"/>
    </row>
    <row r="2" spans="2:8" ht="42.75" customHeight="1" thickBot="1" x14ac:dyDescent="0.25">
      <c r="B2" s="560" t="s">
        <v>149</v>
      </c>
      <c r="C2" s="561"/>
      <c r="D2" s="561"/>
      <c r="E2" s="561"/>
      <c r="F2" s="562"/>
    </row>
    <row r="3" spans="2:8" ht="41.25" customHeight="1" x14ac:dyDescent="0.2">
      <c r="B3" s="115" t="s">
        <v>150</v>
      </c>
      <c r="C3" s="116" t="s">
        <v>151</v>
      </c>
      <c r="D3" s="193" t="s">
        <v>259</v>
      </c>
      <c r="E3" s="193" t="s">
        <v>261</v>
      </c>
      <c r="F3" s="191" t="s">
        <v>260</v>
      </c>
    </row>
    <row r="4" spans="2:8" ht="20" customHeight="1" x14ac:dyDescent="0.2">
      <c r="B4" s="117">
        <v>1</v>
      </c>
      <c r="C4" s="331" t="s">
        <v>348</v>
      </c>
      <c r="D4" s="332" t="s">
        <v>84</v>
      </c>
      <c r="E4" s="333" t="str">
        <f t="shared" ref="E4:E8" si="0">IF(D4="Yes","Optional",F4)</f>
        <v>n/a</v>
      </c>
      <c r="F4" s="334" t="str">
        <f>IF(SUMIFS('CF CSV Upload'!P:P,'CF CSV Upload'!A:A,'Customer Summary'!C4,'CF CSV Upload'!Q:Q,"Yes")=0,"n/a",SUMIFS('CF CSV Upload'!P:P,'CF CSV Upload'!A:A,'Customer Summary'!C4,'CF CSV Upload'!Q:Q,"Yes"))</f>
        <v>n/a</v>
      </c>
      <c r="G4" s="271"/>
      <c r="H4" s="119"/>
    </row>
    <row r="5" spans="2:8" ht="20" customHeight="1" x14ac:dyDescent="0.2">
      <c r="B5" s="117">
        <f t="shared" ref="B5:B9" si="1">B4+1</f>
        <v>2</v>
      </c>
      <c r="C5" s="331" t="s">
        <v>283</v>
      </c>
      <c r="D5" s="332" t="s">
        <v>84</v>
      </c>
      <c r="E5" s="333" t="str">
        <f t="shared" si="0"/>
        <v>n/a</v>
      </c>
      <c r="F5" s="334" t="str">
        <f>IF(SUMIFS('CF CSV Upload'!P:P,'CF CSV Upload'!A:A,'Customer Summary'!C5,'CF CSV Upload'!Q:Q,"Yes")=0,"n/a",SUMIFS('CF CSV Upload'!P:P,'CF CSV Upload'!A:A,'Customer Summary'!C5,'CF CSV Upload'!Q:Q,"Yes"))</f>
        <v>n/a</v>
      </c>
      <c r="G5" s="271"/>
      <c r="H5" s="119"/>
    </row>
    <row r="6" spans="2:8" ht="20" customHeight="1" x14ac:dyDescent="0.2">
      <c r="B6" s="117">
        <f t="shared" si="1"/>
        <v>3</v>
      </c>
      <c r="C6" s="331" t="s">
        <v>137</v>
      </c>
      <c r="D6" s="332" t="s">
        <v>84</v>
      </c>
      <c r="E6" s="333">
        <f t="shared" si="0"/>
        <v>10485.450000000001</v>
      </c>
      <c r="F6" s="334">
        <f>IF(SUMIFS('CF CSV Upload'!P:P,'CF CSV Upload'!A:A,'Customer Summary'!C6,'CF CSV Upload'!Q:Q,"Yes")=0,"n/a",SUMIFS('CF CSV Upload'!P:P,'CF CSV Upload'!A:A,'Customer Summary'!C6,'CF CSV Upload'!Q:Q,"Yes"))</f>
        <v>10485.450000000001</v>
      </c>
      <c r="G6" s="271"/>
      <c r="H6" s="119"/>
    </row>
    <row r="7" spans="2:8" ht="20" customHeight="1" x14ac:dyDescent="0.2">
      <c r="B7" s="117">
        <f t="shared" si="1"/>
        <v>4</v>
      </c>
      <c r="C7" s="331" t="s">
        <v>120</v>
      </c>
      <c r="D7" s="332" t="s">
        <v>84</v>
      </c>
      <c r="E7" s="333" t="str">
        <f t="shared" si="0"/>
        <v>n/a</v>
      </c>
      <c r="F7" s="334" t="str">
        <f>IF(SUMIFS('CF CSV Upload'!P:P,'CF CSV Upload'!A:A,'Customer Summary'!C7,'CF CSV Upload'!Q:Q,"Yes")=0,"n/a",SUMIFS('CF CSV Upload'!P:P,'CF CSV Upload'!A:A,'Customer Summary'!C7,'CF CSV Upload'!Q:Q,"Yes"))</f>
        <v>n/a</v>
      </c>
      <c r="G7" s="271"/>
      <c r="H7" s="119"/>
    </row>
    <row r="8" spans="2:8" ht="20" customHeight="1" x14ac:dyDescent="0.2">
      <c r="B8" s="117">
        <f t="shared" si="1"/>
        <v>5</v>
      </c>
      <c r="C8" s="331" t="s">
        <v>55</v>
      </c>
      <c r="D8" s="332" t="s">
        <v>84</v>
      </c>
      <c r="E8" s="333" t="str">
        <f t="shared" si="0"/>
        <v>n/a</v>
      </c>
      <c r="F8" s="334" t="str">
        <f>IF(SUMIFS('CF CSV Upload'!P:P,'CF CSV Upload'!A:A,'Customer Summary'!C8,'CF CSV Upload'!Q:Q,"Yes")=0,"n/a",SUMIFS('CF CSV Upload'!P:P,'CF CSV Upload'!A:A,'Customer Summary'!C8,'CF CSV Upload'!Q:Q,"Yes"))</f>
        <v>n/a</v>
      </c>
      <c r="G8" s="271"/>
      <c r="H8" s="119"/>
    </row>
    <row r="9" spans="2:8" ht="19.5" customHeight="1" thickBot="1" x14ac:dyDescent="0.25">
      <c r="B9" s="117">
        <f t="shared" si="1"/>
        <v>6</v>
      </c>
      <c r="C9" s="328" t="s">
        <v>349</v>
      </c>
      <c r="D9" s="281" t="s">
        <v>84</v>
      </c>
      <c r="E9" s="282" t="e">
        <f>IF(D9="Yes","Optional",F9)</f>
        <v>#DIV/0!</v>
      </c>
      <c r="F9" s="283" t="e">
        <f>IF(SUMIFS('CF CSV Upload'!P:P,'CF CSV Upload'!A:A,'Customer Summary'!C9,'CF CSV Upload'!Q:Q,"Yes")=0,"n/a",SUMIFS('CF CSV Upload'!P:P,'CF CSV Upload'!A:A,'Customer Summary'!C9,'CF CSV Upload'!Q:Q,"Yes"))</f>
        <v>#DIV/0!</v>
      </c>
      <c r="G9" s="119"/>
      <c r="H9" s="119"/>
    </row>
    <row r="10" spans="2:8" ht="6" customHeight="1" x14ac:dyDescent="0.2">
      <c r="B10" s="557" t="s">
        <v>152</v>
      </c>
      <c r="C10" s="285"/>
      <c r="D10" s="286"/>
      <c r="E10" s="287"/>
      <c r="F10" s="288"/>
    </row>
    <row r="11" spans="2:8" ht="20" customHeight="1" x14ac:dyDescent="0.2">
      <c r="B11" s="558"/>
      <c r="C11" s="563" t="s">
        <v>153</v>
      </c>
      <c r="D11" s="564"/>
      <c r="E11" s="192" t="e">
        <f>SUM(E4:E9)</f>
        <v>#DIV/0!</v>
      </c>
      <c r="F11" s="118" t="e">
        <f>SUM(F4:F9)</f>
        <v>#DIV/0!</v>
      </c>
    </row>
    <row r="12" spans="2:8" ht="20" customHeight="1" x14ac:dyDescent="0.2">
      <c r="B12" s="558"/>
      <c r="C12" s="563" t="s">
        <v>154</v>
      </c>
      <c r="D12" s="564"/>
      <c r="E12" s="192" t="e">
        <f>E11*0.2</f>
        <v>#DIV/0!</v>
      </c>
      <c r="F12" s="118" t="e">
        <f>F11*0.2</f>
        <v>#DIV/0!</v>
      </c>
    </row>
    <row r="13" spans="2:8" ht="20" customHeight="1" x14ac:dyDescent="0.2">
      <c r="B13" s="558"/>
      <c r="C13" s="563" t="s">
        <v>34</v>
      </c>
      <c r="D13" s="564"/>
      <c r="E13" s="192" t="e">
        <f>SUM(E11:E12)</f>
        <v>#DIV/0!</v>
      </c>
      <c r="F13" s="118" t="e">
        <f>SUM(F11:F12)</f>
        <v>#DIV/0!</v>
      </c>
    </row>
    <row r="14" spans="2:8" ht="6" customHeight="1" x14ac:dyDescent="0.2">
      <c r="B14" s="558"/>
      <c r="C14" s="289"/>
      <c r="D14" s="120"/>
      <c r="E14" s="284"/>
      <c r="F14" s="121"/>
    </row>
    <row r="15" spans="2:8" ht="20" customHeight="1" x14ac:dyDescent="0.2">
      <c r="B15" s="558"/>
      <c r="C15" s="565" t="s">
        <v>155</v>
      </c>
      <c r="D15" s="291" t="s">
        <v>318</v>
      </c>
      <c r="E15" s="192" t="e">
        <f>E16/6*5</f>
        <v>#DIV/0!</v>
      </c>
      <c r="F15" s="118" t="e">
        <f>F16/6*5</f>
        <v>#DIV/0!</v>
      </c>
    </row>
    <row r="16" spans="2:8" ht="20" customHeight="1" thickBot="1" x14ac:dyDescent="0.25">
      <c r="B16" s="559"/>
      <c r="C16" s="566"/>
      <c r="D16" s="292" t="s">
        <v>319</v>
      </c>
      <c r="E16" s="290" t="e">
        <f>E13*0.3</f>
        <v>#DIV/0!</v>
      </c>
      <c r="F16" s="122" t="e">
        <f>F13*0.3</f>
        <v>#DIV/0!</v>
      </c>
    </row>
    <row r="18" spans="5:6" x14ac:dyDescent="0.2">
      <c r="E18" s="119"/>
      <c r="F18" s="119"/>
    </row>
    <row r="19" spans="5:6" x14ac:dyDescent="0.2">
      <c r="E19" s="271"/>
      <c r="F19" s="271"/>
    </row>
  </sheetData>
  <sheetProtection formatRows="0" autoFilter="0"/>
  <mergeCells count="7">
    <mergeCell ref="B1:F1"/>
    <mergeCell ref="B10:B16"/>
    <mergeCell ref="B2:F2"/>
    <mergeCell ref="C11:D11"/>
    <mergeCell ref="C12:D12"/>
    <mergeCell ref="C13:D13"/>
    <mergeCell ref="C15:C16"/>
  </mergeCells>
  <conditionalFormatting sqref="B1">
    <cfRule type="cellIs" dxfId="10" priority="5" operator="equal">
      <formula>"PLEASE COMPLETE COSTING BEFORE SUPPLYING A PRICE"</formula>
    </cfRule>
  </conditionalFormatting>
  <conditionalFormatting sqref="D4:D9">
    <cfRule type="cellIs" dxfId="9" priority="4" operator="equal">
      <formula>"Yes"</formula>
    </cfRule>
  </conditionalFormatting>
  <conditionalFormatting sqref="E4:E9">
    <cfRule type="cellIs" dxfId="8" priority="1" operator="equal">
      <formula>"n/a"</formula>
    </cfRule>
    <cfRule type="cellIs" dxfId="7" priority="3" operator="equal">
      <formula>"Optional"</formula>
    </cfRule>
  </conditionalFormatting>
  <conditionalFormatting sqref="F4:F9">
    <cfRule type="cellIs" dxfId="6" priority="2" operator="equal">
      <formula>"n/a"</formula>
    </cfRule>
  </conditionalFormatting>
  <dataValidations count="1">
    <dataValidation type="list" allowBlank="1" showInputMessage="1" showErrorMessage="1" sqref="D4:D9" xr:uid="{84863D43-69C9-4B27-A335-E5FBB8EEFBAD}">
      <formula1>"No, Yes"</formula1>
    </dataValidation>
  </dataValidations>
  <pageMargins left="0.70866141732283472" right="0.70866141732283472" top="0.74803149606299213" bottom="0.74803149606299213" header="0.31496062992125984" footer="0.31496062992125984"/>
  <pageSetup scale="9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AB60B-BF06-4780-85D2-D0C1FDCFD72D}">
  <sheetPr codeName="Sheet9">
    <tabColor rgb="FF00B0F0"/>
  </sheetPr>
  <dimension ref="A1:I1"/>
  <sheetViews>
    <sheetView workbookViewId="0">
      <selection activeCell="E23" sqref="E23"/>
    </sheetView>
  </sheetViews>
  <sheetFormatPr baseColWidth="10" defaultColWidth="8.83203125" defaultRowHeight="15" x14ac:dyDescent="0.2"/>
  <sheetData>
    <row r="1" spans="1:9" x14ac:dyDescent="0.2">
      <c r="A1" s="326" t="s">
        <v>327</v>
      </c>
      <c r="B1" s="325"/>
      <c r="C1" s="325"/>
      <c r="D1" s="325"/>
      <c r="E1" s="325"/>
      <c r="F1" s="325"/>
      <c r="G1" s="325"/>
      <c r="H1" s="325"/>
      <c r="I1" s="325"/>
    </row>
  </sheetData>
  <sheetProtection formatRows="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641C-AB23-49CE-9F01-C7E4F278AE71}">
  <sheetPr codeName="Sheet7"/>
  <dimension ref="B1:K36"/>
  <sheetViews>
    <sheetView workbookViewId="0">
      <selection activeCell="P18" sqref="P18"/>
    </sheetView>
  </sheetViews>
  <sheetFormatPr baseColWidth="10" defaultColWidth="8.83203125" defaultRowHeight="15" x14ac:dyDescent="0.2"/>
  <cols>
    <col min="1" max="1" width="2.6640625" customWidth="1"/>
    <col min="10" max="10" width="9.1640625" customWidth="1"/>
  </cols>
  <sheetData>
    <row r="1" spans="2:11" ht="20" customHeight="1" x14ac:dyDescent="0.2">
      <c r="B1" s="581" t="s">
        <v>335</v>
      </c>
      <c r="C1" s="581"/>
      <c r="D1" s="581"/>
      <c r="E1" s="581"/>
      <c r="F1" s="581"/>
      <c r="G1" s="581"/>
      <c r="H1" s="581"/>
      <c r="I1" s="581"/>
      <c r="J1" s="581"/>
    </row>
    <row r="2" spans="2:11" ht="5" customHeight="1" x14ac:dyDescent="0.2"/>
    <row r="3" spans="2:11" x14ac:dyDescent="0.2">
      <c r="B3" s="577" t="s">
        <v>332</v>
      </c>
      <c r="C3" s="577"/>
      <c r="D3" s="577"/>
      <c r="E3" s="577"/>
      <c r="F3" s="577"/>
      <c r="G3" s="577"/>
      <c r="H3" s="577"/>
      <c r="I3" s="577"/>
      <c r="J3" s="577"/>
      <c r="K3" s="577"/>
    </row>
    <row r="4" spans="2:11" x14ac:dyDescent="0.2">
      <c r="B4" s="577" t="s">
        <v>330</v>
      </c>
      <c r="C4" s="577"/>
      <c r="D4" s="577"/>
      <c r="E4" s="577"/>
      <c r="F4" s="577"/>
      <c r="G4" s="577"/>
      <c r="H4" s="577"/>
      <c r="I4" s="577"/>
      <c r="J4" s="577"/>
      <c r="K4" s="577"/>
    </row>
    <row r="5" spans="2:11" x14ac:dyDescent="0.2">
      <c r="B5" s="577" t="s">
        <v>336</v>
      </c>
      <c r="C5" s="577"/>
      <c r="D5" s="577"/>
      <c r="E5" s="577"/>
      <c r="F5" s="577"/>
      <c r="G5" s="577"/>
      <c r="H5" s="577"/>
      <c r="I5" s="577"/>
      <c r="J5" s="577"/>
      <c r="K5" s="577"/>
    </row>
    <row r="6" spans="2:11" x14ac:dyDescent="0.2">
      <c r="B6" s="577" t="s">
        <v>337</v>
      </c>
      <c r="C6" s="577"/>
      <c r="D6" s="577"/>
      <c r="E6" s="577"/>
      <c r="F6" s="577"/>
      <c r="G6" s="577"/>
      <c r="H6" s="577"/>
      <c r="I6" s="577"/>
      <c r="J6" s="577"/>
      <c r="K6" s="577"/>
    </row>
    <row r="7" spans="2:11" x14ac:dyDescent="0.2">
      <c r="B7" s="577" t="s">
        <v>338</v>
      </c>
      <c r="C7" s="577"/>
      <c r="D7" s="577"/>
      <c r="E7" s="577"/>
      <c r="F7" s="577"/>
      <c r="G7" s="577"/>
      <c r="H7" s="577"/>
      <c r="I7" s="577"/>
      <c r="J7" s="577"/>
      <c r="K7" s="577"/>
    </row>
    <row r="8" spans="2:11" x14ac:dyDescent="0.2">
      <c r="B8" s="577" t="s">
        <v>339</v>
      </c>
      <c r="C8" s="577"/>
      <c r="D8" s="577"/>
      <c r="E8" s="577"/>
      <c r="F8" s="577"/>
      <c r="G8" s="577"/>
      <c r="H8" s="577"/>
      <c r="I8" s="577"/>
      <c r="J8" s="577"/>
      <c r="K8" s="577"/>
    </row>
    <row r="9" spans="2:11" x14ac:dyDescent="0.2">
      <c r="B9" s="577" t="s">
        <v>340</v>
      </c>
      <c r="C9" s="577"/>
      <c r="D9" s="577"/>
      <c r="E9" s="577"/>
      <c r="F9" s="577"/>
      <c r="G9" s="577"/>
      <c r="H9" s="577"/>
      <c r="I9" s="577"/>
      <c r="J9" s="577"/>
      <c r="K9" s="577"/>
    </row>
    <row r="10" spans="2:11" ht="5" customHeight="1" x14ac:dyDescent="0.2"/>
    <row r="11" spans="2:11" x14ac:dyDescent="0.2">
      <c r="B11" t="s">
        <v>355</v>
      </c>
    </row>
    <row r="12" spans="2:11" ht="5" customHeight="1" x14ac:dyDescent="0.2"/>
    <row r="13" spans="2:11" x14ac:dyDescent="0.2">
      <c r="B13" s="578" t="s">
        <v>341</v>
      </c>
      <c r="C13" s="578"/>
      <c r="D13" s="578"/>
      <c r="E13" s="578"/>
      <c r="F13" s="578"/>
      <c r="G13" s="578"/>
      <c r="H13" s="578"/>
      <c r="I13" s="579" t="s">
        <v>356</v>
      </c>
      <c r="J13" s="580"/>
      <c r="K13" s="274" t="s">
        <v>357</v>
      </c>
    </row>
    <row r="14" spans="2:11" ht="25" customHeight="1" x14ac:dyDescent="0.2">
      <c r="B14" s="576" t="s">
        <v>358</v>
      </c>
      <c r="C14" s="576"/>
      <c r="D14" s="576"/>
      <c r="E14" s="576"/>
      <c r="F14" s="576"/>
      <c r="G14" s="576"/>
      <c r="H14" s="576"/>
      <c r="I14" s="574"/>
      <c r="J14" s="575"/>
      <c r="K14" s="277"/>
    </row>
    <row r="15" spans="2:11" ht="25" customHeight="1" x14ac:dyDescent="0.2">
      <c r="B15" s="576" t="s">
        <v>359</v>
      </c>
      <c r="C15" s="576"/>
      <c r="D15" s="576"/>
      <c r="E15" s="576"/>
      <c r="F15" s="576"/>
      <c r="G15" s="576"/>
      <c r="H15" s="576"/>
      <c r="I15" s="574"/>
      <c r="J15" s="575"/>
      <c r="K15" s="277"/>
    </row>
    <row r="16" spans="2:11" ht="25" customHeight="1" x14ac:dyDescent="0.2">
      <c r="B16" s="576" t="s">
        <v>360</v>
      </c>
      <c r="C16" s="576"/>
      <c r="D16" s="576"/>
      <c r="E16" s="576"/>
      <c r="F16" s="576"/>
      <c r="G16" s="576"/>
      <c r="H16" s="576"/>
      <c r="I16" s="574"/>
      <c r="J16" s="575"/>
      <c r="K16" s="277"/>
    </row>
    <row r="17" spans="2:11" ht="25" customHeight="1" x14ac:dyDescent="0.2">
      <c r="B17" s="576" t="s">
        <v>361</v>
      </c>
      <c r="C17" s="576"/>
      <c r="D17" s="576"/>
      <c r="E17" s="576"/>
      <c r="F17" s="576"/>
      <c r="G17" s="576"/>
      <c r="H17" s="576"/>
      <c r="I17" s="574"/>
      <c r="J17" s="575"/>
      <c r="K17" s="277"/>
    </row>
    <row r="18" spans="2:11" ht="25" customHeight="1" x14ac:dyDescent="0.2">
      <c r="B18" s="576" t="s">
        <v>362</v>
      </c>
      <c r="C18" s="576"/>
      <c r="D18" s="576"/>
      <c r="E18" s="576"/>
      <c r="F18" s="576"/>
      <c r="G18" s="576"/>
      <c r="H18" s="576"/>
      <c r="I18" s="574"/>
      <c r="J18" s="575"/>
      <c r="K18" s="277"/>
    </row>
    <row r="19" spans="2:11" ht="25" customHeight="1" x14ac:dyDescent="0.2">
      <c r="B19" s="576" t="s">
        <v>363</v>
      </c>
      <c r="C19" s="576"/>
      <c r="D19" s="576"/>
      <c r="E19" s="576"/>
      <c r="F19" s="576"/>
      <c r="G19" s="576"/>
      <c r="H19" s="576"/>
      <c r="I19" s="574"/>
      <c r="J19" s="575"/>
    </row>
    <row r="20" spans="2:11" ht="25" customHeight="1" x14ac:dyDescent="0.2">
      <c r="B20" s="573" t="s">
        <v>364</v>
      </c>
      <c r="C20" s="573"/>
      <c r="D20" s="573"/>
      <c r="E20" s="573"/>
      <c r="F20" s="573"/>
      <c r="G20" s="573"/>
      <c r="H20" s="573"/>
      <c r="I20" s="574"/>
      <c r="J20" s="575"/>
    </row>
    <row r="21" spans="2:11" ht="25" customHeight="1" x14ac:dyDescent="0.2">
      <c r="B21" s="573" t="s">
        <v>34</v>
      </c>
      <c r="C21" s="573"/>
      <c r="D21" s="573"/>
      <c r="E21" s="573"/>
      <c r="F21" s="573"/>
      <c r="G21" s="573"/>
      <c r="H21" s="573"/>
      <c r="I21" s="574"/>
      <c r="J21" s="575"/>
    </row>
    <row r="22" spans="2:11" ht="25" customHeight="1" x14ac:dyDescent="0.2">
      <c r="B22" s="573" t="s">
        <v>365</v>
      </c>
      <c r="C22" s="573"/>
      <c r="D22" s="573"/>
      <c r="E22" s="573"/>
      <c r="F22" s="573"/>
      <c r="G22" s="573"/>
      <c r="H22" s="573"/>
      <c r="I22" s="574"/>
      <c r="J22" s="575"/>
    </row>
    <row r="23" spans="2:11" ht="5" customHeight="1" x14ac:dyDescent="0.2"/>
    <row r="24" spans="2:11" ht="36" customHeight="1" x14ac:dyDescent="0.2">
      <c r="B24" s="572" t="s">
        <v>342</v>
      </c>
      <c r="C24" s="572"/>
      <c r="D24" s="572"/>
      <c r="E24" s="572"/>
      <c r="F24" s="572"/>
      <c r="G24" s="572"/>
      <c r="H24" s="572"/>
      <c r="I24" s="572"/>
      <c r="J24" s="572"/>
      <c r="K24" s="572"/>
    </row>
    <row r="25" spans="2:11" x14ac:dyDescent="0.2">
      <c r="B25" s="571" t="s">
        <v>343</v>
      </c>
      <c r="C25" s="571"/>
      <c r="D25" s="571"/>
      <c r="E25" s="571"/>
      <c r="F25" s="571"/>
      <c r="G25" s="571"/>
      <c r="H25" s="571"/>
      <c r="I25" s="571"/>
      <c r="J25" s="571"/>
    </row>
    <row r="26" spans="2:11" ht="5" customHeight="1" x14ac:dyDescent="0.2"/>
    <row r="27" spans="2:11" ht="37.5" customHeight="1" x14ac:dyDescent="0.2">
      <c r="B27" s="572" t="s">
        <v>344</v>
      </c>
      <c r="C27" s="572"/>
      <c r="D27" s="572"/>
      <c r="E27" s="572"/>
      <c r="F27" s="572"/>
      <c r="G27" s="572"/>
      <c r="H27" s="572"/>
      <c r="I27" s="572"/>
      <c r="J27" s="572"/>
      <c r="K27" s="572"/>
    </row>
    <row r="28" spans="2:11" ht="5" customHeight="1" x14ac:dyDescent="0.2"/>
    <row r="29" spans="2:11" ht="26.25" customHeight="1" x14ac:dyDescent="0.2">
      <c r="B29" s="567" t="s">
        <v>345</v>
      </c>
      <c r="C29" s="567"/>
      <c r="D29" s="568"/>
      <c r="E29" s="569"/>
      <c r="F29" s="569"/>
      <c r="G29" s="569"/>
      <c r="H29" s="570"/>
      <c r="I29" s="329" t="s">
        <v>346</v>
      </c>
      <c r="J29" s="567"/>
      <c r="K29" s="567"/>
    </row>
    <row r="30" spans="2:11" ht="5" customHeight="1" x14ac:dyDescent="0.2"/>
    <row r="31" spans="2:11" ht="36" customHeight="1" x14ac:dyDescent="0.2"/>
    <row r="33" ht="5" customHeight="1" x14ac:dyDescent="0.2"/>
    <row r="34" ht="37.5" customHeight="1" x14ac:dyDescent="0.2"/>
    <row r="35" ht="5" customHeight="1" x14ac:dyDescent="0.2"/>
    <row r="36" ht="26.25" customHeight="1" x14ac:dyDescent="0.2"/>
  </sheetData>
  <sheetProtection formatRows="0" autoFilter="0"/>
  <mergeCells count="41">
    <mergeCell ref="B5:C5"/>
    <mergeCell ref="D5:K5"/>
    <mergeCell ref="B1:J1"/>
    <mergeCell ref="B3:C3"/>
    <mergeCell ref="D3:K3"/>
    <mergeCell ref="B4:C4"/>
    <mergeCell ref="D4:K4"/>
    <mergeCell ref="B6:C6"/>
    <mergeCell ref="D6:K6"/>
    <mergeCell ref="B7:C7"/>
    <mergeCell ref="D7:K7"/>
    <mergeCell ref="B8:C8"/>
    <mergeCell ref="D8:K8"/>
    <mergeCell ref="B9:C9"/>
    <mergeCell ref="D9:K9"/>
    <mergeCell ref="B14:H14"/>
    <mergeCell ref="I14:J14"/>
    <mergeCell ref="B15:H15"/>
    <mergeCell ref="I15:J15"/>
    <mergeCell ref="B13:H13"/>
    <mergeCell ref="I13:J13"/>
    <mergeCell ref="B16:H16"/>
    <mergeCell ref="I16:J16"/>
    <mergeCell ref="B17:H17"/>
    <mergeCell ref="I17:J17"/>
    <mergeCell ref="B18:H18"/>
    <mergeCell ref="I18:J18"/>
    <mergeCell ref="B22:H22"/>
    <mergeCell ref="I22:J22"/>
    <mergeCell ref="B24:K24"/>
    <mergeCell ref="B19:H19"/>
    <mergeCell ref="I19:J19"/>
    <mergeCell ref="B20:H20"/>
    <mergeCell ref="I20:J20"/>
    <mergeCell ref="B21:H21"/>
    <mergeCell ref="I21:J21"/>
    <mergeCell ref="B29:C29"/>
    <mergeCell ref="D29:H29"/>
    <mergeCell ref="J29:K29"/>
    <mergeCell ref="B25:J25"/>
    <mergeCell ref="B27:K27"/>
  </mergeCells>
  <hyperlinks>
    <hyperlink ref="B25" r:id="rId1" xr:uid="{BD684410-55A1-4285-B978-2C930CAD4FA8}"/>
  </hyperlinks>
  <pageMargins left="0.23622047244094491" right="0.43307086614173229" top="0.74803149606299213" bottom="0.74803149606299213" header="0.31496062992125984" footer="0.31496062992125984"/>
  <pageSetup orientation="portrait" r:id="rId2"/>
  <headerFooter>
    <oddHeader>&amp;R&amp;G</oddHeader>
  </headerFooter>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181ED-C834-409F-969D-F444328DF47D}">
  <sheetPr codeName="Sheet8">
    <pageSetUpPr fitToPage="1"/>
  </sheetPr>
  <dimension ref="B1:H18"/>
  <sheetViews>
    <sheetView workbookViewId="0">
      <selection activeCell="G15" sqref="G15"/>
    </sheetView>
  </sheetViews>
  <sheetFormatPr baseColWidth="10" defaultColWidth="9.1640625" defaultRowHeight="15" x14ac:dyDescent="0.2"/>
  <cols>
    <col min="1" max="1" width="5.33203125" style="2" customWidth="1"/>
    <col min="2" max="2" width="4.5" style="2" customWidth="1"/>
    <col min="3" max="3" width="61.1640625" style="2" customWidth="1"/>
    <col min="4" max="4" width="21" style="2" customWidth="1"/>
    <col min="5" max="5" width="62" style="2" customWidth="1"/>
    <col min="6" max="6" width="8.83203125" style="2" customWidth="1"/>
    <col min="7" max="7" width="15.33203125" style="2" customWidth="1"/>
    <col min="8" max="16384" width="9.1640625" style="2"/>
  </cols>
  <sheetData>
    <row r="1" spans="2:8" ht="10" customHeight="1" thickBot="1" x14ac:dyDescent="0.25"/>
    <row r="2" spans="2:8" ht="42.75" customHeight="1" thickBot="1" x14ac:dyDescent="0.25">
      <c r="B2" s="582" t="s">
        <v>329</v>
      </c>
      <c r="C2" s="583"/>
      <c r="D2" s="584"/>
      <c r="E2" s="585"/>
    </row>
    <row r="3" spans="2:8" ht="18" x14ac:dyDescent="0.2">
      <c r="B3" s="586" t="s">
        <v>366</v>
      </c>
      <c r="C3" s="587"/>
      <c r="D3" s="587"/>
      <c r="E3" s="588"/>
    </row>
    <row r="4" spans="2:8" x14ac:dyDescent="0.2">
      <c r="B4" s="589" t="s">
        <v>132</v>
      </c>
      <c r="C4" s="590"/>
      <c r="D4" s="590" t="str">
        <f>Costing!E4</f>
        <v/>
      </c>
      <c r="E4" s="591"/>
    </row>
    <row r="5" spans="2:8" x14ac:dyDescent="0.2">
      <c r="B5" s="589" t="s">
        <v>330</v>
      </c>
      <c r="C5" s="590"/>
      <c r="D5" s="590" t="str">
        <f>Costing!E7</f>
        <v/>
      </c>
      <c r="E5" s="591"/>
    </row>
    <row r="6" spans="2:8" x14ac:dyDescent="0.2">
      <c r="B6" s="589" t="s">
        <v>388</v>
      </c>
      <c r="C6" s="590"/>
      <c r="D6" s="590" t="str">
        <f>Costing!E8</f>
        <v/>
      </c>
      <c r="E6" s="591"/>
    </row>
    <row r="7" spans="2:8" x14ac:dyDescent="0.2">
      <c r="B7" s="589" t="s">
        <v>389</v>
      </c>
      <c r="C7" s="590"/>
      <c r="D7" s="590" t="str">
        <f>Costing!E9</f>
        <v/>
      </c>
      <c r="E7" s="591"/>
    </row>
    <row r="8" spans="2:8" x14ac:dyDescent="0.2">
      <c r="B8" s="589" t="s">
        <v>390</v>
      </c>
      <c r="C8" s="590"/>
      <c r="D8" s="590" t="str">
        <f>Costing!E10</f>
        <v/>
      </c>
      <c r="E8" s="591"/>
    </row>
    <row r="9" spans="2:8" ht="16" thickBot="1" x14ac:dyDescent="0.25">
      <c r="B9" s="592" t="s">
        <v>391</v>
      </c>
      <c r="C9" s="593"/>
      <c r="D9" s="593" t="str">
        <f>Costing!E11</f>
        <v/>
      </c>
      <c r="E9" s="594"/>
    </row>
    <row r="10" spans="2:8" ht="41.25" customHeight="1" x14ac:dyDescent="0.2">
      <c r="B10" s="115" t="s">
        <v>150</v>
      </c>
      <c r="C10" s="116" t="s">
        <v>367</v>
      </c>
      <c r="D10" s="193" t="s">
        <v>368</v>
      </c>
      <c r="E10" s="191" t="s">
        <v>369</v>
      </c>
      <c r="G10" s="345" t="s">
        <v>370</v>
      </c>
    </row>
    <row r="11" spans="2:8" ht="20" customHeight="1" x14ac:dyDescent="0.2">
      <c r="B11" s="117">
        <v>1</v>
      </c>
      <c r="C11" s="330" t="str">
        <f>'Customer Summary'!C4</f>
        <v>Stripping out of items as required to proceed with works</v>
      </c>
      <c r="D11" s="333">
        <f>Costing!V26+Costing!V36</f>
        <v>0</v>
      </c>
      <c r="E11" s="346"/>
      <c r="F11" s="347"/>
      <c r="G11" s="348">
        <f>Costing!O26+Costing!O36</f>
        <v>0</v>
      </c>
      <c r="H11" s="349"/>
    </row>
    <row r="12" spans="2:8" ht="20" customHeight="1" x14ac:dyDescent="0.2">
      <c r="B12" s="117">
        <f t="shared" ref="B12:B15" si="0">B11+1</f>
        <v>2</v>
      </c>
      <c r="C12" s="330" t="str">
        <f>'Customer Summary'!C5</f>
        <v>Plastering &amp; finishing</v>
      </c>
      <c r="D12" s="333">
        <f>Costing!V46</f>
        <v>0</v>
      </c>
      <c r="E12" s="346"/>
      <c r="F12" s="347"/>
      <c r="G12" s="348">
        <f>Costing!O46</f>
        <v>0</v>
      </c>
      <c r="H12" s="349"/>
    </row>
    <row r="13" spans="2:8" ht="20" customHeight="1" x14ac:dyDescent="0.2">
      <c r="B13" s="117">
        <f t="shared" si="0"/>
        <v>3</v>
      </c>
      <c r="C13" s="330" t="str">
        <f>'Customer Summary'!C6</f>
        <v>Floor Joists &amp; Floor Decking</v>
      </c>
      <c r="D13" s="333">
        <f>Costing!V69</f>
        <v>1918</v>
      </c>
      <c r="E13" s="346"/>
      <c r="F13" s="347"/>
      <c r="G13" s="348">
        <f>Costing!O69</f>
        <v>68.5</v>
      </c>
      <c r="H13" s="349"/>
    </row>
    <row r="14" spans="2:8" ht="20" customHeight="1" x14ac:dyDescent="0.2">
      <c r="B14" s="117">
        <f t="shared" si="0"/>
        <v>4</v>
      </c>
      <c r="C14" s="330" t="str">
        <f>'Customer Summary'!C7</f>
        <v>Timber Treatments</v>
      </c>
      <c r="D14" s="333">
        <f>Costing!V82</f>
        <v>0</v>
      </c>
      <c r="E14" s="346"/>
      <c r="F14" s="347"/>
      <c r="G14" s="348">
        <f>Costing!O82</f>
        <v>0</v>
      </c>
      <c r="H14" s="349"/>
    </row>
    <row r="15" spans="2:8" ht="20" customHeight="1" thickBot="1" x14ac:dyDescent="0.25">
      <c r="B15" s="117">
        <f t="shared" si="0"/>
        <v>5</v>
      </c>
      <c r="C15" s="330" t="str">
        <f>'Customer Summary'!C8</f>
        <v>Airbricks</v>
      </c>
      <c r="D15" s="333">
        <f>Costing!V88</f>
        <v>0</v>
      </c>
      <c r="E15" s="346"/>
      <c r="F15" s="347"/>
      <c r="G15" s="348">
        <f>Costing!O88</f>
        <v>0</v>
      </c>
      <c r="H15" s="349"/>
    </row>
    <row r="16" spans="2:8" ht="3" customHeight="1" x14ac:dyDescent="0.2">
      <c r="B16" s="285"/>
      <c r="C16" s="350"/>
      <c r="D16" s="288"/>
      <c r="E16" s="288"/>
      <c r="G16" s="351"/>
    </row>
    <row r="17" spans="2:7" ht="20" customHeight="1" thickBot="1" x14ac:dyDescent="0.25">
      <c r="B17" s="352"/>
      <c r="C17" s="353" t="s">
        <v>34</v>
      </c>
      <c r="D17" s="192">
        <f>SUM(D11:D16)</f>
        <v>1918</v>
      </c>
      <c r="E17" s="121"/>
      <c r="G17" s="348">
        <f>SUM(G11:G16)</f>
        <v>68.5</v>
      </c>
    </row>
    <row r="18" spans="2:7" ht="3" customHeight="1" thickBot="1" x14ac:dyDescent="0.25">
      <c r="B18" s="354"/>
      <c r="C18" s="355"/>
      <c r="D18" s="356"/>
      <c r="E18" s="357"/>
      <c r="G18" s="358"/>
    </row>
  </sheetData>
  <sheetProtection formatRows="0" autoFilter="0"/>
  <mergeCells count="14">
    <mergeCell ref="B9:C9"/>
    <mergeCell ref="D9:E9"/>
    <mergeCell ref="B6:C6"/>
    <mergeCell ref="D6:E6"/>
    <mergeCell ref="B7:C7"/>
    <mergeCell ref="D7:E7"/>
    <mergeCell ref="B8:C8"/>
    <mergeCell ref="D8:E8"/>
    <mergeCell ref="B2:E2"/>
    <mergeCell ref="B3:E3"/>
    <mergeCell ref="B4:C4"/>
    <mergeCell ref="D4:E4"/>
    <mergeCell ref="B5:C5"/>
    <mergeCell ref="D5:E5"/>
  </mergeCells>
  <conditionalFormatting sqref="D11:D15">
    <cfRule type="cellIs" dxfId="5" priority="5" operator="equal">
      <formula>"n/a"</formula>
    </cfRule>
    <cfRule type="cellIs" dxfId="4" priority="6" operator="equal">
      <formula>"Optional"</formula>
    </cfRule>
  </conditionalFormatting>
  <conditionalFormatting sqref="G11:G15">
    <cfRule type="cellIs" dxfId="3" priority="3" operator="equal">
      <formula>"n/a"</formula>
    </cfRule>
    <cfRule type="cellIs" dxfId="2" priority="4" operator="equal">
      <formula>"Optional"</formula>
    </cfRule>
  </conditionalFormatting>
  <conditionalFormatting sqref="G17">
    <cfRule type="cellIs" dxfId="1" priority="1" operator="equal">
      <formula>"n/a"</formula>
    </cfRule>
    <cfRule type="cellIs" dxfId="0" priority="2" operator="equal">
      <formula>"Optional"</formula>
    </cfRule>
  </conditionalFormatting>
  <dataValidations count="1">
    <dataValidation type="list" allowBlank="1" showInputMessage="1" showErrorMessage="1" sqref="B59:B61 D3 B24:B33 B36:B39 B18:B21 B42:B51 B10:B13 G5 B54:B56" xr:uid="{C1365994-5079-4344-8694-88A52750765B}">
      <formula1>"No,Yes"</formula1>
    </dataValidation>
  </dataValidations>
  <pageMargins left="0.7" right="0.7" top="0.75" bottom="0.75" header="0.3" footer="0.3"/>
  <pageSetup paperSize="9" scale="8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7786-C66C-4388-B801-D7C74DAE8B9B}">
  <sheetPr codeName="Sheet10">
    <pageSetUpPr fitToPage="1"/>
  </sheetPr>
  <dimension ref="A1:I51"/>
  <sheetViews>
    <sheetView workbookViewId="0">
      <selection activeCell="E16" sqref="D16:E17"/>
    </sheetView>
  </sheetViews>
  <sheetFormatPr baseColWidth="10" defaultColWidth="8.83203125" defaultRowHeight="15" x14ac:dyDescent="0.2"/>
  <cols>
    <col min="1" max="1" width="5.1640625" customWidth="1"/>
    <col min="2" max="2" width="16.5" customWidth="1"/>
    <col min="3" max="3" width="9.1640625" customWidth="1"/>
    <col min="6" max="7" width="10.6640625" customWidth="1"/>
    <col min="8" max="8" width="65.6640625" customWidth="1"/>
  </cols>
  <sheetData>
    <row r="1" spans="1:9" ht="26" x14ac:dyDescent="0.2">
      <c r="B1" s="327" t="s">
        <v>331</v>
      </c>
      <c r="C1" s="327"/>
    </row>
    <row r="3" spans="1:9" s="23" customFormat="1" x14ac:dyDescent="0.2">
      <c r="A3"/>
      <c r="B3" s="359" t="s">
        <v>371</v>
      </c>
      <c r="C3"/>
      <c r="D3"/>
      <c r="E3"/>
      <c r="F3"/>
      <c r="G3"/>
      <c r="H3"/>
      <c r="I3"/>
    </row>
    <row r="4" spans="1:9" s="23" customFormat="1" x14ac:dyDescent="0.2">
      <c r="A4"/>
      <c r="B4"/>
      <c r="C4"/>
      <c r="D4"/>
      <c r="E4"/>
      <c r="F4"/>
      <c r="G4"/>
      <c r="H4"/>
      <c r="I4"/>
    </row>
    <row r="5" spans="1:9" s="23" customFormat="1" x14ac:dyDescent="0.2">
      <c r="A5"/>
      <c r="B5"/>
      <c r="C5"/>
      <c r="D5"/>
      <c r="E5"/>
      <c r="F5"/>
      <c r="G5"/>
      <c r="H5"/>
      <c r="I5"/>
    </row>
    <row r="6" spans="1:9" s="23" customFormat="1" x14ac:dyDescent="0.2">
      <c r="A6"/>
      <c r="B6"/>
      <c r="C6"/>
      <c r="D6"/>
      <c r="E6"/>
      <c r="F6"/>
      <c r="G6"/>
      <c r="H6"/>
      <c r="I6"/>
    </row>
    <row r="7" spans="1:9" s="23" customFormat="1" x14ac:dyDescent="0.2">
      <c r="A7"/>
      <c r="B7"/>
      <c r="C7"/>
      <c r="D7"/>
      <c r="E7"/>
      <c r="F7"/>
      <c r="G7"/>
      <c r="H7"/>
      <c r="I7"/>
    </row>
    <row r="8" spans="1:9" s="23" customFormat="1" x14ac:dyDescent="0.2">
      <c r="A8"/>
      <c r="B8"/>
      <c r="C8"/>
      <c r="D8"/>
      <c r="E8"/>
      <c r="F8"/>
      <c r="G8"/>
      <c r="H8"/>
      <c r="I8"/>
    </row>
    <row r="9" spans="1:9" s="23" customFormat="1" x14ac:dyDescent="0.2">
      <c r="A9"/>
      <c r="B9"/>
      <c r="C9"/>
      <c r="D9"/>
      <c r="E9"/>
      <c r="F9"/>
      <c r="G9"/>
      <c r="H9"/>
      <c r="I9"/>
    </row>
    <row r="10" spans="1:9" s="23" customFormat="1" x14ac:dyDescent="0.2">
      <c r="A10"/>
      <c r="B10"/>
      <c r="C10"/>
      <c r="D10"/>
      <c r="E10"/>
      <c r="F10"/>
      <c r="G10"/>
      <c r="H10"/>
      <c r="I10"/>
    </row>
    <row r="11" spans="1:9" s="23" customFormat="1" x14ac:dyDescent="0.2">
      <c r="A11"/>
      <c r="B11"/>
      <c r="C11"/>
      <c r="D11"/>
      <c r="E11"/>
      <c r="F11"/>
      <c r="G11"/>
      <c r="H11"/>
      <c r="I11"/>
    </row>
    <row r="12" spans="1:9" s="23" customFormat="1" x14ac:dyDescent="0.2">
      <c r="A12"/>
      <c r="B12"/>
      <c r="C12"/>
      <c r="D12"/>
      <c r="E12"/>
      <c r="F12"/>
      <c r="G12"/>
      <c r="H12"/>
      <c r="I12"/>
    </row>
    <row r="13" spans="1:9" s="23" customFormat="1" x14ac:dyDescent="0.2">
      <c r="A13"/>
      <c r="B13"/>
      <c r="C13"/>
      <c r="D13"/>
      <c r="E13"/>
      <c r="F13"/>
      <c r="G13"/>
      <c r="H13"/>
      <c r="I13"/>
    </row>
    <row r="14" spans="1:9" s="23" customFormat="1" x14ac:dyDescent="0.2">
      <c r="A14"/>
      <c r="B14"/>
      <c r="C14"/>
      <c r="D14"/>
      <c r="E14"/>
      <c r="F14"/>
      <c r="G14"/>
      <c r="H14"/>
      <c r="I14"/>
    </row>
    <row r="15" spans="1:9" s="23" customFormat="1" x14ac:dyDescent="0.2">
      <c r="A15"/>
      <c r="B15"/>
      <c r="C15"/>
      <c r="D15"/>
      <c r="E15"/>
      <c r="F15"/>
      <c r="G15"/>
      <c r="H15"/>
      <c r="I15"/>
    </row>
    <row r="16" spans="1:9" s="23" customFormat="1" x14ac:dyDescent="0.2">
      <c r="A16"/>
      <c r="B16"/>
      <c r="C16"/>
      <c r="D16"/>
      <c r="E16"/>
      <c r="F16"/>
      <c r="G16"/>
      <c r="H16"/>
      <c r="I16"/>
    </row>
    <row r="17" spans="1:9" s="23" customFormat="1" x14ac:dyDescent="0.2">
      <c r="A17"/>
      <c r="B17"/>
      <c r="C17"/>
      <c r="D17"/>
      <c r="E17"/>
      <c r="F17"/>
      <c r="G17"/>
      <c r="H17"/>
      <c r="I17"/>
    </row>
    <row r="18" spans="1:9" s="23" customFormat="1" ht="14" x14ac:dyDescent="0.2"/>
    <row r="19" spans="1:9" s="23" customFormat="1" x14ac:dyDescent="0.2">
      <c r="A19"/>
      <c r="B19"/>
      <c r="C19"/>
      <c r="D19"/>
      <c r="E19"/>
      <c r="F19"/>
      <c r="G19"/>
      <c r="H19"/>
      <c r="I19"/>
    </row>
    <row r="20" spans="1:9" s="23" customFormat="1" x14ac:dyDescent="0.2">
      <c r="A20"/>
      <c r="B20"/>
      <c r="C20"/>
      <c r="D20"/>
      <c r="E20"/>
      <c r="F20"/>
      <c r="G20"/>
      <c r="H20"/>
      <c r="I20"/>
    </row>
    <row r="21" spans="1:9" s="23" customFormat="1" x14ac:dyDescent="0.2">
      <c r="A21"/>
      <c r="B21"/>
      <c r="C21"/>
      <c r="D21"/>
      <c r="E21"/>
      <c r="F21"/>
      <c r="G21"/>
      <c r="H21"/>
      <c r="I21"/>
    </row>
    <row r="22" spans="1:9" s="23" customFormat="1" x14ac:dyDescent="0.2">
      <c r="A22"/>
      <c r="B22"/>
      <c r="C22"/>
      <c r="D22"/>
      <c r="E22"/>
      <c r="F22"/>
      <c r="G22"/>
      <c r="H22"/>
      <c r="I22"/>
    </row>
    <row r="24" spans="1:9" s="23" customFormat="1" x14ac:dyDescent="0.2">
      <c r="A24"/>
      <c r="B24"/>
      <c r="C24"/>
      <c r="D24"/>
      <c r="E24"/>
      <c r="F24"/>
      <c r="G24"/>
      <c r="H24"/>
      <c r="I24"/>
    </row>
    <row r="25" spans="1:9" s="23" customFormat="1" x14ac:dyDescent="0.2">
      <c r="A25"/>
      <c r="B25"/>
      <c r="C25"/>
      <c r="D25"/>
      <c r="E25"/>
      <c r="F25"/>
      <c r="G25"/>
      <c r="H25"/>
      <c r="I25"/>
    </row>
    <row r="26" spans="1:9" s="23" customFormat="1" x14ac:dyDescent="0.2">
      <c r="A26"/>
      <c r="B26"/>
      <c r="C26"/>
      <c r="D26"/>
      <c r="E26"/>
      <c r="F26"/>
      <c r="G26"/>
      <c r="H26"/>
      <c r="I26"/>
    </row>
    <row r="27" spans="1:9" s="23" customFormat="1" x14ac:dyDescent="0.2">
      <c r="A27"/>
      <c r="B27"/>
      <c r="C27"/>
      <c r="D27"/>
      <c r="E27"/>
      <c r="F27"/>
      <c r="G27"/>
      <c r="H27"/>
      <c r="I27"/>
    </row>
    <row r="28" spans="1:9" s="23" customFormat="1" x14ac:dyDescent="0.2">
      <c r="A28"/>
      <c r="B28"/>
      <c r="C28"/>
      <c r="D28"/>
      <c r="E28"/>
      <c r="F28"/>
      <c r="G28"/>
      <c r="H28"/>
      <c r="I28"/>
    </row>
    <row r="29" spans="1:9" s="23" customFormat="1" x14ac:dyDescent="0.2">
      <c r="A29"/>
      <c r="B29"/>
      <c r="C29"/>
      <c r="D29"/>
      <c r="E29"/>
      <c r="F29"/>
      <c r="G29"/>
      <c r="H29"/>
      <c r="I29"/>
    </row>
    <row r="30" spans="1:9" s="23" customFormat="1" x14ac:dyDescent="0.2">
      <c r="A30"/>
      <c r="B30"/>
      <c r="C30"/>
      <c r="D30"/>
      <c r="E30"/>
      <c r="F30"/>
      <c r="G30"/>
      <c r="H30"/>
      <c r="I30"/>
    </row>
    <row r="31" spans="1:9" s="23" customFormat="1" x14ac:dyDescent="0.2">
      <c r="A31"/>
      <c r="B31"/>
      <c r="C31"/>
      <c r="D31"/>
      <c r="E31"/>
      <c r="F31"/>
      <c r="G31"/>
      <c r="H31"/>
      <c r="I31"/>
    </row>
    <row r="32" spans="1:9" s="23" customFormat="1" x14ac:dyDescent="0.2">
      <c r="A32"/>
      <c r="B32"/>
      <c r="C32"/>
      <c r="D32"/>
      <c r="E32"/>
      <c r="F32"/>
      <c r="G32"/>
      <c r="H32"/>
      <c r="I32"/>
    </row>
    <row r="33" spans="1:9" s="23" customFormat="1" x14ac:dyDescent="0.2">
      <c r="A33"/>
      <c r="B33"/>
      <c r="C33"/>
      <c r="D33"/>
      <c r="E33"/>
      <c r="F33"/>
      <c r="G33"/>
      <c r="H33"/>
      <c r="I33"/>
    </row>
    <row r="34" spans="1:9" s="23" customFormat="1" x14ac:dyDescent="0.2">
      <c r="A34"/>
      <c r="B34"/>
      <c r="C34"/>
      <c r="D34"/>
      <c r="E34"/>
      <c r="F34"/>
      <c r="G34"/>
      <c r="H34"/>
      <c r="I34"/>
    </row>
    <row r="35" spans="1:9" s="23" customFormat="1" x14ac:dyDescent="0.2">
      <c r="A35"/>
      <c r="B35"/>
      <c r="C35"/>
      <c r="D35"/>
      <c r="E35"/>
      <c r="F35"/>
      <c r="G35"/>
      <c r="H35"/>
      <c r="I35"/>
    </row>
    <row r="42" spans="1:9" s="23" customFormat="1" x14ac:dyDescent="0.2">
      <c r="A42"/>
      <c r="B42"/>
      <c r="C42"/>
      <c r="D42"/>
      <c r="E42"/>
      <c r="F42"/>
      <c r="G42"/>
      <c r="H42"/>
      <c r="I42"/>
    </row>
    <row r="43" spans="1:9" s="23" customFormat="1" x14ac:dyDescent="0.2">
      <c r="A43"/>
      <c r="B43"/>
      <c r="C43"/>
      <c r="D43"/>
      <c r="E43"/>
      <c r="F43"/>
      <c r="G43"/>
      <c r="H43"/>
      <c r="I43"/>
    </row>
    <row r="44" spans="1:9" s="23" customFormat="1" x14ac:dyDescent="0.2">
      <c r="A44"/>
      <c r="B44"/>
      <c r="C44"/>
      <c r="D44"/>
      <c r="E44"/>
      <c r="F44"/>
      <c r="G44"/>
      <c r="H44"/>
      <c r="I44"/>
    </row>
    <row r="45" spans="1:9" s="23" customFormat="1" x14ac:dyDescent="0.2">
      <c r="A45"/>
      <c r="B45"/>
      <c r="C45"/>
      <c r="D45"/>
      <c r="E45"/>
      <c r="F45"/>
      <c r="G45"/>
      <c r="H45"/>
      <c r="I45"/>
    </row>
    <row r="46" spans="1:9" s="23" customFormat="1" x14ac:dyDescent="0.2">
      <c r="A46"/>
      <c r="B46"/>
      <c r="C46"/>
      <c r="D46"/>
      <c r="E46"/>
      <c r="F46"/>
      <c r="G46"/>
      <c r="H46"/>
      <c r="I46"/>
    </row>
    <row r="47" spans="1:9" s="23" customFormat="1" x14ac:dyDescent="0.2">
      <c r="A47"/>
      <c r="B47"/>
      <c r="C47"/>
      <c r="D47"/>
      <c r="E47"/>
      <c r="F47"/>
      <c r="G47"/>
      <c r="H47"/>
      <c r="I47"/>
    </row>
    <row r="48" spans="1:9" s="23" customFormat="1" x14ac:dyDescent="0.2">
      <c r="A48"/>
      <c r="B48"/>
      <c r="C48"/>
      <c r="D48"/>
      <c r="E48"/>
      <c r="F48"/>
      <c r="G48"/>
      <c r="H48"/>
      <c r="I48"/>
    </row>
    <row r="49" spans="1:9" s="23" customFormat="1" x14ac:dyDescent="0.2">
      <c r="A49"/>
      <c r="B49"/>
      <c r="C49"/>
      <c r="D49"/>
      <c r="E49"/>
      <c r="F49"/>
      <c r="G49"/>
      <c r="H49"/>
      <c r="I49"/>
    </row>
    <row r="50" spans="1:9" s="23" customFormat="1" x14ac:dyDescent="0.2">
      <c r="A50"/>
      <c r="B50"/>
      <c r="C50"/>
      <c r="D50"/>
      <c r="E50"/>
      <c r="F50"/>
      <c r="G50"/>
      <c r="H50"/>
      <c r="I50"/>
    </row>
    <row r="51" spans="1:9" s="23" customFormat="1" x14ac:dyDescent="0.2">
      <c r="A51"/>
      <c r="B51"/>
      <c r="C51"/>
      <c r="D51"/>
      <c r="E51"/>
      <c r="F51"/>
      <c r="G51"/>
      <c r="H51"/>
      <c r="I51"/>
    </row>
  </sheetData>
  <sheetProtection formatRows="0" autoFilter="0"/>
  <pageMargins left="0.7" right="0.7" top="0.75" bottom="0.75" header="0.3" footer="0.3"/>
  <pageSetup paperSize="9" scale="9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1E78-1951-4D1B-8C63-DD5056A60639}">
  <sheetPr codeName="Sheet2"/>
  <dimension ref="A1:Q121"/>
  <sheetViews>
    <sheetView workbookViewId="0">
      <pane xSplit="1" ySplit="1" topLeftCell="B53" activePane="bottomRight" state="frozen"/>
      <selection pane="topRight" activeCell="B1" sqref="B1"/>
      <selection pane="bottomLeft" activeCell="A2" sqref="A2"/>
      <selection pane="bottomRight" activeCell="C82" sqref="C82"/>
    </sheetView>
  </sheetViews>
  <sheetFormatPr baseColWidth="10" defaultColWidth="8.83203125" defaultRowHeight="15" x14ac:dyDescent="0.2"/>
  <cols>
    <col min="1" max="2" width="74.33203125" customWidth="1"/>
    <col min="3" max="3" width="57.33203125" customWidth="1"/>
    <col min="4" max="4" width="14.33203125" customWidth="1"/>
    <col min="5" max="5" width="16.1640625" customWidth="1"/>
    <col min="6" max="6" width="8.6640625" bestFit="1" customWidth="1"/>
    <col min="7" max="7" width="28.1640625" bestFit="1" customWidth="1"/>
    <col min="8" max="8" width="16.6640625" bestFit="1" customWidth="1"/>
    <col min="9" max="9" width="12.5" bestFit="1" customWidth="1"/>
    <col min="10" max="10" width="9.83203125" bestFit="1" customWidth="1"/>
    <col min="11" max="11" width="9.6640625" bestFit="1" customWidth="1"/>
    <col min="12" max="12" width="10.5" bestFit="1" customWidth="1"/>
    <col min="13" max="13" width="17.5" bestFit="1" customWidth="1"/>
    <col min="14" max="14" width="22.5" style="134" bestFit="1" customWidth="1"/>
    <col min="15" max="15" width="38.83203125" style="111" bestFit="1" customWidth="1"/>
    <col min="16" max="16" width="47" style="134" bestFit="1" customWidth="1"/>
    <col min="17" max="17" width="48.5" bestFit="1" customWidth="1"/>
  </cols>
  <sheetData>
    <row r="1" spans="1:17" x14ac:dyDescent="0.2">
      <c r="A1" s="322" t="s">
        <v>69</v>
      </c>
      <c r="B1" s="322" t="s">
        <v>351</v>
      </c>
      <c r="C1" s="322" t="s">
        <v>70</v>
      </c>
      <c r="D1" s="322" t="s">
        <v>71</v>
      </c>
      <c r="E1" s="322" t="s">
        <v>72</v>
      </c>
      <c r="F1" s="322" t="s">
        <v>73</v>
      </c>
      <c r="G1" s="322" t="s">
        <v>74</v>
      </c>
      <c r="H1" s="322" t="s">
        <v>75</v>
      </c>
      <c r="I1" s="322" t="s">
        <v>76</v>
      </c>
      <c r="J1" s="322" t="s">
        <v>77</v>
      </c>
      <c r="K1" s="322" t="s">
        <v>78</v>
      </c>
      <c r="L1" s="322" t="s">
        <v>79</v>
      </c>
      <c r="M1" s="322" t="s">
        <v>80</v>
      </c>
      <c r="N1" s="323" t="s">
        <v>147</v>
      </c>
      <c r="O1" s="324" t="s">
        <v>148</v>
      </c>
      <c r="P1" s="323" t="s">
        <v>156</v>
      </c>
      <c r="Q1" s="324" t="s">
        <v>159</v>
      </c>
    </row>
    <row r="2" spans="1:17" x14ac:dyDescent="0.2">
      <c r="A2" t="str">
        <f>'Customer Summary'!C4</f>
        <v>Stripping out of items as required to proceed with works</v>
      </c>
      <c r="C2" t="str">
        <f>Costing!B21</f>
        <v>Remove radiators &amp; cap valves</v>
      </c>
      <c r="D2" s="112">
        <f>Costing!F21</f>
        <v>0</v>
      </c>
      <c r="E2" s="112">
        <f>Costing!I21</f>
        <v>7.0000000000000009</v>
      </c>
      <c r="F2" t="str">
        <f>Costing!G21</f>
        <v>Each</v>
      </c>
      <c r="G2" t="s">
        <v>117</v>
      </c>
      <c r="H2" s="112">
        <f>Costing!J21*100</f>
        <v>30</v>
      </c>
      <c r="I2" t="s">
        <v>81</v>
      </c>
      <c r="J2" t="s">
        <v>82</v>
      </c>
      <c r="K2" t="s">
        <v>83</v>
      </c>
      <c r="L2" t="s">
        <v>84</v>
      </c>
      <c r="M2" t="str">
        <f>IF(J2="MTL","Preservation Shop","")</f>
        <v>Preservation Shop</v>
      </c>
      <c r="N2" s="134">
        <f>D2*E2</f>
        <v>0</v>
      </c>
      <c r="O2" s="111" t="s">
        <v>160</v>
      </c>
      <c r="P2" s="134">
        <f>N2*(1+(H2/100))</f>
        <v>0</v>
      </c>
      <c r="Q2" s="111" t="s">
        <v>84</v>
      </c>
    </row>
    <row r="3" spans="1:17" x14ac:dyDescent="0.2">
      <c r="A3" t="str">
        <f>A2</f>
        <v>Stripping out of items as required to proceed with works</v>
      </c>
      <c r="C3" t="str">
        <f>Costing!B22</f>
        <v>Remove socket fronts and isolate</v>
      </c>
      <c r="D3" s="112">
        <f>Costing!F22</f>
        <v>0</v>
      </c>
      <c r="E3" s="112">
        <f>Costing!I22</f>
        <v>2</v>
      </c>
      <c r="F3" t="str">
        <f>Costing!G22</f>
        <v>Each</v>
      </c>
      <c r="G3" t="s">
        <v>117</v>
      </c>
      <c r="H3" s="112">
        <f>Costing!J22*100</f>
        <v>30</v>
      </c>
      <c r="I3" t="s">
        <v>81</v>
      </c>
      <c r="J3" t="s">
        <v>82</v>
      </c>
      <c r="K3" t="s">
        <v>83</v>
      </c>
      <c r="L3" t="s">
        <v>84</v>
      </c>
      <c r="M3" t="str">
        <f>IF(J3="MTL","Preservation Shop","")</f>
        <v>Preservation Shop</v>
      </c>
      <c r="N3" s="134">
        <f>D3*E3</f>
        <v>0</v>
      </c>
      <c r="O3" s="111" t="s">
        <v>160</v>
      </c>
      <c r="P3" s="134">
        <f t="shared" ref="P3:P25" si="0">N3*(1+(H3/100))</f>
        <v>0</v>
      </c>
      <c r="Q3" s="111" t="s">
        <v>84</v>
      </c>
    </row>
    <row r="4" spans="1:17" x14ac:dyDescent="0.2">
      <c r="A4" t="str">
        <f t="shared" ref="A4:A27" si="1">A3</f>
        <v>Stripping out of items as required to proceed with works</v>
      </c>
      <c r="C4" t="str">
        <f>Costing!B23</f>
        <v>Skirting board removal &amp; set aside</v>
      </c>
      <c r="D4" s="112">
        <f>Costing!F23</f>
        <v>0</v>
      </c>
      <c r="E4" s="112">
        <f>Costing!I23</f>
        <v>0.1</v>
      </c>
      <c r="F4" t="str">
        <f>Costing!G23</f>
        <v>LM</v>
      </c>
      <c r="G4" t="s">
        <v>117</v>
      </c>
      <c r="H4" s="112">
        <f>Costing!J23*100</f>
        <v>30</v>
      </c>
      <c r="I4" t="s">
        <v>81</v>
      </c>
      <c r="J4" t="s">
        <v>82</v>
      </c>
      <c r="K4" t="s">
        <v>83</v>
      </c>
      <c r="L4" t="s">
        <v>84</v>
      </c>
      <c r="M4" t="str">
        <f>IF(J4="MTL","Preservation Shop","")</f>
        <v>Preservation Shop</v>
      </c>
      <c r="N4" s="134">
        <f>D4*E4</f>
        <v>0</v>
      </c>
      <c r="O4" s="111" t="s">
        <v>160</v>
      </c>
      <c r="P4" s="134">
        <f t="shared" si="0"/>
        <v>0</v>
      </c>
      <c r="Q4" s="111" t="s">
        <v>84</v>
      </c>
    </row>
    <row r="5" spans="1:17" x14ac:dyDescent="0.2">
      <c r="A5" t="str">
        <f t="shared" si="1"/>
        <v>Stripping out of items as required to proceed with works</v>
      </c>
      <c r="C5" t="str">
        <f>Costing!B24</f>
        <v>Strip Wall Paper</v>
      </c>
      <c r="D5" s="112">
        <f>Costing!F24</f>
        <v>0</v>
      </c>
      <c r="E5" s="112">
        <f>Costing!I24</f>
        <v>0.5</v>
      </c>
      <c r="F5" t="str">
        <f>Costing!G24</f>
        <v>M2</v>
      </c>
      <c r="G5" t="s">
        <v>117</v>
      </c>
      <c r="H5" s="112">
        <f>Costing!J24*100</f>
        <v>30</v>
      </c>
      <c r="I5" t="s">
        <v>81</v>
      </c>
      <c r="J5" t="s">
        <v>82</v>
      </c>
      <c r="K5" t="s">
        <v>83</v>
      </c>
      <c r="L5" t="s">
        <v>84</v>
      </c>
      <c r="M5" t="str">
        <f>IF(J5="MTL","Preservation Shop","")</f>
        <v>Preservation Shop</v>
      </c>
      <c r="N5" s="134">
        <f>D5*E5</f>
        <v>0</v>
      </c>
      <c r="O5" s="111" t="s">
        <v>160</v>
      </c>
      <c r="P5" s="134">
        <f t="shared" si="0"/>
        <v>0</v>
      </c>
      <c r="Q5" s="111" t="s">
        <v>84</v>
      </c>
    </row>
    <row r="6" spans="1:17" x14ac:dyDescent="0.2">
      <c r="A6" t="str">
        <f>A4</f>
        <v>Stripping out of items as required to proceed with works</v>
      </c>
      <c r="C6" t="str">
        <f>Costing!B25</f>
        <v>Antinox HD Floor Protection Boards – 2.4m x 1.2m</v>
      </c>
      <c r="D6" s="112">
        <f>Costing!F25</f>
        <v>0</v>
      </c>
      <c r="E6" s="112">
        <f>Costing!I25</f>
        <v>4.5760000000000005</v>
      </c>
      <c r="F6" t="str">
        <f>Costing!G25</f>
        <v>M2</v>
      </c>
      <c r="G6" t="s">
        <v>117</v>
      </c>
      <c r="H6" s="112">
        <f>Costing!J25*100</f>
        <v>30</v>
      </c>
      <c r="I6" t="s">
        <v>81</v>
      </c>
      <c r="J6" t="s">
        <v>82</v>
      </c>
      <c r="K6" t="s">
        <v>83</v>
      </c>
      <c r="L6" t="s">
        <v>84</v>
      </c>
      <c r="M6" t="str">
        <f t="shared" ref="M6" si="2">IF(J6="MTL","Preservation Shop","")</f>
        <v>Preservation Shop</v>
      </c>
      <c r="N6" s="134">
        <f>D6*E6</f>
        <v>0</v>
      </c>
      <c r="O6" s="111" t="s">
        <v>160</v>
      </c>
      <c r="P6" s="134">
        <f t="shared" si="0"/>
        <v>0</v>
      </c>
      <c r="Q6" s="111" t="s">
        <v>84</v>
      </c>
    </row>
    <row r="7" spans="1:17" x14ac:dyDescent="0.2">
      <c r="A7" t="str">
        <f>A6</f>
        <v>Stripping out of items as required to proceed with works</v>
      </c>
      <c r="C7" t="str">
        <f>Costing!B29</f>
        <v>Remove plaster/render (Walls)</v>
      </c>
      <c r="D7" s="112">
        <f>Costing!F29</f>
        <v>0</v>
      </c>
      <c r="E7" s="112">
        <f>Costing!I29</f>
        <v>0</v>
      </c>
      <c r="F7" t="str">
        <f>Costing!G29</f>
        <v>M2</v>
      </c>
      <c r="G7" t="s">
        <v>117</v>
      </c>
      <c r="H7" s="112">
        <f>Costing!J29*100</f>
        <v>0</v>
      </c>
      <c r="I7" t="s">
        <v>81</v>
      </c>
      <c r="J7" t="s">
        <v>82</v>
      </c>
      <c r="K7" t="s">
        <v>83</v>
      </c>
      <c r="L7" t="s">
        <v>84</v>
      </c>
      <c r="M7" t="str">
        <f t="shared" ref="M7" si="3">IF(J7="MTL","Preservation Shop","")</f>
        <v>Preservation Shop</v>
      </c>
      <c r="N7" s="134">
        <f t="shared" ref="N7:N93" si="4">D7*E7</f>
        <v>0</v>
      </c>
      <c r="O7" s="111" t="s">
        <v>160</v>
      </c>
      <c r="P7" s="134">
        <f t="shared" si="0"/>
        <v>0</v>
      </c>
      <c r="Q7" s="111" t="s">
        <v>84</v>
      </c>
    </row>
    <row r="8" spans="1:17" x14ac:dyDescent="0.2">
      <c r="A8" t="str">
        <f t="shared" si="1"/>
        <v>Stripping out of items as required to proceed with works</v>
      </c>
      <c r="C8" t="str">
        <f>Costing!B30</f>
        <v>Removal of stud walls etc (Bag &amp; cart away)</v>
      </c>
      <c r="D8" s="112">
        <f>Costing!F30</f>
        <v>0</v>
      </c>
      <c r="E8" s="112">
        <f>Costing!I30</f>
        <v>0</v>
      </c>
      <c r="F8" t="str">
        <f>Costing!G30</f>
        <v>M2</v>
      </c>
      <c r="G8" t="s">
        <v>117</v>
      </c>
      <c r="H8" s="112">
        <f>Costing!J30*100</f>
        <v>0</v>
      </c>
      <c r="I8" t="s">
        <v>81</v>
      </c>
      <c r="J8" t="s">
        <v>82</v>
      </c>
      <c r="K8" t="s">
        <v>83</v>
      </c>
      <c r="L8" t="s">
        <v>84</v>
      </c>
      <c r="M8" t="str">
        <f t="shared" ref="M8:M110" si="5">IF(J8="MTL","Preservation Shop","")</f>
        <v>Preservation Shop</v>
      </c>
      <c r="N8" s="134">
        <f t="shared" si="4"/>
        <v>0</v>
      </c>
      <c r="O8" s="111" t="s">
        <v>160</v>
      </c>
      <c r="P8" s="134">
        <f t="shared" si="0"/>
        <v>0</v>
      </c>
      <c r="Q8" s="111" t="s">
        <v>84</v>
      </c>
    </row>
    <row r="9" spans="1:17" x14ac:dyDescent="0.2">
      <c r="A9" t="str">
        <f t="shared" si="1"/>
        <v>Stripping out of items as required to proceed with works</v>
      </c>
      <c r="C9" t="str">
        <f>Costing!B31</f>
        <v>Plaster &amp; lath removal )&amp; de-nail  (Ceilings)</v>
      </c>
      <c r="D9" s="112">
        <f>Costing!F31</f>
        <v>0</v>
      </c>
      <c r="E9" s="112">
        <f>Costing!I31</f>
        <v>0</v>
      </c>
      <c r="F9" t="str">
        <f>Costing!G31</f>
        <v>M2</v>
      </c>
      <c r="G9" t="s">
        <v>117</v>
      </c>
      <c r="H9" s="112">
        <f>Costing!J31*100</f>
        <v>0</v>
      </c>
      <c r="I9" t="s">
        <v>81</v>
      </c>
      <c r="J9" t="s">
        <v>82</v>
      </c>
      <c r="K9" t="s">
        <v>83</v>
      </c>
      <c r="L9" t="s">
        <v>84</v>
      </c>
      <c r="M9" t="str">
        <f t="shared" si="5"/>
        <v>Preservation Shop</v>
      </c>
      <c r="N9" s="134">
        <f t="shared" si="4"/>
        <v>0</v>
      </c>
      <c r="O9" s="111" t="s">
        <v>160</v>
      </c>
      <c r="P9" s="134">
        <f t="shared" si="0"/>
        <v>0</v>
      </c>
      <c r="Q9" s="111" t="s">
        <v>84</v>
      </c>
    </row>
    <row r="10" spans="1:17" x14ac:dyDescent="0.2">
      <c r="A10" t="str">
        <f t="shared" si="1"/>
        <v>Stripping out of items as required to proceed with works</v>
      </c>
      <c r="C10" t="str">
        <f>Costing!B32</f>
        <v>Strip out existing timber floor (GF)</v>
      </c>
      <c r="D10" s="112">
        <f>Costing!F32</f>
        <v>0</v>
      </c>
      <c r="E10" s="112">
        <f>Costing!I32</f>
        <v>0</v>
      </c>
      <c r="F10" t="str">
        <f>Costing!G32</f>
        <v>M2</v>
      </c>
      <c r="G10" t="s">
        <v>117</v>
      </c>
      <c r="H10" s="112">
        <f>Costing!J32*100</f>
        <v>0</v>
      </c>
      <c r="I10" t="s">
        <v>81</v>
      </c>
      <c r="J10" t="s">
        <v>82</v>
      </c>
      <c r="K10" t="s">
        <v>83</v>
      </c>
      <c r="L10" t="s">
        <v>84</v>
      </c>
      <c r="M10" t="str">
        <f t="shared" si="5"/>
        <v>Preservation Shop</v>
      </c>
      <c r="N10" s="134">
        <f t="shared" si="4"/>
        <v>0</v>
      </c>
      <c r="O10" s="111" t="s">
        <v>160</v>
      </c>
      <c r="P10" s="134">
        <f t="shared" si="0"/>
        <v>0</v>
      </c>
      <c r="Q10" s="111" t="s">
        <v>84</v>
      </c>
    </row>
    <row r="11" spans="1:17" x14ac:dyDescent="0.2">
      <c r="A11" t="str">
        <f t="shared" si="1"/>
        <v>Stripping out of items as required to proceed with works</v>
      </c>
      <c r="C11" t="str">
        <f>Costing!B33</f>
        <v>Scrape back/clear sub floors</v>
      </c>
      <c r="D11" s="112">
        <f>Costing!F33</f>
        <v>0</v>
      </c>
      <c r="E11" s="112">
        <f>Costing!I33</f>
        <v>0</v>
      </c>
      <c r="F11" t="str">
        <f>Costing!G33</f>
        <v>M2</v>
      </c>
      <c r="G11" t="s">
        <v>117</v>
      </c>
      <c r="H11" s="112">
        <f>Costing!J33*100</f>
        <v>0</v>
      </c>
      <c r="I11" t="s">
        <v>81</v>
      </c>
      <c r="J11" t="s">
        <v>82</v>
      </c>
      <c r="K11" t="s">
        <v>83</v>
      </c>
      <c r="L11" t="s">
        <v>84</v>
      </c>
      <c r="M11" t="str">
        <f t="shared" si="5"/>
        <v>Preservation Shop</v>
      </c>
      <c r="N11" s="134">
        <f t="shared" si="4"/>
        <v>0</v>
      </c>
      <c r="O11" s="111" t="s">
        <v>160</v>
      </c>
      <c r="P11" s="134">
        <f t="shared" si="0"/>
        <v>0</v>
      </c>
      <c r="Q11" s="111" t="s">
        <v>84</v>
      </c>
    </row>
    <row r="12" spans="1:17" x14ac:dyDescent="0.2">
      <c r="A12" t="str">
        <f t="shared" si="1"/>
        <v>Stripping out of items as required to proceed with works</v>
      </c>
      <c r="C12" t="str">
        <f>Costing!B34</f>
        <v xml:space="preserve">Bag up debris &amp; cart outside </v>
      </c>
      <c r="D12" s="112">
        <f>Costing!F34</f>
        <v>0</v>
      </c>
      <c r="E12" s="112">
        <f>Costing!I34</f>
        <v>1</v>
      </c>
      <c r="F12" t="str">
        <f>Costing!G34</f>
        <v>Bags</v>
      </c>
      <c r="G12" t="s">
        <v>117</v>
      </c>
      <c r="H12" s="112">
        <f>Costing!J34*100</f>
        <v>30</v>
      </c>
      <c r="I12" t="s">
        <v>81</v>
      </c>
      <c r="J12" t="s">
        <v>82</v>
      </c>
      <c r="K12" t="s">
        <v>83</v>
      </c>
      <c r="L12" t="s">
        <v>84</v>
      </c>
      <c r="M12" t="str">
        <f t="shared" si="5"/>
        <v>Preservation Shop</v>
      </c>
      <c r="N12" s="134">
        <f t="shared" si="4"/>
        <v>0</v>
      </c>
      <c r="O12" s="111" t="s">
        <v>160</v>
      </c>
      <c r="P12" s="134">
        <f t="shared" si="0"/>
        <v>0</v>
      </c>
      <c r="Q12" s="111" t="s">
        <v>84</v>
      </c>
    </row>
    <row r="13" spans="1:17" x14ac:dyDescent="0.2">
      <c r="A13" t="str">
        <f t="shared" si="1"/>
        <v>Stripping out of items as required to proceed with works</v>
      </c>
      <c r="C13" t="str">
        <f>Costing!B35</f>
        <v>Disposal via licensed transfer agent</v>
      </c>
      <c r="D13" s="112">
        <f>Costing!F35</f>
        <v>0</v>
      </c>
      <c r="E13" s="112">
        <f>Costing!I35</f>
        <v>0</v>
      </c>
      <c r="F13" t="str">
        <f>Costing!G35</f>
        <v>Bags</v>
      </c>
      <c r="G13" t="s">
        <v>117</v>
      </c>
      <c r="H13" s="112">
        <f>Costing!J35*100</f>
        <v>30</v>
      </c>
      <c r="I13" t="s">
        <v>81</v>
      </c>
      <c r="J13" t="s">
        <v>82</v>
      </c>
      <c r="K13" t="s">
        <v>83</v>
      </c>
      <c r="L13" t="s">
        <v>84</v>
      </c>
      <c r="M13" t="str">
        <f t="shared" si="5"/>
        <v>Preservation Shop</v>
      </c>
      <c r="N13" s="134">
        <f t="shared" si="4"/>
        <v>0</v>
      </c>
      <c r="O13" s="111" t="s">
        <v>160</v>
      </c>
      <c r="P13" s="134">
        <f t="shared" si="0"/>
        <v>0</v>
      </c>
      <c r="Q13" s="111" t="s">
        <v>84</v>
      </c>
    </row>
    <row r="14" spans="1:17" x14ac:dyDescent="0.2">
      <c r="A14" t="str">
        <f t="shared" si="1"/>
        <v>Stripping out of items as required to proceed with works</v>
      </c>
      <c r="C14" t="str">
        <f>Costing!M21</f>
        <v>Remove radiators &amp; cap valves</v>
      </c>
      <c r="D14" s="112">
        <f>Costing!O21</f>
        <v>0</v>
      </c>
      <c r="E14" s="112">
        <f>Costing!Q21</f>
        <v>30.630000000000003</v>
      </c>
      <c r="F14" t="s">
        <v>2</v>
      </c>
      <c r="G14" t="s">
        <v>116</v>
      </c>
      <c r="H14" s="112">
        <f>Costing!R21*100</f>
        <v>100</v>
      </c>
      <c r="I14" t="s">
        <v>81</v>
      </c>
      <c r="J14" t="s">
        <v>85</v>
      </c>
      <c r="K14" t="s">
        <v>83</v>
      </c>
      <c r="L14" t="s">
        <v>84</v>
      </c>
      <c r="M14" t="str">
        <f>IF(J14="MTL","Preservation Shop","")</f>
        <v/>
      </c>
      <c r="N14" s="134">
        <f>D14*E14</f>
        <v>0</v>
      </c>
      <c r="O14" s="111" t="s">
        <v>160</v>
      </c>
      <c r="P14" s="134">
        <f t="shared" si="0"/>
        <v>0</v>
      </c>
      <c r="Q14" s="111" t="s">
        <v>84</v>
      </c>
    </row>
    <row r="15" spans="1:17" x14ac:dyDescent="0.2">
      <c r="A15" t="str">
        <f t="shared" si="1"/>
        <v>Stripping out of items as required to proceed with works</v>
      </c>
      <c r="C15" t="str">
        <f>Costing!M22</f>
        <v>Remove socket fronts and isolate</v>
      </c>
      <c r="D15" s="112">
        <f>Costing!O22</f>
        <v>0</v>
      </c>
      <c r="E15" s="112">
        <f>Costing!Q22</f>
        <v>30.630000000000003</v>
      </c>
      <c r="F15" t="s">
        <v>2</v>
      </c>
      <c r="G15" t="s">
        <v>116</v>
      </c>
      <c r="H15" s="112">
        <f>Costing!R22*100</f>
        <v>100</v>
      </c>
      <c r="I15" t="s">
        <v>81</v>
      </c>
      <c r="J15" t="s">
        <v>85</v>
      </c>
      <c r="K15" t="s">
        <v>83</v>
      </c>
      <c r="L15" t="s">
        <v>84</v>
      </c>
      <c r="M15" t="str">
        <f>IF(J15="MTL","Preservation Shop","")</f>
        <v/>
      </c>
      <c r="N15" s="134">
        <f>D15*E15</f>
        <v>0</v>
      </c>
      <c r="O15" s="111" t="s">
        <v>160</v>
      </c>
      <c r="P15" s="134">
        <f t="shared" si="0"/>
        <v>0</v>
      </c>
      <c r="Q15" s="111" t="s">
        <v>84</v>
      </c>
    </row>
    <row r="16" spans="1:17" x14ac:dyDescent="0.2">
      <c r="A16" t="str">
        <f t="shared" si="1"/>
        <v>Stripping out of items as required to proceed with works</v>
      </c>
      <c r="C16" t="str">
        <f>Costing!M23</f>
        <v>Skirting board removal &amp; set aside</v>
      </c>
      <c r="D16" s="112">
        <f>Costing!O23</f>
        <v>0</v>
      </c>
      <c r="E16" s="112">
        <f>Costing!Q23</f>
        <v>30.630000000000003</v>
      </c>
      <c r="F16" t="s">
        <v>2</v>
      </c>
      <c r="G16" t="s">
        <v>116</v>
      </c>
      <c r="H16" s="112">
        <f>Costing!R23*100</f>
        <v>100</v>
      </c>
      <c r="I16" t="s">
        <v>81</v>
      </c>
      <c r="J16" t="s">
        <v>85</v>
      </c>
      <c r="K16" t="s">
        <v>83</v>
      </c>
      <c r="L16" t="s">
        <v>84</v>
      </c>
      <c r="M16" t="str">
        <f>IF(J16="MTL","Preservation Shop","")</f>
        <v/>
      </c>
      <c r="N16" s="134">
        <f>D16*E16</f>
        <v>0</v>
      </c>
      <c r="O16" s="111" t="s">
        <v>160</v>
      </c>
      <c r="P16" s="134">
        <f t="shared" si="0"/>
        <v>0</v>
      </c>
      <c r="Q16" s="111" t="s">
        <v>84</v>
      </c>
    </row>
    <row r="17" spans="1:17" x14ac:dyDescent="0.2">
      <c r="A17" t="str">
        <f>A15</f>
        <v>Stripping out of items as required to proceed with works</v>
      </c>
      <c r="C17" t="str">
        <f>Costing!M24</f>
        <v>Strip Wall Paper</v>
      </c>
      <c r="D17" s="112">
        <f>Costing!O24</f>
        <v>0</v>
      </c>
      <c r="E17" s="112">
        <f>Costing!Q24</f>
        <v>30.630000000000003</v>
      </c>
      <c r="F17" t="s">
        <v>2</v>
      </c>
      <c r="G17" t="s">
        <v>116</v>
      </c>
      <c r="H17" s="112">
        <f>Costing!R24*100</f>
        <v>100</v>
      </c>
      <c r="I17" t="s">
        <v>81</v>
      </c>
      <c r="J17" t="s">
        <v>85</v>
      </c>
      <c r="K17" t="s">
        <v>83</v>
      </c>
      <c r="L17" t="s">
        <v>84</v>
      </c>
      <c r="M17" t="str">
        <f>IF(J17="MTL","Preservation Shop","")</f>
        <v/>
      </c>
      <c r="N17" s="134">
        <f t="shared" ref="N17" si="6">D17*E17</f>
        <v>0</v>
      </c>
      <c r="O17" s="111" t="s">
        <v>160</v>
      </c>
      <c r="P17" s="134">
        <f t="shared" si="0"/>
        <v>0</v>
      </c>
      <c r="Q17" s="111" t="s">
        <v>84</v>
      </c>
    </row>
    <row r="18" spans="1:17" x14ac:dyDescent="0.2">
      <c r="A18" t="str">
        <f>A16</f>
        <v>Stripping out of items as required to proceed with works</v>
      </c>
      <c r="C18" t="str">
        <f>Costing!M25</f>
        <v>Antinox HD Floor Protection Boards – 2.4m x 1.2m</v>
      </c>
      <c r="D18" s="112">
        <f>Costing!O25</f>
        <v>0</v>
      </c>
      <c r="E18" s="112">
        <f>Costing!Q25</f>
        <v>30.630000000000003</v>
      </c>
      <c r="F18" t="s">
        <v>2</v>
      </c>
      <c r="G18" t="s">
        <v>116</v>
      </c>
      <c r="H18" s="112">
        <f>Costing!R25*100</f>
        <v>100</v>
      </c>
      <c r="I18" t="s">
        <v>81</v>
      </c>
      <c r="J18" t="s">
        <v>85</v>
      </c>
      <c r="K18" t="s">
        <v>83</v>
      </c>
      <c r="L18" t="s">
        <v>84</v>
      </c>
      <c r="M18" t="str">
        <f>IF(J18="MTL","Preservation Shop","")</f>
        <v/>
      </c>
      <c r="N18" s="134">
        <f t="shared" ref="N18" si="7">D18*E18</f>
        <v>0</v>
      </c>
      <c r="O18" s="111" t="s">
        <v>160</v>
      </c>
      <c r="P18" s="134">
        <f t="shared" si="0"/>
        <v>0</v>
      </c>
      <c r="Q18" s="111" t="s">
        <v>84</v>
      </c>
    </row>
    <row r="19" spans="1:17" x14ac:dyDescent="0.2">
      <c r="A19" t="str">
        <f t="shared" si="1"/>
        <v>Stripping out of items as required to proceed with works</v>
      </c>
      <c r="C19" t="str">
        <f>Costing!M29</f>
        <v>Remove plaster/render (Walls)</v>
      </c>
      <c r="D19" s="112">
        <f>Costing!O29</f>
        <v>0</v>
      </c>
      <c r="E19" s="112">
        <f>Costing!Q29</f>
        <v>30.630000000000003</v>
      </c>
      <c r="F19" t="s">
        <v>2</v>
      </c>
      <c r="G19" t="s">
        <v>116</v>
      </c>
      <c r="H19" s="112">
        <f>Costing!R29*100</f>
        <v>100</v>
      </c>
      <c r="I19" t="s">
        <v>81</v>
      </c>
      <c r="J19" t="s">
        <v>85</v>
      </c>
      <c r="K19" t="s">
        <v>83</v>
      </c>
      <c r="L19" t="s">
        <v>84</v>
      </c>
      <c r="M19" t="str">
        <f t="shared" si="5"/>
        <v/>
      </c>
      <c r="N19" s="134">
        <f t="shared" si="4"/>
        <v>0</v>
      </c>
      <c r="O19" s="111" t="s">
        <v>160</v>
      </c>
      <c r="P19" s="134">
        <f t="shared" si="0"/>
        <v>0</v>
      </c>
      <c r="Q19" s="111" t="s">
        <v>84</v>
      </c>
    </row>
    <row r="20" spans="1:17" x14ac:dyDescent="0.2">
      <c r="A20" t="str">
        <f t="shared" si="1"/>
        <v>Stripping out of items as required to proceed with works</v>
      </c>
      <c r="C20" t="str">
        <f>Costing!M30</f>
        <v>Removal of stud walls etc (Bag &amp; cart away)</v>
      </c>
      <c r="D20" s="112">
        <f>Costing!O30</f>
        <v>0</v>
      </c>
      <c r="E20" s="112">
        <f>Costing!Q30</f>
        <v>30.630000000000003</v>
      </c>
      <c r="F20" t="s">
        <v>2</v>
      </c>
      <c r="G20" t="s">
        <v>116</v>
      </c>
      <c r="H20" s="112">
        <f>Costing!R30*100</f>
        <v>100</v>
      </c>
      <c r="I20" t="s">
        <v>81</v>
      </c>
      <c r="J20" t="s">
        <v>85</v>
      </c>
      <c r="K20" t="s">
        <v>83</v>
      </c>
      <c r="L20" t="s">
        <v>84</v>
      </c>
      <c r="M20" t="str">
        <f t="shared" si="5"/>
        <v/>
      </c>
      <c r="N20" s="134">
        <f t="shared" si="4"/>
        <v>0</v>
      </c>
      <c r="O20" s="111" t="s">
        <v>160</v>
      </c>
      <c r="P20" s="134">
        <f t="shared" si="0"/>
        <v>0</v>
      </c>
      <c r="Q20" s="111" t="s">
        <v>84</v>
      </c>
    </row>
    <row r="21" spans="1:17" x14ac:dyDescent="0.2">
      <c r="A21" t="str">
        <f t="shared" si="1"/>
        <v>Stripping out of items as required to proceed with works</v>
      </c>
      <c r="C21" t="str">
        <f>Costing!M31</f>
        <v>Plaster &amp; lath removal )&amp; de-nail  (Ceilings)</v>
      </c>
      <c r="D21" s="112">
        <f>Costing!O31</f>
        <v>0</v>
      </c>
      <c r="E21" s="112">
        <f>Costing!Q31</f>
        <v>30.630000000000003</v>
      </c>
      <c r="F21" t="s">
        <v>2</v>
      </c>
      <c r="G21" t="s">
        <v>116</v>
      </c>
      <c r="H21" s="112">
        <f>Costing!R31*100</f>
        <v>100</v>
      </c>
      <c r="I21" t="s">
        <v>81</v>
      </c>
      <c r="J21" t="s">
        <v>85</v>
      </c>
      <c r="K21" t="s">
        <v>83</v>
      </c>
      <c r="L21" t="s">
        <v>84</v>
      </c>
      <c r="M21" t="str">
        <f t="shared" si="5"/>
        <v/>
      </c>
      <c r="N21" s="134">
        <f t="shared" si="4"/>
        <v>0</v>
      </c>
      <c r="O21" s="111" t="s">
        <v>160</v>
      </c>
      <c r="P21" s="134">
        <f t="shared" si="0"/>
        <v>0</v>
      </c>
      <c r="Q21" s="111" t="s">
        <v>84</v>
      </c>
    </row>
    <row r="22" spans="1:17" x14ac:dyDescent="0.2">
      <c r="A22" t="str">
        <f t="shared" si="1"/>
        <v>Stripping out of items as required to proceed with works</v>
      </c>
      <c r="C22" t="str">
        <f>Costing!M32</f>
        <v>Strip out existing timber floor (GF)</v>
      </c>
      <c r="D22" s="112">
        <f>Costing!O32</f>
        <v>0</v>
      </c>
      <c r="E22" s="112">
        <f>Costing!Q32</f>
        <v>30.630000000000003</v>
      </c>
      <c r="F22" t="s">
        <v>2</v>
      </c>
      <c r="G22" t="s">
        <v>116</v>
      </c>
      <c r="H22" s="112">
        <f>Costing!R32*100</f>
        <v>100</v>
      </c>
      <c r="I22" t="s">
        <v>81</v>
      </c>
      <c r="J22" t="s">
        <v>85</v>
      </c>
      <c r="K22" t="s">
        <v>83</v>
      </c>
      <c r="L22" t="s">
        <v>84</v>
      </c>
      <c r="M22" t="str">
        <f t="shared" si="5"/>
        <v/>
      </c>
      <c r="N22" s="134">
        <f t="shared" si="4"/>
        <v>0</v>
      </c>
      <c r="O22" s="111" t="s">
        <v>160</v>
      </c>
      <c r="P22" s="134">
        <f t="shared" si="0"/>
        <v>0</v>
      </c>
      <c r="Q22" s="111" t="s">
        <v>84</v>
      </c>
    </row>
    <row r="23" spans="1:17" x14ac:dyDescent="0.2">
      <c r="A23" t="str">
        <f t="shared" si="1"/>
        <v>Stripping out of items as required to proceed with works</v>
      </c>
      <c r="C23" t="str">
        <f>Costing!M33</f>
        <v>Scrape back/clear sub floors</v>
      </c>
      <c r="D23" s="112">
        <f>Costing!O33</f>
        <v>0</v>
      </c>
      <c r="E23" s="112">
        <f>Costing!Q33</f>
        <v>30.630000000000003</v>
      </c>
      <c r="F23" t="s">
        <v>2</v>
      </c>
      <c r="G23" t="s">
        <v>116</v>
      </c>
      <c r="H23" s="112">
        <f>Costing!R33*100</f>
        <v>100</v>
      </c>
      <c r="I23" t="s">
        <v>81</v>
      </c>
      <c r="J23" t="s">
        <v>85</v>
      </c>
      <c r="K23" t="s">
        <v>83</v>
      </c>
      <c r="L23" t="s">
        <v>84</v>
      </c>
      <c r="M23" t="str">
        <f t="shared" si="5"/>
        <v/>
      </c>
      <c r="N23" s="134">
        <f t="shared" si="4"/>
        <v>0</v>
      </c>
      <c r="O23" s="111" t="s">
        <v>160</v>
      </c>
      <c r="P23" s="134">
        <f t="shared" si="0"/>
        <v>0</v>
      </c>
      <c r="Q23" s="111" t="s">
        <v>84</v>
      </c>
    </row>
    <row r="24" spans="1:17" x14ac:dyDescent="0.2">
      <c r="A24" t="str">
        <f t="shared" si="1"/>
        <v>Stripping out of items as required to proceed with works</v>
      </c>
      <c r="C24" t="str">
        <f>Costing!M34</f>
        <v xml:space="preserve">Bag up debris &amp; cart outside </v>
      </c>
      <c r="D24" s="112">
        <f>Costing!O34</f>
        <v>0</v>
      </c>
      <c r="E24" s="112">
        <f>Costing!Q34</f>
        <v>30.630000000000003</v>
      </c>
      <c r="F24" t="s">
        <v>2</v>
      </c>
      <c r="G24" t="s">
        <v>116</v>
      </c>
      <c r="H24" s="112">
        <f>Costing!R34*100</f>
        <v>100</v>
      </c>
      <c r="I24" t="s">
        <v>81</v>
      </c>
      <c r="J24" t="s">
        <v>85</v>
      </c>
      <c r="K24" t="s">
        <v>83</v>
      </c>
      <c r="L24" t="s">
        <v>84</v>
      </c>
      <c r="M24" t="str">
        <f t="shared" si="5"/>
        <v/>
      </c>
      <c r="N24" s="134">
        <f t="shared" si="4"/>
        <v>0</v>
      </c>
      <c r="O24" s="111" t="s">
        <v>160</v>
      </c>
      <c r="P24" s="134">
        <f t="shared" si="0"/>
        <v>0</v>
      </c>
      <c r="Q24" s="111" t="s">
        <v>84</v>
      </c>
    </row>
    <row r="25" spans="1:17" x14ac:dyDescent="0.2">
      <c r="A25" t="str">
        <f t="shared" si="1"/>
        <v>Stripping out of items as required to proceed with works</v>
      </c>
      <c r="C25" t="str">
        <f>Costing!M35</f>
        <v>Disposal via licensed transfer agent</v>
      </c>
      <c r="D25" s="112">
        <f>Costing!O35</f>
        <v>0</v>
      </c>
      <c r="E25" s="112">
        <f>Costing!Q35</f>
        <v>30.630000000000003</v>
      </c>
      <c r="F25" t="s">
        <v>2</v>
      </c>
      <c r="G25" t="s">
        <v>116</v>
      </c>
      <c r="H25" s="112">
        <f>Costing!R35*100</f>
        <v>100</v>
      </c>
      <c r="I25" t="s">
        <v>81</v>
      </c>
      <c r="J25" t="s">
        <v>85</v>
      </c>
      <c r="K25" t="s">
        <v>83</v>
      </c>
      <c r="L25" t="s">
        <v>84</v>
      </c>
      <c r="M25" t="str">
        <f t="shared" si="5"/>
        <v/>
      </c>
      <c r="N25" s="134">
        <f t="shared" si="4"/>
        <v>0</v>
      </c>
      <c r="O25" s="111" t="s">
        <v>160</v>
      </c>
      <c r="P25" s="134">
        <f t="shared" si="0"/>
        <v>0</v>
      </c>
      <c r="Q25" s="111" t="s">
        <v>84</v>
      </c>
    </row>
    <row r="26" spans="1:17" s="130" customFormat="1" x14ac:dyDescent="0.2">
      <c r="A26" s="130" t="str">
        <f t="shared" si="1"/>
        <v>Stripping out of items as required to proceed with works</v>
      </c>
      <c r="C26" s="130" t="s">
        <v>161</v>
      </c>
      <c r="D26" s="131">
        <v>1</v>
      </c>
      <c r="E26" s="131">
        <f>N26</f>
        <v>0</v>
      </c>
      <c r="F26" s="130" t="s">
        <v>162</v>
      </c>
      <c r="G26" s="130" t="s">
        <v>117</v>
      </c>
      <c r="H26" s="131" t="e">
        <f>((P26-N26)/N26)*100</f>
        <v>#DIV/0!</v>
      </c>
      <c r="I26" s="130" t="s">
        <v>81</v>
      </c>
      <c r="J26" s="130" t="s">
        <v>82</v>
      </c>
      <c r="K26" s="130" t="s">
        <v>83</v>
      </c>
      <c r="L26" s="130" t="str">
        <f>'Customer Summary'!D4</f>
        <v>No</v>
      </c>
      <c r="M26" s="130" t="str">
        <f t="shared" si="5"/>
        <v>Preservation Shop</v>
      </c>
      <c r="N26" s="132">
        <f>SUM(N2:N13)</f>
        <v>0</v>
      </c>
      <c r="O26" s="133" t="str">
        <f>IF(N26=0,"DELETE","LEAVE")</f>
        <v>DELETE</v>
      </c>
      <c r="P26" s="132">
        <f>SUM(P2:P13)</f>
        <v>0</v>
      </c>
      <c r="Q26" s="133" t="s">
        <v>83</v>
      </c>
    </row>
    <row r="27" spans="1:17" s="130" customFormat="1" x14ac:dyDescent="0.2">
      <c r="A27" s="130" t="str">
        <f t="shared" si="1"/>
        <v>Stripping out of items as required to proceed with works</v>
      </c>
      <c r="C27" s="130" t="s">
        <v>163</v>
      </c>
      <c r="D27" s="131">
        <f>SUM(D14:D25)</f>
        <v>0</v>
      </c>
      <c r="E27" s="131" t="e">
        <f>N27/D27</f>
        <v>#DIV/0!</v>
      </c>
      <c r="F27" s="130" t="s">
        <v>2</v>
      </c>
      <c r="G27" s="130" t="s">
        <v>116</v>
      </c>
      <c r="H27" s="131" t="e">
        <f>((P27-N27)/N27)*100</f>
        <v>#DIV/0!</v>
      </c>
      <c r="I27" s="130" t="s">
        <v>81</v>
      </c>
      <c r="J27" s="130" t="s">
        <v>85</v>
      </c>
      <c r="K27" s="130" t="s">
        <v>83</v>
      </c>
      <c r="L27" s="130" t="str">
        <f>L26</f>
        <v>No</v>
      </c>
      <c r="M27" s="130" t="str">
        <f t="shared" si="5"/>
        <v/>
      </c>
      <c r="N27" s="132">
        <f>SUM(N14:N25)</f>
        <v>0</v>
      </c>
      <c r="O27" s="133" t="str">
        <f t="shared" ref="O27" si="8">IF(N27=0,"DELETE","LEAVE")</f>
        <v>DELETE</v>
      </c>
      <c r="P27" s="132">
        <f>SUM(P14:P25)</f>
        <v>0</v>
      </c>
      <c r="Q27" s="133" t="s">
        <v>83</v>
      </c>
    </row>
    <row r="28" spans="1:17" x14ac:dyDescent="0.2">
      <c r="A28" s="125"/>
      <c r="B28" s="125"/>
      <c r="C28" s="125"/>
      <c r="D28" s="126"/>
      <c r="E28" s="126"/>
      <c r="F28" s="125"/>
      <c r="G28" s="125"/>
      <c r="H28" s="126"/>
      <c r="I28" s="125"/>
      <c r="J28" s="125"/>
      <c r="K28" s="125"/>
      <c r="L28" s="125"/>
      <c r="M28" s="125"/>
      <c r="N28" s="127"/>
      <c r="O28" s="128" t="s">
        <v>160</v>
      </c>
      <c r="P28" s="127"/>
      <c r="Q28" s="129"/>
    </row>
    <row r="29" spans="1:17" x14ac:dyDescent="0.2">
      <c r="A29" t="str">
        <f>'Customer Summary'!C5</f>
        <v>Plastering &amp; finishing</v>
      </c>
      <c r="C29" t="str">
        <f>Costing!B39</f>
        <v>Construct stud wall to perimiter</v>
      </c>
      <c r="D29" s="112">
        <f>Costing!F39</f>
        <v>0</v>
      </c>
      <c r="E29" s="112">
        <f>Costing!I39</f>
        <v>14.000000000000002</v>
      </c>
      <c r="F29" t="str">
        <f>Costing!G39</f>
        <v>M2</v>
      </c>
      <c r="G29" t="s">
        <v>117</v>
      </c>
      <c r="H29" s="112">
        <f>Costing!J39*100</f>
        <v>30</v>
      </c>
      <c r="I29" t="s">
        <v>81</v>
      </c>
      <c r="J29" t="s">
        <v>82</v>
      </c>
      <c r="K29" t="s">
        <v>83</v>
      </c>
      <c r="L29" t="s">
        <v>84</v>
      </c>
      <c r="M29" t="str">
        <f t="shared" si="5"/>
        <v>Preservation Shop</v>
      </c>
      <c r="N29" s="134">
        <f t="shared" si="4"/>
        <v>0</v>
      </c>
      <c r="O29" s="111" t="s">
        <v>160</v>
      </c>
      <c r="P29" s="134">
        <f t="shared" ref="P29:P42" si="9">N29*(1+(H29/100))</f>
        <v>0</v>
      </c>
      <c r="Q29" s="111" t="s">
        <v>84</v>
      </c>
    </row>
    <row r="30" spans="1:17" x14ac:dyDescent="0.2">
      <c r="A30" t="str">
        <f>A29</f>
        <v>Plastering &amp; finishing</v>
      </c>
      <c r="C30" t="str">
        <f>Costing!B40</f>
        <v>Plasterboarding (inc dab/screws)</v>
      </c>
      <c r="D30" s="112">
        <f>Costing!F40</f>
        <v>0</v>
      </c>
      <c r="E30" s="112">
        <f>Costing!I40</f>
        <v>9.7559198542805099</v>
      </c>
      <c r="F30" t="str">
        <f>Costing!G40</f>
        <v>M2</v>
      </c>
      <c r="G30" t="s">
        <v>117</v>
      </c>
      <c r="H30" s="112">
        <f>Costing!J40*100</f>
        <v>30</v>
      </c>
      <c r="I30" t="s">
        <v>81</v>
      </c>
      <c r="J30" t="s">
        <v>82</v>
      </c>
      <c r="K30" t="s">
        <v>83</v>
      </c>
      <c r="L30" t="s">
        <v>84</v>
      </c>
      <c r="M30" t="str">
        <f t="shared" si="5"/>
        <v>Preservation Shop</v>
      </c>
      <c r="N30" s="134">
        <f t="shared" si="4"/>
        <v>0</v>
      </c>
      <c r="O30" s="111" t="s">
        <v>160</v>
      </c>
      <c r="P30" s="134">
        <f t="shared" si="9"/>
        <v>0</v>
      </c>
      <c r="Q30" s="111" t="s">
        <v>84</v>
      </c>
    </row>
    <row r="31" spans="1:17" x14ac:dyDescent="0.2">
      <c r="A31" t="str">
        <f t="shared" ref="A31:A44" si="10">A30</f>
        <v>Plastering &amp; finishing</v>
      </c>
      <c r="C31" t="str">
        <f>Costing!B41</f>
        <v>Skimming walls (multi finish plaster)</v>
      </c>
      <c r="D31" s="112">
        <f>Costing!F41</f>
        <v>0</v>
      </c>
      <c r="E31" s="112">
        <f>Costing!I41</f>
        <v>0</v>
      </c>
      <c r="F31" t="str">
        <f>Costing!G41</f>
        <v>M2</v>
      </c>
      <c r="G31" t="s">
        <v>117</v>
      </c>
      <c r="H31" s="112">
        <f>Costing!J41*100</f>
        <v>30</v>
      </c>
      <c r="I31" t="s">
        <v>81</v>
      </c>
      <c r="J31" t="s">
        <v>82</v>
      </c>
      <c r="K31" t="s">
        <v>83</v>
      </c>
      <c r="L31" t="s">
        <v>84</v>
      </c>
      <c r="M31" t="str">
        <f t="shared" si="5"/>
        <v>Preservation Shop</v>
      </c>
      <c r="N31" s="134">
        <f t="shared" si="4"/>
        <v>0</v>
      </c>
      <c r="O31" s="111" t="s">
        <v>160</v>
      </c>
      <c r="P31" s="134">
        <f t="shared" si="9"/>
        <v>0</v>
      </c>
      <c r="Q31" s="111" t="s">
        <v>84</v>
      </c>
    </row>
    <row r="32" spans="1:17" x14ac:dyDescent="0.2">
      <c r="A32" t="str">
        <f t="shared" si="10"/>
        <v>Plastering &amp; finishing</v>
      </c>
      <c r="C32" t="str">
        <f>Costing!B42</f>
        <v>Plastering Stop Bead - 3m length</v>
      </c>
      <c r="D32" s="112">
        <f>Costing!F42</f>
        <v>0</v>
      </c>
      <c r="E32" s="112">
        <f>Costing!I42</f>
        <v>1.1000000000000001</v>
      </c>
      <c r="F32" t="str">
        <f>Costing!G42</f>
        <v>Each</v>
      </c>
      <c r="G32" t="s">
        <v>117</v>
      </c>
      <c r="H32" s="112">
        <f>Costing!J42*100</f>
        <v>30</v>
      </c>
      <c r="I32" t="s">
        <v>81</v>
      </c>
      <c r="J32" t="s">
        <v>82</v>
      </c>
      <c r="K32" t="s">
        <v>83</v>
      </c>
      <c r="L32" t="s">
        <v>84</v>
      </c>
      <c r="M32" t="str">
        <f t="shared" ref="M32:M35" si="11">IF(J32="MTL","Preservation Shop","")</f>
        <v>Preservation Shop</v>
      </c>
      <c r="N32" s="134">
        <f t="shared" ref="N32:N35" si="12">D32*E32</f>
        <v>0</v>
      </c>
      <c r="O32" s="111" t="s">
        <v>160</v>
      </c>
      <c r="P32" s="134">
        <f t="shared" si="9"/>
        <v>0</v>
      </c>
      <c r="Q32" s="111" t="s">
        <v>84</v>
      </c>
    </row>
    <row r="33" spans="1:17" x14ac:dyDescent="0.2">
      <c r="A33" t="str">
        <f t="shared" si="10"/>
        <v>Plastering &amp; finishing</v>
      </c>
      <c r="C33" t="str">
        <f>Costing!B43</f>
        <v>Plastering Thin Coat Angle/Corner Bead - 2.4m length</v>
      </c>
      <c r="D33" s="112">
        <f>Costing!F43</f>
        <v>0</v>
      </c>
      <c r="E33" s="112">
        <f>Costing!I43</f>
        <v>1.8260000000000003</v>
      </c>
      <c r="F33" t="str">
        <f>Costing!G43</f>
        <v>Each</v>
      </c>
      <c r="G33" t="s">
        <v>117</v>
      </c>
      <c r="H33" s="112">
        <f>Costing!J43*100</f>
        <v>30</v>
      </c>
      <c r="I33" t="s">
        <v>81</v>
      </c>
      <c r="J33" t="s">
        <v>82</v>
      </c>
      <c r="K33" t="s">
        <v>83</v>
      </c>
      <c r="L33" t="s">
        <v>84</v>
      </c>
      <c r="M33" t="str">
        <f t="shared" si="11"/>
        <v>Preservation Shop</v>
      </c>
      <c r="N33" s="134">
        <f t="shared" si="12"/>
        <v>0</v>
      </c>
      <c r="O33" s="111" t="s">
        <v>160</v>
      </c>
      <c r="P33" s="134">
        <f t="shared" si="9"/>
        <v>0</v>
      </c>
      <c r="Q33" s="111" t="s">
        <v>84</v>
      </c>
    </row>
    <row r="34" spans="1:17" x14ac:dyDescent="0.2">
      <c r="A34" t="str">
        <f t="shared" si="10"/>
        <v>Plastering &amp; finishing</v>
      </c>
      <c r="C34" t="str">
        <f>Costing!B44</f>
        <v>Plastering Thin Coat Angle/Corner Bead - 3m length</v>
      </c>
      <c r="D34" s="112">
        <f>Costing!F44</f>
        <v>0</v>
      </c>
      <c r="E34" s="112">
        <f>Costing!I44</f>
        <v>2.75</v>
      </c>
      <c r="F34" t="str">
        <f>Costing!G44</f>
        <v>Each</v>
      </c>
      <c r="G34" t="s">
        <v>117</v>
      </c>
      <c r="H34" s="112">
        <f>Costing!J44*100</f>
        <v>30</v>
      </c>
      <c r="I34" t="s">
        <v>81</v>
      </c>
      <c r="J34" t="s">
        <v>82</v>
      </c>
      <c r="K34" t="s">
        <v>83</v>
      </c>
      <c r="L34" t="s">
        <v>84</v>
      </c>
      <c r="M34" t="str">
        <f t="shared" si="11"/>
        <v>Preservation Shop</v>
      </c>
      <c r="N34" s="134">
        <f t="shared" si="12"/>
        <v>0</v>
      </c>
      <c r="O34" s="111" t="s">
        <v>160</v>
      </c>
      <c r="P34" s="134">
        <f t="shared" si="9"/>
        <v>0</v>
      </c>
      <c r="Q34" s="111" t="s">
        <v>84</v>
      </c>
    </row>
    <row r="35" spans="1:17" x14ac:dyDescent="0.2">
      <c r="A35" t="str">
        <f t="shared" si="10"/>
        <v>Plastering &amp; finishing</v>
      </c>
      <c r="C35" t="str">
        <f>Costing!B45</f>
        <v>Difficulty hours (fireplace, corners etc)</v>
      </c>
      <c r="D35" s="112">
        <f>Costing!F45</f>
        <v>0</v>
      </c>
      <c r="E35" s="112">
        <f>Costing!I45</f>
        <v>0</v>
      </c>
      <c r="F35" t="str">
        <f>Costing!G45</f>
        <v>Hours</v>
      </c>
      <c r="G35" t="s">
        <v>117</v>
      </c>
      <c r="H35" s="112">
        <f>Costing!J45*100</f>
        <v>0</v>
      </c>
      <c r="I35" t="s">
        <v>81</v>
      </c>
      <c r="J35" t="s">
        <v>82</v>
      </c>
      <c r="K35" t="s">
        <v>83</v>
      </c>
      <c r="L35" t="s">
        <v>84</v>
      </c>
      <c r="M35" t="str">
        <f t="shared" si="11"/>
        <v>Preservation Shop</v>
      </c>
      <c r="N35" s="134">
        <f t="shared" si="12"/>
        <v>0</v>
      </c>
      <c r="O35" s="111" t="s">
        <v>160</v>
      </c>
      <c r="P35" s="134">
        <f t="shared" si="9"/>
        <v>0</v>
      </c>
      <c r="Q35" s="111" t="s">
        <v>84</v>
      </c>
    </row>
    <row r="36" spans="1:17" x14ac:dyDescent="0.2">
      <c r="A36" t="str">
        <f t="shared" si="10"/>
        <v>Plastering &amp; finishing</v>
      </c>
      <c r="C36" t="str">
        <f>Costing!M39</f>
        <v>Construct stud wall to perimiter</v>
      </c>
      <c r="D36" s="112">
        <f>Costing!O39</f>
        <v>0</v>
      </c>
      <c r="E36" s="112">
        <f>Costing!Q39</f>
        <v>30.630000000000003</v>
      </c>
      <c r="F36" t="s">
        <v>2</v>
      </c>
      <c r="G36" t="s">
        <v>116</v>
      </c>
      <c r="H36" s="112">
        <f>Costing!R39*100</f>
        <v>100</v>
      </c>
      <c r="I36" t="s">
        <v>81</v>
      </c>
      <c r="J36" t="s">
        <v>85</v>
      </c>
      <c r="K36" t="s">
        <v>83</v>
      </c>
      <c r="L36" t="s">
        <v>84</v>
      </c>
      <c r="M36" t="str">
        <f t="shared" si="5"/>
        <v/>
      </c>
      <c r="N36" s="134">
        <f t="shared" si="4"/>
        <v>0</v>
      </c>
      <c r="O36" s="111" t="s">
        <v>160</v>
      </c>
      <c r="P36" s="134">
        <f t="shared" si="9"/>
        <v>0</v>
      </c>
      <c r="Q36" s="111" t="s">
        <v>84</v>
      </c>
    </row>
    <row r="37" spans="1:17" x14ac:dyDescent="0.2">
      <c r="A37" t="str">
        <f t="shared" si="10"/>
        <v>Plastering &amp; finishing</v>
      </c>
      <c r="C37" t="str">
        <f>Costing!M40</f>
        <v>Plasterboarding (inc dab/screws)</v>
      </c>
      <c r="D37" s="112">
        <f>Costing!O40</f>
        <v>0</v>
      </c>
      <c r="E37" s="112">
        <f>Costing!Q40</f>
        <v>30.630000000000003</v>
      </c>
      <c r="F37" t="s">
        <v>2</v>
      </c>
      <c r="G37" t="s">
        <v>116</v>
      </c>
      <c r="H37" s="112">
        <f>Costing!R40*100</f>
        <v>100</v>
      </c>
      <c r="I37" t="s">
        <v>81</v>
      </c>
      <c r="J37" t="s">
        <v>85</v>
      </c>
      <c r="K37" t="s">
        <v>83</v>
      </c>
      <c r="L37" t="s">
        <v>84</v>
      </c>
      <c r="M37" t="str">
        <f t="shared" si="5"/>
        <v/>
      </c>
      <c r="N37" s="134">
        <f t="shared" si="4"/>
        <v>0</v>
      </c>
      <c r="O37" s="111" t="s">
        <v>160</v>
      </c>
      <c r="P37" s="134">
        <f t="shared" si="9"/>
        <v>0</v>
      </c>
      <c r="Q37" s="111" t="s">
        <v>84</v>
      </c>
    </row>
    <row r="38" spans="1:17" x14ac:dyDescent="0.2">
      <c r="A38" t="str">
        <f t="shared" si="10"/>
        <v>Plastering &amp; finishing</v>
      </c>
      <c r="C38" t="str">
        <f>Costing!M41</f>
        <v>Skimming walls (multi finish plaster)</v>
      </c>
      <c r="D38" s="112">
        <f>Costing!O41</f>
        <v>0</v>
      </c>
      <c r="E38" s="112">
        <f>Costing!Q41</f>
        <v>30.630000000000003</v>
      </c>
      <c r="F38" t="s">
        <v>2</v>
      </c>
      <c r="G38" t="s">
        <v>116</v>
      </c>
      <c r="H38" s="112">
        <f>Costing!R41*100</f>
        <v>100</v>
      </c>
      <c r="I38" t="s">
        <v>81</v>
      </c>
      <c r="J38" t="s">
        <v>85</v>
      </c>
      <c r="K38" t="s">
        <v>83</v>
      </c>
      <c r="L38" t="s">
        <v>84</v>
      </c>
      <c r="M38" t="str">
        <f t="shared" si="5"/>
        <v/>
      </c>
      <c r="N38" s="134">
        <f t="shared" si="4"/>
        <v>0</v>
      </c>
      <c r="O38" s="111" t="s">
        <v>160</v>
      </c>
      <c r="P38" s="134">
        <f t="shared" si="9"/>
        <v>0</v>
      </c>
      <c r="Q38" s="111" t="s">
        <v>84</v>
      </c>
    </row>
    <row r="39" spans="1:17" x14ac:dyDescent="0.2">
      <c r="A39" t="str">
        <f t="shared" si="10"/>
        <v>Plastering &amp; finishing</v>
      </c>
      <c r="C39" t="str">
        <f>Costing!M42</f>
        <v>Plastering Stop Bead - 3m length</v>
      </c>
      <c r="D39" s="112">
        <f>Costing!O42</f>
        <v>0</v>
      </c>
      <c r="E39" s="112">
        <f>Costing!Q42</f>
        <v>30.630000000000003</v>
      </c>
      <c r="F39" t="s">
        <v>2</v>
      </c>
      <c r="G39" t="s">
        <v>116</v>
      </c>
      <c r="H39" s="112">
        <f>Costing!R42*100</f>
        <v>100</v>
      </c>
      <c r="I39" t="s">
        <v>81</v>
      </c>
      <c r="J39" t="s">
        <v>85</v>
      </c>
      <c r="K39" t="s">
        <v>83</v>
      </c>
      <c r="L39" t="s">
        <v>84</v>
      </c>
      <c r="M39" t="str">
        <f t="shared" ref="M39:M42" si="13">IF(J39="MTL","Preservation Shop","")</f>
        <v/>
      </c>
      <c r="N39" s="134">
        <f t="shared" ref="N39:N42" si="14">D39*E39</f>
        <v>0</v>
      </c>
      <c r="O39" s="111" t="s">
        <v>160</v>
      </c>
      <c r="P39" s="134">
        <f t="shared" si="9"/>
        <v>0</v>
      </c>
      <c r="Q39" s="111" t="s">
        <v>84</v>
      </c>
    </row>
    <row r="40" spans="1:17" x14ac:dyDescent="0.2">
      <c r="A40" t="str">
        <f t="shared" si="10"/>
        <v>Plastering &amp; finishing</v>
      </c>
      <c r="C40" t="str">
        <f>Costing!M43</f>
        <v>Plastering Thin Coat Angle/Corner Bead - 2.4m length</v>
      </c>
      <c r="D40" s="112">
        <f>Costing!O43</f>
        <v>0</v>
      </c>
      <c r="E40" s="112">
        <f>Costing!Q43</f>
        <v>30.630000000000003</v>
      </c>
      <c r="F40" t="s">
        <v>2</v>
      </c>
      <c r="G40" t="s">
        <v>116</v>
      </c>
      <c r="H40" s="112">
        <f>Costing!R43*100</f>
        <v>100</v>
      </c>
      <c r="I40" t="s">
        <v>81</v>
      </c>
      <c r="J40" t="s">
        <v>85</v>
      </c>
      <c r="K40" t="s">
        <v>83</v>
      </c>
      <c r="L40" t="s">
        <v>84</v>
      </c>
      <c r="M40" t="str">
        <f t="shared" si="13"/>
        <v/>
      </c>
      <c r="N40" s="134">
        <f t="shared" si="14"/>
        <v>0</v>
      </c>
      <c r="O40" s="111" t="s">
        <v>160</v>
      </c>
      <c r="P40" s="134">
        <f t="shared" si="9"/>
        <v>0</v>
      </c>
      <c r="Q40" s="111" t="s">
        <v>84</v>
      </c>
    </row>
    <row r="41" spans="1:17" x14ac:dyDescent="0.2">
      <c r="A41" t="str">
        <f t="shared" si="10"/>
        <v>Plastering &amp; finishing</v>
      </c>
      <c r="C41" t="str">
        <f>Costing!M44</f>
        <v>Plastering Thin Coat Angle/Corner Bead - 3m length</v>
      </c>
      <c r="D41" s="112">
        <f>Costing!O44</f>
        <v>0</v>
      </c>
      <c r="E41" s="112">
        <f>Costing!Q44</f>
        <v>30.630000000000003</v>
      </c>
      <c r="F41" t="s">
        <v>2</v>
      </c>
      <c r="G41" t="s">
        <v>116</v>
      </c>
      <c r="H41" s="112">
        <f>Costing!R44*100</f>
        <v>100</v>
      </c>
      <c r="I41" t="s">
        <v>81</v>
      </c>
      <c r="J41" t="s">
        <v>85</v>
      </c>
      <c r="K41" t="s">
        <v>83</v>
      </c>
      <c r="L41" t="s">
        <v>84</v>
      </c>
      <c r="M41" t="str">
        <f t="shared" si="13"/>
        <v/>
      </c>
      <c r="N41" s="134">
        <f t="shared" si="14"/>
        <v>0</v>
      </c>
      <c r="O41" s="111" t="s">
        <v>160</v>
      </c>
      <c r="P41" s="134">
        <f t="shared" si="9"/>
        <v>0</v>
      </c>
      <c r="Q41" s="111" t="s">
        <v>84</v>
      </c>
    </row>
    <row r="42" spans="1:17" x14ac:dyDescent="0.2">
      <c r="A42" t="str">
        <f t="shared" si="10"/>
        <v>Plastering &amp; finishing</v>
      </c>
      <c r="C42" t="str">
        <f>Costing!M45</f>
        <v>Difficulty hours (fireplace, corners etc)</v>
      </c>
      <c r="D42" s="112">
        <f>Costing!O45</f>
        <v>0</v>
      </c>
      <c r="E42" s="112">
        <f>Costing!Q45</f>
        <v>30.630000000000003</v>
      </c>
      <c r="F42" t="s">
        <v>2</v>
      </c>
      <c r="G42" t="s">
        <v>116</v>
      </c>
      <c r="H42" s="112">
        <f>Costing!R45*100</f>
        <v>100</v>
      </c>
      <c r="I42" t="s">
        <v>81</v>
      </c>
      <c r="J42" t="s">
        <v>85</v>
      </c>
      <c r="K42" t="s">
        <v>83</v>
      </c>
      <c r="L42" t="s">
        <v>84</v>
      </c>
      <c r="M42" t="str">
        <f t="shared" si="13"/>
        <v/>
      </c>
      <c r="N42" s="134">
        <f t="shared" si="14"/>
        <v>0</v>
      </c>
      <c r="O42" s="111" t="s">
        <v>160</v>
      </c>
      <c r="P42" s="134">
        <f t="shared" si="9"/>
        <v>0</v>
      </c>
      <c r="Q42" s="111" t="s">
        <v>84</v>
      </c>
    </row>
    <row r="43" spans="1:17" s="130" customFormat="1" x14ac:dyDescent="0.2">
      <c r="A43" s="130" t="str">
        <f t="shared" si="10"/>
        <v>Plastering &amp; finishing</v>
      </c>
      <c r="C43" s="130" t="s">
        <v>164</v>
      </c>
      <c r="D43" s="131">
        <v>1</v>
      </c>
      <c r="E43" s="131">
        <f>N43</f>
        <v>0</v>
      </c>
      <c r="F43" s="130" t="s">
        <v>162</v>
      </c>
      <c r="G43" s="130" t="s">
        <v>117</v>
      </c>
      <c r="H43" s="131" t="e">
        <f>((P43-N43)/N43)*100</f>
        <v>#DIV/0!</v>
      </c>
      <c r="I43" s="130" t="s">
        <v>81</v>
      </c>
      <c r="J43" s="130" t="s">
        <v>82</v>
      </c>
      <c r="K43" s="130" t="s">
        <v>83</v>
      </c>
      <c r="L43" s="130" t="str">
        <f>'Customer Summary'!D5</f>
        <v>No</v>
      </c>
      <c r="M43" s="130" t="str">
        <f t="shared" ref="M43:M44" si="15">IF(J43="MTL","Preservation Shop","")</f>
        <v>Preservation Shop</v>
      </c>
      <c r="N43" s="132">
        <f>SUM(N29:N35)</f>
        <v>0</v>
      </c>
      <c r="O43" s="133" t="str">
        <f t="shared" ref="O43" si="16">IF(N43=0,"DELETE","LEAVE")</f>
        <v>DELETE</v>
      </c>
      <c r="P43" s="132">
        <f>SUM(P29:P35)</f>
        <v>0</v>
      </c>
      <c r="Q43" s="133" t="s">
        <v>83</v>
      </c>
    </row>
    <row r="44" spans="1:17" s="130" customFormat="1" x14ac:dyDescent="0.2">
      <c r="A44" s="130" t="str">
        <f t="shared" si="10"/>
        <v>Plastering &amp; finishing</v>
      </c>
      <c r="C44" s="130" t="s">
        <v>165</v>
      </c>
      <c r="D44" s="131">
        <f>SUM(D36:D42)</f>
        <v>0</v>
      </c>
      <c r="E44" s="131" t="e">
        <f>N44/D44</f>
        <v>#DIV/0!</v>
      </c>
      <c r="F44" s="130" t="s">
        <v>2</v>
      </c>
      <c r="G44" s="130" t="s">
        <v>116</v>
      </c>
      <c r="H44" s="131" t="e">
        <f>((P44-N44)/N44)*100</f>
        <v>#DIV/0!</v>
      </c>
      <c r="I44" s="130" t="s">
        <v>81</v>
      </c>
      <c r="J44" s="130" t="s">
        <v>85</v>
      </c>
      <c r="K44" s="130" t="s">
        <v>83</v>
      </c>
      <c r="L44" s="130" t="str">
        <f>L43</f>
        <v>No</v>
      </c>
      <c r="M44" s="130" t="str">
        <f t="shared" si="15"/>
        <v/>
      </c>
      <c r="N44" s="132">
        <f>SUM(N36:N42)</f>
        <v>0</v>
      </c>
      <c r="O44" s="133" t="str">
        <f>IF(N44=0,"DELETE","LEAVE")</f>
        <v>DELETE</v>
      </c>
      <c r="P44" s="132">
        <f>SUM(P36:P42)</f>
        <v>0</v>
      </c>
      <c r="Q44" s="133" t="s">
        <v>83</v>
      </c>
    </row>
    <row r="45" spans="1:17" x14ac:dyDescent="0.2">
      <c r="A45" s="125"/>
      <c r="B45" s="125"/>
      <c r="C45" s="125"/>
      <c r="D45" s="126"/>
      <c r="E45" s="126"/>
      <c r="F45" s="125"/>
      <c r="G45" s="125"/>
      <c r="H45" s="126"/>
      <c r="I45" s="125"/>
      <c r="J45" s="125"/>
      <c r="K45" s="125"/>
      <c r="L45" s="125"/>
      <c r="M45" s="125"/>
      <c r="N45" s="127"/>
      <c r="O45" s="128" t="s">
        <v>160</v>
      </c>
      <c r="P45" s="127"/>
      <c r="Q45" s="129"/>
    </row>
    <row r="46" spans="1:17" x14ac:dyDescent="0.2">
      <c r="A46" t="str">
        <f>'Customer Summary'!C6</f>
        <v>Floor Joists &amp; Floor Decking</v>
      </c>
      <c r="C46" t="str">
        <f>Costing!B50</f>
        <v>Joists/Timbers, 100 x 50</v>
      </c>
      <c r="D46" s="112">
        <f>Costing!F50</f>
        <v>0</v>
      </c>
      <c r="E46" s="112">
        <f>Costing!I50</f>
        <v>5.46</v>
      </c>
      <c r="F46" t="str">
        <f>Costing!G50</f>
        <v>LM</v>
      </c>
      <c r="G46" t="s">
        <v>117</v>
      </c>
      <c r="H46" s="112">
        <f>Costing!J50*100</f>
        <v>30</v>
      </c>
      <c r="I46" t="s">
        <v>81</v>
      </c>
      <c r="J46" t="s">
        <v>82</v>
      </c>
      <c r="K46" t="s">
        <v>83</v>
      </c>
      <c r="L46" t="s">
        <v>84</v>
      </c>
      <c r="M46" t="str">
        <f t="shared" ref="M46:M53" si="17">IF(J46="MTL","Preservation Shop","")</f>
        <v>Preservation Shop</v>
      </c>
      <c r="N46" s="134">
        <f t="shared" si="4"/>
        <v>0</v>
      </c>
      <c r="O46" s="111" t="s">
        <v>160</v>
      </c>
      <c r="P46" s="134">
        <f t="shared" ref="P46:P81" si="18">N46*(1+(H46/100))</f>
        <v>0</v>
      </c>
      <c r="Q46" s="111" t="s">
        <v>84</v>
      </c>
    </row>
    <row r="47" spans="1:17" x14ac:dyDescent="0.2">
      <c r="A47" t="str">
        <f>A46</f>
        <v>Floor Joists &amp; Floor Decking</v>
      </c>
      <c r="C47" t="str">
        <f>Costing!B51</f>
        <v>Joists/Timbers, 125 x 50</v>
      </c>
      <c r="D47" s="112">
        <f>Costing!F51</f>
        <v>0</v>
      </c>
      <c r="E47" s="112">
        <f>Costing!I51</f>
        <v>6.5</v>
      </c>
      <c r="F47" t="str">
        <f>Costing!G51</f>
        <v>LM</v>
      </c>
      <c r="G47" t="s">
        <v>117</v>
      </c>
      <c r="H47" s="112">
        <f>Costing!J51*100</f>
        <v>30</v>
      </c>
      <c r="I47" t="s">
        <v>81</v>
      </c>
      <c r="J47" t="s">
        <v>82</v>
      </c>
      <c r="K47" t="s">
        <v>83</v>
      </c>
      <c r="L47" t="s">
        <v>84</v>
      </c>
      <c r="M47" t="str">
        <f t="shared" si="17"/>
        <v>Preservation Shop</v>
      </c>
      <c r="N47" s="134">
        <f t="shared" si="4"/>
        <v>0</v>
      </c>
      <c r="O47" s="111" t="s">
        <v>160</v>
      </c>
      <c r="P47" s="134">
        <f t="shared" si="18"/>
        <v>0</v>
      </c>
      <c r="Q47" s="111" t="s">
        <v>84</v>
      </c>
    </row>
    <row r="48" spans="1:17" x14ac:dyDescent="0.2">
      <c r="A48" t="str">
        <f t="shared" ref="A48:A83" si="19">A47</f>
        <v>Floor Joists &amp; Floor Decking</v>
      </c>
      <c r="C48" t="str">
        <f>Costing!B52</f>
        <v>Joists/Timbers, 150 x 50</v>
      </c>
      <c r="D48" s="112">
        <f>Costing!F52</f>
        <v>0</v>
      </c>
      <c r="E48" s="112">
        <f>Costing!I52</f>
        <v>7.7</v>
      </c>
      <c r="F48" t="str">
        <f>Costing!G52</f>
        <v>LM</v>
      </c>
      <c r="G48" t="s">
        <v>117</v>
      </c>
      <c r="H48" s="112">
        <f>Costing!J52*100</f>
        <v>30</v>
      </c>
      <c r="I48" t="s">
        <v>81</v>
      </c>
      <c r="J48" t="s">
        <v>82</v>
      </c>
      <c r="K48" t="s">
        <v>83</v>
      </c>
      <c r="L48" t="s">
        <v>84</v>
      </c>
      <c r="M48" t="str">
        <f t="shared" si="17"/>
        <v>Preservation Shop</v>
      </c>
      <c r="N48" s="134">
        <f t="shared" si="4"/>
        <v>0</v>
      </c>
      <c r="O48" s="111" t="s">
        <v>160</v>
      </c>
      <c r="P48" s="134">
        <f t="shared" si="18"/>
        <v>0</v>
      </c>
      <c r="Q48" s="111" t="s">
        <v>84</v>
      </c>
    </row>
    <row r="49" spans="1:17" x14ac:dyDescent="0.2">
      <c r="A49" t="str">
        <f t="shared" si="19"/>
        <v>Floor Joists &amp; Floor Decking</v>
      </c>
      <c r="C49" t="str">
        <f>Costing!B53</f>
        <v>Joists/Timbers, 175 x 50</v>
      </c>
      <c r="D49" s="112">
        <f>Costing!F53</f>
        <v>0</v>
      </c>
      <c r="E49" s="112">
        <f>Costing!I53</f>
        <v>8</v>
      </c>
      <c r="F49" t="str">
        <f>Costing!G53</f>
        <v>LM</v>
      </c>
      <c r="G49" t="s">
        <v>117</v>
      </c>
      <c r="H49" s="112">
        <f>Costing!J53*100</f>
        <v>30</v>
      </c>
      <c r="I49" t="s">
        <v>81</v>
      </c>
      <c r="J49" t="s">
        <v>82</v>
      </c>
      <c r="K49" t="s">
        <v>83</v>
      </c>
      <c r="L49" t="s">
        <v>84</v>
      </c>
      <c r="M49" t="str">
        <f t="shared" si="17"/>
        <v>Preservation Shop</v>
      </c>
      <c r="N49" s="134">
        <f t="shared" si="4"/>
        <v>0</v>
      </c>
      <c r="O49" s="111" t="s">
        <v>160</v>
      </c>
      <c r="P49" s="134">
        <f t="shared" si="18"/>
        <v>0</v>
      </c>
      <c r="Q49" s="111" t="s">
        <v>84</v>
      </c>
    </row>
    <row r="50" spans="1:17" x14ac:dyDescent="0.2">
      <c r="A50" t="str">
        <f t="shared" si="19"/>
        <v>Floor Joists &amp; Floor Decking</v>
      </c>
      <c r="C50" t="str">
        <f>Costing!B54</f>
        <v>Joists/Timbers, 200 x 50</v>
      </c>
      <c r="D50" s="112">
        <f>Costing!F54</f>
        <v>0</v>
      </c>
      <c r="E50" s="112">
        <f>Costing!I54</f>
        <v>8.9</v>
      </c>
      <c r="F50" t="str">
        <f>Costing!G54</f>
        <v>LM</v>
      </c>
      <c r="G50" t="s">
        <v>117</v>
      </c>
      <c r="H50" s="112">
        <f>Costing!J54*100</f>
        <v>30</v>
      </c>
      <c r="I50" t="s">
        <v>81</v>
      </c>
      <c r="J50" t="s">
        <v>82</v>
      </c>
      <c r="K50" t="s">
        <v>83</v>
      </c>
      <c r="L50" t="s">
        <v>84</v>
      </c>
      <c r="M50" t="str">
        <f t="shared" si="17"/>
        <v>Preservation Shop</v>
      </c>
      <c r="N50" s="134">
        <f t="shared" si="4"/>
        <v>0</v>
      </c>
      <c r="O50" s="111" t="s">
        <v>160</v>
      </c>
      <c r="P50" s="134">
        <f t="shared" si="18"/>
        <v>0</v>
      </c>
      <c r="Q50" s="111" t="s">
        <v>84</v>
      </c>
    </row>
    <row r="51" spans="1:17" x14ac:dyDescent="0.2">
      <c r="A51" t="str">
        <f t="shared" si="19"/>
        <v>Floor Joists &amp; Floor Decking</v>
      </c>
      <c r="C51" t="str">
        <f>Costing!B55</f>
        <v>Joists/Timbers, 225 x 50</v>
      </c>
      <c r="D51" s="112">
        <f>Costing!F55</f>
        <v>0</v>
      </c>
      <c r="E51" s="112">
        <f>Costing!I55</f>
        <v>9.5</v>
      </c>
      <c r="F51" t="str">
        <f>Costing!G55</f>
        <v>LM</v>
      </c>
      <c r="G51" t="s">
        <v>117</v>
      </c>
      <c r="H51" s="112">
        <f>Costing!J55*100</f>
        <v>30</v>
      </c>
      <c r="I51" t="s">
        <v>81</v>
      </c>
      <c r="J51" t="s">
        <v>82</v>
      </c>
      <c r="K51" t="s">
        <v>83</v>
      </c>
      <c r="L51" t="s">
        <v>84</v>
      </c>
      <c r="M51" t="str">
        <f t="shared" si="17"/>
        <v>Preservation Shop</v>
      </c>
      <c r="N51" s="134">
        <f t="shared" si="4"/>
        <v>0</v>
      </c>
      <c r="O51" s="111" t="s">
        <v>160</v>
      </c>
      <c r="P51" s="134">
        <f t="shared" si="18"/>
        <v>0</v>
      </c>
      <c r="Q51" s="111" t="s">
        <v>84</v>
      </c>
    </row>
    <row r="52" spans="1:17" x14ac:dyDescent="0.2">
      <c r="A52" t="str">
        <f t="shared" si="19"/>
        <v>Floor Joists &amp; Floor Decking</v>
      </c>
      <c r="C52" t="str">
        <f>Costing!B56</f>
        <v>Treat and endwrap joist</v>
      </c>
      <c r="D52" s="112">
        <f>Costing!F56</f>
        <v>0</v>
      </c>
      <c r="E52" s="112">
        <f>Costing!I56</f>
        <v>3</v>
      </c>
      <c r="F52" t="str">
        <f>Costing!G56</f>
        <v>Each</v>
      </c>
      <c r="G52" t="s">
        <v>117</v>
      </c>
      <c r="H52" s="112">
        <f>Costing!J56*100</f>
        <v>30</v>
      </c>
      <c r="I52" t="s">
        <v>81</v>
      </c>
      <c r="J52" t="s">
        <v>82</v>
      </c>
      <c r="K52" t="s">
        <v>83</v>
      </c>
      <c r="L52" t="s">
        <v>84</v>
      </c>
      <c r="M52" t="str">
        <f t="shared" si="17"/>
        <v>Preservation Shop</v>
      </c>
      <c r="N52" s="134">
        <f t="shared" si="4"/>
        <v>0</v>
      </c>
      <c r="O52" s="111" t="s">
        <v>160</v>
      </c>
      <c r="P52" s="134">
        <f t="shared" si="18"/>
        <v>0</v>
      </c>
      <c r="Q52" s="111" t="s">
        <v>84</v>
      </c>
    </row>
    <row r="53" spans="1:17" x14ac:dyDescent="0.2">
      <c r="A53" t="str">
        <f t="shared" si="19"/>
        <v>Floor Joists &amp; Floor Decking</v>
      </c>
      <c r="C53" t="str">
        <f>Costing!B57</f>
        <v>Wall plate 100x25</v>
      </c>
      <c r="D53" s="112">
        <f>Costing!F57</f>
        <v>0</v>
      </c>
      <c r="E53" s="112">
        <f>Costing!I57</f>
        <v>4.84</v>
      </c>
      <c r="F53" t="str">
        <f>Costing!G57</f>
        <v>Each</v>
      </c>
      <c r="G53" t="s">
        <v>117</v>
      </c>
      <c r="H53" s="112">
        <f>Costing!J57*100</f>
        <v>30</v>
      </c>
      <c r="I53" t="s">
        <v>81</v>
      </c>
      <c r="J53" t="s">
        <v>82</v>
      </c>
      <c r="K53" t="s">
        <v>83</v>
      </c>
      <c r="L53" t="s">
        <v>84</v>
      </c>
      <c r="M53" t="str">
        <f t="shared" si="17"/>
        <v>Preservation Shop</v>
      </c>
      <c r="N53" s="134">
        <f t="shared" si="4"/>
        <v>0</v>
      </c>
      <c r="O53" s="111" t="s">
        <v>160</v>
      </c>
      <c r="P53" s="134">
        <f t="shared" si="18"/>
        <v>0</v>
      </c>
      <c r="Q53" s="111" t="s">
        <v>84</v>
      </c>
    </row>
    <row r="54" spans="1:17" x14ac:dyDescent="0.2">
      <c r="A54" t="str">
        <f t="shared" si="19"/>
        <v>Floor Joists &amp; Floor Decking</v>
      </c>
      <c r="C54" t="str">
        <f>Costing!B58</f>
        <v>Bower beams (pair)</v>
      </c>
      <c r="D54" s="112">
        <f>Costing!F58</f>
        <v>0</v>
      </c>
      <c r="E54" s="112">
        <f>Costing!I58</f>
        <v>36</v>
      </c>
      <c r="F54" t="str">
        <f>Costing!G58</f>
        <v>Pairs</v>
      </c>
      <c r="G54" t="s">
        <v>117</v>
      </c>
      <c r="H54" s="112">
        <f>Costing!J58*100</f>
        <v>30</v>
      </c>
      <c r="I54" t="s">
        <v>81</v>
      </c>
      <c r="J54" t="s">
        <v>82</v>
      </c>
      <c r="K54" t="s">
        <v>83</v>
      </c>
      <c r="L54" t="s">
        <v>84</v>
      </c>
      <c r="M54" t="str">
        <f t="shared" ref="M54" si="20">IF(J54="MTL","Preservation Shop","")</f>
        <v>Preservation Shop</v>
      </c>
      <c r="N54" s="134">
        <f t="shared" si="4"/>
        <v>0</v>
      </c>
      <c r="O54" s="111" t="s">
        <v>160</v>
      </c>
      <c r="P54" s="134">
        <f t="shared" si="18"/>
        <v>0</v>
      </c>
      <c r="Q54" s="111" t="s">
        <v>84</v>
      </c>
    </row>
    <row r="55" spans="1:17" x14ac:dyDescent="0.2">
      <c r="A55" t="str">
        <f t="shared" si="19"/>
        <v>Floor Joists &amp; Floor Decking</v>
      </c>
      <c r="C55" t="str">
        <f>Costing!B59</f>
        <v>Flitch plates (pair)</v>
      </c>
      <c r="D55" s="112">
        <f>Costing!F59</f>
        <v>0</v>
      </c>
      <c r="E55" s="112">
        <f>Costing!I59</f>
        <v>42</v>
      </c>
      <c r="F55" t="str">
        <f>Costing!G59</f>
        <v>Pairs</v>
      </c>
      <c r="G55" t="s">
        <v>117</v>
      </c>
      <c r="H55" s="112">
        <f>Costing!J59*100</f>
        <v>30</v>
      </c>
      <c r="I55" t="s">
        <v>81</v>
      </c>
      <c r="J55" t="s">
        <v>82</v>
      </c>
      <c r="K55" t="s">
        <v>83</v>
      </c>
      <c r="L55" t="s">
        <v>84</v>
      </c>
      <c r="M55" t="str">
        <f t="shared" ref="M55" si="21">IF(J55="MTL","Preservation Shop","")</f>
        <v>Preservation Shop</v>
      </c>
      <c r="N55" s="134">
        <f t="shared" si="4"/>
        <v>0</v>
      </c>
      <c r="O55" s="111" t="s">
        <v>160</v>
      </c>
      <c r="P55" s="134">
        <f t="shared" si="18"/>
        <v>0</v>
      </c>
      <c r="Q55" s="111" t="s">
        <v>84</v>
      </c>
    </row>
    <row r="56" spans="1:17" x14ac:dyDescent="0.2">
      <c r="A56" t="str">
        <f t="shared" si="19"/>
        <v>Floor Joists &amp; Floor Decking</v>
      </c>
      <c r="C56" t="str">
        <f>Costing!B61</f>
        <v>Install Weyrock flooring 18mm (M2)</v>
      </c>
      <c r="D56" s="112">
        <f>Costing!F61</f>
        <v>20</v>
      </c>
      <c r="E56" s="112">
        <f>Costing!I61</f>
        <v>18</v>
      </c>
      <c r="F56" t="str">
        <f>Costing!G61</f>
        <v>M2</v>
      </c>
      <c r="G56" t="s">
        <v>117</v>
      </c>
      <c r="H56" s="112">
        <f>Costing!J61*100</f>
        <v>30</v>
      </c>
      <c r="I56" t="s">
        <v>81</v>
      </c>
      <c r="J56" t="s">
        <v>82</v>
      </c>
      <c r="K56" t="s">
        <v>83</v>
      </c>
      <c r="L56" t="s">
        <v>84</v>
      </c>
      <c r="M56" t="str">
        <f t="shared" si="5"/>
        <v>Preservation Shop</v>
      </c>
      <c r="N56" s="134">
        <f t="shared" si="4"/>
        <v>360</v>
      </c>
      <c r="O56" s="111" t="s">
        <v>160</v>
      </c>
      <c r="P56" s="134">
        <f t="shared" si="18"/>
        <v>468</v>
      </c>
      <c r="Q56" s="111" t="s">
        <v>84</v>
      </c>
    </row>
    <row r="57" spans="1:17" x14ac:dyDescent="0.2">
      <c r="A57" t="str">
        <f t="shared" si="19"/>
        <v>Floor Joists &amp; Floor Decking</v>
      </c>
      <c r="C57" t="str">
        <f>Costing!B62</f>
        <v>Install Weyrock flooring 22mm (M2)</v>
      </c>
      <c r="D57" s="112">
        <f>Costing!F62</f>
        <v>20</v>
      </c>
      <c r="E57" s="112">
        <f>Costing!I62</f>
        <v>22</v>
      </c>
      <c r="F57" t="str">
        <f>Costing!G62</f>
        <v>M2</v>
      </c>
      <c r="G57" t="s">
        <v>117</v>
      </c>
      <c r="H57" s="112">
        <f>Costing!J62*100</f>
        <v>30</v>
      </c>
      <c r="I57" t="s">
        <v>81</v>
      </c>
      <c r="J57" t="s">
        <v>82</v>
      </c>
      <c r="K57" t="s">
        <v>83</v>
      </c>
      <c r="L57" t="s">
        <v>84</v>
      </c>
      <c r="M57" t="str">
        <f t="shared" si="5"/>
        <v>Preservation Shop</v>
      </c>
      <c r="N57" s="134">
        <f t="shared" si="4"/>
        <v>440</v>
      </c>
      <c r="O57" s="111" t="s">
        <v>160</v>
      </c>
      <c r="P57" s="134">
        <f t="shared" si="18"/>
        <v>572</v>
      </c>
      <c r="Q57" s="111" t="s">
        <v>84</v>
      </c>
    </row>
    <row r="58" spans="1:17" x14ac:dyDescent="0.2">
      <c r="A58" t="str">
        <f t="shared" si="19"/>
        <v>Floor Joists &amp; Floor Decking</v>
      </c>
      <c r="C58" t="str">
        <f>Costing!B63</f>
        <v>Install std T&amp;G Floorboards (M2)</v>
      </c>
      <c r="D58" s="112">
        <f>Costing!F63</f>
        <v>20</v>
      </c>
      <c r="E58" s="112">
        <f>Costing!I63</f>
        <v>46.3</v>
      </c>
      <c r="F58" t="str">
        <f>Costing!G63</f>
        <v>M2</v>
      </c>
      <c r="G58" t="s">
        <v>117</v>
      </c>
      <c r="H58" s="112">
        <f>Costing!J63*100</f>
        <v>30</v>
      </c>
      <c r="I58" t="s">
        <v>81</v>
      </c>
      <c r="J58" t="s">
        <v>82</v>
      </c>
      <c r="K58" t="s">
        <v>83</v>
      </c>
      <c r="L58" t="s">
        <v>84</v>
      </c>
      <c r="M58" t="str">
        <f t="shared" si="5"/>
        <v>Preservation Shop</v>
      </c>
      <c r="N58" s="134">
        <f t="shared" si="4"/>
        <v>926</v>
      </c>
      <c r="O58" s="111" t="s">
        <v>160</v>
      </c>
      <c r="P58" s="134">
        <f t="shared" si="18"/>
        <v>1203.8</v>
      </c>
      <c r="Q58" s="111" t="s">
        <v>84</v>
      </c>
    </row>
    <row r="59" spans="1:17" x14ac:dyDescent="0.2">
      <c r="A59" t="str">
        <f t="shared" si="19"/>
        <v>Floor Joists &amp; Floor Decking</v>
      </c>
      <c r="C59" t="str">
        <f>Costing!B64</f>
        <v>Install victorian T&amp;G Floorboards (M2)</v>
      </c>
      <c r="D59" s="112">
        <f>Costing!F64</f>
        <v>20</v>
      </c>
      <c r="E59" s="112">
        <f>Costing!I64</f>
        <v>52.800000000000004</v>
      </c>
      <c r="F59" t="str">
        <f>Costing!G64</f>
        <v>M2</v>
      </c>
      <c r="G59" t="s">
        <v>117</v>
      </c>
      <c r="H59" s="112">
        <f>Costing!J64*100</f>
        <v>30</v>
      </c>
      <c r="I59" t="s">
        <v>81</v>
      </c>
      <c r="J59" t="s">
        <v>82</v>
      </c>
      <c r="K59" t="s">
        <v>83</v>
      </c>
      <c r="L59" t="s">
        <v>84</v>
      </c>
      <c r="M59" t="str">
        <f t="shared" ref="M59" si="22">IF(J59="MTL","Preservation Shop","")</f>
        <v>Preservation Shop</v>
      </c>
      <c r="N59" s="134">
        <f t="shared" ref="N59" si="23">D59*E59</f>
        <v>1056</v>
      </c>
      <c r="O59" s="111" t="s">
        <v>160</v>
      </c>
      <c r="P59" s="134">
        <f t="shared" si="18"/>
        <v>1372.8</v>
      </c>
      <c r="Q59" s="111" t="s">
        <v>84</v>
      </c>
    </row>
    <row r="60" spans="1:17" x14ac:dyDescent="0.2">
      <c r="A60" t="str">
        <f t="shared" si="19"/>
        <v>Floor Joists &amp; Floor Decking</v>
      </c>
      <c r="C60" t="str">
        <f>Costing!B65</f>
        <v>Install Engineered Flooring sheet (M2)</v>
      </c>
      <c r="D60" s="112">
        <f>Costing!F65</f>
        <v>20</v>
      </c>
      <c r="E60" s="112">
        <f>Costing!I65</f>
        <v>49.99</v>
      </c>
      <c r="F60" t="str">
        <f>Costing!G65</f>
        <v>M2</v>
      </c>
      <c r="G60" t="s">
        <v>117</v>
      </c>
      <c r="H60" s="112">
        <f>Costing!J65*100</f>
        <v>30</v>
      </c>
      <c r="I60" t="s">
        <v>81</v>
      </c>
      <c r="J60" t="s">
        <v>82</v>
      </c>
      <c r="K60" t="s">
        <v>83</v>
      </c>
      <c r="L60" t="s">
        <v>84</v>
      </c>
      <c r="M60" t="str">
        <f t="shared" ref="M60" si="24">IF(J60="MTL","Preservation Shop","")</f>
        <v>Preservation Shop</v>
      </c>
      <c r="N60" s="134">
        <f t="shared" ref="N60" si="25">D60*E60</f>
        <v>999.80000000000007</v>
      </c>
      <c r="O60" s="111" t="s">
        <v>160</v>
      </c>
      <c r="P60" s="134">
        <f t="shared" ref="P60" si="26">N60*(1+(H60/100))</f>
        <v>1299.7400000000002</v>
      </c>
      <c r="Q60" s="111" t="s">
        <v>84</v>
      </c>
    </row>
    <row r="61" spans="1:17" x14ac:dyDescent="0.2">
      <c r="A61" t="str">
        <f t="shared" si="19"/>
        <v>Floor Joists &amp; Floor Decking</v>
      </c>
      <c r="C61" t="str">
        <f>Costing!B66</f>
        <v>Install Structural Engineered Flooring sheet (M2) onto joists</v>
      </c>
      <c r="D61" s="112">
        <f>Costing!F66</f>
        <v>20</v>
      </c>
      <c r="E61" s="112">
        <f>Costing!I66</f>
        <v>52.800000000000004</v>
      </c>
      <c r="F61" t="str">
        <f>Costing!G66</f>
        <v>M2</v>
      </c>
      <c r="G61" t="s">
        <v>117</v>
      </c>
      <c r="H61" s="112">
        <f>Costing!J66*100</f>
        <v>30</v>
      </c>
      <c r="I61" t="s">
        <v>81</v>
      </c>
      <c r="J61" t="s">
        <v>82</v>
      </c>
      <c r="K61" t="s">
        <v>83</v>
      </c>
      <c r="L61" t="s">
        <v>84</v>
      </c>
      <c r="M61" t="str">
        <f t="shared" ref="M61" si="27">IF(J61="MTL","Preservation Shop","")</f>
        <v>Preservation Shop</v>
      </c>
      <c r="N61" s="134">
        <f t="shared" ref="N61" si="28">D61*E61</f>
        <v>1056</v>
      </c>
      <c r="O61" s="111" t="s">
        <v>160</v>
      </c>
      <c r="P61" s="134">
        <f t="shared" ref="P61" si="29">N61*(1+(H61/100))</f>
        <v>1372.8</v>
      </c>
      <c r="Q61" s="111" t="s">
        <v>84</v>
      </c>
    </row>
    <row r="62" spans="1:17" x14ac:dyDescent="0.2">
      <c r="A62" t="str">
        <f t="shared" si="19"/>
        <v>Floor Joists &amp; Floor Decking</v>
      </c>
      <c r="C62" t="str">
        <f>Costing!B67</f>
        <v>Provide insulation to suspended flooring</v>
      </c>
      <c r="D62" s="112">
        <f>Costing!F67</f>
        <v>0</v>
      </c>
      <c r="E62" s="112">
        <f>Costing!I67</f>
        <v>6.8000000000000007</v>
      </c>
      <c r="F62" t="str">
        <f>Costing!G67</f>
        <v>M2</v>
      </c>
      <c r="G62" t="s">
        <v>117</v>
      </c>
      <c r="H62" s="112">
        <f>Costing!J67*100</f>
        <v>30</v>
      </c>
      <c r="I62" t="s">
        <v>81</v>
      </c>
      <c r="J62" t="s">
        <v>82</v>
      </c>
      <c r="K62" t="s">
        <v>83</v>
      </c>
      <c r="L62" t="s">
        <v>84</v>
      </c>
      <c r="M62" t="str">
        <f t="shared" ref="M62" si="30">IF(J62="MTL","Preservation Shop","")</f>
        <v>Preservation Shop</v>
      </c>
      <c r="N62" s="134">
        <f t="shared" ref="N62" si="31">D62*E62</f>
        <v>0</v>
      </c>
      <c r="O62" s="111" t="s">
        <v>160</v>
      </c>
      <c r="P62" s="134">
        <f t="shared" ref="P62" si="32">N62*(1+(H62/100))</f>
        <v>0</v>
      </c>
      <c r="Q62" s="111" t="s">
        <v>84</v>
      </c>
    </row>
    <row r="63" spans="1:17" x14ac:dyDescent="0.2">
      <c r="A63" t="str">
        <f>A58</f>
        <v>Floor Joists &amp; Floor Decking</v>
      </c>
      <c r="C63" t="str">
        <f>Costing!B68</f>
        <v>Difficulty hours (additional hours if required)</v>
      </c>
      <c r="D63" s="112">
        <f>Costing!F68</f>
        <v>2</v>
      </c>
      <c r="E63" s="112">
        <f>Costing!I68</f>
        <v>0</v>
      </c>
      <c r="F63" t="str">
        <f>Costing!G68</f>
        <v>Hours</v>
      </c>
      <c r="G63" t="s">
        <v>117</v>
      </c>
      <c r="H63" s="112">
        <f>Costing!J68*100</f>
        <v>30</v>
      </c>
      <c r="I63" t="s">
        <v>81</v>
      </c>
      <c r="J63" t="s">
        <v>82</v>
      </c>
      <c r="K63" t="s">
        <v>83</v>
      </c>
      <c r="L63" t="s">
        <v>84</v>
      </c>
      <c r="M63" t="str">
        <f t="shared" si="5"/>
        <v>Preservation Shop</v>
      </c>
      <c r="N63" s="134">
        <f t="shared" si="4"/>
        <v>0</v>
      </c>
      <c r="O63" s="111" t="s">
        <v>160</v>
      </c>
      <c r="P63" s="134">
        <f t="shared" si="18"/>
        <v>0</v>
      </c>
      <c r="Q63" s="111" t="s">
        <v>84</v>
      </c>
    </row>
    <row r="64" spans="1:17" x14ac:dyDescent="0.2">
      <c r="A64" t="str">
        <f t="shared" si="19"/>
        <v>Floor Joists &amp; Floor Decking</v>
      </c>
      <c r="C64" t="str">
        <f>Costing!M50</f>
        <v>Joists/Timbers, 100 x 50</v>
      </c>
      <c r="D64" s="112">
        <f>Costing!O50</f>
        <v>0</v>
      </c>
      <c r="E64" s="112">
        <f>Costing!Q50</f>
        <v>30.630000000000003</v>
      </c>
      <c r="F64" t="s">
        <v>2</v>
      </c>
      <c r="G64" t="s">
        <v>116</v>
      </c>
      <c r="H64" s="112">
        <f>Costing!R50*100</f>
        <v>100</v>
      </c>
      <c r="I64" t="s">
        <v>81</v>
      </c>
      <c r="J64" t="s">
        <v>85</v>
      </c>
      <c r="K64" t="s">
        <v>83</v>
      </c>
      <c r="L64" t="s">
        <v>84</v>
      </c>
      <c r="M64" t="str">
        <f t="shared" si="5"/>
        <v/>
      </c>
      <c r="N64" s="134">
        <f t="shared" si="4"/>
        <v>0</v>
      </c>
      <c r="O64" s="111" t="s">
        <v>160</v>
      </c>
      <c r="P64" s="134">
        <f t="shared" si="18"/>
        <v>0</v>
      </c>
      <c r="Q64" s="111" t="s">
        <v>84</v>
      </c>
    </row>
    <row r="65" spans="1:17" x14ac:dyDescent="0.2">
      <c r="A65" t="str">
        <f t="shared" si="19"/>
        <v>Floor Joists &amp; Floor Decking</v>
      </c>
      <c r="C65" t="str">
        <f>Costing!M51</f>
        <v>Joists/Timbers, 125 x 50</v>
      </c>
      <c r="D65" s="112">
        <f>Costing!O51</f>
        <v>0</v>
      </c>
      <c r="E65" s="112">
        <f>Costing!Q51</f>
        <v>30.630000000000003</v>
      </c>
      <c r="F65" t="s">
        <v>2</v>
      </c>
      <c r="G65" t="s">
        <v>116</v>
      </c>
      <c r="H65" s="112">
        <f>Costing!R51*100</f>
        <v>100</v>
      </c>
      <c r="I65" t="s">
        <v>81</v>
      </c>
      <c r="J65" t="s">
        <v>85</v>
      </c>
      <c r="K65" t="s">
        <v>83</v>
      </c>
      <c r="L65" t="s">
        <v>84</v>
      </c>
      <c r="M65" t="str">
        <f t="shared" si="5"/>
        <v/>
      </c>
      <c r="N65" s="134">
        <f t="shared" si="4"/>
        <v>0</v>
      </c>
      <c r="O65" s="111" t="s">
        <v>160</v>
      </c>
      <c r="P65" s="134">
        <f t="shared" si="18"/>
        <v>0</v>
      </c>
      <c r="Q65" s="111" t="s">
        <v>84</v>
      </c>
    </row>
    <row r="66" spans="1:17" x14ac:dyDescent="0.2">
      <c r="A66" t="str">
        <f t="shared" si="19"/>
        <v>Floor Joists &amp; Floor Decking</v>
      </c>
      <c r="C66" t="str">
        <f>Costing!M52</f>
        <v>Joists/Timbers, 150 x 50</v>
      </c>
      <c r="D66" s="112">
        <f>Costing!O52</f>
        <v>0</v>
      </c>
      <c r="E66" s="112">
        <f>Costing!Q52</f>
        <v>30.630000000000003</v>
      </c>
      <c r="F66" t="s">
        <v>2</v>
      </c>
      <c r="G66" t="s">
        <v>116</v>
      </c>
      <c r="H66" s="112">
        <f>Costing!R52*100</f>
        <v>100</v>
      </c>
      <c r="I66" t="s">
        <v>81</v>
      </c>
      <c r="J66" t="s">
        <v>85</v>
      </c>
      <c r="K66" t="s">
        <v>83</v>
      </c>
      <c r="L66" t="s">
        <v>84</v>
      </c>
      <c r="M66" t="str">
        <f t="shared" si="5"/>
        <v/>
      </c>
      <c r="N66" s="134">
        <f t="shared" si="4"/>
        <v>0</v>
      </c>
      <c r="O66" s="111" t="s">
        <v>160</v>
      </c>
      <c r="P66" s="134">
        <f t="shared" si="18"/>
        <v>0</v>
      </c>
      <c r="Q66" s="111" t="s">
        <v>84</v>
      </c>
    </row>
    <row r="67" spans="1:17" x14ac:dyDescent="0.2">
      <c r="A67" t="str">
        <f t="shared" si="19"/>
        <v>Floor Joists &amp; Floor Decking</v>
      </c>
      <c r="C67" t="str">
        <f>Costing!M53</f>
        <v>Joists/Timbers, 175 x 50</v>
      </c>
      <c r="D67" s="112">
        <f>Costing!O53</f>
        <v>0</v>
      </c>
      <c r="E67" s="112">
        <f>Costing!Q53</f>
        <v>30.630000000000003</v>
      </c>
      <c r="F67" t="s">
        <v>2</v>
      </c>
      <c r="G67" t="s">
        <v>116</v>
      </c>
      <c r="H67" s="112">
        <f>Costing!R53*100</f>
        <v>100</v>
      </c>
      <c r="I67" t="s">
        <v>81</v>
      </c>
      <c r="J67" t="s">
        <v>85</v>
      </c>
      <c r="K67" t="s">
        <v>83</v>
      </c>
      <c r="L67" t="s">
        <v>84</v>
      </c>
      <c r="M67" t="str">
        <f t="shared" si="5"/>
        <v/>
      </c>
      <c r="N67" s="134">
        <f t="shared" si="4"/>
        <v>0</v>
      </c>
      <c r="O67" s="111" t="s">
        <v>160</v>
      </c>
      <c r="P67" s="134">
        <f t="shared" si="18"/>
        <v>0</v>
      </c>
      <c r="Q67" s="111" t="s">
        <v>84</v>
      </c>
    </row>
    <row r="68" spans="1:17" x14ac:dyDescent="0.2">
      <c r="A68" t="str">
        <f t="shared" si="19"/>
        <v>Floor Joists &amp; Floor Decking</v>
      </c>
      <c r="C68" t="str">
        <f>Costing!M54</f>
        <v>Joists/Timbers, 200 x 50</v>
      </c>
      <c r="D68" s="112">
        <f>Costing!O54</f>
        <v>0</v>
      </c>
      <c r="E68" s="112">
        <f>Costing!Q54</f>
        <v>30.630000000000003</v>
      </c>
      <c r="F68" t="s">
        <v>2</v>
      </c>
      <c r="G68" t="s">
        <v>116</v>
      </c>
      <c r="H68" s="112">
        <f>Costing!R54*100</f>
        <v>100</v>
      </c>
      <c r="I68" t="s">
        <v>81</v>
      </c>
      <c r="J68" t="s">
        <v>85</v>
      </c>
      <c r="K68" t="s">
        <v>83</v>
      </c>
      <c r="L68" t="s">
        <v>84</v>
      </c>
      <c r="M68" t="str">
        <f t="shared" si="5"/>
        <v/>
      </c>
      <c r="N68" s="134">
        <f t="shared" si="4"/>
        <v>0</v>
      </c>
      <c r="O68" s="111" t="s">
        <v>160</v>
      </c>
      <c r="P68" s="134">
        <f t="shared" si="18"/>
        <v>0</v>
      </c>
      <c r="Q68" s="111" t="s">
        <v>84</v>
      </c>
    </row>
    <row r="69" spans="1:17" x14ac:dyDescent="0.2">
      <c r="A69" t="str">
        <f t="shared" si="19"/>
        <v>Floor Joists &amp; Floor Decking</v>
      </c>
      <c r="C69" t="str">
        <f>Costing!M55</f>
        <v>Joists/Timbers, 225 x 50</v>
      </c>
      <c r="D69" s="112">
        <f>Costing!O55</f>
        <v>0</v>
      </c>
      <c r="E69" s="112">
        <f>Costing!Q55</f>
        <v>30.630000000000003</v>
      </c>
      <c r="F69" t="s">
        <v>2</v>
      </c>
      <c r="G69" t="s">
        <v>116</v>
      </c>
      <c r="H69" s="112">
        <f>Costing!R55*100</f>
        <v>100</v>
      </c>
      <c r="I69" t="s">
        <v>81</v>
      </c>
      <c r="J69" t="s">
        <v>85</v>
      </c>
      <c r="K69" t="s">
        <v>83</v>
      </c>
      <c r="L69" t="s">
        <v>84</v>
      </c>
      <c r="M69" t="str">
        <f t="shared" si="5"/>
        <v/>
      </c>
      <c r="N69" s="134">
        <f t="shared" si="4"/>
        <v>0</v>
      </c>
      <c r="O69" s="111" t="s">
        <v>160</v>
      </c>
      <c r="P69" s="134">
        <f t="shared" si="18"/>
        <v>0</v>
      </c>
      <c r="Q69" s="111" t="s">
        <v>84</v>
      </c>
    </row>
    <row r="70" spans="1:17" x14ac:dyDescent="0.2">
      <c r="A70" t="str">
        <f t="shared" si="19"/>
        <v>Floor Joists &amp; Floor Decking</v>
      </c>
      <c r="C70" t="str">
        <f>Costing!M56</f>
        <v>Treat and endwrap joist</v>
      </c>
      <c r="D70" s="112">
        <f>Costing!O56</f>
        <v>0</v>
      </c>
      <c r="E70" s="112">
        <f>Costing!Q56</f>
        <v>30.630000000000003</v>
      </c>
      <c r="F70" t="s">
        <v>2</v>
      </c>
      <c r="G70" t="s">
        <v>116</v>
      </c>
      <c r="H70" s="112">
        <f>Costing!R56*100</f>
        <v>100</v>
      </c>
      <c r="I70" t="s">
        <v>81</v>
      </c>
      <c r="J70" t="s">
        <v>85</v>
      </c>
      <c r="K70" t="s">
        <v>83</v>
      </c>
      <c r="L70" t="s">
        <v>84</v>
      </c>
      <c r="M70" t="str">
        <f t="shared" si="5"/>
        <v/>
      </c>
      <c r="N70" s="134">
        <f t="shared" si="4"/>
        <v>0</v>
      </c>
      <c r="O70" s="111" t="s">
        <v>160</v>
      </c>
      <c r="P70" s="134">
        <f t="shared" si="18"/>
        <v>0</v>
      </c>
      <c r="Q70" s="111" t="s">
        <v>84</v>
      </c>
    </row>
    <row r="71" spans="1:17" x14ac:dyDescent="0.2">
      <c r="A71" t="str">
        <f t="shared" si="19"/>
        <v>Floor Joists &amp; Floor Decking</v>
      </c>
      <c r="C71" t="str">
        <f>Costing!M57</f>
        <v>Wall plate 100x25</v>
      </c>
      <c r="D71" s="112">
        <f>Costing!O57</f>
        <v>0</v>
      </c>
      <c r="E71" s="112">
        <f>Costing!Q57</f>
        <v>30.630000000000003</v>
      </c>
      <c r="F71" t="s">
        <v>2</v>
      </c>
      <c r="G71" t="s">
        <v>116</v>
      </c>
      <c r="H71" s="112">
        <f>Costing!R57*100</f>
        <v>100</v>
      </c>
      <c r="I71" t="s">
        <v>81</v>
      </c>
      <c r="J71" t="s">
        <v>85</v>
      </c>
      <c r="K71" t="s">
        <v>83</v>
      </c>
      <c r="L71" t="s">
        <v>84</v>
      </c>
      <c r="M71" t="str">
        <f t="shared" si="5"/>
        <v/>
      </c>
      <c r="N71" s="134">
        <f t="shared" si="4"/>
        <v>0</v>
      </c>
      <c r="O71" s="111" t="s">
        <v>160</v>
      </c>
      <c r="P71" s="134">
        <f t="shared" si="18"/>
        <v>0</v>
      </c>
      <c r="Q71" s="111" t="s">
        <v>84</v>
      </c>
    </row>
    <row r="72" spans="1:17" x14ac:dyDescent="0.2">
      <c r="A72" t="str">
        <f t="shared" si="19"/>
        <v>Floor Joists &amp; Floor Decking</v>
      </c>
      <c r="C72" t="str">
        <f>Costing!M58</f>
        <v>Bower beams (pair)</v>
      </c>
      <c r="D72" s="112">
        <f>Costing!O58</f>
        <v>0</v>
      </c>
      <c r="E72" s="112">
        <f>Costing!Q58</f>
        <v>30.630000000000003</v>
      </c>
      <c r="F72" t="s">
        <v>2</v>
      </c>
      <c r="G72" t="s">
        <v>116</v>
      </c>
      <c r="H72" s="112">
        <f>Costing!R58*100</f>
        <v>100</v>
      </c>
      <c r="I72" t="s">
        <v>81</v>
      </c>
      <c r="J72" t="s">
        <v>85</v>
      </c>
      <c r="K72" t="s">
        <v>83</v>
      </c>
      <c r="L72" t="s">
        <v>84</v>
      </c>
      <c r="M72" t="str">
        <f t="shared" ref="M72" si="33">IF(J72="MTL","Preservation Shop","")</f>
        <v/>
      </c>
      <c r="N72" s="134">
        <f t="shared" si="4"/>
        <v>0</v>
      </c>
      <c r="O72" s="111" t="s">
        <v>160</v>
      </c>
      <c r="P72" s="134">
        <f t="shared" si="18"/>
        <v>0</v>
      </c>
      <c r="Q72" s="111" t="s">
        <v>84</v>
      </c>
    </row>
    <row r="73" spans="1:17" x14ac:dyDescent="0.2">
      <c r="A73" t="str">
        <f t="shared" si="19"/>
        <v>Floor Joists &amp; Floor Decking</v>
      </c>
      <c r="C73" t="str">
        <f>Costing!M59</f>
        <v>Flitch plates (pair)</v>
      </c>
      <c r="D73" s="112">
        <f>Costing!O59</f>
        <v>0</v>
      </c>
      <c r="E73" s="112">
        <f>Costing!Q59</f>
        <v>30.630000000000003</v>
      </c>
      <c r="F73" t="s">
        <v>2</v>
      </c>
      <c r="G73" t="s">
        <v>116</v>
      </c>
      <c r="H73" s="112">
        <f>Costing!R59*100</f>
        <v>100</v>
      </c>
      <c r="I73" t="s">
        <v>81</v>
      </c>
      <c r="J73" t="s">
        <v>85</v>
      </c>
      <c r="K73" t="s">
        <v>83</v>
      </c>
      <c r="L73" t="s">
        <v>84</v>
      </c>
      <c r="M73" t="str">
        <f t="shared" ref="M73" si="34">IF(J73="MTL","Preservation Shop","")</f>
        <v/>
      </c>
      <c r="N73" s="134">
        <f t="shared" si="4"/>
        <v>0</v>
      </c>
      <c r="O73" s="111" t="s">
        <v>160</v>
      </c>
      <c r="P73" s="134">
        <f t="shared" si="18"/>
        <v>0</v>
      </c>
      <c r="Q73" s="111" t="s">
        <v>84</v>
      </c>
    </row>
    <row r="74" spans="1:17" x14ac:dyDescent="0.2">
      <c r="A74" t="str">
        <f t="shared" si="19"/>
        <v>Floor Joists &amp; Floor Decking</v>
      </c>
      <c r="C74" t="str">
        <f>Costing!M61</f>
        <v>Install Weyrock flooring 18mm (M2)</v>
      </c>
      <c r="D74" s="112">
        <f>Costing!O61</f>
        <v>8</v>
      </c>
      <c r="E74" s="112">
        <f>Costing!Q61</f>
        <v>30.630000000000003</v>
      </c>
      <c r="F74" t="s">
        <v>2</v>
      </c>
      <c r="G74" t="s">
        <v>116</v>
      </c>
      <c r="H74" s="112">
        <f>Costing!R61*100</f>
        <v>100</v>
      </c>
      <c r="I74" t="s">
        <v>81</v>
      </c>
      <c r="J74" t="s">
        <v>85</v>
      </c>
      <c r="K74" t="s">
        <v>83</v>
      </c>
      <c r="L74" t="s">
        <v>84</v>
      </c>
      <c r="M74" t="str">
        <f t="shared" si="5"/>
        <v/>
      </c>
      <c r="N74" s="134">
        <f t="shared" si="4"/>
        <v>245.04000000000002</v>
      </c>
      <c r="O74" s="111" t="s">
        <v>160</v>
      </c>
      <c r="P74" s="134">
        <f t="shared" si="18"/>
        <v>490.08000000000004</v>
      </c>
      <c r="Q74" s="111" t="s">
        <v>84</v>
      </c>
    </row>
    <row r="75" spans="1:17" x14ac:dyDescent="0.2">
      <c r="A75" t="str">
        <f t="shared" si="19"/>
        <v>Floor Joists &amp; Floor Decking</v>
      </c>
      <c r="C75" t="str">
        <f>Costing!M62</f>
        <v>Install Weyrock flooring 22mm (M2)</v>
      </c>
      <c r="D75" s="112">
        <f>Costing!O62</f>
        <v>8.5</v>
      </c>
      <c r="E75" s="112">
        <f>Costing!Q62</f>
        <v>30.630000000000003</v>
      </c>
      <c r="F75" t="s">
        <v>2</v>
      </c>
      <c r="G75" t="s">
        <v>116</v>
      </c>
      <c r="H75" s="112">
        <f>Costing!R62*100</f>
        <v>100</v>
      </c>
      <c r="I75" t="s">
        <v>81</v>
      </c>
      <c r="J75" t="s">
        <v>85</v>
      </c>
      <c r="K75" t="s">
        <v>83</v>
      </c>
      <c r="L75" t="s">
        <v>84</v>
      </c>
      <c r="M75" t="str">
        <f t="shared" si="5"/>
        <v/>
      </c>
      <c r="N75" s="134">
        <f t="shared" si="4"/>
        <v>260.35500000000002</v>
      </c>
      <c r="O75" s="111" t="s">
        <v>160</v>
      </c>
      <c r="P75" s="134">
        <f t="shared" si="18"/>
        <v>520.71</v>
      </c>
      <c r="Q75" s="111" t="s">
        <v>84</v>
      </c>
    </row>
    <row r="76" spans="1:17" x14ac:dyDescent="0.2">
      <c r="A76" t="str">
        <f t="shared" si="19"/>
        <v>Floor Joists &amp; Floor Decking</v>
      </c>
      <c r="C76" t="str">
        <f>Costing!M63</f>
        <v>Install std T&amp;G Floorboards (M2)</v>
      </c>
      <c r="D76" s="112">
        <f>Costing!O63</f>
        <v>12</v>
      </c>
      <c r="E76" s="112">
        <f>Costing!Q63</f>
        <v>30.630000000000003</v>
      </c>
      <c r="F76" t="s">
        <v>2</v>
      </c>
      <c r="G76" t="s">
        <v>116</v>
      </c>
      <c r="H76" s="112">
        <f>Costing!R63*100</f>
        <v>100</v>
      </c>
      <c r="I76" t="s">
        <v>81</v>
      </c>
      <c r="J76" t="s">
        <v>85</v>
      </c>
      <c r="K76" t="s">
        <v>83</v>
      </c>
      <c r="L76" t="s">
        <v>84</v>
      </c>
      <c r="M76" t="str">
        <f t="shared" si="5"/>
        <v/>
      </c>
      <c r="N76" s="134">
        <f t="shared" si="4"/>
        <v>367.56000000000006</v>
      </c>
      <c r="O76" s="111" t="s">
        <v>160</v>
      </c>
      <c r="P76" s="134">
        <f t="shared" si="18"/>
        <v>735.12000000000012</v>
      </c>
      <c r="Q76" s="111" t="s">
        <v>84</v>
      </c>
    </row>
    <row r="77" spans="1:17" x14ac:dyDescent="0.2">
      <c r="A77" t="str">
        <f t="shared" si="19"/>
        <v>Floor Joists &amp; Floor Decking</v>
      </c>
      <c r="C77" t="str">
        <f>Costing!M64</f>
        <v>Install victorian T&amp;G Floorboards (M2)</v>
      </c>
      <c r="D77" s="112">
        <f>Costing!O64</f>
        <v>12</v>
      </c>
      <c r="E77" s="112">
        <f>Costing!Q64</f>
        <v>30.630000000000003</v>
      </c>
      <c r="F77" t="s">
        <v>2</v>
      </c>
      <c r="G77" t="s">
        <v>116</v>
      </c>
      <c r="H77" s="112">
        <f>Costing!R64*100</f>
        <v>100</v>
      </c>
      <c r="I77" t="s">
        <v>81</v>
      </c>
      <c r="J77" t="s">
        <v>85</v>
      </c>
      <c r="K77" t="s">
        <v>83</v>
      </c>
      <c r="L77" t="s">
        <v>84</v>
      </c>
      <c r="M77" t="str">
        <f t="shared" ref="M77" si="35">IF(J77="MTL","Preservation Shop","")</f>
        <v/>
      </c>
      <c r="N77" s="134">
        <f t="shared" ref="N77" si="36">D77*E77</f>
        <v>367.56000000000006</v>
      </c>
      <c r="O77" s="111" t="s">
        <v>160</v>
      </c>
      <c r="P77" s="134">
        <f t="shared" si="18"/>
        <v>735.12000000000012</v>
      </c>
      <c r="Q77" s="111" t="s">
        <v>84</v>
      </c>
    </row>
    <row r="78" spans="1:17" x14ac:dyDescent="0.2">
      <c r="A78" t="str">
        <f t="shared" si="19"/>
        <v>Floor Joists &amp; Floor Decking</v>
      </c>
      <c r="C78" t="str">
        <f>Costing!M65</f>
        <v>Install Engineered Flooring sheet (M2)</v>
      </c>
      <c r="D78" s="112">
        <f>Costing!O65</f>
        <v>8</v>
      </c>
      <c r="E78" s="112">
        <f>Costing!Q65</f>
        <v>30.630000000000003</v>
      </c>
      <c r="F78" t="s">
        <v>2</v>
      </c>
      <c r="G78" t="s">
        <v>116</v>
      </c>
      <c r="H78" s="112">
        <f>Costing!R65*100</f>
        <v>100</v>
      </c>
      <c r="I78" t="s">
        <v>81</v>
      </c>
      <c r="J78" t="s">
        <v>85</v>
      </c>
      <c r="K78" t="s">
        <v>83</v>
      </c>
      <c r="L78" t="s">
        <v>84</v>
      </c>
      <c r="M78" t="str">
        <f t="shared" ref="M78" si="37">IF(J78="MTL","Preservation Shop","")</f>
        <v/>
      </c>
      <c r="N78" s="134">
        <f t="shared" ref="N78" si="38">D78*E78</f>
        <v>245.04000000000002</v>
      </c>
      <c r="O78" s="111" t="s">
        <v>160</v>
      </c>
      <c r="P78" s="134">
        <f t="shared" ref="P78" si="39">N78*(1+(H78/100))</f>
        <v>490.08000000000004</v>
      </c>
      <c r="Q78" s="111" t="s">
        <v>84</v>
      </c>
    </row>
    <row r="79" spans="1:17" x14ac:dyDescent="0.2">
      <c r="A79" t="str">
        <f>A77</f>
        <v>Floor Joists &amp; Floor Decking</v>
      </c>
      <c r="C79" t="str">
        <f>Costing!M66</f>
        <v>Install Structural Engineered Flooring sheet (M2) onto joists</v>
      </c>
      <c r="D79" s="112">
        <f>Costing!O66</f>
        <v>18</v>
      </c>
      <c r="E79" s="112">
        <f>Costing!Q66</f>
        <v>30.630000000000003</v>
      </c>
      <c r="F79" t="s">
        <v>2</v>
      </c>
      <c r="G79" t="s">
        <v>116</v>
      </c>
      <c r="H79" s="112">
        <f>Costing!R66*100</f>
        <v>100</v>
      </c>
      <c r="I79" t="s">
        <v>81</v>
      </c>
      <c r="J79" t="s">
        <v>85</v>
      </c>
      <c r="K79" t="s">
        <v>83</v>
      </c>
      <c r="L79" t="s">
        <v>84</v>
      </c>
      <c r="M79" t="str">
        <f t="shared" ref="M79" si="40">IF(J79="MTL","Preservation Shop","")</f>
        <v/>
      </c>
      <c r="N79" s="134">
        <f t="shared" ref="N79" si="41">D79*E79</f>
        <v>551.34</v>
      </c>
      <c r="O79" s="111" t="s">
        <v>160</v>
      </c>
      <c r="P79" s="134">
        <f t="shared" ref="P79" si="42">N79*(1+(H79/100))</f>
        <v>1102.68</v>
      </c>
      <c r="Q79" s="111" t="s">
        <v>84</v>
      </c>
    </row>
    <row r="80" spans="1:17" x14ac:dyDescent="0.2">
      <c r="A80" t="str">
        <f t="shared" si="19"/>
        <v>Floor Joists &amp; Floor Decking</v>
      </c>
      <c r="C80" t="str">
        <f>Costing!M67</f>
        <v>Provide insulation to suspended flooring</v>
      </c>
      <c r="D80" s="112">
        <f>Costing!O67</f>
        <v>0</v>
      </c>
      <c r="E80" s="112">
        <f>Costing!Q67</f>
        <v>30.630000000000003</v>
      </c>
      <c r="F80" t="s">
        <v>2</v>
      </c>
      <c r="G80" t="s">
        <v>116</v>
      </c>
      <c r="H80" s="112">
        <f>Costing!R67*100</f>
        <v>100</v>
      </c>
      <c r="I80" t="s">
        <v>81</v>
      </c>
      <c r="J80" t="s">
        <v>85</v>
      </c>
      <c r="K80" t="s">
        <v>83</v>
      </c>
      <c r="L80" t="s">
        <v>84</v>
      </c>
      <c r="M80" t="str">
        <f t="shared" ref="M80" si="43">IF(J80="MTL","Preservation Shop","")</f>
        <v/>
      </c>
      <c r="N80" s="134">
        <f t="shared" ref="N80" si="44">D80*E80</f>
        <v>0</v>
      </c>
      <c r="O80" s="111" t="s">
        <v>160</v>
      </c>
      <c r="P80" s="134">
        <f t="shared" ref="P80" si="45">N80*(1+(H80/100))</f>
        <v>0</v>
      </c>
      <c r="Q80" s="111" t="s">
        <v>84</v>
      </c>
    </row>
    <row r="81" spans="1:17" x14ac:dyDescent="0.2">
      <c r="A81" t="str">
        <f>A76</f>
        <v>Floor Joists &amp; Floor Decking</v>
      </c>
      <c r="C81" t="str">
        <f>Costing!M68</f>
        <v>Difficulty hours (additional hours if required)</v>
      </c>
      <c r="D81" s="112">
        <f>Costing!O68</f>
        <v>2</v>
      </c>
      <c r="E81" s="112">
        <f>Costing!Q68</f>
        <v>30.630000000000003</v>
      </c>
      <c r="F81" t="s">
        <v>2</v>
      </c>
      <c r="G81" t="s">
        <v>116</v>
      </c>
      <c r="H81" s="112">
        <f>Costing!R68*100</f>
        <v>100</v>
      </c>
      <c r="I81" t="s">
        <v>81</v>
      </c>
      <c r="J81" t="s">
        <v>85</v>
      </c>
      <c r="K81" t="s">
        <v>83</v>
      </c>
      <c r="L81" t="s">
        <v>84</v>
      </c>
      <c r="M81" t="str">
        <f t="shared" si="5"/>
        <v/>
      </c>
      <c r="N81" s="134">
        <f t="shared" si="4"/>
        <v>61.260000000000005</v>
      </c>
      <c r="O81" s="111" t="s">
        <v>160</v>
      </c>
      <c r="P81" s="134">
        <f t="shared" si="18"/>
        <v>122.52000000000001</v>
      </c>
      <c r="Q81" s="111" t="s">
        <v>84</v>
      </c>
    </row>
    <row r="82" spans="1:17" s="130" customFormat="1" x14ac:dyDescent="0.2">
      <c r="A82" s="130" t="str">
        <f t="shared" si="19"/>
        <v>Floor Joists &amp; Floor Decking</v>
      </c>
      <c r="C82" s="130" t="s">
        <v>166</v>
      </c>
      <c r="D82" s="131">
        <v>1</v>
      </c>
      <c r="E82" s="131">
        <f>N82</f>
        <v>4837.8</v>
      </c>
      <c r="F82" s="130" t="s">
        <v>162</v>
      </c>
      <c r="G82" s="130" t="s">
        <v>117</v>
      </c>
      <c r="H82" s="131">
        <f>((P82-N82)/N82)*100</f>
        <v>30.000000000000004</v>
      </c>
      <c r="I82" s="130" t="s">
        <v>81</v>
      </c>
      <c r="J82" s="130" t="s">
        <v>82</v>
      </c>
      <c r="K82" s="130" t="s">
        <v>83</v>
      </c>
      <c r="L82" s="130" t="str">
        <f>'Customer Summary'!D6</f>
        <v>No</v>
      </c>
      <c r="M82" s="132">
        <f>SUM(M46:M63)</f>
        <v>0</v>
      </c>
      <c r="N82" s="132">
        <f>SUM(N46:N63)</f>
        <v>4837.8</v>
      </c>
      <c r="O82" s="133" t="str">
        <f t="shared" ref="O82" si="46">IF(N82=0,"DELETE","LEAVE")</f>
        <v>LEAVE</v>
      </c>
      <c r="P82" s="132">
        <f>SUM(P46:P63)</f>
        <v>6289.14</v>
      </c>
      <c r="Q82" s="133" t="s">
        <v>83</v>
      </c>
    </row>
    <row r="83" spans="1:17" s="130" customFormat="1" x14ac:dyDescent="0.2">
      <c r="A83" s="130" t="str">
        <f t="shared" si="19"/>
        <v>Floor Joists &amp; Floor Decking</v>
      </c>
      <c r="C83" s="130" t="s">
        <v>167</v>
      </c>
      <c r="D83" s="131">
        <f>SUM(D64:D81)</f>
        <v>68.5</v>
      </c>
      <c r="E83" s="131">
        <f>N83/D83</f>
        <v>30.63000000000001</v>
      </c>
      <c r="F83" s="130" t="s">
        <v>2</v>
      </c>
      <c r="G83" s="130" t="s">
        <v>116</v>
      </c>
      <c r="H83" s="131">
        <f>((P83-N83)/N83)*100</f>
        <v>100</v>
      </c>
      <c r="I83" s="130" t="s">
        <v>81</v>
      </c>
      <c r="J83" s="130" t="s">
        <v>85</v>
      </c>
      <c r="K83" s="130" t="s">
        <v>83</v>
      </c>
      <c r="L83" s="130" t="str">
        <f>L82</f>
        <v>No</v>
      </c>
      <c r="M83" s="132">
        <f>SUM(M64:M81)</f>
        <v>0</v>
      </c>
      <c r="N83" s="132">
        <f>SUM(N64:N81)</f>
        <v>2098.1550000000007</v>
      </c>
      <c r="O83" s="133" t="str">
        <f>IF(N83=0,"DELETE","LEAVE")</f>
        <v>LEAVE</v>
      </c>
      <c r="P83" s="132">
        <f>SUM(P64:P81)</f>
        <v>4196.3100000000013</v>
      </c>
      <c r="Q83" s="133" t="s">
        <v>83</v>
      </c>
    </row>
    <row r="84" spans="1:17" x14ac:dyDescent="0.2">
      <c r="A84" s="125"/>
      <c r="B84" s="125"/>
      <c r="C84" s="125"/>
      <c r="D84" s="126"/>
      <c r="E84" s="126"/>
      <c r="F84" s="125"/>
      <c r="G84" s="125"/>
      <c r="H84" s="126"/>
      <c r="I84" s="125"/>
      <c r="J84" s="125"/>
      <c r="K84" s="125"/>
      <c r="L84" s="125"/>
      <c r="M84" s="125"/>
      <c r="N84" s="127"/>
      <c r="O84" s="128" t="s">
        <v>160</v>
      </c>
      <c r="P84" s="127"/>
      <c r="Q84" s="129"/>
    </row>
    <row r="85" spans="1:17" x14ac:dyDescent="0.2">
      <c r="A85" t="str">
        <f>'Customer Summary'!C7</f>
        <v>Timber Treatments</v>
      </c>
      <c r="C85" t="str">
        <f>Costing!B72</f>
        <v>Clear debris from sub floor</v>
      </c>
      <c r="D85" s="112">
        <f>Costing!F72</f>
        <v>0</v>
      </c>
      <c r="E85" s="112">
        <f>Costing!I72</f>
        <v>0</v>
      </c>
      <c r="F85" t="str">
        <f>Costing!G72</f>
        <v>M2</v>
      </c>
      <c r="G85" t="s">
        <v>117</v>
      </c>
      <c r="H85" s="112">
        <f>Costing!J72*100</f>
        <v>30</v>
      </c>
      <c r="I85" t="s">
        <v>81</v>
      </c>
      <c r="J85" t="s">
        <v>82</v>
      </c>
      <c r="K85" t="s">
        <v>83</v>
      </c>
      <c r="L85" t="s">
        <v>84</v>
      </c>
      <c r="M85" t="str">
        <f t="shared" ref="M85:M100" si="47">IF(J85="MTL","Preservation Shop","")</f>
        <v>Preservation Shop</v>
      </c>
      <c r="N85" s="134">
        <f t="shared" si="4"/>
        <v>0</v>
      </c>
      <c r="O85" s="111" t="s">
        <v>160</v>
      </c>
      <c r="P85" s="134">
        <f t="shared" ref="P85:P104" si="48">N85*(1+(H85/100))</f>
        <v>0</v>
      </c>
      <c r="Q85" s="111" t="s">
        <v>84</v>
      </c>
    </row>
    <row r="86" spans="1:17" x14ac:dyDescent="0.2">
      <c r="A86" t="str">
        <f>A85</f>
        <v>Timber Treatments</v>
      </c>
      <c r="C86" t="str">
        <f>Costing!B73</f>
        <v>Protective treatment to new timbers installation</v>
      </c>
      <c r="D86" s="112">
        <f>Costing!F73</f>
        <v>0</v>
      </c>
      <c r="E86" s="112">
        <f>Costing!I73</f>
        <v>0.5</v>
      </c>
      <c r="F86" t="str">
        <f>Costing!G73</f>
        <v>M2</v>
      </c>
      <c r="G86" t="s">
        <v>117</v>
      </c>
      <c r="H86" s="112">
        <f>Costing!J73*100</f>
        <v>30</v>
      </c>
      <c r="I86" t="s">
        <v>81</v>
      </c>
      <c r="J86" t="s">
        <v>82</v>
      </c>
      <c r="K86" t="s">
        <v>83</v>
      </c>
      <c r="L86" t="s">
        <v>84</v>
      </c>
      <c r="M86" t="str">
        <f t="shared" si="47"/>
        <v>Preservation Shop</v>
      </c>
      <c r="N86" s="134">
        <f t="shared" si="4"/>
        <v>0</v>
      </c>
      <c r="O86" s="111" t="s">
        <v>160</v>
      </c>
      <c r="P86" s="134">
        <f t="shared" si="48"/>
        <v>0</v>
      </c>
      <c r="Q86" s="111" t="s">
        <v>84</v>
      </c>
    </row>
    <row r="87" spans="1:17" x14ac:dyDescent="0.2">
      <c r="A87" t="str">
        <f t="shared" ref="A87:A106" si="49">A86</f>
        <v>Timber Treatments</v>
      </c>
      <c r="C87" t="str">
        <f>Costing!B74</f>
        <v>40.1 Gel injection @100mm centres, plug with dowel</v>
      </c>
      <c r="D87" s="112">
        <f>Costing!F74</f>
        <v>0</v>
      </c>
      <c r="E87" s="112">
        <f>Costing!I74</f>
        <v>2.2200000000000002</v>
      </c>
      <c r="F87" t="str">
        <f>Costing!G74</f>
        <v>M2</v>
      </c>
      <c r="G87" t="s">
        <v>117</v>
      </c>
      <c r="H87" s="112">
        <f>Costing!J74*100</f>
        <v>30</v>
      </c>
      <c r="I87" t="s">
        <v>81</v>
      </c>
      <c r="J87" t="s">
        <v>82</v>
      </c>
      <c r="K87" t="s">
        <v>83</v>
      </c>
      <c r="L87" t="s">
        <v>84</v>
      </c>
      <c r="M87" t="str">
        <f t="shared" si="47"/>
        <v>Preservation Shop</v>
      </c>
      <c r="N87" s="134">
        <f t="shared" si="4"/>
        <v>0</v>
      </c>
      <c r="O87" s="111" t="s">
        <v>160</v>
      </c>
      <c r="P87" s="134">
        <f t="shared" si="48"/>
        <v>0</v>
      </c>
      <c r="Q87" s="111" t="s">
        <v>84</v>
      </c>
    </row>
    <row r="88" spans="1:17" x14ac:dyDescent="0.2">
      <c r="A88" t="str">
        <f t="shared" si="49"/>
        <v>Timber Treatments</v>
      </c>
      <c r="C88" t="str">
        <f>Costing!B75</f>
        <v>Fogging floor area</v>
      </c>
      <c r="D88" s="112">
        <f>Costing!F75</f>
        <v>0</v>
      </c>
      <c r="E88" s="112">
        <f>Costing!I75</f>
        <v>0.5</v>
      </c>
      <c r="F88" t="str">
        <f>Costing!G75</f>
        <v>M2</v>
      </c>
      <c r="G88" t="s">
        <v>117</v>
      </c>
      <c r="H88" s="112">
        <f>Costing!J75*100</f>
        <v>30</v>
      </c>
      <c r="I88" t="s">
        <v>81</v>
      </c>
      <c r="J88" t="s">
        <v>82</v>
      </c>
      <c r="K88" t="s">
        <v>83</v>
      </c>
      <c r="L88" t="s">
        <v>84</v>
      </c>
      <c r="M88" t="str">
        <f t="shared" si="47"/>
        <v>Preservation Shop</v>
      </c>
      <c r="N88" s="134">
        <f t="shared" si="4"/>
        <v>0</v>
      </c>
      <c r="O88" s="111" t="s">
        <v>160</v>
      </c>
      <c r="P88" s="134">
        <f t="shared" si="48"/>
        <v>0</v>
      </c>
      <c r="Q88" s="111" t="s">
        <v>84</v>
      </c>
    </row>
    <row r="89" spans="1:17" x14ac:dyDescent="0.2">
      <c r="A89" t="str">
        <f t="shared" si="49"/>
        <v>Timber Treatments</v>
      </c>
      <c r="C89" t="str">
        <f>Costing!B76</f>
        <v>Fogging boarded area</v>
      </c>
      <c r="D89" s="112">
        <f>Costing!F76</f>
        <v>0</v>
      </c>
      <c r="E89" s="112">
        <f>Costing!I76</f>
        <v>0.5</v>
      </c>
      <c r="F89" t="str">
        <f>Costing!G76</f>
        <v>M2</v>
      </c>
      <c r="G89" t="s">
        <v>117</v>
      </c>
      <c r="H89" s="112">
        <f>Costing!J76*100</f>
        <v>30</v>
      </c>
      <c r="I89" t="s">
        <v>81</v>
      </c>
      <c r="J89" t="s">
        <v>82</v>
      </c>
      <c r="K89" t="s">
        <v>83</v>
      </c>
      <c r="L89" t="s">
        <v>84</v>
      </c>
      <c r="M89" t="str">
        <f t="shared" ref="M89" si="50">IF(J89="MTL","Preservation Shop","")</f>
        <v>Preservation Shop</v>
      </c>
      <c r="N89" s="134">
        <f t="shared" si="4"/>
        <v>0</v>
      </c>
      <c r="O89" s="111" t="s">
        <v>160</v>
      </c>
      <c r="P89" s="134">
        <f t="shared" si="48"/>
        <v>0</v>
      </c>
      <c r="Q89" s="111" t="s">
        <v>84</v>
      </c>
    </row>
    <row r="90" spans="1:17" x14ac:dyDescent="0.2">
      <c r="A90" t="str">
        <f t="shared" si="49"/>
        <v>Timber Treatments</v>
      </c>
      <c r="C90" t="str">
        <f>Costing!B77</f>
        <v>Fogging staircase - open rear treads Per step</v>
      </c>
      <c r="D90" s="112">
        <f>Costing!F77</f>
        <v>0</v>
      </c>
      <c r="E90" s="112">
        <f>Costing!I77</f>
        <v>0.5</v>
      </c>
      <c r="F90" t="str">
        <f>Costing!G77</f>
        <v>Each</v>
      </c>
      <c r="G90" t="s">
        <v>117</v>
      </c>
      <c r="H90" s="112">
        <f>Costing!J77*100</f>
        <v>30</v>
      </c>
      <c r="I90" t="s">
        <v>81</v>
      </c>
      <c r="J90" t="s">
        <v>82</v>
      </c>
      <c r="K90" t="s">
        <v>83</v>
      </c>
      <c r="L90" t="s">
        <v>84</v>
      </c>
      <c r="M90" t="str">
        <f t="shared" si="47"/>
        <v>Preservation Shop</v>
      </c>
      <c r="N90" s="134">
        <f t="shared" si="4"/>
        <v>0</v>
      </c>
      <c r="O90" s="111" t="s">
        <v>160</v>
      </c>
      <c r="P90" s="134">
        <f t="shared" si="48"/>
        <v>0</v>
      </c>
      <c r="Q90" s="111" t="s">
        <v>84</v>
      </c>
    </row>
    <row r="91" spans="1:17" x14ac:dyDescent="0.2">
      <c r="A91" t="str">
        <f t="shared" si="49"/>
        <v>Timber Treatments</v>
      </c>
      <c r="C91" t="str">
        <f>Costing!B78</f>
        <v>Fogging staircase - rear closed, drill and plug per step</v>
      </c>
      <c r="D91" s="112">
        <f>Costing!F78</f>
        <v>0</v>
      </c>
      <c r="E91" s="112">
        <f>Costing!I78</f>
        <v>2</v>
      </c>
      <c r="F91" t="str">
        <f>Costing!G78</f>
        <v>Each</v>
      </c>
      <c r="G91" t="s">
        <v>117</v>
      </c>
      <c r="H91" s="112">
        <f>Costing!J78*100</f>
        <v>30</v>
      </c>
      <c r="I91" t="s">
        <v>81</v>
      </c>
      <c r="J91" t="s">
        <v>82</v>
      </c>
      <c r="K91" t="s">
        <v>83</v>
      </c>
      <c r="L91" t="s">
        <v>84</v>
      </c>
      <c r="M91" t="str">
        <f t="shared" si="47"/>
        <v>Preservation Shop</v>
      </c>
      <c r="N91" s="134">
        <f t="shared" si="4"/>
        <v>0</v>
      </c>
      <c r="O91" s="111" t="s">
        <v>160</v>
      </c>
      <c r="P91" s="134">
        <f t="shared" si="48"/>
        <v>0</v>
      </c>
      <c r="Q91" s="111" t="s">
        <v>84</v>
      </c>
    </row>
    <row r="92" spans="1:17" x14ac:dyDescent="0.2">
      <c r="A92" t="str">
        <f t="shared" si="49"/>
        <v>Timber Treatments</v>
      </c>
      <c r="C92" t="str">
        <f>Costing!B79</f>
        <v>Lifting loft insulation</v>
      </c>
      <c r="D92" s="112">
        <f>Costing!F79</f>
        <v>0</v>
      </c>
      <c r="E92" s="112">
        <f>Costing!I79</f>
        <v>0</v>
      </c>
      <c r="F92" t="str">
        <f>Costing!G79</f>
        <v>M2</v>
      </c>
      <c r="G92" t="s">
        <v>117</v>
      </c>
      <c r="H92" s="112">
        <f>Costing!J79*100</f>
        <v>30</v>
      </c>
      <c r="I92" t="s">
        <v>81</v>
      </c>
      <c r="J92" t="s">
        <v>82</v>
      </c>
      <c r="K92" t="s">
        <v>83</v>
      </c>
      <c r="L92" t="s">
        <v>84</v>
      </c>
      <c r="M92" t="str">
        <f t="shared" si="47"/>
        <v>Preservation Shop</v>
      </c>
      <c r="N92" s="134">
        <f t="shared" si="4"/>
        <v>0</v>
      </c>
      <c r="O92" s="111" t="s">
        <v>160</v>
      </c>
      <c r="P92" s="134">
        <f t="shared" si="48"/>
        <v>0</v>
      </c>
      <c r="Q92" s="111" t="s">
        <v>84</v>
      </c>
    </row>
    <row r="93" spans="1:17" x14ac:dyDescent="0.2">
      <c r="A93" t="str">
        <f t="shared" si="49"/>
        <v>Timber Treatments</v>
      </c>
      <c r="C93" t="str">
        <f>Costing!B80</f>
        <v>Fogging loft area (calculated from floor area of loft)</v>
      </c>
      <c r="D93" s="112">
        <f>Costing!F80</f>
        <v>0</v>
      </c>
      <c r="E93" s="112">
        <f>Costing!I80</f>
        <v>0.5</v>
      </c>
      <c r="F93" t="str">
        <f>Costing!G80</f>
        <v>M2</v>
      </c>
      <c r="G93" t="s">
        <v>117</v>
      </c>
      <c r="H93" s="112">
        <f>Costing!J80*100</f>
        <v>30</v>
      </c>
      <c r="I93" t="s">
        <v>81</v>
      </c>
      <c r="J93" t="s">
        <v>82</v>
      </c>
      <c r="K93" t="s">
        <v>83</v>
      </c>
      <c r="L93" t="s">
        <v>84</v>
      </c>
      <c r="M93" t="str">
        <f t="shared" si="47"/>
        <v>Preservation Shop</v>
      </c>
      <c r="N93" s="134">
        <f t="shared" si="4"/>
        <v>0</v>
      </c>
      <c r="O93" s="111" t="s">
        <v>160</v>
      </c>
      <c r="P93" s="134">
        <f t="shared" si="48"/>
        <v>0</v>
      </c>
      <c r="Q93" s="111" t="s">
        <v>84</v>
      </c>
    </row>
    <row r="94" spans="1:17" x14ac:dyDescent="0.2">
      <c r="A94" t="str">
        <f t="shared" si="49"/>
        <v>Timber Treatments</v>
      </c>
      <c r="C94" t="str">
        <f>Costing!B81</f>
        <v>Relaying loft insulation</v>
      </c>
      <c r="D94" s="112">
        <f>Costing!F81</f>
        <v>0</v>
      </c>
      <c r="E94" s="112">
        <f>Costing!I81</f>
        <v>0</v>
      </c>
      <c r="F94" t="str">
        <f>Costing!G81</f>
        <v>M2</v>
      </c>
      <c r="G94" t="s">
        <v>117</v>
      </c>
      <c r="H94" s="112">
        <f>Costing!J81*100</f>
        <v>30</v>
      </c>
      <c r="I94" t="s">
        <v>81</v>
      </c>
      <c r="J94" t="s">
        <v>82</v>
      </c>
      <c r="K94" t="s">
        <v>83</v>
      </c>
      <c r="L94" t="s">
        <v>84</v>
      </c>
      <c r="M94" t="str">
        <f t="shared" si="47"/>
        <v>Preservation Shop</v>
      </c>
      <c r="N94" s="134">
        <f t="shared" ref="N94:N119" si="51">D94*E94</f>
        <v>0</v>
      </c>
      <c r="O94" s="111" t="s">
        <v>160</v>
      </c>
      <c r="P94" s="134">
        <f t="shared" si="48"/>
        <v>0</v>
      </c>
      <c r="Q94" s="111" t="s">
        <v>84</v>
      </c>
    </row>
    <row r="95" spans="1:17" x14ac:dyDescent="0.2">
      <c r="A95" t="str">
        <f t="shared" si="49"/>
        <v>Timber Treatments</v>
      </c>
      <c r="C95" t="str">
        <f>Costing!M72</f>
        <v>Clear debris from sub floor</v>
      </c>
      <c r="D95" s="112">
        <f>Costing!O72</f>
        <v>0</v>
      </c>
      <c r="E95" s="112">
        <f>Costing!Q72</f>
        <v>30.630000000000003</v>
      </c>
      <c r="F95" t="s">
        <v>2</v>
      </c>
      <c r="G95" t="s">
        <v>116</v>
      </c>
      <c r="H95" s="112">
        <f>Costing!R72*100</f>
        <v>100</v>
      </c>
      <c r="I95" t="s">
        <v>81</v>
      </c>
      <c r="J95" t="s">
        <v>85</v>
      </c>
      <c r="K95" t="s">
        <v>83</v>
      </c>
      <c r="L95" t="s">
        <v>84</v>
      </c>
      <c r="M95" t="str">
        <f t="shared" si="47"/>
        <v/>
      </c>
      <c r="N95" s="134">
        <f t="shared" si="51"/>
        <v>0</v>
      </c>
      <c r="O95" s="111" t="s">
        <v>160</v>
      </c>
      <c r="P95" s="134">
        <f t="shared" si="48"/>
        <v>0</v>
      </c>
      <c r="Q95" s="111" t="s">
        <v>84</v>
      </c>
    </row>
    <row r="96" spans="1:17" x14ac:dyDescent="0.2">
      <c r="A96" t="str">
        <f t="shared" si="49"/>
        <v>Timber Treatments</v>
      </c>
      <c r="C96" t="str">
        <f>Costing!M73</f>
        <v>Protective treatment to new timbers installation</v>
      </c>
      <c r="D96" s="112">
        <f>Costing!O73</f>
        <v>0</v>
      </c>
      <c r="E96" s="112">
        <f>Costing!Q73</f>
        <v>30.630000000000003</v>
      </c>
      <c r="F96" t="s">
        <v>2</v>
      </c>
      <c r="G96" t="s">
        <v>116</v>
      </c>
      <c r="H96" s="112">
        <f>Costing!R73*100</f>
        <v>100</v>
      </c>
      <c r="I96" t="s">
        <v>81</v>
      </c>
      <c r="J96" t="s">
        <v>85</v>
      </c>
      <c r="K96" t="s">
        <v>83</v>
      </c>
      <c r="L96" t="s">
        <v>84</v>
      </c>
      <c r="M96" t="str">
        <f t="shared" si="47"/>
        <v/>
      </c>
      <c r="N96" s="134">
        <f t="shared" si="51"/>
        <v>0</v>
      </c>
      <c r="O96" s="111" t="s">
        <v>160</v>
      </c>
      <c r="P96" s="134">
        <f t="shared" si="48"/>
        <v>0</v>
      </c>
      <c r="Q96" s="111" t="s">
        <v>84</v>
      </c>
    </row>
    <row r="97" spans="1:17" x14ac:dyDescent="0.2">
      <c r="A97" t="str">
        <f t="shared" si="49"/>
        <v>Timber Treatments</v>
      </c>
      <c r="C97" t="str">
        <f>Costing!M74</f>
        <v>40.1 Gel injection @100mm centres, plug with dowel</v>
      </c>
      <c r="D97" s="112">
        <f>Costing!O74</f>
        <v>0</v>
      </c>
      <c r="E97" s="112">
        <f>Costing!Q74</f>
        <v>30.630000000000003</v>
      </c>
      <c r="F97" t="s">
        <v>2</v>
      </c>
      <c r="G97" t="s">
        <v>116</v>
      </c>
      <c r="H97" s="112">
        <f>Costing!R74*100</f>
        <v>100</v>
      </c>
      <c r="I97" t="s">
        <v>81</v>
      </c>
      <c r="J97" t="s">
        <v>85</v>
      </c>
      <c r="K97" t="s">
        <v>83</v>
      </c>
      <c r="L97" t="s">
        <v>84</v>
      </c>
      <c r="M97" t="str">
        <f t="shared" si="47"/>
        <v/>
      </c>
      <c r="N97" s="134">
        <f t="shared" si="51"/>
        <v>0</v>
      </c>
      <c r="O97" s="111" t="s">
        <v>160</v>
      </c>
      <c r="P97" s="134">
        <f t="shared" si="48"/>
        <v>0</v>
      </c>
      <c r="Q97" s="111" t="s">
        <v>84</v>
      </c>
    </row>
    <row r="98" spans="1:17" x14ac:dyDescent="0.2">
      <c r="A98" t="str">
        <f t="shared" si="49"/>
        <v>Timber Treatments</v>
      </c>
      <c r="C98" t="str">
        <f>Costing!M75</f>
        <v>Fogging floor area</v>
      </c>
      <c r="D98" s="112">
        <f>Costing!O75</f>
        <v>0</v>
      </c>
      <c r="E98" s="112">
        <f>Costing!Q75</f>
        <v>30.630000000000003</v>
      </c>
      <c r="F98" t="s">
        <v>2</v>
      </c>
      <c r="G98" t="s">
        <v>116</v>
      </c>
      <c r="H98" s="112">
        <f>Costing!R75*100</f>
        <v>100</v>
      </c>
      <c r="I98" t="s">
        <v>81</v>
      </c>
      <c r="J98" t="s">
        <v>85</v>
      </c>
      <c r="K98" t="s">
        <v>83</v>
      </c>
      <c r="L98" t="s">
        <v>84</v>
      </c>
      <c r="M98" t="str">
        <f t="shared" si="47"/>
        <v/>
      </c>
      <c r="N98" s="134">
        <f t="shared" si="51"/>
        <v>0</v>
      </c>
      <c r="O98" s="111" t="s">
        <v>160</v>
      </c>
      <c r="P98" s="134">
        <f t="shared" si="48"/>
        <v>0</v>
      </c>
      <c r="Q98" s="111" t="s">
        <v>84</v>
      </c>
    </row>
    <row r="99" spans="1:17" x14ac:dyDescent="0.2">
      <c r="A99" t="str">
        <f t="shared" si="49"/>
        <v>Timber Treatments</v>
      </c>
      <c r="C99" t="str">
        <f>Costing!M76</f>
        <v>Fogging boarded area</v>
      </c>
      <c r="D99" s="112">
        <f>Costing!O76</f>
        <v>0</v>
      </c>
      <c r="E99" s="112">
        <f>Costing!Q76</f>
        <v>30.630000000000003</v>
      </c>
      <c r="F99" t="s">
        <v>2</v>
      </c>
      <c r="G99" t="s">
        <v>116</v>
      </c>
      <c r="H99" s="112">
        <f>Costing!R76*100</f>
        <v>100</v>
      </c>
      <c r="I99" t="s">
        <v>81</v>
      </c>
      <c r="J99" t="s">
        <v>85</v>
      </c>
      <c r="K99" t="s">
        <v>83</v>
      </c>
      <c r="L99" t="s">
        <v>84</v>
      </c>
      <c r="M99" t="str">
        <f t="shared" ref="M99" si="52">IF(J99="MTL","Preservation Shop","")</f>
        <v/>
      </c>
      <c r="N99" s="134">
        <f t="shared" si="51"/>
        <v>0</v>
      </c>
      <c r="O99" s="111" t="s">
        <v>160</v>
      </c>
      <c r="P99" s="134">
        <f t="shared" si="48"/>
        <v>0</v>
      </c>
      <c r="Q99" s="111" t="s">
        <v>84</v>
      </c>
    </row>
    <row r="100" spans="1:17" x14ac:dyDescent="0.2">
      <c r="A100" t="str">
        <f t="shared" si="49"/>
        <v>Timber Treatments</v>
      </c>
      <c r="C100" t="str">
        <f>Costing!M77</f>
        <v>Fogging staircase - open rear treads Per step</v>
      </c>
      <c r="D100" s="112">
        <f>Costing!O77</f>
        <v>0</v>
      </c>
      <c r="E100" s="112">
        <f>Costing!Q77</f>
        <v>30.630000000000003</v>
      </c>
      <c r="F100" t="s">
        <v>2</v>
      </c>
      <c r="G100" t="s">
        <v>116</v>
      </c>
      <c r="H100" s="112">
        <f>Costing!R77*100</f>
        <v>100</v>
      </c>
      <c r="I100" t="s">
        <v>81</v>
      </c>
      <c r="J100" t="s">
        <v>85</v>
      </c>
      <c r="K100" t="s">
        <v>83</v>
      </c>
      <c r="L100" t="s">
        <v>84</v>
      </c>
      <c r="M100" t="str">
        <f t="shared" si="47"/>
        <v/>
      </c>
      <c r="N100" s="134">
        <f t="shared" si="51"/>
        <v>0</v>
      </c>
      <c r="O100" s="111" t="s">
        <v>160</v>
      </c>
      <c r="P100" s="134">
        <f t="shared" si="48"/>
        <v>0</v>
      </c>
      <c r="Q100" s="111" t="s">
        <v>84</v>
      </c>
    </row>
    <row r="101" spans="1:17" x14ac:dyDescent="0.2">
      <c r="A101" t="str">
        <f t="shared" si="49"/>
        <v>Timber Treatments</v>
      </c>
      <c r="C101" t="str">
        <f>Costing!M78</f>
        <v>Fogging staircase - rear closed, drill and plug per step</v>
      </c>
      <c r="D101" s="112">
        <f>Costing!O78</f>
        <v>0</v>
      </c>
      <c r="E101" s="112">
        <f>Costing!Q78</f>
        <v>30.630000000000003</v>
      </c>
      <c r="F101" t="s">
        <v>2</v>
      </c>
      <c r="G101" t="s">
        <v>116</v>
      </c>
      <c r="H101" s="112">
        <f>Costing!R78*100</f>
        <v>100</v>
      </c>
      <c r="I101" t="s">
        <v>81</v>
      </c>
      <c r="J101" t="s">
        <v>85</v>
      </c>
      <c r="K101" t="s">
        <v>83</v>
      </c>
      <c r="L101" t="s">
        <v>84</v>
      </c>
      <c r="M101" t="str">
        <f t="shared" si="5"/>
        <v/>
      </c>
      <c r="N101" s="134">
        <f t="shared" si="51"/>
        <v>0</v>
      </c>
      <c r="O101" s="111" t="s">
        <v>160</v>
      </c>
      <c r="P101" s="134">
        <f t="shared" si="48"/>
        <v>0</v>
      </c>
      <c r="Q101" s="111" t="s">
        <v>84</v>
      </c>
    </row>
    <row r="102" spans="1:17" x14ac:dyDescent="0.2">
      <c r="A102" t="str">
        <f t="shared" si="49"/>
        <v>Timber Treatments</v>
      </c>
      <c r="C102" t="str">
        <f>Costing!M79</f>
        <v>Lifting loft insulation</v>
      </c>
      <c r="D102" s="112">
        <f>Costing!O79</f>
        <v>0</v>
      </c>
      <c r="E102" s="112">
        <f>Costing!Q79</f>
        <v>30.630000000000003</v>
      </c>
      <c r="F102" t="s">
        <v>2</v>
      </c>
      <c r="G102" t="s">
        <v>116</v>
      </c>
      <c r="H102" s="112">
        <f>Costing!R79*100</f>
        <v>100</v>
      </c>
      <c r="I102" t="s">
        <v>81</v>
      </c>
      <c r="J102" t="s">
        <v>85</v>
      </c>
      <c r="K102" t="s">
        <v>83</v>
      </c>
      <c r="L102" t="s">
        <v>84</v>
      </c>
      <c r="M102" t="str">
        <f t="shared" si="5"/>
        <v/>
      </c>
      <c r="N102" s="134">
        <f t="shared" si="51"/>
        <v>0</v>
      </c>
      <c r="O102" s="111" t="s">
        <v>160</v>
      </c>
      <c r="P102" s="134">
        <f t="shared" si="48"/>
        <v>0</v>
      </c>
      <c r="Q102" s="111" t="s">
        <v>84</v>
      </c>
    </row>
    <row r="103" spans="1:17" x14ac:dyDescent="0.2">
      <c r="A103" t="str">
        <f t="shared" si="49"/>
        <v>Timber Treatments</v>
      </c>
      <c r="C103" t="str">
        <f>Costing!M80</f>
        <v>Fogging loft area (calculated from floor area of loft)</v>
      </c>
      <c r="D103" s="112">
        <f>Costing!O80</f>
        <v>0</v>
      </c>
      <c r="E103" s="112">
        <f>Costing!Q80</f>
        <v>30.630000000000003</v>
      </c>
      <c r="F103" t="s">
        <v>2</v>
      </c>
      <c r="G103" t="s">
        <v>116</v>
      </c>
      <c r="H103" s="112">
        <f>Costing!R80*100</f>
        <v>100</v>
      </c>
      <c r="I103" t="s">
        <v>81</v>
      </c>
      <c r="J103" t="s">
        <v>85</v>
      </c>
      <c r="K103" t="s">
        <v>83</v>
      </c>
      <c r="L103" t="s">
        <v>84</v>
      </c>
      <c r="M103" t="str">
        <f t="shared" si="5"/>
        <v/>
      </c>
      <c r="N103" s="134">
        <f t="shared" si="51"/>
        <v>0</v>
      </c>
      <c r="O103" s="111" t="s">
        <v>160</v>
      </c>
      <c r="P103" s="134">
        <f t="shared" si="48"/>
        <v>0</v>
      </c>
      <c r="Q103" s="111" t="s">
        <v>84</v>
      </c>
    </row>
    <row r="104" spans="1:17" x14ac:dyDescent="0.2">
      <c r="A104" t="str">
        <f t="shared" si="49"/>
        <v>Timber Treatments</v>
      </c>
      <c r="C104" t="str">
        <f>Costing!M81</f>
        <v>Relaying loft insulation</v>
      </c>
      <c r="D104" s="112">
        <f>Costing!O81</f>
        <v>0</v>
      </c>
      <c r="E104" s="112">
        <f>Costing!Q81</f>
        <v>30.630000000000003</v>
      </c>
      <c r="F104" t="s">
        <v>2</v>
      </c>
      <c r="G104" t="s">
        <v>116</v>
      </c>
      <c r="H104" s="112">
        <f>Costing!R81*100</f>
        <v>100</v>
      </c>
      <c r="I104" t="s">
        <v>81</v>
      </c>
      <c r="J104" t="s">
        <v>85</v>
      </c>
      <c r="K104" t="s">
        <v>83</v>
      </c>
      <c r="L104" t="s">
        <v>84</v>
      </c>
      <c r="M104" t="str">
        <f t="shared" si="5"/>
        <v/>
      </c>
      <c r="N104" s="134">
        <f t="shared" si="51"/>
        <v>0</v>
      </c>
      <c r="O104" s="111" t="s">
        <v>160</v>
      </c>
      <c r="P104" s="134">
        <f t="shared" si="48"/>
        <v>0</v>
      </c>
      <c r="Q104" s="111" t="s">
        <v>84</v>
      </c>
    </row>
    <row r="105" spans="1:17" s="130" customFormat="1" x14ac:dyDescent="0.2">
      <c r="A105" s="130" t="str">
        <f t="shared" si="49"/>
        <v>Timber Treatments</v>
      </c>
      <c r="C105" s="130" t="s">
        <v>168</v>
      </c>
      <c r="D105" s="131">
        <v>1</v>
      </c>
      <c r="E105" s="131">
        <f>N105</f>
        <v>0</v>
      </c>
      <c r="F105" s="130" t="s">
        <v>162</v>
      </c>
      <c r="G105" s="130" t="s">
        <v>117</v>
      </c>
      <c r="H105" s="131" t="e">
        <f>((P105-N105)/N105)*100</f>
        <v>#DIV/0!</v>
      </c>
      <c r="I105" s="130" t="s">
        <v>81</v>
      </c>
      <c r="J105" s="130" t="s">
        <v>82</v>
      </c>
      <c r="K105" s="130" t="s">
        <v>83</v>
      </c>
      <c r="L105" s="130" t="str">
        <f>'Customer Summary'!D7</f>
        <v>No</v>
      </c>
      <c r="M105" s="130" t="str">
        <f t="shared" si="5"/>
        <v>Preservation Shop</v>
      </c>
      <c r="N105" s="132">
        <f>SUM(N85:N94)</f>
        <v>0</v>
      </c>
      <c r="O105" s="133" t="str">
        <f t="shared" ref="O105" si="53">IF(N105=0,"DELETE","LEAVE")</f>
        <v>DELETE</v>
      </c>
      <c r="P105" s="132">
        <f>SUM(P85:P94)</f>
        <v>0</v>
      </c>
      <c r="Q105" s="133" t="s">
        <v>83</v>
      </c>
    </row>
    <row r="106" spans="1:17" s="130" customFormat="1" x14ac:dyDescent="0.2">
      <c r="A106" s="130" t="str">
        <f t="shared" si="49"/>
        <v>Timber Treatments</v>
      </c>
      <c r="C106" s="130" t="s">
        <v>169</v>
      </c>
      <c r="D106" s="131">
        <f>SUM(D95:D104)</f>
        <v>0</v>
      </c>
      <c r="E106" s="131" t="e">
        <f>N106/D106</f>
        <v>#DIV/0!</v>
      </c>
      <c r="F106" s="130" t="s">
        <v>2</v>
      </c>
      <c r="G106" s="130" t="s">
        <v>116</v>
      </c>
      <c r="H106" s="131" t="e">
        <f>((P106-N106)/N106)*100</f>
        <v>#DIV/0!</v>
      </c>
      <c r="I106" s="130" t="s">
        <v>81</v>
      </c>
      <c r="J106" s="130" t="s">
        <v>85</v>
      </c>
      <c r="K106" s="130" t="s">
        <v>83</v>
      </c>
      <c r="L106" s="130" t="str">
        <f>L105</f>
        <v>No</v>
      </c>
      <c r="M106" s="130" t="str">
        <f t="shared" si="5"/>
        <v/>
      </c>
      <c r="N106" s="132">
        <f>SUM(N95:N104)</f>
        <v>0</v>
      </c>
      <c r="O106" s="133" t="str">
        <f>IF(N106=0,"DELETE","LEAVE")</f>
        <v>DELETE</v>
      </c>
      <c r="P106" s="132">
        <f>SUM(P95:P104)</f>
        <v>0</v>
      </c>
      <c r="Q106" s="133" t="s">
        <v>83</v>
      </c>
    </row>
    <row r="107" spans="1:17" x14ac:dyDescent="0.2">
      <c r="A107" s="125"/>
      <c r="B107" s="125"/>
      <c r="C107" s="125"/>
      <c r="D107" s="126"/>
      <c r="E107" s="126"/>
      <c r="F107" s="125"/>
      <c r="G107" s="125"/>
      <c r="H107" s="126"/>
      <c r="I107" s="125"/>
      <c r="J107" s="125"/>
      <c r="K107" s="125"/>
      <c r="L107" s="125"/>
      <c r="M107" s="125"/>
      <c r="N107" s="127"/>
      <c r="O107" s="128" t="s">
        <v>160</v>
      </c>
      <c r="P107" s="127"/>
      <c r="Q107" s="129"/>
    </row>
    <row r="108" spans="1:17" x14ac:dyDescent="0.2">
      <c r="A108" t="str">
        <f>'Customer Summary'!C8</f>
        <v>Airbricks</v>
      </c>
      <c r="C108" t="str">
        <f>Costing!B85</f>
        <v>Clean out airbrick/fit new face</v>
      </c>
      <c r="D108" s="112">
        <f>Costing!F85</f>
        <v>0</v>
      </c>
      <c r="E108" s="112">
        <f>Costing!I85</f>
        <v>16</v>
      </c>
      <c r="F108" t="str">
        <f>Costing!G85</f>
        <v>Each</v>
      </c>
      <c r="G108" t="s">
        <v>117</v>
      </c>
      <c r="H108" s="112">
        <f>Costing!J85*100</f>
        <v>30</v>
      </c>
      <c r="I108" t="s">
        <v>81</v>
      </c>
      <c r="J108" t="s">
        <v>82</v>
      </c>
      <c r="K108" t="s">
        <v>83</v>
      </c>
      <c r="L108" t="s">
        <v>84</v>
      </c>
      <c r="M108" t="str">
        <f t="shared" si="5"/>
        <v>Preservation Shop</v>
      </c>
      <c r="N108" s="134">
        <f t="shared" si="51"/>
        <v>0</v>
      </c>
      <c r="O108" s="111" t="s">
        <v>160</v>
      </c>
      <c r="P108" s="134">
        <f t="shared" ref="P108:P113" si="54">N108*(1+(H108/100))</f>
        <v>0</v>
      </c>
      <c r="Q108" s="111" t="s">
        <v>84</v>
      </c>
    </row>
    <row r="109" spans="1:17" x14ac:dyDescent="0.2">
      <c r="A109" t="str">
        <f>A108</f>
        <v>Airbricks</v>
      </c>
      <c r="C109" t="str">
        <f>Costing!B86</f>
        <v>Lift/upgrade existing airbrick/fit new face</v>
      </c>
      <c r="D109" s="112">
        <f>Costing!F86</f>
        <v>0</v>
      </c>
      <c r="E109" s="112">
        <f>Costing!I86</f>
        <v>16</v>
      </c>
      <c r="F109" t="str">
        <f>Costing!G86</f>
        <v>Each</v>
      </c>
      <c r="G109" t="s">
        <v>117</v>
      </c>
      <c r="H109" s="112">
        <f>Costing!J86*100</f>
        <v>30</v>
      </c>
      <c r="I109" t="s">
        <v>81</v>
      </c>
      <c r="J109" t="s">
        <v>82</v>
      </c>
      <c r="K109" t="s">
        <v>83</v>
      </c>
      <c r="L109" t="s">
        <v>84</v>
      </c>
      <c r="M109" t="str">
        <f t="shared" si="5"/>
        <v>Preservation Shop</v>
      </c>
      <c r="N109" s="134">
        <f t="shared" si="51"/>
        <v>0</v>
      </c>
      <c r="O109" s="111" t="s">
        <v>160</v>
      </c>
      <c r="P109" s="134">
        <f t="shared" si="54"/>
        <v>0</v>
      </c>
      <c r="Q109" s="111" t="s">
        <v>84</v>
      </c>
    </row>
    <row r="110" spans="1:17" x14ac:dyDescent="0.2">
      <c r="A110" t="str">
        <f t="shared" ref="A110:A115" si="55">A109</f>
        <v>Airbricks</v>
      </c>
      <c r="C110" t="str">
        <f>Costing!B87</f>
        <v>Install additional  airbrick</v>
      </c>
      <c r="D110" s="112">
        <f>Costing!F87</f>
        <v>0</v>
      </c>
      <c r="E110" s="112">
        <f>Costing!I87</f>
        <v>16</v>
      </c>
      <c r="F110" t="str">
        <f>Costing!G87</f>
        <v>Each</v>
      </c>
      <c r="G110" t="s">
        <v>117</v>
      </c>
      <c r="H110" s="112">
        <f>Costing!J87*100</f>
        <v>30</v>
      </c>
      <c r="I110" t="s">
        <v>81</v>
      </c>
      <c r="J110" t="s">
        <v>82</v>
      </c>
      <c r="K110" t="s">
        <v>83</v>
      </c>
      <c r="L110" t="s">
        <v>84</v>
      </c>
      <c r="M110" t="str">
        <f t="shared" si="5"/>
        <v>Preservation Shop</v>
      </c>
      <c r="N110" s="134">
        <f t="shared" si="51"/>
        <v>0</v>
      </c>
      <c r="O110" s="111" t="s">
        <v>160</v>
      </c>
      <c r="P110" s="134">
        <f t="shared" si="54"/>
        <v>0</v>
      </c>
      <c r="Q110" s="111" t="s">
        <v>84</v>
      </c>
    </row>
    <row r="111" spans="1:17" x14ac:dyDescent="0.2">
      <c r="A111" t="str">
        <f t="shared" si="55"/>
        <v>Airbricks</v>
      </c>
      <c r="C111" t="str">
        <f>Costing!M85</f>
        <v>Clean out airbrick/fit new face</v>
      </c>
      <c r="D111" s="112">
        <f>Costing!O85</f>
        <v>0</v>
      </c>
      <c r="E111" s="112">
        <f>Costing!Q85</f>
        <v>30.630000000000003</v>
      </c>
      <c r="F111" t="s">
        <v>2</v>
      </c>
      <c r="G111" t="s">
        <v>116</v>
      </c>
      <c r="H111" s="112">
        <f>Costing!R85*100</f>
        <v>100</v>
      </c>
      <c r="I111" t="s">
        <v>81</v>
      </c>
      <c r="J111" t="s">
        <v>85</v>
      </c>
      <c r="K111" t="s">
        <v>83</v>
      </c>
      <c r="L111" t="s">
        <v>84</v>
      </c>
      <c r="M111" t="str">
        <f t="shared" ref="M111:M115" si="56">IF(J111="MTL","Preservation Shop","")</f>
        <v/>
      </c>
      <c r="N111" s="134">
        <f t="shared" si="51"/>
        <v>0</v>
      </c>
      <c r="O111" s="111" t="s">
        <v>160</v>
      </c>
      <c r="P111" s="134">
        <f t="shared" si="54"/>
        <v>0</v>
      </c>
      <c r="Q111" s="111" t="s">
        <v>84</v>
      </c>
    </row>
    <row r="112" spans="1:17" x14ac:dyDescent="0.2">
      <c r="A112" t="str">
        <f t="shared" si="55"/>
        <v>Airbricks</v>
      </c>
      <c r="C112" t="str">
        <f>Costing!M86</f>
        <v>Lift/upgrade existing airbrick/fit new face</v>
      </c>
      <c r="D112" s="112">
        <f>Costing!O86</f>
        <v>0</v>
      </c>
      <c r="E112" s="112">
        <f>Costing!Q86</f>
        <v>30.630000000000003</v>
      </c>
      <c r="F112" t="s">
        <v>2</v>
      </c>
      <c r="G112" t="s">
        <v>116</v>
      </c>
      <c r="H112" s="112">
        <f>Costing!R86*100</f>
        <v>100</v>
      </c>
      <c r="I112" t="s">
        <v>81</v>
      </c>
      <c r="J112" t="s">
        <v>85</v>
      </c>
      <c r="K112" t="s">
        <v>83</v>
      </c>
      <c r="L112" t="s">
        <v>84</v>
      </c>
      <c r="M112" t="str">
        <f t="shared" si="56"/>
        <v/>
      </c>
      <c r="N112" s="134">
        <f t="shared" si="51"/>
        <v>0</v>
      </c>
      <c r="O112" s="111" t="s">
        <v>160</v>
      </c>
      <c r="P112" s="134">
        <f t="shared" si="54"/>
        <v>0</v>
      </c>
      <c r="Q112" s="111" t="s">
        <v>84</v>
      </c>
    </row>
    <row r="113" spans="1:17" x14ac:dyDescent="0.2">
      <c r="A113" t="str">
        <f t="shared" si="55"/>
        <v>Airbricks</v>
      </c>
      <c r="C113" t="str">
        <f>Costing!M87</f>
        <v>Install additional  airbrick</v>
      </c>
      <c r="D113" s="112">
        <f>Costing!O87</f>
        <v>0</v>
      </c>
      <c r="E113" s="112">
        <f>Costing!Q87</f>
        <v>30.630000000000003</v>
      </c>
      <c r="F113" t="s">
        <v>2</v>
      </c>
      <c r="G113" t="s">
        <v>116</v>
      </c>
      <c r="H113" s="112">
        <f>Costing!R87*100</f>
        <v>100</v>
      </c>
      <c r="I113" t="s">
        <v>81</v>
      </c>
      <c r="J113" t="s">
        <v>85</v>
      </c>
      <c r="K113" t="s">
        <v>83</v>
      </c>
      <c r="L113" t="s">
        <v>84</v>
      </c>
      <c r="M113" t="str">
        <f t="shared" si="56"/>
        <v/>
      </c>
      <c r="N113" s="134">
        <f t="shared" si="51"/>
        <v>0</v>
      </c>
      <c r="O113" s="111" t="s">
        <v>160</v>
      </c>
      <c r="P113" s="134">
        <f t="shared" si="54"/>
        <v>0</v>
      </c>
      <c r="Q113" s="111" t="s">
        <v>84</v>
      </c>
    </row>
    <row r="114" spans="1:17" s="130" customFormat="1" x14ac:dyDescent="0.2">
      <c r="A114" s="130" t="str">
        <f t="shared" si="55"/>
        <v>Airbricks</v>
      </c>
      <c r="C114" s="130" t="s">
        <v>170</v>
      </c>
      <c r="D114" s="131">
        <v>1</v>
      </c>
      <c r="E114" s="131">
        <f>N114</f>
        <v>0</v>
      </c>
      <c r="F114" s="130" t="s">
        <v>162</v>
      </c>
      <c r="G114" s="130" t="s">
        <v>117</v>
      </c>
      <c r="H114" s="131" t="e">
        <f>((P114-N114)/N114)*100</f>
        <v>#DIV/0!</v>
      </c>
      <c r="I114" s="130" t="s">
        <v>81</v>
      </c>
      <c r="J114" s="130" t="s">
        <v>82</v>
      </c>
      <c r="K114" s="130" t="s">
        <v>83</v>
      </c>
      <c r="L114" s="130" t="str">
        <f>'Customer Summary'!D8</f>
        <v>No</v>
      </c>
      <c r="M114" s="130" t="str">
        <f t="shared" si="56"/>
        <v>Preservation Shop</v>
      </c>
      <c r="N114" s="132">
        <f>SUM(N108:N110)</f>
        <v>0</v>
      </c>
      <c r="O114" s="133" t="str">
        <f t="shared" ref="O114" si="57">IF(N114=0,"DELETE","LEAVE")</f>
        <v>DELETE</v>
      </c>
      <c r="P114" s="132">
        <f>SUM(P108:P110)</f>
        <v>0</v>
      </c>
      <c r="Q114" s="133" t="s">
        <v>83</v>
      </c>
    </row>
    <row r="115" spans="1:17" s="130" customFormat="1" x14ac:dyDescent="0.2">
      <c r="A115" s="130" t="str">
        <f t="shared" si="55"/>
        <v>Airbricks</v>
      </c>
      <c r="C115" s="130" t="s">
        <v>171</v>
      </c>
      <c r="D115" s="131">
        <f>SUM(D111:D113)</f>
        <v>0</v>
      </c>
      <c r="E115" s="131" t="e">
        <f>N115/D115</f>
        <v>#DIV/0!</v>
      </c>
      <c r="F115" s="130" t="s">
        <v>2</v>
      </c>
      <c r="G115" s="130" t="s">
        <v>116</v>
      </c>
      <c r="H115" s="131" t="e">
        <f>((P115-N115)/N115)*100</f>
        <v>#DIV/0!</v>
      </c>
      <c r="I115" s="130" t="s">
        <v>81</v>
      </c>
      <c r="J115" s="130" t="s">
        <v>85</v>
      </c>
      <c r="K115" s="130" t="s">
        <v>83</v>
      </c>
      <c r="L115" s="130" t="str">
        <f>L114</f>
        <v>No</v>
      </c>
      <c r="M115" s="130" t="str">
        <f t="shared" si="56"/>
        <v/>
      </c>
      <c r="N115" s="132">
        <f>SUM(N111:N113)</f>
        <v>0</v>
      </c>
      <c r="O115" s="133" t="str">
        <f>IF(N115=0,"DELETE","LEAVE")</f>
        <v>DELETE</v>
      </c>
      <c r="P115" s="132">
        <f>SUM(P111:P113)</f>
        <v>0</v>
      </c>
      <c r="Q115" s="133" t="s">
        <v>83</v>
      </c>
    </row>
    <row r="116" spans="1:17" x14ac:dyDescent="0.2">
      <c r="A116" s="125"/>
      <c r="B116" s="125"/>
      <c r="C116" s="125"/>
      <c r="D116" s="126"/>
      <c r="E116" s="126"/>
      <c r="F116" s="125"/>
      <c r="G116" s="125"/>
      <c r="H116" s="126"/>
      <c r="I116" s="125"/>
      <c r="J116" s="125"/>
      <c r="K116" s="125"/>
      <c r="L116" s="125"/>
      <c r="M116" s="125"/>
      <c r="N116" s="127"/>
      <c r="O116" s="128" t="s">
        <v>160</v>
      </c>
      <c r="P116" s="127"/>
      <c r="Q116" s="129"/>
    </row>
    <row r="117" spans="1:17" x14ac:dyDescent="0.2">
      <c r="A117" t="str">
        <f>'Customer Summary'!C9</f>
        <v>Project Specific Overheads</v>
      </c>
      <c r="C117" t="s">
        <v>352</v>
      </c>
      <c r="D117" s="112">
        <f>Costing!F91</f>
        <v>0</v>
      </c>
      <c r="E117" s="112">
        <f>Costing!I91</f>
        <v>270</v>
      </c>
      <c r="F117" t="str">
        <f>Costing!G91</f>
        <v>Each</v>
      </c>
      <c r="G117" t="s">
        <v>88</v>
      </c>
      <c r="H117" s="112">
        <f>Costing!J91*100</f>
        <v>30</v>
      </c>
      <c r="I117" t="s">
        <v>81</v>
      </c>
      <c r="J117" t="s">
        <v>89</v>
      </c>
      <c r="K117" t="s">
        <v>83</v>
      </c>
      <c r="L117" t="s">
        <v>84</v>
      </c>
      <c r="M117" t="str">
        <f t="shared" ref="M117:M121" si="58">IF(J117="MTL","Preservation Shop","")</f>
        <v/>
      </c>
      <c r="N117" s="134">
        <f t="shared" si="51"/>
        <v>0</v>
      </c>
      <c r="O117" s="111" t="s">
        <v>160</v>
      </c>
      <c r="P117" s="134">
        <f t="shared" ref="P117:P119" si="59">N117*(1+(H117/100))</f>
        <v>0</v>
      </c>
      <c r="Q117" s="111" t="s">
        <v>84</v>
      </c>
    </row>
    <row r="118" spans="1:17" x14ac:dyDescent="0.2">
      <c r="A118" t="str">
        <f>A117</f>
        <v>Project Specific Overheads</v>
      </c>
      <c r="C118" t="s">
        <v>353</v>
      </c>
      <c r="D118" s="112" t="e">
        <f>Costing!K101*Costing!K102*2</f>
        <v>#DIV/0!</v>
      </c>
      <c r="E118" s="112">
        <v>0.5</v>
      </c>
      <c r="F118" t="s">
        <v>91</v>
      </c>
      <c r="G118" t="s">
        <v>90</v>
      </c>
      <c r="H118" s="112">
        <v>0</v>
      </c>
      <c r="I118" t="s">
        <v>81</v>
      </c>
      <c r="J118" t="s">
        <v>89</v>
      </c>
      <c r="K118" t="s">
        <v>83</v>
      </c>
      <c r="L118" t="s">
        <v>84</v>
      </c>
      <c r="M118" t="str">
        <f t="shared" si="58"/>
        <v/>
      </c>
      <c r="N118" s="134" t="e">
        <f t="shared" si="51"/>
        <v>#DIV/0!</v>
      </c>
      <c r="O118" s="111" t="s">
        <v>160</v>
      </c>
      <c r="P118" s="134" t="e">
        <f t="shared" si="59"/>
        <v>#DIV/0!</v>
      </c>
      <c r="Q118" s="111" t="s">
        <v>84</v>
      </c>
    </row>
    <row r="119" spans="1:17" x14ac:dyDescent="0.2">
      <c r="A119" t="str">
        <f t="shared" ref="A119:A121" si="60">A118</f>
        <v>Project Specific Overheads</v>
      </c>
      <c r="C119" t="s">
        <v>354</v>
      </c>
      <c r="D119" s="112" t="e">
        <f>Costing!O96</f>
        <v>#DIV/0!</v>
      </c>
      <c r="E119" s="112">
        <f>Costing!C110</f>
        <v>30.63</v>
      </c>
      <c r="F119" t="s">
        <v>2</v>
      </c>
      <c r="G119" t="s">
        <v>90</v>
      </c>
      <c r="H119" s="112">
        <v>0</v>
      </c>
      <c r="I119" t="s">
        <v>81</v>
      </c>
      <c r="J119" t="s">
        <v>85</v>
      </c>
      <c r="K119" t="s">
        <v>83</v>
      </c>
      <c r="L119" t="s">
        <v>84</v>
      </c>
      <c r="M119" t="str">
        <f t="shared" si="58"/>
        <v/>
      </c>
      <c r="N119" s="134" t="e">
        <f t="shared" si="51"/>
        <v>#DIV/0!</v>
      </c>
      <c r="O119" s="111" t="s">
        <v>160</v>
      </c>
      <c r="P119" s="134" t="e">
        <f t="shared" si="59"/>
        <v>#DIV/0!</v>
      </c>
      <c r="Q119" s="111" t="s">
        <v>84</v>
      </c>
    </row>
    <row r="120" spans="1:17" s="130" customFormat="1" ht="48" x14ac:dyDescent="0.2">
      <c r="A120" s="130" t="str">
        <f t="shared" si="60"/>
        <v>Project Specific Overheads</v>
      </c>
      <c r="B120" s="344" t="s">
        <v>381</v>
      </c>
      <c r="C120" s="130" t="str">
        <f>_xlfn.CONCAT(A120," - Materials")</f>
        <v>Project Specific Overheads - Materials</v>
      </c>
      <c r="D120" s="131">
        <v>1</v>
      </c>
      <c r="E120" s="131" t="e">
        <f>N120</f>
        <v>#DIV/0!</v>
      </c>
      <c r="F120" s="130" t="s">
        <v>162</v>
      </c>
      <c r="G120" s="130" t="s">
        <v>117</v>
      </c>
      <c r="H120" s="131" t="e">
        <f>((P120-N120)/N120)*100</f>
        <v>#DIV/0!</v>
      </c>
      <c r="I120" s="130" t="s">
        <v>81</v>
      </c>
      <c r="J120" s="130" t="s">
        <v>82</v>
      </c>
      <c r="K120" s="130" t="s">
        <v>83</v>
      </c>
      <c r="L120" s="130" t="s">
        <v>84</v>
      </c>
      <c r="M120" s="130" t="str">
        <f t="shared" si="58"/>
        <v>Preservation Shop</v>
      </c>
      <c r="N120" s="132" t="e">
        <f>SUM(N117:N118)</f>
        <v>#DIV/0!</v>
      </c>
      <c r="O120" s="133" t="e">
        <f>IF(N120=0,"DELETE","LEAVE")</f>
        <v>#DIV/0!</v>
      </c>
      <c r="P120" s="132" t="e">
        <f>SUM(P117:P118)</f>
        <v>#DIV/0!</v>
      </c>
      <c r="Q120" s="133" t="s">
        <v>83</v>
      </c>
    </row>
    <row r="121" spans="1:17" s="130" customFormat="1" ht="48" x14ac:dyDescent="0.2">
      <c r="A121" s="130" t="str">
        <f t="shared" si="60"/>
        <v>Project Specific Overheads</v>
      </c>
      <c r="B121" s="344" t="s">
        <v>381</v>
      </c>
      <c r="C121" s="130" t="str">
        <f>_xlfn.CONCAT(A121," - Labour")</f>
        <v>Project Specific Overheads - Labour</v>
      </c>
      <c r="D121" s="131" t="e">
        <f>D119</f>
        <v>#DIV/0!</v>
      </c>
      <c r="E121" s="131">
        <f>E119</f>
        <v>30.63</v>
      </c>
      <c r="F121" s="130" t="str">
        <f>F119</f>
        <v>Hours</v>
      </c>
      <c r="G121" s="130" t="s">
        <v>116</v>
      </c>
      <c r="H121" s="131">
        <f>H119</f>
        <v>0</v>
      </c>
      <c r="I121" s="130" t="s">
        <v>81</v>
      </c>
      <c r="J121" s="130" t="str">
        <f>J119</f>
        <v>LBR</v>
      </c>
      <c r="K121" s="130" t="str">
        <f>K119</f>
        <v>Yes</v>
      </c>
      <c r="L121" s="130" t="s">
        <v>84</v>
      </c>
      <c r="M121" s="130" t="str">
        <f t="shared" si="58"/>
        <v/>
      </c>
      <c r="N121" s="132" t="e">
        <f>N119</f>
        <v>#DIV/0!</v>
      </c>
      <c r="O121" s="133" t="e">
        <f>IF(N121=0,"DELETE","LEAVE")</f>
        <v>#DIV/0!</v>
      </c>
      <c r="P121" s="132" t="e">
        <f>P119</f>
        <v>#DIV/0!</v>
      </c>
      <c r="Q121" s="133" t="s">
        <v>83</v>
      </c>
    </row>
  </sheetData>
  <sheetProtection formatRows="0" autoFilter="0"/>
  <autoFilter ref="A1:M119" xr:uid="{8F3B4B7D-5AB5-4DF4-8195-A9BF0A2E5FD5}"/>
  <dataValidations count="2">
    <dataValidation type="list" allowBlank="1" showInputMessage="1" showErrorMessage="1" sqref="Q2:Q27 Q117:Q121 Q85:Q106 Q108:Q115 Q29:Q44 Q46:Q83" xr:uid="{9893936D-6A97-424A-97F2-8ED32281DD02}">
      <formula1>"No,Yes"</formula1>
    </dataValidation>
    <dataValidation type="list" allowBlank="1" showInputMessage="1" showErrorMessage="1" sqref="L2:L121" xr:uid="{169CD6AF-1FD5-4549-B182-1F795CB999FB}">
      <formula1>"Yes,No"</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B882C9AD-89C0-4277-BA02-243075C162EA}">
          <x14:formula1>
            <xm:f>'Data Lists'!$A$35:$A$42</xm:f>
          </x14:formula1>
          <xm:sqref>G2:G27 G117:G121 G85:G106 G29:G44 G108:G115 G46:G83</xm:sqref>
        </x14:dataValidation>
        <x14:dataValidation type="list" allowBlank="1" showInputMessage="1" showErrorMessage="1" xr:uid="{DBABFF15-6C62-496C-B614-A2D346F8A782}">
          <x14:formula1>
            <xm:f>'Data Lists'!$A$6:$A$10</xm:f>
          </x14:formula1>
          <xm:sqref>J2:J25 J29:J42 J85:J104 J117:J119 J108:J113 J46:J81</xm:sqref>
        </x14:dataValidation>
        <x14:dataValidation type="list" allowBlank="1" showInputMessage="1" showErrorMessage="1" xr:uid="{F8BE3847-DE0E-43EC-867C-937BCE617721}">
          <x14:formula1>
            <xm:f>'Data Lists'!$A$15:$A$30</xm:f>
          </x14:formula1>
          <xm:sqref>A85:B106 A29:B44 A2:B27 A117:A121 A108:B115 B117:B119 A46:B83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C836B-CE6A-40E9-A65C-8B7B253AAFCF}">
  <sheetPr codeName="Sheet3"/>
  <dimension ref="A1:B121"/>
  <sheetViews>
    <sheetView topLeftCell="A5" workbookViewId="0">
      <selection activeCell="A25" sqref="A25"/>
    </sheetView>
  </sheetViews>
  <sheetFormatPr baseColWidth="10" defaultColWidth="9.1640625" defaultRowHeight="15" x14ac:dyDescent="0.2"/>
  <cols>
    <col min="1" max="1" width="167.5" style="2" bestFit="1" customWidth="1"/>
    <col min="2" max="2" width="50.33203125" style="2" customWidth="1"/>
    <col min="3" max="16384" width="9.1640625" style="2"/>
  </cols>
  <sheetData>
    <row r="1" spans="1:2" ht="21" x14ac:dyDescent="0.25">
      <c r="A1" s="1" t="s">
        <v>92</v>
      </c>
    </row>
    <row r="2" spans="1:2" ht="16" thickBot="1" x14ac:dyDescent="0.25"/>
    <row r="3" spans="1:2" x14ac:dyDescent="0.2">
      <c r="A3" s="597" t="s">
        <v>93</v>
      </c>
      <c r="B3" s="598"/>
    </row>
    <row r="4" spans="1:2" ht="19" x14ac:dyDescent="0.25">
      <c r="A4" s="599" t="s">
        <v>94</v>
      </c>
      <c r="B4" s="600"/>
    </row>
    <row r="5" spans="1:2" x14ac:dyDescent="0.2">
      <c r="A5" s="3" t="s">
        <v>95</v>
      </c>
      <c r="B5" s="4" t="s">
        <v>96</v>
      </c>
    </row>
    <row r="6" spans="1:2" x14ac:dyDescent="0.2">
      <c r="A6" s="5" t="s">
        <v>97</v>
      </c>
      <c r="B6" s="6" t="s">
        <v>98</v>
      </c>
    </row>
    <row r="7" spans="1:2" x14ac:dyDescent="0.2">
      <c r="A7" s="5" t="s">
        <v>85</v>
      </c>
      <c r="B7" s="6" t="s">
        <v>99</v>
      </c>
    </row>
    <row r="8" spans="1:2" x14ac:dyDescent="0.2">
      <c r="A8" s="5" t="s">
        <v>82</v>
      </c>
      <c r="B8" s="6" t="s">
        <v>100</v>
      </c>
    </row>
    <row r="9" spans="1:2" x14ac:dyDescent="0.2">
      <c r="A9" s="5" t="s">
        <v>89</v>
      </c>
      <c r="B9" s="6" t="s">
        <v>101</v>
      </c>
    </row>
    <row r="10" spans="1:2" ht="16" thickBot="1" x14ac:dyDescent="0.25">
      <c r="A10" s="7" t="s">
        <v>102</v>
      </c>
      <c r="B10" s="8" t="s">
        <v>103</v>
      </c>
    </row>
    <row r="11" spans="1:2" ht="16" thickBot="1" x14ac:dyDescent="0.25"/>
    <row r="12" spans="1:2" x14ac:dyDescent="0.2">
      <c r="A12" s="597" t="s">
        <v>104</v>
      </c>
      <c r="B12" s="598"/>
    </row>
    <row r="13" spans="1:2" ht="19" x14ac:dyDescent="0.25">
      <c r="A13" s="599" t="s">
        <v>105</v>
      </c>
      <c r="B13" s="600"/>
    </row>
    <row r="14" spans="1:2" x14ac:dyDescent="0.2">
      <c r="A14" s="3" t="s">
        <v>95</v>
      </c>
      <c r="B14" s="4" t="s">
        <v>96</v>
      </c>
    </row>
    <row r="15" spans="1:2" x14ac:dyDescent="0.2">
      <c r="A15" s="5" t="str">
        <f>'Customer Summary'!C4</f>
        <v>Stripping out of items as required to proceed with works</v>
      </c>
      <c r="B15" s="6" t="s">
        <v>106</v>
      </c>
    </row>
    <row r="16" spans="1:2" x14ac:dyDescent="0.2">
      <c r="A16" s="5" t="str">
        <f>'Customer Summary'!C5</f>
        <v>Plastering &amp; finishing</v>
      </c>
      <c r="B16" s="6" t="s">
        <v>106</v>
      </c>
    </row>
    <row r="17" spans="1:2" x14ac:dyDescent="0.2">
      <c r="A17" s="5" t="str">
        <f>'Customer Summary'!C6</f>
        <v>Floor Joists &amp; Floor Decking</v>
      </c>
      <c r="B17" s="6" t="s">
        <v>106</v>
      </c>
    </row>
    <row r="18" spans="1:2" x14ac:dyDescent="0.2">
      <c r="A18" s="5" t="str">
        <f>'Customer Summary'!C7</f>
        <v>Timber Treatments</v>
      </c>
      <c r="B18" s="6" t="s">
        <v>106</v>
      </c>
    </row>
    <row r="19" spans="1:2" x14ac:dyDescent="0.2">
      <c r="A19" s="5" t="str">
        <f>'Customer Summary'!C8</f>
        <v>Airbricks</v>
      </c>
      <c r="B19" s="6" t="s">
        <v>106</v>
      </c>
    </row>
    <row r="20" spans="1:2" x14ac:dyDescent="0.2">
      <c r="A20" s="5" t="str">
        <f>'Customer Summary'!C9</f>
        <v>Project Specific Overheads</v>
      </c>
      <c r="B20" s="6" t="s">
        <v>106</v>
      </c>
    </row>
    <row r="21" spans="1:2" x14ac:dyDescent="0.2">
      <c r="A21" s="5"/>
      <c r="B21" s="6" t="s">
        <v>106</v>
      </c>
    </row>
    <row r="22" spans="1:2" x14ac:dyDescent="0.2">
      <c r="A22" s="5"/>
      <c r="B22" s="6" t="s">
        <v>106</v>
      </c>
    </row>
    <row r="23" spans="1:2" x14ac:dyDescent="0.2">
      <c r="A23" s="5"/>
      <c r="B23" s="6" t="s">
        <v>106</v>
      </c>
    </row>
    <row r="24" spans="1:2" x14ac:dyDescent="0.2">
      <c r="A24" s="5"/>
      <c r="B24" s="6" t="s">
        <v>106</v>
      </c>
    </row>
    <row r="25" spans="1:2" x14ac:dyDescent="0.2">
      <c r="A25" s="5"/>
      <c r="B25" s="6" t="s">
        <v>106</v>
      </c>
    </row>
    <row r="26" spans="1:2" x14ac:dyDescent="0.2">
      <c r="A26" s="5"/>
      <c r="B26" s="6" t="s">
        <v>106</v>
      </c>
    </row>
    <row r="27" spans="1:2" x14ac:dyDescent="0.2">
      <c r="A27" s="5"/>
      <c r="B27" s="6" t="s">
        <v>106</v>
      </c>
    </row>
    <row r="28" spans="1:2" x14ac:dyDescent="0.2">
      <c r="A28" s="5"/>
      <c r="B28" s="6"/>
    </row>
    <row r="29" spans="1:2" x14ac:dyDescent="0.2">
      <c r="A29" s="5"/>
      <c r="B29" s="6"/>
    </row>
    <row r="30" spans="1:2" ht="16" thickBot="1" x14ac:dyDescent="0.25">
      <c r="A30" s="7"/>
      <c r="B30" s="8"/>
    </row>
    <row r="31" spans="1:2" ht="16" thickBot="1" x14ac:dyDescent="0.25"/>
    <row r="32" spans="1:2" x14ac:dyDescent="0.2">
      <c r="A32" s="597" t="s">
        <v>107</v>
      </c>
      <c r="B32" s="598"/>
    </row>
    <row r="33" spans="1:2" ht="19" x14ac:dyDescent="0.25">
      <c r="A33" s="599" t="s">
        <v>108</v>
      </c>
      <c r="B33" s="600"/>
    </row>
    <row r="34" spans="1:2" x14ac:dyDescent="0.2">
      <c r="A34" s="3" t="s">
        <v>95</v>
      </c>
      <c r="B34" s="4" t="s">
        <v>96</v>
      </c>
    </row>
    <row r="35" spans="1:2" x14ac:dyDescent="0.2">
      <c r="A35" s="5" t="s">
        <v>115</v>
      </c>
      <c r="B35" s="6" t="s">
        <v>106</v>
      </c>
    </row>
    <row r="36" spans="1:2" x14ac:dyDescent="0.2">
      <c r="A36" s="5" t="s">
        <v>116</v>
      </c>
      <c r="B36" s="6" t="s">
        <v>106</v>
      </c>
    </row>
    <row r="37" spans="1:2" x14ac:dyDescent="0.2">
      <c r="A37" s="5" t="s">
        <v>117</v>
      </c>
      <c r="B37" s="6" t="s">
        <v>106</v>
      </c>
    </row>
    <row r="38" spans="1:2" x14ac:dyDescent="0.2">
      <c r="A38" s="5" t="s">
        <v>118</v>
      </c>
      <c r="B38" s="6" t="s">
        <v>106</v>
      </c>
    </row>
    <row r="39" spans="1:2" x14ac:dyDescent="0.2">
      <c r="A39" s="9" t="s">
        <v>119</v>
      </c>
      <c r="B39" s="6" t="s">
        <v>106</v>
      </c>
    </row>
    <row r="40" spans="1:2" x14ac:dyDescent="0.2">
      <c r="A40" s="9" t="s">
        <v>90</v>
      </c>
      <c r="B40" s="6" t="s">
        <v>106</v>
      </c>
    </row>
    <row r="41" spans="1:2" x14ac:dyDescent="0.2">
      <c r="A41" s="9" t="s">
        <v>88</v>
      </c>
      <c r="B41" s="6" t="s">
        <v>106</v>
      </c>
    </row>
    <row r="42" spans="1:2" ht="16" thickBot="1" x14ac:dyDescent="0.25">
      <c r="A42" s="7"/>
      <c r="B42" s="8"/>
    </row>
    <row r="43" spans="1:2" ht="16" thickBot="1" x14ac:dyDescent="0.25"/>
    <row r="44" spans="1:2" x14ac:dyDescent="0.2">
      <c r="A44" s="597" t="s">
        <v>109</v>
      </c>
      <c r="B44" s="598"/>
    </row>
    <row r="45" spans="1:2" ht="19" x14ac:dyDescent="0.25">
      <c r="A45" s="599" t="s">
        <v>110</v>
      </c>
      <c r="B45" s="600"/>
    </row>
    <row r="46" spans="1:2" x14ac:dyDescent="0.2">
      <c r="A46" s="3" t="s">
        <v>95</v>
      </c>
      <c r="B46" s="4" t="s">
        <v>96</v>
      </c>
    </row>
    <row r="47" spans="1:2" x14ac:dyDescent="0.2">
      <c r="A47" s="5" t="s">
        <v>87</v>
      </c>
      <c r="B47" s="6" t="s">
        <v>106</v>
      </c>
    </row>
    <row r="48" spans="1:2" x14ac:dyDescent="0.2">
      <c r="A48" s="5" t="s">
        <v>86</v>
      </c>
      <c r="B48" s="6" t="s">
        <v>106</v>
      </c>
    </row>
    <row r="49" spans="1:2" x14ac:dyDescent="0.2">
      <c r="A49" s="5" t="s">
        <v>111</v>
      </c>
      <c r="B49" s="6" t="s">
        <v>106</v>
      </c>
    </row>
    <row r="50" spans="1:2" x14ac:dyDescent="0.2">
      <c r="A50" s="5" t="s">
        <v>2</v>
      </c>
      <c r="B50" s="6" t="s">
        <v>106</v>
      </c>
    </row>
    <row r="51" spans="1:2" x14ac:dyDescent="0.2">
      <c r="A51" s="9" t="s">
        <v>112</v>
      </c>
      <c r="B51" s="6" t="s">
        <v>106</v>
      </c>
    </row>
    <row r="52" spans="1:2" x14ac:dyDescent="0.2">
      <c r="A52" s="9" t="s">
        <v>91</v>
      </c>
      <c r="B52" s="6" t="s">
        <v>106</v>
      </c>
    </row>
    <row r="53" spans="1:2" x14ac:dyDescent="0.2">
      <c r="A53" s="9" t="s">
        <v>113</v>
      </c>
      <c r="B53" s="10" t="s">
        <v>106</v>
      </c>
    </row>
    <row r="54" spans="1:2" x14ac:dyDescent="0.2">
      <c r="A54" s="9" t="s">
        <v>114</v>
      </c>
      <c r="B54" s="10" t="s">
        <v>106</v>
      </c>
    </row>
    <row r="55" spans="1:2" ht="16" thickBot="1" x14ac:dyDescent="0.25">
      <c r="A55" s="7"/>
      <c r="B55" s="8"/>
    </row>
    <row r="56" spans="1:2" ht="16" thickBot="1" x14ac:dyDescent="0.25"/>
    <row r="57" spans="1:2" x14ac:dyDescent="0.2">
      <c r="A57" s="595" t="s">
        <v>138</v>
      </c>
      <c r="B57" s="596"/>
    </row>
    <row r="58" spans="1:2" x14ac:dyDescent="0.2">
      <c r="A58" s="5" t="s">
        <v>139</v>
      </c>
      <c r="B58" s="6" t="s">
        <v>142</v>
      </c>
    </row>
    <row r="59" spans="1:2" x14ac:dyDescent="0.2">
      <c r="A59" s="5" t="s">
        <v>140</v>
      </c>
      <c r="B59" s="109" t="s">
        <v>395</v>
      </c>
    </row>
    <row r="60" spans="1:2" ht="16" thickBot="1" x14ac:dyDescent="0.25">
      <c r="A60" s="7" t="s">
        <v>141</v>
      </c>
      <c r="B60" s="8" t="str">
        <f>CONCATENATE(B58,B59)</f>
        <v>CF-Woodworm-02-10-25-11-02-46</v>
      </c>
    </row>
    <row r="61" spans="1:2" ht="16" thickBot="1" x14ac:dyDescent="0.25"/>
    <row r="62" spans="1:2" x14ac:dyDescent="0.2">
      <c r="A62" s="595" t="s">
        <v>138</v>
      </c>
      <c r="B62" s="596"/>
    </row>
    <row r="63" spans="1:2" x14ac:dyDescent="0.2">
      <c r="A63" s="5" t="s">
        <v>236</v>
      </c>
      <c r="B63" s="6" t="str">
        <f>CONCATENATE(Costing!E4,"-WW-REPORT-",B59)</f>
        <v>-WW-REPORT-02-10-25-11-02-46</v>
      </c>
    </row>
    <row r="64" spans="1:2" ht="16" thickBot="1" x14ac:dyDescent="0.25"/>
    <row r="65" spans="1:1" x14ac:dyDescent="0.2">
      <c r="A65" s="310" t="s">
        <v>324</v>
      </c>
    </row>
    <row r="66" spans="1:1" x14ac:dyDescent="0.2">
      <c r="A66" s="311">
        <v>-5</v>
      </c>
    </row>
    <row r="67" spans="1:1" ht="16" thickBot="1" x14ac:dyDescent="0.25">
      <c r="A67" s="312">
        <f>A66+1</f>
        <v>-4</v>
      </c>
    </row>
    <row r="68" spans="1:1" ht="16" thickBot="1" x14ac:dyDescent="0.25">
      <c r="A68" s="312">
        <f t="shared" ref="A68:A121" si="0">A67+1</f>
        <v>-3</v>
      </c>
    </row>
    <row r="69" spans="1:1" ht="16" thickBot="1" x14ac:dyDescent="0.25">
      <c r="A69" s="312">
        <f t="shared" si="0"/>
        <v>-2</v>
      </c>
    </row>
    <row r="70" spans="1:1" ht="16" thickBot="1" x14ac:dyDescent="0.25">
      <c r="A70" s="312">
        <f t="shared" si="0"/>
        <v>-1</v>
      </c>
    </row>
    <row r="71" spans="1:1" ht="16" thickBot="1" x14ac:dyDescent="0.25">
      <c r="A71" s="312">
        <f t="shared" si="0"/>
        <v>0</v>
      </c>
    </row>
    <row r="72" spans="1:1" ht="16" thickBot="1" x14ac:dyDescent="0.25">
      <c r="A72" s="312">
        <f t="shared" si="0"/>
        <v>1</v>
      </c>
    </row>
    <row r="73" spans="1:1" ht="16" thickBot="1" x14ac:dyDescent="0.25">
      <c r="A73" s="312">
        <f t="shared" si="0"/>
        <v>2</v>
      </c>
    </row>
    <row r="74" spans="1:1" ht="16" thickBot="1" x14ac:dyDescent="0.25">
      <c r="A74" s="312">
        <f t="shared" si="0"/>
        <v>3</v>
      </c>
    </row>
    <row r="75" spans="1:1" ht="16" thickBot="1" x14ac:dyDescent="0.25">
      <c r="A75" s="312">
        <f t="shared" si="0"/>
        <v>4</v>
      </c>
    </row>
    <row r="76" spans="1:1" ht="16" thickBot="1" x14ac:dyDescent="0.25">
      <c r="A76" s="312">
        <f t="shared" si="0"/>
        <v>5</v>
      </c>
    </row>
    <row r="77" spans="1:1" ht="16" thickBot="1" x14ac:dyDescent="0.25">
      <c r="A77" s="312">
        <f t="shared" si="0"/>
        <v>6</v>
      </c>
    </row>
    <row r="78" spans="1:1" ht="16" thickBot="1" x14ac:dyDescent="0.25">
      <c r="A78" s="312">
        <f t="shared" si="0"/>
        <v>7</v>
      </c>
    </row>
    <row r="79" spans="1:1" ht="16" thickBot="1" x14ac:dyDescent="0.25">
      <c r="A79" s="312">
        <f t="shared" si="0"/>
        <v>8</v>
      </c>
    </row>
    <row r="80" spans="1:1" ht="16" thickBot="1" x14ac:dyDescent="0.25">
      <c r="A80" s="312">
        <f t="shared" si="0"/>
        <v>9</v>
      </c>
    </row>
    <row r="81" spans="1:1" ht="16" thickBot="1" x14ac:dyDescent="0.25">
      <c r="A81" s="312">
        <f t="shared" si="0"/>
        <v>10</v>
      </c>
    </row>
    <row r="82" spans="1:1" ht="16" thickBot="1" x14ac:dyDescent="0.25">
      <c r="A82" s="312">
        <f t="shared" si="0"/>
        <v>11</v>
      </c>
    </row>
    <row r="83" spans="1:1" ht="16" thickBot="1" x14ac:dyDescent="0.25">
      <c r="A83" s="312">
        <f t="shared" si="0"/>
        <v>12</v>
      </c>
    </row>
    <row r="84" spans="1:1" ht="16" thickBot="1" x14ac:dyDescent="0.25">
      <c r="A84" s="312">
        <f t="shared" si="0"/>
        <v>13</v>
      </c>
    </row>
    <row r="85" spans="1:1" ht="16" thickBot="1" x14ac:dyDescent="0.25">
      <c r="A85" s="312">
        <f t="shared" si="0"/>
        <v>14</v>
      </c>
    </row>
    <row r="86" spans="1:1" ht="16" thickBot="1" x14ac:dyDescent="0.25">
      <c r="A86" s="312">
        <f t="shared" si="0"/>
        <v>15</v>
      </c>
    </row>
    <row r="87" spans="1:1" ht="16" thickBot="1" x14ac:dyDescent="0.25">
      <c r="A87" s="312">
        <f t="shared" si="0"/>
        <v>16</v>
      </c>
    </row>
    <row r="88" spans="1:1" ht="16" thickBot="1" x14ac:dyDescent="0.25">
      <c r="A88" s="312">
        <f t="shared" si="0"/>
        <v>17</v>
      </c>
    </row>
    <row r="89" spans="1:1" ht="16" thickBot="1" x14ac:dyDescent="0.25">
      <c r="A89" s="312">
        <f t="shared" si="0"/>
        <v>18</v>
      </c>
    </row>
    <row r="90" spans="1:1" ht="16" thickBot="1" x14ac:dyDescent="0.25">
      <c r="A90" s="312">
        <f t="shared" si="0"/>
        <v>19</v>
      </c>
    </row>
    <row r="91" spans="1:1" ht="16" thickBot="1" x14ac:dyDescent="0.25">
      <c r="A91" s="312">
        <f t="shared" si="0"/>
        <v>20</v>
      </c>
    </row>
    <row r="92" spans="1:1" ht="16" thickBot="1" x14ac:dyDescent="0.25">
      <c r="A92" s="312">
        <f t="shared" si="0"/>
        <v>21</v>
      </c>
    </row>
    <row r="93" spans="1:1" ht="16" thickBot="1" x14ac:dyDescent="0.25">
      <c r="A93" s="312">
        <f t="shared" si="0"/>
        <v>22</v>
      </c>
    </row>
    <row r="94" spans="1:1" ht="16" thickBot="1" x14ac:dyDescent="0.25">
      <c r="A94" s="312">
        <f t="shared" si="0"/>
        <v>23</v>
      </c>
    </row>
    <row r="95" spans="1:1" ht="16" thickBot="1" x14ac:dyDescent="0.25">
      <c r="A95" s="312">
        <f t="shared" si="0"/>
        <v>24</v>
      </c>
    </row>
    <row r="96" spans="1:1" ht="16" thickBot="1" x14ac:dyDescent="0.25">
      <c r="A96" s="312">
        <f t="shared" si="0"/>
        <v>25</v>
      </c>
    </row>
    <row r="97" spans="1:1" ht="16" thickBot="1" x14ac:dyDescent="0.25">
      <c r="A97" s="312">
        <f t="shared" si="0"/>
        <v>26</v>
      </c>
    </row>
    <row r="98" spans="1:1" ht="16" thickBot="1" x14ac:dyDescent="0.25">
      <c r="A98" s="312">
        <f t="shared" si="0"/>
        <v>27</v>
      </c>
    </row>
    <row r="99" spans="1:1" ht="16" thickBot="1" x14ac:dyDescent="0.25">
      <c r="A99" s="312">
        <f t="shared" si="0"/>
        <v>28</v>
      </c>
    </row>
    <row r="100" spans="1:1" ht="16" thickBot="1" x14ac:dyDescent="0.25">
      <c r="A100" s="312">
        <f t="shared" si="0"/>
        <v>29</v>
      </c>
    </row>
    <row r="101" spans="1:1" ht="16" thickBot="1" x14ac:dyDescent="0.25">
      <c r="A101" s="312">
        <f t="shared" si="0"/>
        <v>30</v>
      </c>
    </row>
    <row r="102" spans="1:1" ht="16" thickBot="1" x14ac:dyDescent="0.25">
      <c r="A102" s="312">
        <f t="shared" si="0"/>
        <v>31</v>
      </c>
    </row>
    <row r="103" spans="1:1" ht="16" thickBot="1" x14ac:dyDescent="0.25">
      <c r="A103" s="312">
        <f t="shared" si="0"/>
        <v>32</v>
      </c>
    </row>
    <row r="104" spans="1:1" ht="16" thickBot="1" x14ac:dyDescent="0.25">
      <c r="A104" s="312">
        <f t="shared" si="0"/>
        <v>33</v>
      </c>
    </row>
    <row r="105" spans="1:1" ht="16" thickBot="1" x14ac:dyDescent="0.25">
      <c r="A105" s="312">
        <f t="shared" si="0"/>
        <v>34</v>
      </c>
    </row>
    <row r="106" spans="1:1" ht="16" thickBot="1" x14ac:dyDescent="0.25">
      <c r="A106" s="312">
        <f t="shared" si="0"/>
        <v>35</v>
      </c>
    </row>
    <row r="107" spans="1:1" ht="16" thickBot="1" x14ac:dyDescent="0.25">
      <c r="A107" s="312">
        <f t="shared" si="0"/>
        <v>36</v>
      </c>
    </row>
    <row r="108" spans="1:1" ht="16" thickBot="1" x14ac:dyDescent="0.25">
      <c r="A108" s="312">
        <f t="shared" si="0"/>
        <v>37</v>
      </c>
    </row>
    <row r="109" spans="1:1" ht="16" thickBot="1" x14ac:dyDescent="0.25">
      <c r="A109" s="312">
        <f t="shared" si="0"/>
        <v>38</v>
      </c>
    </row>
    <row r="110" spans="1:1" ht="16" thickBot="1" x14ac:dyDescent="0.25">
      <c r="A110" s="312">
        <f t="shared" si="0"/>
        <v>39</v>
      </c>
    </row>
    <row r="111" spans="1:1" ht="16" thickBot="1" x14ac:dyDescent="0.25">
      <c r="A111" s="312">
        <f t="shared" si="0"/>
        <v>40</v>
      </c>
    </row>
    <row r="112" spans="1:1" ht="16" thickBot="1" x14ac:dyDescent="0.25">
      <c r="A112" s="312">
        <f t="shared" si="0"/>
        <v>41</v>
      </c>
    </row>
    <row r="113" spans="1:1" ht="16" thickBot="1" x14ac:dyDescent="0.25">
      <c r="A113" s="312">
        <f t="shared" si="0"/>
        <v>42</v>
      </c>
    </row>
    <row r="114" spans="1:1" ht="16" thickBot="1" x14ac:dyDescent="0.25">
      <c r="A114" s="312">
        <f t="shared" si="0"/>
        <v>43</v>
      </c>
    </row>
    <row r="115" spans="1:1" ht="16" thickBot="1" x14ac:dyDescent="0.25">
      <c r="A115" s="312">
        <f t="shared" si="0"/>
        <v>44</v>
      </c>
    </row>
    <row r="116" spans="1:1" ht="16" thickBot="1" x14ac:dyDescent="0.25">
      <c r="A116" s="312">
        <f t="shared" si="0"/>
        <v>45</v>
      </c>
    </row>
    <row r="117" spans="1:1" ht="16" thickBot="1" x14ac:dyDescent="0.25">
      <c r="A117" s="312">
        <f t="shared" si="0"/>
        <v>46</v>
      </c>
    </row>
    <row r="118" spans="1:1" ht="16" thickBot="1" x14ac:dyDescent="0.25">
      <c r="A118" s="312">
        <f t="shared" si="0"/>
        <v>47</v>
      </c>
    </row>
    <row r="119" spans="1:1" ht="16" thickBot="1" x14ac:dyDescent="0.25">
      <c r="A119" s="312">
        <f t="shared" si="0"/>
        <v>48</v>
      </c>
    </row>
    <row r="120" spans="1:1" ht="16" thickBot="1" x14ac:dyDescent="0.25">
      <c r="A120" s="312">
        <f t="shared" si="0"/>
        <v>49</v>
      </c>
    </row>
    <row r="121" spans="1:1" ht="16" thickBot="1" x14ac:dyDescent="0.25">
      <c r="A121" s="312">
        <f t="shared" si="0"/>
        <v>50</v>
      </c>
    </row>
  </sheetData>
  <sheetProtection formatRows="0" autoFilter="0"/>
  <mergeCells count="10">
    <mergeCell ref="A62:B62"/>
    <mergeCell ref="A57:B57"/>
    <mergeCell ref="A44:B44"/>
    <mergeCell ref="A45:B45"/>
    <mergeCell ref="A3:B3"/>
    <mergeCell ref="A4:B4"/>
    <mergeCell ref="A12:B12"/>
    <mergeCell ref="A13:B13"/>
    <mergeCell ref="A32:B32"/>
    <mergeCell ref="A33:B3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D506-783E-4B80-A21B-5A1B4FE31A28}">
  <sheetPr codeName="Sheet6"/>
  <dimension ref="A1:D27"/>
  <sheetViews>
    <sheetView topLeftCell="A10" workbookViewId="0">
      <selection activeCell="C22" sqref="C22"/>
    </sheetView>
  </sheetViews>
  <sheetFormatPr baseColWidth="10" defaultColWidth="8.83203125" defaultRowHeight="15" x14ac:dyDescent="0.2"/>
  <cols>
    <col min="1" max="1" width="18.1640625" customWidth="1"/>
    <col min="2" max="2" width="19.1640625" style="111" customWidth="1"/>
    <col min="3" max="3" width="21.5" style="111" customWidth="1"/>
    <col min="4" max="4" width="81.5" style="111" customWidth="1"/>
  </cols>
  <sheetData>
    <row r="1" spans="1:4" ht="16" x14ac:dyDescent="0.2">
      <c r="A1" s="274" t="s">
        <v>308</v>
      </c>
      <c r="B1" s="274" t="s">
        <v>309</v>
      </c>
      <c r="C1" s="274" t="s">
        <v>310</v>
      </c>
      <c r="D1" s="275" t="s">
        <v>311</v>
      </c>
    </row>
    <row r="2" spans="1:4" ht="16" x14ac:dyDescent="0.2">
      <c r="A2" s="276">
        <v>45394</v>
      </c>
      <c r="B2" s="277">
        <v>11</v>
      </c>
      <c r="C2" s="277">
        <v>12</v>
      </c>
      <c r="D2" s="278" t="s">
        <v>312</v>
      </c>
    </row>
    <row r="3" spans="1:4" ht="16" x14ac:dyDescent="0.2">
      <c r="A3" s="276">
        <v>45394</v>
      </c>
      <c r="B3" s="277">
        <v>11</v>
      </c>
      <c r="C3" s="277">
        <v>12</v>
      </c>
      <c r="D3" s="278" t="s">
        <v>313</v>
      </c>
    </row>
    <row r="4" spans="1:4" ht="48" x14ac:dyDescent="0.2">
      <c r="A4" s="276">
        <v>45394</v>
      </c>
      <c r="B4" s="277">
        <v>11</v>
      </c>
      <c r="C4" s="277">
        <v>12</v>
      </c>
      <c r="D4" s="278" t="s">
        <v>314</v>
      </c>
    </row>
    <row r="5" spans="1:4" ht="32" x14ac:dyDescent="0.2">
      <c r="A5" s="276">
        <v>45394</v>
      </c>
      <c r="B5" s="277">
        <v>11</v>
      </c>
      <c r="C5" s="277">
        <v>12</v>
      </c>
      <c r="D5" s="278" t="s">
        <v>315</v>
      </c>
    </row>
    <row r="6" spans="1:4" x14ac:dyDescent="0.2">
      <c r="A6" s="276">
        <v>45440</v>
      </c>
      <c r="B6" s="277">
        <v>12</v>
      </c>
      <c r="C6" s="277">
        <v>13</v>
      </c>
      <c r="D6" s="279" t="s">
        <v>317</v>
      </c>
    </row>
    <row r="7" spans="1:4" ht="32" x14ac:dyDescent="0.2">
      <c r="A7" s="276">
        <v>45461</v>
      </c>
      <c r="B7" s="277">
        <v>13</v>
      </c>
      <c r="C7" s="277">
        <v>14</v>
      </c>
      <c r="D7" s="278" t="s">
        <v>326</v>
      </c>
    </row>
    <row r="8" spans="1:4" ht="32" x14ac:dyDescent="0.2">
      <c r="A8" s="276">
        <v>45540</v>
      </c>
      <c r="B8" s="277">
        <v>15</v>
      </c>
      <c r="C8" s="277">
        <v>15</v>
      </c>
      <c r="D8" s="278" t="s">
        <v>328</v>
      </c>
    </row>
    <row r="9" spans="1:4" x14ac:dyDescent="0.2">
      <c r="A9" s="276">
        <v>45546</v>
      </c>
      <c r="B9" s="277">
        <v>15</v>
      </c>
      <c r="C9" s="277">
        <v>16</v>
      </c>
      <c r="D9" s="279" t="s">
        <v>333</v>
      </c>
    </row>
    <row r="10" spans="1:4" ht="48" x14ac:dyDescent="0.2">
      <c r="A10" s="276">
        <v>45565</v>
      </c>
      <c r="B10" s="277">
        <v>16</v>
      </c>
      <c r="C10" s="277">
        <v>17</v>
      </c>
      <c r="D10" s="278" t="s">
        <v>334</v>
      </c>
    </row>
    <row r="11" spans="1:4" ht="48" x14ac:dyDescent="0.2">
      <c r="A11" s="276">
        <v>45600</v>
      </c>
      <c r="B11" s="277">
        <v>17</v>
      </c>
      <c r="C11" s="277">
        <v>18</v>
      </c>
      <c r="D11" s="278" t="s">
        <v>347</v>
      </c>
    </row>
    <row r="12" spans="1:4" ht="64" x14ac:dyDescent="0.2">
      <c r="A12" s="276">
        <v>45646</v>
      </c>
      <c r="B12" s="277">
        <v>18</v>
      </c>
      <c r="C12" s="277">
        <v>19</v>
      </c>
      <c r="D12" s="278" t="s">
        <v>373</v>
      </c>
    </row>
    <row r="13" spans="1:4" x14ac:dyDescent="0.2">
      <c r="A13" s="276">
        <v>45646</v>
      </c>
      <c r="B13" s="277">
        <v>18</v>
      </c>
      <c r="C13" s="277">
        <v>19</v>
      </c>
      <c r="D13" s="279" t="s">
        <v>374</v>
      </c>
    </row>
    <row r="14" spans="1:4" ht="32" x14ac:dyDescent="0.2">
      <c r="A14" s="276">
        <v>45646</v>
      </c>
      <c r="B14" s="277">
        <v>18</v>
      </c>
      <c r="C14" s="277">
        <v>19</v>
      </c>
      <c r="D14" s="278" t="s">
        <v>375</v>
      </c>
    </row>
    <row r="15" spans="1:4" x14ac:dyDescent="0.2">
      <c r="A15" s="276">
        <v>45684</v>
      </c>
      <c r="B15" s="277">
        <v>19</v>
      </c>
      <c r="C15" s="277">
        <v>20</v>
      </c>
      <c r="D15" s="279" t="s">
        <v>379</v>
      </c>
    </row>
    <row r="16" spans="1:4" x14ac:dyDescent="0.2">
      <c r="A16" s="276">
        <v>45698</v>
      </c>
      <c r="B16" s="277">
        <v>20</v>
      </c>
      <c r="C16" s="277">
        <v>21</v>
      </c>
      <c r="D16" s="279" t="s">
        <v>380</v>
      </c>
    </row>
    <row r="17" spans="1:4" ht="48" x14ac:dyDescent="0.2">
      <c r="A17" s="276">
        <v>45814</v>
      </c>
      <c r="B17" s="277">
        <v>21</v>
      </c>
      <c r="C17" s="277">
        <v>22</v>
      </c>
      <c r="D17" s="363" t="s">
        <v>383</v>
      </c>
    </row>
    <row r="18" spans="1:4" x14ac:dyDescent="0.2">
      <c r="A18" s="276">
        <v>45926</v>
      </c>
      <c r="B18" s="277">
        <v>22</v>
      </c>
      <c r="C18" s="277">
        <v>23</v>
      </c>
      <c r="D18" s="279" t="s">
        <v>393</v>
      </c>
    </row>
    <row r="19" spans="1:4" ht="32" x14ac:dyDescent="0.2">
      <c r="A19" s="276">
        <v>45932</v>
      </c>
      <c r="B19" s="277">
        <v>23</v>
      </c>
      <c r="C19" s="277">
        <v>24</v>
      </c>
      <c r="D19" s="278" t="s">
        <v>394</v>
      </c>
    </row>
    <row r="20" spans="1:4" x14ac:dyDescent="0.2">
      <c r="A20" s="276">
        <v>45974</v>
      </c>
      <c r="B20" s="277">
        <v>24</v>
      </c>
      <c r="C20" s="277">
        <v>25</v>
      </c>
      <c r="D20" s="279" t="s">
        <v>396</v>
      </c>
    </row>
    <row r="21" spans="1:4" x14ac:dyDescent="0.2">
      <c r="A21" s="276">
        <v>46044</v>
      </c>
      <c r="B21" s="277">
        <v>25</v>
      </c>
      <c r="C21" s="277">
        <v>26</v>
      </c>
      <c r="D21" s="279" t="s">
        <v>399</v>
      </c>
    </row>
    <row r="22" spans="1:4" x14ac:dyDescent="0.2">
      <c r="A22" s="276"/>
      <c r="B22" s="277"/>
      <c r="C22" s="277"/>
      <c r="D22" s="279"/>
    </row>
    <row r="23" spans="1:4" x14ac:dyDescent="0.2">
      <c r="A23" s="276"/>
      <c r="B23" s="277"/>
      <c r="C23" s="277"/>
      <c r="D23" s="279"/>
    </row>
    <row r="24" spans="1:4" x14ac:dyDescent="0.2">
      <c r="A24" s="276"/>
      <c r="B24" s="277"/>
      <c r="C24" s="277"/>
      <c r="D24" s="279"/>
    </row>
    <row r="25" spans="1:4" x14ac:dyDescent="0.2">
      <c r="A25" s="276"/>
      <c r="B25" s="277"/>
      <c r="C25" s="277"/>
      <c r="D25" s="279"/>
    </row>
    <row r="26" spans="1:4" x14ac:dyDescent="0.2">
      <c r="A26" s="276"/>
      <c r="B26" s="277"/>
      <c r="C26" s="277"/>
      <c r="D26" s="279"/>
    </row>
    <row r="27" spans="1:4" x14ac:dyDescent="0.2">
      <c r="A27" s="276"/>
      <c r="B27" s="277"/>
      <c r="C27" s="277"/>
      <c r="D27" s="279"/>
    </row>
  </sheetData>
  <sheetProtection formatRows="0" autoFilter="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6DF38673946941B312351CB883F9BC" ma:contentTypeVersion="18" ma:contentTypeDescription="Create a new document." ma:contentTypeScope="" ma:versionID="19a19941dc933f0640580ee2e6743334">
  <xsd:schema xmlns:xsd="http://www.w3.org/2001/XMLSchema" xmlns:xs="http://www.w3.org/2001/XMLSchema" xmlns:p="http://schemas.microsoft.com/office/2006/metadata/properties" xmlns:ns2="e9582abf-a26e-4e53-a6af-46f4bb06cdf8" xmlns:ns3="bd9bdd5b-38e0-4e09-b47e-ef3f4b20bf28" targetNamespace="http://schemas.microsoft.com/office/2006/metadata/properties" ma:root="true" ma:fieldsID="7746776fd820f6c1c65f006dbe75bdad" ns2:_="" ns3:_="">
    <xsd:import namespace="e9582abf-a26e-4e53-a6af-46f4bb06cdf8"/>
    <xsd:import namespace="bd9bdd5b-38e0-4e09-b47e-ef3f4b20bf2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582abf-a26e-4e53-a6af-46f4bb06cd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d53797e-f00b-41fd-a370-dc3893c9aeb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9bdd5b-38e0-4e09-b47e-ef3f4b20bf28"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f07dafa-c3d5-4c14-9778-cb27d337d034}" ma:internalName="TaxCatchAll" ma:showField="CatchAllData" ma:web="bd9bdd5b-38e0-4e09-b47e-ef3f4b20bf28">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bd9bdd5b-38e0-4e09-b47e-ef3f4b20bf28" xsi:nil="true"/>
    <lcf76f155ced4ddcb4097134ff3c332f xmlns="e9582abf-a26e-4e53-a6af-46f4bb06cdf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E18DB8D-EC48-4A73-895A-09D1D288BE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582abf-a26e-4e53-a6af-46f4bb06cdf8"/>
    <ds:schemaRef ds:uri="bd9bdd5b-38e0-4e09-b47e-ef3f4b20bf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2B943E-33B9-4A27-81C2-9D3941C553DD}">
  <ds:schemaRefs>
    <ds:schemaRef ds:uri="http://purl.org/dc/terms/"/>
    <ds:schemaRef ds:uri="e9582abf-a26e-4e53-a6af-46f4bb06cdf8"/>
    <ds:schemaRef ds:uri="http://schemas.microsoft.com/office/2006/metadata/properties"/>
    <ds:schemaRef ds:uri="http://schemas.microsoft.com/office/2006/documentManagement/types"/>
    <ds:schemaRef ds:uri="bd9bdd5b-38e0-4e09-b47e-ef3f4b20bf28"/>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D92591BF-1DC0-4603-9157-73DCA47BD71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Report</vt:lpstr>
      <vt:lpstr>Costing</vt:lpstr>
      <vt:lpstr>Customer Summary</vt:lpstr>
      <vt:lpstr>Office Notes</vt:lpstr>
      <vt:lpstr>CAF1 Form</vt:lpstr>
      <vt:lpstr>Sub Contractor Costs</vt:lpstr>
      <vt:lpstr>Sub Contractor Mats</vt:lpstr>
      <vt:lpstr>CF CSV Upload</vt:lpstr>
      <vt:lpstr>Data Lists</vt:lpstr>
      <vt:lpstr>Changes</vt:lpstr>
      <vt:lpstr>Report!Print_Area</vt:lpstr>
      <vt:lpstr>'Sub Contractor Costs'!Print_Area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Davison</dc:creator>
  <cp:lastModifiedBy>Dominic Clauzel</cp:lastModifiedBy>
  <cp:lastPrinted>2025-01-06T15:22:36Z</cp:lastPrinted>
  <dcterms:created xsi:type="dcterms:W3CDTF">2023-05-12T08:29:56Z</dcterms:created>
  <dcterms:modified xsi:type="dcterms:W3CDTF">2026-02-17T23:46:09Z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0x0101003B6DF38673946941B312351CB883F9BC</vt:lpwstr>
  </property>
  <property fmtid="{D5CDD505-2E9C-101B-9397-08002B2CF9AE}" pid="3" name="MediaServiceImageTags">
    <vt:lpwstr/>
  </property>
</Properties>
</file>