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codeName="ThisWorkbook" defaultThemeVersion="166925"/>
  <mc:AlternateContent xmlns:mc="http://schemas.openxmlformats.org/markup-compatibility/2006">
    <mc:Choice Requires="x15">
      <x15ac:absPath xmlns:x15ac="http://schemas.microsoft.com/office/spreadsheetml/2010/11/ac" url="/Users/dominicclauzel/Development/Tyne_Tees_Damp_Proofing/completedcondensationcostreport/"/>
    </mc:Choice>
  </mc:AlternateContent>
  <xr:revisionPtr revIDLastSave="0" documentId="13_ncr:1_{79586603-C628-9D44-B743-8A06A29E57A8}" xr6:coauthVersionLast="47" xr6:coauthVersionMax="47" xr10:uidLastSave="{00000000-0000-0000-0000-000000000000}"/>
  <bookViews>
    <workbookView xWindow="0" yWindow="880" windowWidth="36000" windowHeight="22500" xr2:uid="{7B1D20A2-8231-4FBE-8D91-474C0BEE8B28}"/>
  </bookViews>
  <sheets>
    <sheet name="Report" sheetId="7" r:id="rId1"/>
    <sheet name="Costing" sheetId="1" r:id="rId2"/>
    <sheet name="Customer Summary" sheetId="4" r:id="rId3"/>
    <sheet name="Office Notes" sheetId="9" r:id="rId4"/>
    <sheet name="CAF1 Form" sheetId="11" r:id="rId5"/>
    <sheet name="Sub Contractor Costs" sheetId="10" r:id="rId6"/>
    <sheet name="CF CSV Upload" sheetId="2" r:id="rId7"/>
    <sheet name="Data Lists" sheetId="3" r:id="rId8"/>
    <sheet name="Changes" sheetId="8" r:id="rId9"/>
  </sheets>
  <externalReferences>
    <externalReference r:id="rId10"/>
  </externalReferences>
  <definedNames>
    <definedName name="_xlnm._FilterDatabase" localSheetId="6" hidden="1">'CF CSV Upload'!$A$1:$M$95</definedName>
    <definedName name="_xlnm._FilterDatabase" localSheetId="0" hidden="1">Report!$A$3:$AG$321</definedName>
    <definedName name="_xlnm.Print_Area" localSheetId="2">'Customer Summary'!$B$2:$F$22</definedName>
    <definedName name="_xlnm.Print_Area" localSheetId="0">Report!$D$3:$Z$271</definedName>
    <definedName name="_xlnm.Print_Area" localSheetId="5">'Sub Contractor Costs'!$B$2:$E$23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85" i="7" l="1"/>
  <c r="AF184" i="7"/>
  <c r="A183" i="7"/>
  <c r="AF182" i="7"/>
  <c r="B181" i="7"/>
  <c r="B183" i="7" s="1"/>
  <c r="B184" i="7" s="1"/>
  <c r="B185" i="7" s="1"/>
  <c r="A181" i="7"/>
  <c r="A139" i="7"/>
  <c r="AF138" i="7"/>
  <c r="A137" i="7"/>
  <c r="AF136" i="7"/>
  <c r="B135" i="7"/>
  <c r="B137" i="7" s="1"/>
  <c r="B138" i="7" s="1"/>
  <c r="B139" i="7" s="1"/>
  <c r="A135" i="7"/>
  <c r="A132" i="7"/>
  <c r="AF131" i="7"/>
  <c r="A130" i="7"/>
  <c r="AF129" i="7"/>
  <c r="B128" i="7"/>
  <c r="B130" i="7" s="1"/>
  <c r="B131" i="7" s="1"/>
  <c r="B132" i="7" s="1"/>
  <c r="A128" i="7"/>
  <c r="A125" i="7"/>
  <c r="AF124" i="7"/>
  <c r="A123" i="7"/>
  <c r="AF122" i="7"/>
  <c r="B121" i="7"/>
  <c r="B123" i="7" s="1"/>
  <c r="B124" i="7" s="1"/>
  <c r="B125" i="7" s="1"/>
  <c r="A121" i="7"/>
  <c r="A34" i="7"/>
  <c r="AF33" i="7"/>
  <c r="A32" i="7"/>
  <c r="AF31" i="7"/>
  <c r="B30" i="7"/>
  <c r="B32" i="7" s="1"/>
  <c r="B33" i="7" s="1"/>
  <c r="B34" i="7" s="1"/>
  <c r="A30" i="7"/>
  <c r="O78" i="1" l="1"/>
  <c r="H93" i="2" l="1"/>
  <c r="H91" i="2"/>
  <c r="H90" i="2"/>
  <c r="H88" i="2"/>
  <c r="H87" i="2"/>
  <c r="H85" i="2"/>
  <c r="H84" i="2"/>
  <c r="H82" i="2"/>
  <c r="H81" i="2"/>
  <c r="H79" i="2"/>
  <c r="H78" i="2"/>
  <c r="H74" i="2"/>
  <c r="H73" i="2"/>
  <c r="H72" i="2"/>
  <c r="H71" i="2"/>
  <c r="H70" i="2"/>
  <c r="H69" i="2"/>
  <c r="H65" i="2"/>
  <c r="H64" i="2"/>
  <c r="H63" i="2"/>
  <c r="H62" i="2"/>
  <c r="H58" i="2"/>
  <c r="H57" i="2"/>
  <c r="H56" i="2"/>
  <c r="H55" i="2"/>
  <c r="H51" i="2"/>
  <c r="H50" i="2"/>
  <c r="H49" i="2"/>
  <c r="H48" i="2"/>
  <c r="H47" i="2"/>
  <c r="H46" i="2"/>
  <c r="H45" i="2"/>
  <c r="H44" i="2"/>
  <c r="H40" i="2"/>
  <c r="H39" i="2"/>
  <c r="H38" i="2"/>
  <c r="H37" i="2"/>
  <c r="H36" i="2"/>
  <c r="H35" i="2"/>
  <c r="H34" i="2"/>
  <c r="H33" i="2"/>
  <c r="H32" i="2"/>
  <c r="H31" i="2"/>
  <c r="H30" i="2"/>
  <c r="H29" i="2"/>
  <c r="H28" i="2"/>
  <c r="H27" i="2"/>
  <c r="H26" i="2"/>
  <c r="H25" i="2"/>
  <c r="H24" i="2"/>
  <c r="H23" i="2"/>
  <c r="H22" i="2"/>
  <c r="H21" i="2"/>
  <c r="H20" i="2"/>
  <c r="H19" i="2"/>
  <c r="H18" i="2"/>
  <c r="H17" i="2"/>
  <c r="H16" i="2"/>
  <c r="H15" i="2"/>
  <c r="H14" i="2"/>
  <c r="H13" i="2"/>
  <c r="H9" i="2"/>
  <c r="H8" i="2"/>
  <c r="H7" i="2"/>
  <c r="H6" i="2"/>
  <c r="H5" i="2"/>
  <c r="H4" i="2"/>
  <c r="H3" i="2"/>
  <c r="H2" i="2"/>
  <c r="E95" i="2"/>
  <c r="C107" i="1"/>
  <c r="AT103" i="1"/>
  <c r="C12" i="10"/>
  <c r="C13" i="10"/>
  <c r="C14" i="10"/>
  <c r="C15" i="10"/>
  <c r="C16" i="10"/>
  <c r="C17" i="10"/>
  <c r="C18" i="10"/>
  <c r="C19" i="10"/>
  <c r="C20" i="10"/>
  <c r="C21" i="10"/>
  <c r="C11" i="10"/>
  <c r="B7" i="4"/>
  <c r="B8" i="4" s="1"/>
  <c r="B9" i="4" s="1"/>
  <c r="B10" i="4" s="1"/>
  <c r="B11" i="4" s="1"/>
  <c r="B12" i="4" s="1"/>
  <c r="B13" i="4" s="1"/>
  <c r="B14" i="4" s="1"/>
  <c r="B15" i="4" s="1"/>
  <c r="B12" i="10"/>
  <c r="B13" i="10" s="1"/>
  <c r="B14" i="10" s="1"/>
  <c r="B15" i="10" s="1"/>
  <c r="B16" i="10" s="1"/>
  <c r="B17" i="10" s="1"/>
  <c r="B18" i="10" s="1"/>
  <c r="B19" i="10" s="1"/>
  <c r="B20" i="10" s="1"/>
  <c r="B21" i="10" s="1"/>
  <c r="B9" i="10"/>
  <c r="B8" i="10"/>
  <c r="B7" i="10"/>
  <c r="B6" i="10"/>
  <c r="B5" i="10"/>
  <c r="K97" i="2"/>
  <c r="J97" i="2"/>
  <c r="M97" i="2" s="1"/>
  <c r="H97" i="2"/>
  <c r="F97" i="2"/>
  <c r="A97" i="2"/>
  <c r="C97" i="2" s="1"/>
  <c r="M96" i="2"/>
  <c r="A96" i="2"/>
  <c r="C96" i="2" s="1"/>
  <c r="A93" i="2"/>
  <c r="A94" i="2" s="1"/>
  <c r="A95" i="2" s="1"/>
  <c r="L90" i="2"/>
  <c r="L91" i="2" s="1"/>
  <c r="A90" i="2"/>
  <c r="A91" i="2" s="1"/>
  <c r="L87" i="2"/>
  <c r="L88" i="2" s="1"/>
  <c r="A87" i="2"/>
  <c r="A88" i="2" s="1"/>
  <c r="L84" i="2"/>
  <c r="L85" i="2" s="1"/>
  <c r="A84" i="2"/>
  <c r="A85" i="2" s="1"/>
  <c r="L81" i="2"/>
  <c r="L82" i="2" s="1"/>
  <c r="A81" i="2"/>
  <c r="A82" i="2" s="1"/>
  <c r="L76" i="2"/>
  <c r="L75" i="2"/>
  <c r="A69" i="2"/>
  <c r="A70" i="2" s="1"/>
  <c r="A71" i="2" s="1"/>
  <c r="A72" i="2" s="1"/>
  <c r="A73" i="2" s="1"/>
  <c r="A74" i="2" s="1"/>
  <c r="A75" i="2" s="1"/>
  <c r="A76" i="2" s="1"/>
  <c r="L78" i="2"/>
  <c r="L79" i="2" s="1"/>
  <c r="A78" i="2"/>
  <c r="A79" i="2" s="1"/>
  <c r="L66" i="2"/>
  <c r="L67" i="2" s="1"/>
  <c r="A62" i="2"/>
  <c r="A63" i="2" s="1"/>
  <c r="A64" i="2" s="1"/>
  <c r="A65" i="2" s="1"/>
  <c r="A66" i="2" s="1"/>
  <c r="A67" i="2" s="1"/>
  <c r="L59" i="2"/>
  <c r="L60" i="2" s="1"/>
  <c r="A55" i="2"/>
  <c r="A56" i="2" s="1"/>
  <c r="A57" i="2" s="1"/>
  <c r="A58" i="2" s="1"/>
  <c r="A59" i="2" s="1"/>
  <c r="A60" i="2" s="1"/>
  <c r="L52" i="2"/>
  <c r="L53" i="2" s="1"/>
  <c r="A44" i="2"/>
  <c r="A45" i="2" s="1"/>
  <c r="A46" i="2" s="1"/>
  <c r="A47" i="2" s="1"/>
  <c r="A48" i="2" s="1"/>
  <c r="A49" i="2" s="1"/>
  <c r="A50" i="2" s="1"/>
  <c r="A51" i="2" s="1"/>
  <c r="A52" i="2" s="1"/>
  <c r="A53" i="2" s="1"/>
  <c r="L41" i="2"/>
  <c r="L42" i="2" s="1"/>
  <c r="A13" i="2"/>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L10" i="2"/>
  <c r="L11" i="2" s="1"/>
  <c r="A2" i="2"/>
  <c r="A3" i="2" s="1"/>
  <c r="A4" i="2" s="1"/>
  <c r="A5" i="2" s="1"/>
  <c r="A6" i="2" s="1"/>
  <c r="A7" i="2" s="1"/>
  <c r="A8" i="2" s="1"/>
  <c r="A9" i="2" s="1"/>
  <c r="A10" i="2" s="1"/>
  <c r="A11" i="2" s="1"/>
  <c r="A16" i="3"/>
  <c r="A17" i="3"/>
  <c r="A18" i="3"/>
  <c r="A19" i="3"/>
  <c r="A20" i="3"/>
  <c r="A21" i="3"/>
  <c r="A22" i="3"/>
  <c r="A23" i="3"/>
  <c r="A24" i="3"/>
  <c r="A25" i="3"/>
  <c r="A26" i="3"/>
  <c r="A15" i="3"/>
  <c r="B196" i="7"/>
  <c r="AF26" i="7" l="1"/>
  <c r="AF24" i="7"/>
  <c r="K99" i="1"/>
  <c r="E14" i="1"/>
  <c r="E11" i="1"/>
  <c r="D9" i="10" s="1"/>
  <c r="B11" i="1"/>
  <c r="E10" i="1"/>
  <c r="D8" i="10" s="1"/>
  <c r="B10" i="1"/>
  <c r="E9" i="1"/>
  <c r="D7" i="10" s="1"/>
  <c r="B9" i="1"/>
  <c r="E8" i="1"/>
  <c r="D6" i="10" s="1"/>
  <c r="B8" i="1"/>
  <c r="E7" i="1"/>
  <c r="D5" i="10" s="1"/>
  <c r="B7" i="1"/>
  <c r="E4" i="1"/>
  <c r="D4" i="10" s="1"/>
  <c r="AF194" i="7" l="1"/>
  <c r="AF150" i="7" l="1"/>
  <c r="A148" i="7"/>
  <c r="A147" i="7"/>
  <c r="A118" i="7"/>
  <c r="AF117" i="7"/>
  <c r="A116" i="7"/>
  <c r="AF115" i="7"/>
  <c r="B114" i="7"/>
  <c r="B116" i="7" s="1"/>
  <c r="B117" i="7" s="1"/>
  <c r="B118" i="7" s="1"/>
  <c r="A114" i="7"/>
  <c r="A111" i="7"/>
  <c r="AF110" i="7"/>
  <c r="A109" i="7"/>
  <c r="AF108" i="7"/>
  <c r="B107" i="7"/>
  <c r="B109" i="7" s="1"/>
  <c r="B110" i="7" s="1"/>
  <c r="B111" i="7" s="1"/>
  <c r="A107" i="7"/>
  <c r="A104" i="7"/>
  <c r="AF103" i="7"/>
  <c r="A102" i="7"/>
  <c r="AF101" i="7"/>
  <c r="B100" i="7"/>
  <c r="B102" i="7" s="1"/>
  <c r="B103" i="7" s="1"/>
  <c r="B104" i="7" s="1"/>
  <c r="A100" i="7"/>
  <c r="A98" i="7"/>
  <c r="A94" i="7"/>
  <c r="AF92" i="7"/>
  <c r="AF91" i="7"/>
  <c r="AF149" i="7" l="1"/>
  <c r="A259" i="7"/>
  <c r="AF258" i="7"/>
  <c r="A257" i="7"/>
  <c r="AF256" i="7"/>
  <c r="B255" i="7"/>
  <c r="A255" i="7"/>
  <c r="A252" i="7"/>
  <c r="AF251" i="7"/>
  <c r="A250" i="7"/>
  <c r="AF249" i="7"/>
  <c r="B248" i="7"/>
  <c r="B250" i="7" s="1"/>
  <c r="B251" i="7" s="1"/>
  <c r="B252" i="7" s="1"/>
  <c r="A248" i="7"/>
  <c r="A245" i="7"/>
  <c r="AF244" i="7"/>
  <c r="A243" i="7"/>
  <c r="AF242" i="7"/>
  <c r="B241" i="7"/>
  <c r="B243" i="7" s="1"/>
  <c r="B244" i="7" s="1"/>
  <c r="B245" i="7" s="1"/>
  <c r="A241" i="7"/>
  <c r="A238" i="7"/>
  <c r="AF237" i="7"/>
  <c r="A236" i="7"/>
  <c r="AF235" i="7"/>
  <c r="B234" i="7"/>
  <c r="B236" i="7" s="1"/>
  <c r="B237" i="7" s="1"/>
  <c r="B238" i="7" s="1"/>
  <c r="A234" i="7"/>
  <c r="A231" i="7"/>
  <c r="AF230" i="7"/>
  <c r="A229" i="7"/>
  <c r="AF228" i="7"/>
  <c r="B227" i="7"/>
  <c r="B229" i="7" s="1"/>
  <c r="B230" i="7" s="1"/>
  <c r="B231" i="7" s="1"/>
  <c r="A227" i="7"/>
  <c r="A224" i="7"/>
  <c r="AF223" i="7"/>
  <c r="A222" i="7"/>
  <c r="AF221" i="7"/>
  <c r="B220" i="7"/>
  <c r="B222" i="7" s="1"/>
  <c r="B223" i="7" s="1"/>
  <c r="B224" i="7" s="1"/>
  <c r="A220" i="7"/>
  <c r="A218" i="7"/>
  <c r="A214" i="7"/>
  <c r="A193" i="7"/>
  <c r="A192" i="7"/>
  <c r="B257" i="7" l="1"/>
  <c r="B258" i="7" s="1"/>
  <c r="B259" i="7" s="1"/>
  <c r="K84" i="1"/>
  <c r="P88" i="1"/>
  <c r="Q88" i="1" s="1"/>
  <c r="S88" i="1" s="1"/>
  <c r="I88" i="1"/>
  <c r="E93" i="2" s="1"/>
  <c r="P84" i="1"/>
  <c r="Q84" i="1" s="1"/>
  <c r="E74" i="2" s="1"/>
  <c r="P83" i="1"/>
  <c r="Q83" i="1" s="1"/>
  <c r="E73" i="2" s="1"/>
  <c r="Q82" i="1"/>
  <c r="E72" i="2" s="1"/>
  <c r="P82" i="1"/>
  <c r="I83" i="1"/>
  <c r="K83" i="1" s="1"/>
  <c r="I84" i="1"/>
  <c r="E71" i="2" s="1"/>
  <c r="I82" i="1"/>
  <c r="K82" i="1" s="1"/>
  <c r="P78" i="1"/>
  <c r="Q78" i="1" s="1"/>
  <c r="E91" i="2" s="1"/>
  <c r="I78" i="1"/>
  <c r="E90" i="2" s="1"/>
  <c r="P74" i="1"/>
  <c r="Q74" i="1" s="1"/>
  <c r="E88" i="2" s="1"/>
  <c r="I74" i="1"/>
  <c r="K74" i="1" s="1"/>
  <c r="Q70" i="1"/>
  <c r="E85" i="2" s="1"/>
  <c r="P70" i="1"/>
  <c r="I70" i="1"/>
  <c r="E84" i="2" s="1"/>
  <c r="P66" i="1"/>
  <c r="Q66" i="1" s="1"/>
  <c r="E82" i="2" s="1"/>
  <c r="I66" i="1"/>
  <c r="E81" i="2" s="1"/>
  <c r="Q62" i="1"/>
  <c r="E79" i="2" s="1"/>
  <c r="P62" i="1"/>
  <c r="P58" i="1"/>
  <c r="Q58" i="1" s="1"/>
  <c r="E65" i="2" s="1"/>
  <c r="P57" i="1"/>
  <c r="Q57" i="1" s="1"/>
  <c r="E64" i="2" s="1"/>
  <c r="I58" i="1"/>
  <c r="E63" i="2" s="1"/>
  <c r="I57" i="1"/>
  <c r="K57" i="1" s="1"/>
  <c r="I53" i="1"/>
  <c r="E56" i="2" s="1"/>
  <c r="I52" i="1"/>
  <c r="E55" i="2" s="1"/>
  <c r="P53" i="1"/>
  <c r="Q53" i="1" s="1"/>
  <c r="E58" i="2" s="1"/>
  <c r="P52" i="1"/>
  <c r="Q52" i="1" s="1"/>
  <c r="E57" i="2" s="1"/>
  <c r="I46" i="1"/>
  <c r="K46" i="1" s="1"/>
  <c r="I47" i="1"/>
  <c r="E46" i="2" s="1"/>
  <c r="I48" i="1"/>
  <c r="E47" i="2" s="1"/>
  <c r="I45" i="1"/>
  <c r="E44" i="2" s="1"/>
  <c r="P48" i="1"/>
  <c r="Q48" i="1" s="1"/>
  <c r="E51" i="2" s="1"/>
  <c r="P47" i="1"/>
  <c r="Q47" i="1" s="1"/>
  <c r="E50" i="2" s="1"/>
  <c r="P46" i="1"/>
  <c r="Q46" i="1" s="1"/>
  <c r="E49" i="2" s="1"/>
  <c r="P45" i="1"/>
  <c r="Q45" i="1" s="1"/>
  <c r="E48" i="2" s="1"/>
  <c r="I29" i="1"/>
  <c r="K29" i="1" s="1"/>
  <c r="I30" i="1"/>
  <c r="E15" i="2" s="1"/>
  <c r="I31" i="1"/>
  <c r="E16" i="2" s="1"/>
  <c r="I32" i="1"/>
  <c r="E17" i="2" s="1"/>
  <c r="I33" i="1"/>
  <c r="E18" i="2" s="1"/>
  <c r="I34" i="1"/>
  <c r="E19" i="2" s="1"/>
  <c r="I35" i="1"/>
  <c r="K35" i="1" s="1"/>
  <c r="I36" i="1"/>
  <c r="K36" i="1" s="1"/>
  <c r="I37" i="1"/>
  <c r="K37" i="1" s="1"/>
  <c r="I38" i="1"/>
  <c r="K38" i="1" s="1"/>
  <c r="I39" i="1"/>
  <c r="E24" i="2" s="1"/>
  <c r="I40" i="1"/>
  <c r="E25" i="2" s="1"/>
  <c r="I41" i="1"/>
  <c r="E26" i="2" s="1"/>
  <c r="I28" i="1"/>
  <c r="K28" i="1" s="1"/>
  <c r="P29" i="1"/>
  <c r="Q29" i="1" s="1"/>
  <c r="E28" i="2" s="1"/>
  <c r="P30" i="1"/>
  <c r="Q30" i="1" s="1"/>
  <c r="E29" i="2" s="1"/>
  <c r="P31" i="1"/>
  <c r="Q31" i="1" s="1"/>
  <c r="E30" i="2" s="1"/>
  <c r="P32" i="1"/>
  <c r="Q32" i="1" s="1"/>
  <c r="E31" i="2" s="1"/>
  <c r="P33" i="1"/>
  <c r="Q33" i="1" s="1"/>
  <c r="E32" i="2" s="1"/>
  <c r="P34" i="1"/>
  <c r="Q34" i="1" s="1"/>
  <c r="E33" i="2" s="1"/>
  <c r="P35" i="1"/>
  <c r="Q35" i="1"/>
  <c r="E34" i="2" s="1"/>
  <c r="P36" i="1"/>
  <c r="Q36" i="1" s="1"/>
  <c r="E35" i="2" s="1"/>
  <c r="P37" i="1"/>
  <c r="Q37" i="1" s="1"/>
  <c r="E36" i="2" s="1"/>
  <c r="P38" i="1"/>
  <c r="Q38" i="1"/>
  <c r="E37" i="2" s="1"/>
  <c r="P39" i="1"/>
  <c r="Q39" i="1" s="1"/>
  <c r="E38" i="2" s="1"/>
  <c r="P40" i="1"/>
  <c r="Q40" i="1" s="1"/>
  <c r="E39" i="2" s="1"/>
  <c r="P41" i="1"/>
  <c r="Q41" i="1" s="1"/>
  <c r="E40" i="2" s="1"/>
  <c r="P28" i="1"/>
  <c r="Q28" i="1" s="1"/>
  <c r="E27" i="2" s="1"/>
  <c r="P22" i="1"/>
  <c r="Q22" i="1" s="1"/>
  <c r="E7" i="2" s="1"/>
  <c r="P23" i="1"/>
  <c r="Q23" i="1" s="1"/>
  <c r="E8" i="2" s="1"/>
  <c r="P24" i="1"/>
  <c r="Q24" i="1" s="1"/>
  <c r="E9" i="2" s="1"/>
  <c r="P21" i="1"/>
  <c r="Q21" i="1" s="1"/>
  <c r="E6" i="2" s="1"/>
  <c r="I22" i="1"/>
  <c r="K22" i="1" s="1"/>
  <c r="I23" i="1"/>
  <c r="E4" i="2" s="1"/>
  <c r="I24" i="1"/>
  <c r="E5" i="2" s="1"/>
  <c r="I21" i="1"/>
  <c r="E2" i="2" s="1"/>
  <c r="A68" i="3"/>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K32" i="1" l="1"/>
  <c r="K39" i="1"/>
  <c r="K40" i="1"/>
  <c r="K41" i="1"/>
  <c r="K88" i="1"/>
  <c r="E21" i="2"/>
  <c r="E69" i="2"/>
  <c r="AF171" i="7"/>
  <c r="K24" i="1"/>
  <c r="K53" i="1"/>
  <c r="K52" i="1"/>
  <c r="E70" i="2"/>
  <c r="K78" i="1"/>
  <c r="E87" i="2"/>
  <c r="K70" i="1"/>
  <c r="K66" i="1"/>
  <c r="E62" i="2"/>
  <c r="K58" i="1"/>
  <c r="E45" i="2"/>
  <c r="K45" i="1"/>
  <c r="K47" i="1"/>
  <c r="K48" i="1"/>
  <c r="E14" i="2"/>
  <c r="E13" i="2"/>
  <c r="K30" i="1"/>
  <c r="E23" i="2"/>
  <c r="K31" i="1"/>
  <c r="E22" i="2"/>
  <c r="K33" i="1"/>
  <c r="E20" i="2"/>
  <c r="K34" i="1"/>
  <c r="E3" i="2"/>
  <c r="K21" i="1"/>
  <c r="K23" i="1"/>
  <c r="U78" i="1"/>
  <c r="U74" i="1"/>
  <c r="U70" i="1"/>
  <c r="U66" i="1"/>
  <c r="U58" i="1"/>
  <c r="U57" i="1"/>
  <c r="U53" i="1"/>
  <c r="U52" i="1"/>
  <c r="U48" i="1"/>
  <c r="U47" i="1"/>
  <c r="U46" i="1"/>
  <c r="U45" i="1"/>
  <c r="U41" i="1"/>
  <c r="U40" i="1"/>
  <c r="U39" i="1"/>
  <c r="U38" i="1"/>
  <c r="U37" i="1"/>
  <c r="U36" i="1"/>
  <c r="U35" i="1"/>
  <c r="U34" i="1"/>
  <c r="U33" i="1"/>
  <c r="U32" i="1"/>
  <c r="U31" i="1"/>
  <c r="U30" i="1"/>
  <c r="U29" i="1"/>
  <c r="U28" i="1"/>
  <c r="B264" i="7" l="1"/>
  <c r="AF264" i="7" s="1"/>
  <c r="AF265" i="7"/>
  <c r="AF172" i="7"/>
  <c r="B156" i="7" l="1"/>
  <c r="AF156" i="7" s="1"/>
  <c r="B158" i="7"/>
  <c r="AF158" i="7" s="1"/>
  <c r="F45" i="2"/>
  <c r="F46" i="2"/>
  <c r="F47" i="2"/>
  <c r="F44" i="2"/>
  <c r="AF178" i="7"/>
  <c r="B187" i="7" l="1"/>
  <c r="AF168" i="7" l="1"/>
  <c r="AF165" i="7"/>
  <c r="B160" i="7"/>
  <c r="AF160" i="7" s="1"/>
  <c r="B162" i="7"/>
  <c r="AF162" i="7" s="1"/>
  <c r="AF170" i="7"/>
  <c r="AF169" i="7"/>
  <c r="AF163" i="7"/>
  <c r="AF161" i="7"/>
  <c r="AF159" i="7"/>
  <c r="AF157" i="7"/>
  <c r="AF155" i="7"/>
  <c r="B279" i="7" l="1"/>
  <c r="B280" i="7" s="1"/>
  <c r="B281" i="7" s="1"/>
  <c r="B282" i="7" s="1"/>
  <c r="B283" i="7" s="1"/>
  <c r="B284" i="7" s="1"/>
  <c r="B188" i="7"/>
  <c r="B189" i="7" s="1"/>
  <c r="A188" i="7"/>
  <c r="A187" i="7"/>
  <c r="B285" i="7" l="1"/>
  <c r="B286" i="7" s="1"/>
  <c r="B287" i="7" s="1"/>
  <c r="B288" i="7" s="1"/>
  <c r="B289" i="7" s="1"/>
  <c r="B290" i="7" s="1"/>
  <c r="B291" i="7" s="1"/>
  <c r="B292" i="7" s="1"/>
  <c r="B293" i="7" s="1"/>
  <c r="B294" i="7" s="1"/>
  <c r="B295" i="7" s="1"/>
  <c r="B296" i="7" s="1"/>
  <c r="B297" i="7" s="1"/>
  <c r="B298" i="7" s="1"/>
  <c r="B299" i="7" s="1"/>
  <c r="B300" i="7" s="1"/>
  <c r="B301" i="7" s="1"/>
  <c r="B302" i="7" s="1"/>
  <c r="B303" i="7" s="1"/>
  <c r="B304" i="7" s="1"/>
  <c r="B305" i="7" s="1"/>
  <c r="B306" i="7" s="1"/>
  <c r="B307" i="7" s="1"/>
  <c r="B308" i="7" s="1"/>
  <c r="B309" i="7" s="1"/>
  <c r="B310" i="7" s="1"/>
  <c r="B311" i="7" s="1"/>
  <c r="B312" i="7" s="1"/>
  <c r="B313" i="7" s="1"/>
  <c r="B314" i="7" s="1"/>
  <c r="B315" i="7" s="1"/>
  <c r="B316" i="7" s="1"/>
  <c r="B317" i="7" s="1"/>
  <c r="B318" i="7" s="1"/>
  <c r="B319" i="7" s="1"/>
  <c r="B320" i="7" s="1"/>
  <c r="B321" i="7" s="1"/>
  <c r="B166" i="7"/>
  <c r="AF166" i="7" s="1"/>
  <c r="B164" i="7"/>
  <c r="AF164" i="7" s="1"/>
  <c r="B167" i="7" l="1"/>
  <c r="AF167" i="7" s="1"/>
  <c r="AF145" i="7"/>
  <c r="AF143" i="7"/>
  <c r="AF141" i="7"/>
  <c r="AF142" i="7"/>
  <c r="AF144" i="7"/>
  <c r="AF146" i="7"/>
  <c r="AF93" i="7"/>
  <c r="AF95" i="7"/>
  <c r="AF96" i="7"/>
  <c r="AF97" i="7"/>
  <c r="A278" i="7" l="1"/>
  <c r="A277" i="7"/>
  <c r="A276" i="7"/>
  <c r="A275" i="7"/>
  <c r="A274" i="7"/>
  <c r="A273" i="7"/>
  <c r="A272" i="7"/>
  <c r="A189" i="7"/>
  <c r="A270" i="7"/>
  <c r="A269" i="7"/>
  <c r="A268" i="7"/>
  <c r="A267" i="7"/>
  <c r="A266" i="7"/>
  <c r="A191" i="7"/>
  <c r="A190" i="7"/>
  <c r="AF179" i="7"/>
  <c r="AF177" i="7"/>
  <c r="AF176" i="7"/>
  <c r="AF175" i="7"/>
  <c r="AF174" i="7"/>
  <c r="AF173" i="7"/>
  <c r="AF154" i="7"/>
  <c r="AF153" i="7"/>
  <c r="AF152" i="7"/>
  <c r="AF90" i="7"/>
  <c r="AF89" i="7"/>
  <c r="AF88" i="7"/>
  <c r="A87" i="7"/>
  <c r="AF86" i="7"/>
  <c r="AF85" i="7"/>
  <c r="AF84" i="7"/>
  <c r="A82" i="7"/>
  <c r="A80" i="7"/>
  <c r="AF79" i="7"/>
  <c r="A78" i="7"/>
  <c r="AF77" i="7"/>
  <c r="B76" i="7"/>
  <c r="B78" i="7" s="1"/>
  <c r="B79" i="7" s="1"/>
  <c r="B80" i="7" s="1"/>
  <c r="A76" i="7"/>
  <c r="A73" i="7"/>
  <c r="AF72" i="7"/>
  <c r="A71" i="7"/>
  <c r="AF70" i="7"/>
  <c r="B69" i="7"/>
  <c r="B71" i="7" s="1"/>
  <c r="B72" i="7" s="1"/>
  <c r="B73" i="7" s="1"/>
  <c r="A69" i="7"/>
  <c r="A66" i="7"/>
  <c r="AF65" i="7"/>
  <c r="A64" i="7"/>
  <c r="AF63" i="7"/>
  <c r="B62" i="7"/>
  <c r="B64" i="7" s="1"/>
  <c r="B65" i="7" s="1"/>
  <c r="B66" i="7" s="1"/>
  <c r="A62" i="7"/>
  <c r="A60" i="7"/>
  <c r="AF59" i="7"/>
  <c r="AF58" i="7"/>
  <c r="AF57" i="7"/>
  <c r="A56" i="7"/>
  <c r="AF55" i="7"/>
  <c r="AF54" i="7"/>
  <c r="AF53" i="7"/>
  <c r="AF52" i="7"/>
  <c r="AF51" i="7"/>
  <c r="AF50" i="7"/>
  <c r="AF49" i="7"/>
  <c r="A47" i="7"/>
  <c r="A46" i="7"/>
  <c r="A45" i="7"/>
  <c r="A44" i="7"/>
  <c r="A43" i="7"/>
  <c r="A42" i="7"/>
  <c r="A41" i="7"/>
  <c r="A40" i="7"/>
  <c r="A39" i="7"/>
  <c r="AF38" i="7"/>
  <c r="AF37" i="7"/>
  <c r="AF36" i="7"/>
  <c r="A27" i="7"/>
  <c r="A25" i="7"/>
  <c r="B23" i="7"/>
  <c r="B25" i="7" s="1"/>
  <c r="B26" i="7" s="1"/>
  <c r="B27" i="7" s="1"/>
  <c r="A23" i="7"/>
  <c r="A21" i="7"/>
  <c r="A20" i="7"/>
  <c r="AF19" i="7"/>
  <c r="AF18" i="7"/>
  <c r="AF17" i="7"/>
  <c r="A16" i="7"/>
  <c r="A15" i="7"/>
  <c r="A14" i="7"/>
  <c r="A7" i="7"/>
  <c r="A6" i="7"/>
  <c r="A5" i="7"/>
  <c r="A4" i="7"/>
  <c r="D84" i="2" l="1"/>
  <c r="H62" i="1"/>
  <c r="I62" i="1" s="1"/>
  <c r="O62" i="1"/>
  <c r="S62" i="1" s="1"/>
  <c r="M83" i="1"/>
  <c r="M84" i="1"/>
  <c r="M82" i="1"/>
  <c r="F90" i="2"/>
  <c r="D90" i="2"/>
  <c r="N90" i="2" s="1"/>
  <c r="P90" i="2" s="1"/>
  <c r="F87" i="2"/>
  <c r="D87" i="2"/>
  <c r="F84" i="2"/>
  <c r="F81" i="2"/>
  <c r="F78" i="2"/>
  <c r="D81" i="2"/>
  <c r="N81" i="2" s="1"/>
  <c r="P81" i="2" s="1"/>
  <c r="D78" i="2"/>
  <c r="M91" i="2"/>
  <c r="C91" i="2"/>
  <c r="M90" i="2"/>
  <c r="C90" i="2"/>
  <c r="M88" i="2"/>
  <c r="C88" i="2"/>
  <c r="M87" i="2"/>
  <c r="C87" i="2"/>
  <c r="M79" i="2"/>
  <c r="C79" i="2"/>
  <c r="M78" i="2"/>
  <c r="C78" i="2"/>
  <c r="M85" i="2"/>
  <c r="C85" i="2"/>
  <c r="M84" i="2"/>
  <c r="C84" i="2"/>
  <c r="M82" i="2"/>
  <c r="C82" i="2"/>
  <c r="M81" i="2"/>
  <c r="C81" i="2"/>
  <c r="F63" i="2"/>
  <c r="F62" i="2"/>
  <c r="D63" i="2"/>
  <c r="D62" i="2"/>
  <c r="C63" i="2"/>
  <c r="C62" i="2"/>
  <c r="M67" i="2"/>
  <c r="C67" i="2"/>
  <c r="M66" i="2"/>
  <c r="C66" i="2"/>
  <c r="M65" i="2"/>
  <c r="M64" i="2"/>
  <c r="M63" i="2"/>
  <c r="M62" i="2"/>
  <c r="F56" i="2"/>
  <c r="F55" i="2"/>
  <c r="D56" i="2"/>
  <c r="D55" i="2"/>
  <c r="C56" i="2"/>
  <c r="C55" i="2"/>
  <c r="M60" i="2"/>
  <c r="C60" i="2"/>
  <c r="M59" i="2"/>
  <c r="C59" i="2"/>
  <c r="M58" i="2"/>
  <c r="M57" i="2"/>
  <c r="M56" i="2"/>
  <c r="M55" i="2"/>
  <c r="D45" i="2"/>
  <c r="D46" i="2"/>
  <c r="D47" i="2"/>
  <c r="D44" i="2"/>
  <c r="C45" i="2"/>
  <c r="C46" i="2"/>
  <c r="C47" i="2"/>
  <c r="C44" i="2"/>
  <c r="M53" i="2"/>
  <c r="C53" i="2"/>
  <c r="M52" i="2"/>
  <c r="C52" i="2"/>
  <c r="M51" i="2"/>
  <c r="M50" i="2"/>
  <c r="M49" i="2"/>
  <c r="M48" i="2"/>
  <c r="M47" i="2"/>
  <c r="M46" i="2"/>
  <c r="M45" i="2"/>
  <c r="M44" i="2"/>
  <c r="K62" i="1" l="1"/>
  <c r="E78" i="2"/>
  <c r="N78" i="2" s="1"/>
  <c r="P78" i="2" s="1"/>
  <c r="U62" i="1"/>
  <c r="N87" i="2"/>
  <c r="P87" i="2" s="1"/>
  <c r="N84" i="2"/>
  <c r="P84" i="2" s="1"/>
  <c r="N62" i="2"/>
  <c r="P62" i="2" s="1"/>
  <c r="N63" i="2"/>
  <c r="P63" i="2" s="1"/>
  <c r="N55" i="2"/>
  <c r="P55" i="2" s="1"/>
  <c r="N56" i="2"/>
  <c r="P56" i="2" s="1"/>
  <c r="N46" i="2"/>
  <c r="P46" i="2" s="1"/>
  <c r="N44" i="2"/>
  <c r="P44" i="2" s="1"/>
  <c r="N45" i="2"/>
  <c r="P45" i="2" s="1"/>
  <c r="N47" i="2"/>
  <c r="P47" i="2" s="1"/>
  <c r="M28" i="2"/>
  <c r="M27" i="2"/>
  <c r="M32" i="2"/>
  <c r="M31" i="2"/>
  <c r="M30" i="2"/>
  <c r="M29" i="2"/>
  <c r="M36" i="2"/>
  <c r="M35" i="2"/>
  <c r="M34" i="2"/>
  <c r="M33" i="2"/>
  <c r="D14" i="2"/>
  <c r="F14" i="2"/>
  <c r="D15" i="2"/>
  <c r="F15" i="2"/>
  <c r="D16" i="2"/>
  <c r="F16" i="2"/>
  <c r="D17" i="2"/>
  <c r="F17" i="2"/>
  <c r="D18" i="2"/>
  <c r="F18" i="2"/>
  <c r="D19" i="2"/>
  <c r="F19" i="2"/>
  <c r="D20" i="2"/>
  <c r="F20" i="2"/>
  <c r="D21" i="2"/>
  <c r="F21" i="2"/>
  <c r="D22" i="2"/>
  <c r="F22" i="2"/>
  <c r="D23" i="2"/>
  <c r="F23" i="2"/>
  <c r="D24" i="2"/>
  <c r="F24" i="2"/>
  <c r="D25" i="2"/>
  <c r="F25" i="2"/>
  <c r="D26" i="2"/>
  <c r="F26" i="2"/>
  <c r="F13" i="2"/>
  <c r="D13" i="2"/>
  <c r="C14" i="2"/>
  <c r="C15" i="2"/>
  <c r="C16" i="2"/>
  <c r="C17" i="2"/>
  <c r="C18" i="2"/>
  <c r="C19" i="2"/>
  <c r="C20" i="2"/>
  <c r="C21" i="2"/>
  <c r="C22" i="2"/>
  <c r="C23" i="2"/>
  <c r="C24" i="2"/>
  <c r="C25" i="2"/>
  <c r="C26" i="2"/>
  <c r="C13" i="2"/>
  <c r="M24" i="2"/>
  <c r="M23" i="2"/>
  <c r="M26" i="2"/>
  <c r="M25" i="2"/>
  <c r="M22" i="2"/>
  <c r="M21" i="2"/>
  <c r="M20" i="2"/>
  <c r="M19" i="2"/>
  <c r="M18" i="2"/>
  <c r="M17" i="2"/>
  <c r="M42" i="2"/>
  <c r="C42" i="2"/>
  <c r="M41" i="2"/>
  <c r="C41" i="2"/>
  <c r="M40" i="2"/>
  <c r="M39" i="2"/>
  <c r="M38" i="2"/>
  <c r="M37" i="2"/>
  <c r="M16" i="2"/>
  <c r="M15" i="2"/>
  <c r="M14" i="2"/>
  <c r="M13" i="2"/>
  <c r="C10" i="2"/>
  <c r="M9" i="2"/>
  <c r="M8" i="2"/>
  <c r="M7" i="2"/>
  <c r="F3" i="2"/>
  <c r="F4" i="2"/>
  <c r="F5" i="2"/>
  <c r="F2" i="2"/>
  <c r="D3" i="2"/>
  <c r="D4" i="2"/>
  <c r="D5" i="2"/>
  <c r="D2" i="2"/>
  <c r="C3" i="2"/>
  <c r="C4" i="2"/>
  <c r="C5" i="2"/>
  <c r="C2" i="2"/>
  <c r="D91" i="2" l="1"/>
  <c r="N91" i="2" s="1"/>
  <c r="P91" i="2" s="1"/>
  <c r="S78" i="1"/>
  <c r="N66" i="2"/>
  <c r="O66" i="2" s="1"/>
  <c r="P66" i="2"/>
  <c r="H66" i="2" s="1"/>
  <c r="P59" i="2"/>
  <c r="N59" i="2"/>
  <c r="E59" i="2" s="1"/>
  <c r="P52" i="2"/>
  <c r="N52" i="2"/>
  <c r="O52" i="2" s="1"/>
  <c r="N14" i="2"/>
  <c r="P14" i="2" s="1"/>
  <c r="N24" i="2"/>
  <c r="P24" i="2" s="1"/>
  <c r="N23" i="2"/>
  <c r="P23" i="2" s="1"/>
  <c r="N19" i="2"/>
  <c r="P19" i="2" s="1"/>
  <c r="N25" i="2"/>
  <c r="P25" i="2" s="1"/>
  <c r="N26" i="2"/>
  <c r="P26" i="2" s="1"/>
  <c r="N22" i="2"/>
  <c r="P22" i="2" s="1"/>
  <c r="N20" i="2"/>
  <c r="P20" i="2" s="1"/>
  <c r="N21" i="2"/>
  <c r="P21" i="2" s="1"/>
  <c r="N15" i="2"/>
  <c r="P15" i="2" s="1"/>
  <c r="N17" i="2"/>
  <c r="P17" i="2" s="1"/>
  <c r="N16" i="2"/>
  <c r="P16" i="2" s="1"/>
  <c r="N18" i="2"/>
  <c r="P18" i="2" s="1"/>
  <c r="N13" i="2"/>
  <c r="P13" i="2" s="1"/>
  <c r="H52" i="2" l="1"/>
  <c r="H59" i="2"/>
  <c r="E66" i="2"/>
  <c r="O59" i="2"/>
  <c r="O81" i="2"/>
  <c r="O84" i="2"/>
  <c r="E52" i="2"/>
  <c r="P41" i="2"/>
  <c r="N41" i="2"/>
  <c r="O41" i="2" s="1"/>
  <c r="H41" i="2" l="1"/>
  <c r="O78" i="2"/>
  <c r="E41" i="2"/>
  <c r="O87" i="2" l="1"/>
  <c r="O90" i="2"/>
  <c r="A79" i="1" l="1"/>
  <c r="AT78" i="1"/>
  <c r="O79" i="1"/>
  <c r="M78" i="1"/>
  <c r="U77" i="1"/>
  <c r="M77" i="1"/>
  <c r="A77" i="1"/>
  <c r="A75" i="1"/>
  <c r="AT74" i="1"/>
  <c r="O74" i="1"/>
  <c r="S74" i="1" s="1"/>
  <c r="M74" i="1"/>
  <c r="U73" i="1"/>
  <c r="M73" i="1"/>
  <c r="A73" i="1"/>
  <c r="M70" i="1"/>
  <c r="M66" i="1"/>
  <c r="A71" i="1"/>
  <c r="AT70" i="1"/>
  <c r="O70" i="1"/>
  <c r="U69" i="1"/>
  <c r="M69" i="1"/>
  <c r="A69" i="1"/>
  <c r="D79" i="2"/>
  <c r="N79" i="2" s="1"/>
  <c r="P79" i="2" s="1"/>
  <c r="M62" i="1"/>
  <c r="A59" i="1"/>
  <c r="AT58" i="1"/>
  <c r="O58" i="1"/>
  <c r="S58" i="1" s="1"/>
  <c r="M58" i="1"/>
  <c r="C65" i="2" s="1"/>
  <c r="AT57" i="1"/>
  <c r="O57" i="1"/>
  <c r="S57" i="1" s="1"/>
  <c r="M57" i="1"/>
  <c r="C64" i="2" s="1"/>
  <c r="U56" i="1"/>
  <c r="M56" i="1"/>
  <c r="A56" i="1"/>
  <c r="U51" i="1"/>
  <c r="A54" i="1"/>
  <c r="AT53" i="1"/>
  <c r="O53" i="1"/>
  <c r="S53" i="1" s="1"/>
  <c r="M53" i="1"/>
  <c r="C58" i="2" s="1"/>
  <c r="AT52" i="1"/>
  <c r="O52" i="1"/>
  <c r="S52" i="1" s="1"/>
  <c r="M52" i="1"/>
  <c r="C57" i="2" s="1"/>
  <c r="M51" i="1"/>
  <c r="A51" i="1"/>
  <c r="A49" i="1"/>
  <c r="AT48" i="1"/>
  <c r="O48" i="1"/>
  <c r="S48" i="1" s="1"/>
  <c r="M48" i="1"/>
  <c r="C51" i="2" s="1"/>
  <c r="AT47" i="1"/>
  <c r="O47" i="1"/>
  <c r="S47" i="1" s="1"/>
  <c r="M47" i="1"/>
  <c r="C50" i="2" s="1"/>
  <c r="AT46" i="1"/>
  <c r="O46" i="1"/>
  <c r="S46" i="1" s="1"/>
  <c r="M46" i="1"/>
  <c r="C49" i="2" s="1"/>
  <c r="AT45" i="1"/>
  <c r="O45" i="1"/>
  <c r="M45" i="1"/>
  <c r="C48" i="2" s="1"/>
  <c r="A44" i="1"/>
  <c r="AT41" i="1"/>
  <c r="O41" i="1"/>
  <c r="S41" i="1" s="1"/>
  <c r="M41" i="1"/>
  <c r="C40" i="2" s="1"/>
  <c r="AT40" i="1"/>
  <c r="O40" i="1"/>
  <c r="S40" i="1" s="1"/>
  <c r="M40" i="1"/>
  <c r="C39" i="2" s="1"/>
  <c r="AT39" i="1"/>
  <c r="O39" i="1"/>
  <c r="S39" i="1" s="1"/>
  <c r="M39" i="1"/>
  <c r="C38" i="2" s="1"/>
  <c r="AT38" i="1"/>
  <c r="O38" i="1"/>
  <c r="S38" i="1" s="1"/>
  <c r="M38" i="1"/>
  <c r="C37" i="2" s="1"/>
  <c r="AT37" i="1"/>
  <c r="O37" i="1"/>
  <c r="S37" i="1" s="1"/>
  <c r="M37" i="1"/>
  <c r="C36" i="2" s="1"/>
  <c r="AT36" i="1"/>
  <c r="O36" i="1"/>
  <c r="S36" i="1" s="1"/>
  <c r="M36" i="1"/>
  <c r="C35" i="2" s="1"/>
  <c r="AT35" i="1"/>
  <c r="O35" i="1"/>
  <c r="S35" i="1" s="1"/>
  <c r="M35" i="1"/>
  <c r="C34" i="2" s="1"/>
  <c r="AT34" i="1"/>
  <c r="O34" i="1"/>
  <c r="S34" i="1" s="1"/>
  <c r="M34" i="1"/>
  <c r="C33" i="2" s="1"/>
  <c r="AT33" i="1"/>
  <c r="O33" i="1"/>
  <c r="S33" i="1" s="1"/>
  <c r="M33" i="1"/>
  <c r="C32" i="2" s="1"/>
  <c r="AT32" i="1"/>
  <c r="O32" i="1"/>
  <c r="S32" i="1" s="1"/>
  <c r="M32" i="1"/>
  <c r="C31" i="2" s="1"/>
  <c r="AT31" i="1"/>
  <c r="O31" i="1"/>
  <c r="S31" i="1" s="1"/>
  <c r="M31" i="1"/>
  <c r="C30" i="2" s="1"/>
  <c r="AT30" i="1"/>
  <c r="O30" i="1"/>
  <c r="S30" i="1" s="1"/>
  <c r="M30" i="1"/>
  <c r="C29" i="2" s="1"/>
  <c r="AT29" i="1"/>
  <c r="O29" i="1"/>
  <c r="S29" i="1" s="1"/>
  <c r="M29" i="1"/>
  <c r="C28" i="2" s="1"/>
  <c r="M28" i="1"/>
  <c r="C27" i="2" s="1"/>
  <c r="AT24" i="1"/>
  <c r="U24" i="1"/>
  <c r="O24" i="1"/>
  <c r="S24" i="1" s="1"/>
  <c r="M24" i="1"/>
  <c r="C9" i="2" s="1"/>
  <c r="AT23" i="1"/>
  <c r="U23" i="1"/>
  <c r="O23" i="1"/>
  <c r="S23" i="1" s="1"/>
  <c r="M23" i="1"/>
  <c r="C8" i="2" s="1"/>
  <c r="D85" i="2" l="1"/>
  <c r="S70" i="1"/>
  <c r="S71" i="1" s="1"/>
  <c r="D48" i="2"/>
  <c r="N48" i="2" s="1"/>
  <c r="P48" i="2" s="1"/>
  <c r="S45" i="1"/>
  <c r="T45" i="1" s="1"/>
  <c r="V48" i="1"/>
  <c r="D51" i="2"/>
  <c r="N51" i="2" s="1"/>
  <c r="P51" i="2" s="1"/>
  <c r="V46" i="1"/>
  <c r="D49" i="2"/>
  <c r="N49" i="2" s="1"/>
  <c r="P49" i="2" s="1"/>
  <c r="V47" i="1"/>
  <c r="D50" i="2"/>
  <c r="N50" i="2" s="1"/>
  <c r="P50" i="2" s="1"/>
  <c r="K75" i="1"/>
  <c r="O75" i="1"/>
  <c r="D88" i="2"/>
  <c r="N88" i="2" s="1"/>
  <c r="P88" i="2" s="1"/>
  <c r="V70" i="1"/>
  <c r="N85" i="2"/>
  <c r="P85" i="2" s="1"/>
  <c r="U71" i="1"/>
  <c r="V58" i="1"/>
  <c r="D65" i="2"/>
  <c r="N65" i="2" s="1"/>
  <c r="P65" i="2" s="1"/>
  <c r="V57" i="1"/>
  <c r="D64" i="2"/>
  <c r="K79" i="1"/>
  <c r="T78" i="1"/>
  <c r="T53" i="1"/>
  <c r="D58" i="2"/>
  <c r="N58" i="2" s="1"/>
  <c r="P58" i="2" s="1"/>
  <c r="T52" i="1"/>
  <c r="D57" i="2"/>
  <c r="V41" i="1"/>
  <c r="D40" i="2"/>
  <c r="N40" i="2" s="1"/>
  <c r="P40" i="2" s="1"/>
  <c r="V40" i="1"/>
  <c r="D39" i="2"/>
  <c r="N39" i="2" s="1"/>
  <c r="P39" i="2" s="1"/>
  <c r="V39" i="1"/>
  <c r="D38" i="2"/>
  <c r="N38" i="2" s="1"/>
  <c r="P38" i="2" s="1"/>
  <c r="T38" i="1"/>
  <c r="D37" i="2"/>
  <c r="N37" i="2" s="1"/>
  <c r="P37" i="2" s="1"/>
  <c r="T37" i="1"/>
  <c r="D36" i="2"/>
  <c r="N36" i="2" s="1"/>
  <c r="P36" i="2" s="1"/>
  <c r="T36" i="1"/>
  <c r="D35" i="2"/>
  <c r="N35" i="2" s="1"/>
  <c r="P35" i="2" s="1"/>
  <c r="T35" i="1"/>
  <c r="D34" i="2"/>
  <c r="N34" i="2" s="1"/>
  <c r="P34" i="2" s="1"/>
  <c r="V34" i="1"/>
  <c r="D33" i="2"/>
  <c r="N33" i="2" s="1"/>
  <c r="P33" i="2" s="1"/>
  <c r="V33" i="1"/>
  <c r="D32" i="2"/>
  <c r="N32" i="2" s="1"/>
  <c r="P32" i="2" s="1"/>
  <c r="V32" i="1"/>
  <c r="D31" i="2"/>
  <c r="N31" i="2" s="1"/>
  <c r="P31" i="2" s="1"/>
  <c r="V31" i="1"/>
  <c r="D30" i="2"/>
  <c r="N30" i="2" s="1"/>
  <c r="P30" i="2" s="1"/>
  <c r="T30" i="1"/>
  <c r="D29" i="2"/>
  <c r="N29" i="2" s="1"/>
  <c r="P29" i="2" s="1"/>
  <c r="T29" i="1"/>
  <c r="D28" i="2"/>
  <c r="N28" i="2" s="1"/>
  <c r="P28" i="2" s="1"/>
  <c r="V24" i="1"/>
  <c r="D9" i="2"/>
  <c r="N9" i="2" s="1"/>
  <c r="P9" i="2" s="1"/>
  <c r="T23" i="1"/>
  <c r="D8" i="2"/>
  <c r="N8" i="2" s="1"/>
  <c r="P8" i="2" s="1"/>
  <c r="U79" i="1"/>
  <c r="V78" i="1"/>
  <c r="S75" i="1"/>
  <c r="V74" i="1"/>
  <c r="O71" i="1"/>
  <c r="K71" i="1"/>
  <c r="V52" i="1"/>
  <c r="U59" i="1"/>
  <c r="K59" i="1"/>
  <c r="O49" i="1"/>
  <c r="G13" i="10" s="1"/>
  <c r="U54" i="1"/>
  <c r="U49" i="1"/>
  <c r="T58" i="1"/>
  <c r="V36" i="1"/>
  <c r="O59" i="1"/>
  <c r="G15" i="10" s="1"/>
  <c r="T57" i="1"/>
  <c r="O54" i="1"/>
  <c r="G14" i="10" s="1"/>
  <c r="K54" i="1"/>
  <c r="V29" i="1"/>
  <c r="V37" i="1"/>
  <c r="T46" i="1"/>
  <c r="K49" i="1"/>
  <c r="V53" i="1"/>
  <c r="T48" i="1"/>
  <c r="M44" i="1"/>
  <c r="U44" i="1"/>
  <c r="V35" i="1"/>
  <c r="V45" i="1"/>
  <c r="T47" i="1"/>
  <c r="V38" i="1"/>
  <c r="T34" i="1"/>
  <c r="T33" i="1"/>
  <c r="V30" i="1"/>
  <c r="T32" i="1"/>
  <c r="T40" i="1"/>
  <c r="T31" i="1"/>
  <c r="T39" i="1"/>
  <c r="T41" i="1"/>
  <c r="T24" i="1"/>
  <c r="V23" i="1"/>
  <c r="V71" i="1" l="1"/>
  <c r="V79" i="1"/>
  <c r="V75" i="1"/>
  <c r="U75" i="1"/>
  <c r="D53" i="2"/>
  <c r="N57" i="2"/>
  <c r="D60" i="2"/>
  <c r="N64" i="2"/>
  <c r="D68" i="2"/>
  <c r="P53" i="2"/>
  <c r="N53" i="2"/>
  <c r="T74" i="1"/>
  <c r="T75" i="1" s="1"/>
  <c r="T70" i="1"/>
  <c r="T71" i="1" s="1"/>
  <c r="S79" i="1"/>
  <c r="T79" i="1"/>
  <c r="V59" i="1"/>
  <c r="D15" i="10" s="1"/>
  <c r="T59" i="1"/>
  <c r="V54" i="1"/>
  <c r="D14" i="10" s="1"/>
  <c r="S54" i="1"/>
  <c r="S59" i="1"/>
  <c r="V49" i="1"/>
  <c r="D13" i="10" s="1"/>
  <c r="T54" i="1"/>
  <c r="T49" i="1"/>
  <c r="S49" i="1"/>
  <c r="P64" i="2" l="1"/>
  <c r="P67" i="2" s="1"/>
  <c r="H67" i="2" s="1"/>
  <c r="P57" i="2"/>
  <c r="P60" i="2" s="1"/>
  <c r="H60" i="2" s="1"/>
  <c r="H53" i="2"/>
  <c r="D18" i="10"/>
  <c r="G18" i="10"/>
  <c r="G20" i="10"/>
  <c r="D20" i="10"/>
  <c r="G19" i="10"/>
  <c r="D19" i="10"/>
  <c r="N67" i="2"/>
  <c r="E67" i="2" s="1"/>
  <c r="E53" i="2"/>
  <c r="N60" i="2"/>
  <c r="E60" i="2" s="1"/>
  <c r="O53" i="2"/>
  <c r="C11" i="2"/>
  <c r="C76" i="2"/>
  <c r="C75" i="2"/>
  <c r="O60" i="2" l="1"/>
  <c r="O67" i="2"/>
  <c r="B5" i="4"/>
  <c r="B6" i="4" s="1"/>
  <c r="M22" i="1" l="1"/>
  <c r="C7" i="2" s="1"/>
  <c r="M21" i="1"/>
  <c r="C6" i="2" s="1"/>
  <c r="D12" i="7" l="1"/>
  <c r="I13" i="7"/>
  <c r="D11" i="7"/>
  <c r="D10" i="7"/>
  <c r="D9" i="7"/>
  <c r="D8" i="7"/>
  <c r="AF8" i="7" l="1"/>
  <c r="AF9" i="7"/>
  <c r="AF10" i="7"/>
  <c r="AF11" i="7"/>
  <c r="AF13" i="7"/>
  <c r="AF12" i="7"/>
  <c r="M76" i="2"/>
  <c r="M75" i="2"/>
  <c r="M11" i="2"/>
  <c r="M10" i="2"/>
  <c r="AT9" i="1" l="1"/>
  <c r="AT10" i="1"/>
  <c r="B275" i="7" l="1"/>
  <c r="B276" i="7" s="1"/>
  <c r="B277" i="7" s="1"/>
  <c r="B272" i="7"/>
  <c r="B273" i="7" s="1"/>
  <c r="B274" i="7" s="1"/>
  <c r="B269" i="7"/>
  <c r="B270" i="7" s="1"/>
  <c r="B271" i="7" s="1"/>
  <c r="M88" i="1"/>
  <c r="U87" i="1"/>
  <c r="M87" i="1"/>
  <c r="U81" i="1"/>
  <c r="M81" i="1"/>
  <c r="U65" i="1"/>
  <c r="M65" i="1"/>
  <c r="U61" i="1"/>
  <c r="M61" i="1"/>
  <c r="A61" i="1"/>
  <c r="U27" i="1"/>
  <c r="M20" i="1"/>
  <c r="U20" i="1"/>
  <c r="M27" i="1"/>
  <c r="O21" i="1"/>
  <c r="S21" i="1" s="1"/>
  <c r="K42" i="1" l="1"/>
  <c r="T21" i="1"/>
  <c r="T88" i="1"/>
  <c r="D6" i="2"/>
  <c r="K25" i="1"/>
  <c r="V21" i="1"/>
  <c r="B64" i="3" l="1"/>
  <c r="B61" i="3" l="1"/>
  <c r="AT8" i="1" l="1"/>
  <c r="A3" i="1"/>
  <c r="A5" i="1"/>
  <c r="A6" i="1"/>
  <c r="A12" i="1"/>
  <c r="A13" i="1"/>
  <c r="A15" i="1"/>
  <c r="A16" i="1"/>
  <c r="A17" i="1"/>
  <c r="A18" i="1"/>
  <c r="A20" i="1"/>
  <c r="AT14" i="1"/>
  <c r="AT11" i="1"/>
  <c r="AT7" i="1"/>
  <c r="AT4" i="1"/>
  <c r="E97" i="2" l="1"/>
  <c r="A101" i="1" l="1"/>
  <c r="A98" i="1"/>
  <c r="A97" i="1"/>
  <c r="A96" i="1"/>
  <c r="A95" i="1"/>
  <c r="A94" i="1"/>
  <c r="A93" i="1"/>
  <c r="A92" i="1"/>
  <c r="A91" i="1"/>
  <c r="A90" i="1"/>
  <c r="A87" i="1"/>
  <c r="A85" i="1"/>
  <c r="A81" i="1"/>
  <c r="A67" i="1"/>
  <c r="A65" i="1"/>
  <c r="A63" i="1"/>
  <c r="A42" i="1"/>
  <c r="A27" i="1"/>
  <c r="A25" i="1"/>
  <c r="AT100" i="1"/>
  <c r="AT99" i="1"/>
  <c r="AT88" i="1"/>
  <c r="AT84" i="1"/>
  <c r="AT83" i="1"/>
  <c r="AT82" i="1"/>
  <c r="AT66" i="1"/>
  <c r="AT62" i="1"/>
  <c r="AT28" i="1"/>
  <c r="AT22" i="1"/>
  <c r="AT21" i="1"/>
  <c r="F70" i="2"/>
  <c r="F71" i="2"/>
  <c r="F69" i="2"/>
  <c r="E94" i="2"/>
  <c r="D93" i="2"/>
  <c r="C73" i="2"/>
  <c r="C74" i="2"/>
  <c r="C72" i="2"/>
  <c r="D70" i="2"/>
  <c r="D71" i="2"/>
  <c r="D69" i="2"/>
  <c r="C70" i="2"/>
  <c r="C71" i="2"/>
  <c r="C69" i="2"/>
  <c r="M95" i="2"/>
  <c r="M94" i="2"/>
  <c r="M93" i="2"/>
  <c r="M74" i="2"/>
  <c r="M73" i="2"/>
  <c r="M72" i="2"/>
  <c r="M71" i="2"/>
  <c r="M70" i="2"/>
  <c r="M69" i="2"/>
  <c r="M6" i="2"/>
  <c r="M5" i="2"/>
  <c r="M4" i="2"/>
  <c r="M3" i="2"/>
  <c r="M2" i="2"/>
  <c r="U21" i="1"/>
  <c r="U84" i="1"/>
  <c r="O84" i="1"/>
  <c r="S84" i="1" s="1"/>
  <c r="U83" i="1"/>
  <c r="O83" i="1"/>
  <c r="S83" i="1" s="1"/>
  <c r="U82" i="1"/>
  <c r="O82" i="1"/>
  <c r="S82" i="1" s="1"/>
  <c r="AU103" i="1" l="1"/>
  <c r="A103" i="1" s="1"/>
  <c r="AU74" i="1"/>
  <c r="A74" i="1" s="1"/>
  <c r="AU78" i="1"/>
  <c r="A78" i="1" s="1"/>
  <c r="AU70" i="1"/>
  <c r="A70" i="1" s="1"/>
  <c r="AU57" i="1"/>
  <c r="A57" i="1" s="1"/>
  <c r="AU58" i="1"/>
  <c r="A58" i="1" s="1"/>
  <c r="AU53" i="1"/>
  <c r="A53" i="1" s="1"/>
  <c r="AU52" i="1"/>
  <c r="A52" i="1" s="1"/>
  <c r="AU47" i="1"/>
  <c r="A47" i="1" s="1"/>
  <c r="AU46" i="1"/>
  <c r="A46" i="1" s="1"/>
  <c r="AU45" i="1"/>
  <c r="A45" i="1" s="1"/>
  <c r="AU48" i="1"/>
  <c r="A48" i="1" s="1"/>
  <c r="AU41" i="1"/>
  <c r="A41" i="1" s="1"/>
  <c r="AU40" i="1"/>
  <c r="A40" i="1" s="1"/>
  <c r="AU38" i="1"/>
  <c r="A38" i="1" s="1"/>
  <c r="AU36" i="1"/>
  <c r="A36" i="1" s="1"/>
  <c r="AU37" i="1"/>
  <c r="A37" i="1" s="1"/>
  <c r="AU30" i="1"/>
  <c r="A30" i="1" s="1"/>
  <c r="AU29" i="1"/>
  <c r="A29" i="1" s="1"/>
  <c r="AU39" i="1"/>
  <c r="A39" i="1" s="1"/>
  <c r="AU32" i="1"/>
  <c r="A32" i="1" s="1"/>
  <c r="AU35" i="1"/>
  <c r="A35" i="1" s="1"/>
  <c r="AU31" i="1"/>
  <c r="A31" i="1" s="1"/>
  <c r="AU33" i="1"/>
  <c r="A33" i="1" s="1"/>
  <c r="AU34" i="1"/>
  <c r="A34" i="1" s="1"/>
  <c r="AU24" i="1"/>
  <c r="A24" i="1" s="1"/>
  <c r="AU23" i="1"/>
  <c r="A23" i="1" s="1"/>
  <c r="N71" i="2"/>
  <c r="P71" i="2" s="1"/>
  <c r="AU9" i="1"/>
  <c r="A9" i="1" s="1"/>
  <c r="N69" i="2"/>
  <c r="P69" i="2" s="1"/>
  <c r="AU10" i="1"/>
  <c r="A10" i="1" s="1"/>
  <c r="N2" i="2"/>
  <c r="P2" i="2" s="1"/>
  <c r="N70" i="2"/>
  <c r="P70" i="2" s="1"/>
  <c r="N4" i="2"/>
  <c r="P4" i="2" s="1"/>
  <c r="N93" i="2"/>
  <c r="P93" i="2" s="1"/>
  <c r="N5" i="2"/>
  <c r="P5" i="2" s="1"/>
  <c r="N3" i="2"/>
  <c r="P3" i="2" s="1"/>
  <c r="V84" i="1"/>
  <c r="T84" i="1"/>
  <c r="V83" i="1"/>
  <c r="T83" i="1"/>
  <c r="V82" i="1"/>
  <c r="T82" i="1"/>
  <c r="D72" i="2"/>
  <c r="O85" i="1"/>
  <c r="AU66" i="1"/>
  <c r="AU8" i="1"/>
  <c r="A8" i="1" s="1"/>
  <c r="AU4" i="1"/>
  <c r="A4" i="1" s="1"/>
  <c r="AU11" i="1"/>
  <c r="A11" i="1" s="1"/>
  <c r="AU7" i="1"/>
  <c r="A7" i="1" s="1"/>
  <c r="AU14" i="1"/>
  <c r="A14" i="1" s="1"/>
  <c r="K85" i="1"/>
  <c r="D73" i="2"/>
  <c r="N73" i="2" s="1"/>
  <c r="P73" i="2" s="1"/>
  <c r="D74" i="2"/>
  <c r="N74" i="2" s="1"/>
  <c r="P74" i="2" s="1"/>
  <c r="U85" i="1"/>
  <c r="D76" i="2" l="1"/>
  <c r="N72" i="2"/>
  <c r="N10" i="2"/>
  <c r="N75" i="2"/>
  <c r="O75" i="2" s="1"/>
  <c r="P10" i="2"/>
  <c r="V85" i="1"/>
  <c r="T85" i="1"/>
  <c r="S85" i="1"/>
  <c r="H10" i="2" l="1"/>
  <c r="N76" i="2"/>
  <c r="E76" i="2" s="1"/>
  <c r="P72" i="2"/>
  <c r="P76" i="2" s="1"/>
  <c r="G21" i="10"/>
  <c r="D21" i="10"/>
  <c r="P75" i="2"/>
  <c r="O76" i="2" l="1"/>
  <c r="H76" i="2"/>
  <c r="F14" i="4"/>
  <c r="E14" i="4" s="1"/>
  <c r="H75" i="2"/>
  <c r="E75" i="2"/>
  <c r="U22" i="1" l="1"/>
  <c r="O22" i="1"/>
  <c r="O66" i="1"/>
  <c r="S66" i="1" s="1"/>
  <c r="K67" i="1"/>
  <c r="O28" i="1"/>
  <c r="S28" i="1" s="1"/>
  <c r="D7" i="2" l="1"/>
  <c r="N7" i="2" s="1"/>
  <c r="P7" i="2" s="1"/>
  <c r="S22" i="1"/>
  <c r="D11" i="2"/>
  <c r="T66" i="1"/>
  <c r="D82" i="2"/>
  <c r="N82" i="2" s="1"/>
  <c r="P82" i="2" s="1"/>
  <c r="D27" i="2"/>
  <c r="V62" i="1"/>
  <c r="V22" i="1"/>
  <c r="T28" i="1"/>
  <c r="T42" i="1" s="1"/>
  <c r="V28" i="1"/>
  <c r="V66" i="1"/>
  <c r="O67" i="1"/>
  <c r="O63" i="1"/>
  <c r="G16" i="10" s="1"/>
  <c r="O25" i="1"/>
  <c r="G11" i="10" s="1"/>
  <c r="K63" i="1"/>
  <c r="K91" i="1" s="1"/>
  <c r="N6" i="2"/>
  <c r="P6" i="2" s="1"/>
  <c r="U25" i="1"/>
  <c r="U63" i="1"/>
  <c r="U67" i="1"/>
  <c r="U42" i="1"/>
  <c r="N11" i="2" l="1"/>
  <c r="E11" i="2" s="1"/>
  <c r="N27" i="2"/>
  <c r="D42" i="2"/>
  <c r="U92" i="1"/>
  <c r="T22" i="1"/>
  <c r="T25" i="1" s="1"/>
  <c r="S25" i="1"/>
  <c r="P11" i="2"/>
  <c r="H11" i="2" s="1"/>
  <c r="S67" i="1"/>
  <c r="S63" i="1"/>
  <c r="T62" i="1"/>
  <c r="T63" i="1" s="1"/>
  <c r="V42" i="1"/>
  <c r="D12" i="10" s="1"/>
  <c r="O42" i="1"/>
  <c r="S42" i="1"/>
  <c r="V67" i="1"/>
  <c r="AU100" i="1"/>
  <c r="A100" i="1" s="1"/>
  <c r="A66" i="1"/>
  <c r="AU28" i="1"/>
  <c r="A28" i="1" s="1"/>
  <c r="AU22" i="1"/>
  <c r="A22" i="1" s="1"/>
  <c r="AU82" i="1"/>
  <c r="A82" i="1" s="1"/>
  <c r="AU83" i="1"/>
  <c r="A83" i="1" s="1"/>
  <c r="AU21" i="1"/>
  <c r="AU84" i="1"/>
  <c r="A84" i="1" s="1"/>
  <c r="AU62" i="1"/>
  <c r="A62" i="1" s="1"/>
  <c r="AU88" i="1"/>
  <c r="A88" i="1" s="1"/>
  <c r="AU99" i="1"/>
  <c r="A99" i="1" s="1"/>
  <c r="V25" i="1"/>
  <c r="D11" i="10" s="1"/>
  <c r="V63" i="1"/>
  <c r="D16" i="10" s="1"/>
  <c r="T67" i="1"/>
  <c r="N42" i="2" l="1"/>
  <c r="P27" i="2"/>
  <c r="P42" i="2" s="1"/>
  <c r="O92" i="1"/>
  <c r="H92" i="1" s="1"/>
  <c r="G12" i="10"/>
  <c r="D17" i="10"/>
  <c r="D23" i="10" s="1"/>
  <c r="G17" i="10"/>
  <c r="E42" i="2"/>
  <c r="V92" i="1"/>
  <c r="K92" i="1"/>
  <c r="O42" i="2"/>
  <c r="O11" i="2"/>
  <c r="F8" i="4"/>
  <c r="E8" i="4" s="1"/>
  <c r="O10" i="2"/>
  <c r="A21" i="1"/>
  <c r="E1" i="1"/>
  <c r="B1" i="4" s="1"/>
  <c r="K98" i="1" l="1"/>
  <c r="V94" i="1" s="1"/>
  <c r="V95" i="1" s="1"/>
  <c r="F5" i="4"/>
  <c r="E5" i="4" s="1"/>
  <c r="H42" i="2"/>
  <c r="G23" i="10"/>
  <c r="E10" i="2"/>
  <c r="D94" i="2" l="1"/>
  <c r="N94" i="2" s="1"/>
  <c r="N96" i="2" s="1"/>
  <c r="E96" i="2" s="1"/>
  <c r="O93" i="1"/>
  <c r="O94" i="1" s="1"/>
  <c r="F107" i="1" l="1"/>
  <c r="H107" i="1" s="1"/>
  <c r="D95" i="2"/>
  <c r="N95" i="2" s="1"/>
  <c r="P94" i="2"/>
  <c r="P96" i="2" s="1"/>
  <c r="H96" i="2" s="1"/>
  <c r="O96" i="2"/>
  <c r="F4" i="4"/>
  <c r="F6" i="4"/>
  <c r="E6" i="4" s="1"/>
  <c r="F7" i="4"/>
  <c r="E7" i="4" s="1"/>
  <c r="D97" i="2" l="1"/>
  <c r="K93" i="1"/>
  <c r="K94" i="1" s="1"/>
  <c r="K95" i="1" s="1"/>
  <c r="K96" i="1" s="1"/>
  <c r="K107" i="1"/>
  <c r="N97" i="2"/>
  <c r="O97" i="2" s="1"/>
  <c r="P95" i="2"/>
  <c r="P97" i="2" s="1"/>
  <c r="F15" i="4" s="1"/>
  <c r="E15" i="4" s="1"/>
  <c r="E4" i="4"/>
  <c r="E9" i="4"/>
  <c r="E10" i="4"/>
  <c r="E11" i="4"/>
  <c r="E13" i="4"/>
  <c r="O82" i="2" l="1"/>
  <c r="O79" i="2"/>
  <c r="O91" i="2" l="1"/>
  <c r="O88" i="2"/>
  <c r="O85" i="2"/>
  <c r="F9" i="4"/>
  <c r="F10" i="4"/>
  <c r="F12" i="4"/>
  <c r="E12" i="4" s="1"/>
  <c r="E17" i="4" s="1"/>
  <c r="E18" i="4" s="1"/>
  <c r="U99" i="1"/>
  <c r="U100" i="1" s="1"/>
  <c r="F13" i="4"/>
  <c r="E19" i="4" l="1"/>
  <c r="E22" i="4" s="1"/>
  <c r="E21" i="4" s="1"/>
  <c r="F11" i="4"/>
  <c r="F17" i="4" s="1"/>
  <c r="U101" i="1"/>
  <c r="F18" i="4" l="1"/>
  <c r="F19" i="4" l="1"/>
  <c r="F22" i="4" s="1"/>
  <c r="F21" i="4" s="1"/>
  <c r="A48" i="7" l="1"/>
  <c r="A83" i="7"/>
  <c r="A151" i="7"/>
  <c r="AF195" i="7" l="1"/>
  <c r="AF217" i="7"/>
  <c r="AF213" i="7"/>
  <c r="AF210" i="7"/>
  <c r="AF205" i="7"/>
  <c r="AF215" i="7"/>
  <c r="AF212" i="7"/>
  <c r="AF204" i="7"/>
  <c r="AF211" i="7"/>
  <c r="AF208" i="7"/>
  <c r="AF207" i="7"/>
  <c r="AF216" i="7"/>
  <c r="AF209" i="7"/>
  <c r="AF206" i="7"/>
  <c r="AF200" i="7"/>
  <c r="AF199" i="7" l="1"/>
  <c r="AF203" i="7"/>
  <c r="AF196" i="7"/>
  <c r="AF202" i="7"/>
  <c r="AF201" i="7"/>
  <c r="AF197" i="7"/>
  <c r="AF261" i="7" l="1"/>
  <c r="AF198" i="7"/>
  <c r="AF263" i="7"/>
  <c r="AF262" i="7"/>
  <c r="AG33" i="7" l="1"/>
  <c r="A33" i="7" s="1"/>
  <c r="AG142" i="7"/>
  <c r="A142" i="7" s="1"/>
  <c r="AG31" i="7"/>
  <c r="A31" i="7" s="1"/>
  <c r="AG182" i="7"/>
  <c r="A182" i="7" s="1"/>
  <c r="AG184" i="7"/>
  <c r="A184" i="7" s="1"/>
  <c r="AG124" i="7"/>
  <c r="A124" i="7" s="1"/>
  <c r="AG136" i="7"/>
  <c r="A136" i="7" s="1"/>
  <c r="AG138" i="7"/>
  <c r="A138" i="7" s="1"/>
  <c r="AG122" i="7"/>
  <c r="A122" i="7" s="1"/>
  <c r="AG131" i="7"/>
  <c r="A131" i="7" s="1"/>
  <c r="AG129" i="7"/>
  <c r="A129" i="7" s="1"/>
  <c r="AG228" i="7"/>
  <c r="A228" i="7" s="1"/>
  <c r="AG194" i="7"/>
  <c r="A194" i="7" s="1"/>
  <c r="AG152" i="7"/>
  <c r="A152" i="7" s="1"/>
  <c r="AG84" i="7"/>
  <c r="A84" i="7" s="1"/>
  <c r="AG51" i="7"/>
  <c r="A51" i="7" s="1"/>
  <c r="AG258" i="7"/>
  <c r="A258" i="7" s="1"/>
  <c r="AG162" i="7"/>
  <c r="A162" i="7" s="1"/>
  <c r="AG156" i="7"/>
  <c r="A156" i="7" s="1"/>
  <c r="AG202" i="7"/>
  <c r="A202" i="7" s="1"/>
  <c r="AG88" i="7"/>
  <c r="A88" i="7" s="1"/>
  <c r="AG141" i="7"/>
  <c r="A141" i="7" s="1"/>
  <c r="AG144" i="7"/>
  <c r="A144" i="7" s="1"/>
  <c r="AG158" i="7"/>
  <c r="A158" i="7" s="1"/>
  <c r="AG53" i="7"/>
  <c r="A53" i="7" s="1"/>
  <c r="AG175" i="7"/>
  <c r="A175" i="7" s="1"/>
  <c r="AG50" i="7"/>
  <c r="A50" i="7" s="1"/>
  <c r="AG179" i="7"/>
  <c r="A179" i="7" s="1"/>
  <c r="AG169" i="7"/>
  <c r="A169" i="7" s="1"/>
  <c r="AG172" i="7"/>
  <c r="A172" i="7" s="1"/>
  <c r="AG203" i="7"/>
  <c r="A203" i="7" s="1"/>
  <c r="AG216" i="7"/>
  <c r="A216" i="7" s="1"/>
  <c r="AG170" i="7"/>
  <c r="A170" i="7" s="1"/>
  <c r="AG199" i="7"/>
  <c r="A199" i="7" s="1"/>
  <c r="AG65" i="7"/>
  <c r="A65" i="7" s="1"/>
  <c r="AG221" i="7"/>
  <c r="A221" i="7" s="1"/>
  <c r="AG204" i="7"/>
  <c r="A204" i="7" s="1"/>
  <c r="AG168" i="7"/>
  <c r="A168" i="7" s="1"/>
  <c r="AG249" i="7"/>
  <c r="A249" i="7" s="1"/>
  <c r="AG261" i="7"/>
  <c r="A261" i="7" s="1"/>
  <c r="AG211" i="7"/>
  <c r="A211" i="7" s="1"/>
  <c r="AG145" i="7"/>
  <c r="A145" i="7" s="1"/>
  <c r="AG207" i="7"/>
  <c r="A207" i="7" s="1"/>
  <c r="AG166" i="7"/>
  <c r="A166" i="7" s="1"/>
  <c r="AG110" i="7"/>
  <c r="A110" i="7" s="1"/>
  <c r="AG265" i="7"/>
  <c r="A265" i="7" s="1"/>
  <c r="AG167" i="7"/>
  <c r="A167" i="7" s="1"/>
  <c r="AG251" i="7"/>
  <c r="A251" i="7" s="1"/>
  <c r="AG165" i="7"/>
  <c r="A165" i="7" s="1"/>
  <c r="AG72" i="7"/>
  <c r="A72" i="7" s="1"/>
  <c r="AG38" i="7"/>
  <c r="A38" i="7" s="1"/>
  <c r="AG171" i="7"/>
  <c r="A171" i="7" s="1"/>
  <c r="AG143" i="7"/>
  <c r="A143" i="7" s="1"/>
  <c r="AG217" i="7"/>
  <c r="A217" i="7" s="1"/>
  <c r="AG11" i="7"/>
  <c r="A11" i="7" s="1"/>
  <c r="AG264" i="7"/>
  <c r="A264" i="7" s="1"/>
  <c r="AG86" i="7"/>
  <c r="A86" i="7" s="1"/>
  <c r="AG93" i="7"/>
  <c r="A93" i="7" s="1"/>
  <c r="AG210" i="7"/>
  <c r="A210" i="7" s="1"/>
  <c r="AG155" i="7"/>
  <c r="A155" i="7" s="1"/>
  <c r="AG19" i="7"/>
  <c r="A19" i="7" s="1"/>
  <c r="AG26" i="7"/>
  <c r="A26" i="7" s="1"/>
  <c r="AG24" i="7"/>
  <c r="A24" i="7" s="1"/>
  <c r="AG196" i="7"/>
  <c r="A196" i="7" s="1"/>
  <c r="AG79" i="7"/>
  <c r="A79" i="7" s="1"/>
  <c r="AG176" i="7"/>
  <c r="A176" i="7" s="1"/>
  <c r="AG160" i="7"/>
  <c r="A160" i="7" s="1"/>
  <c r="AG200" i="7"/>
  <c r="A200" i="7" s="1"/>
  <c r="AG49" i="7"/>
  <c r="A49" i="7" s="1"/>
  <c r="AG37" i="7"/>
  <c r="A37" i="7" s="1"/>
  <c r="AG153" i="7"/>
  <c r="A153" i="7" s="1"/>
  <c r="AG18" i="7"/>
  <c r="A18" i="7" s="1"/>
  <c r="AG17" i="7"/>
  <c r="A17" i="7" s="1"/>
  <c r="AG163" i="7"/>
  <c r="A163" i="7" s="1"/>
  <c r="AG150" i="7"/>
  <c r="A150" i="7" s="1"/>
  <c r="AG9" i="7"/>
  <c r="A9" i="7" s="1"/>
  <c r="AG54" i="7"/>
  <c r="A54" i="7" s="1"/>
  <c r="AG57" i="7"/>
  <c r="A57" i="7" s="1"/>
  <c r="AG237" i="7"/>
  <c r="A237" i="7" s="1"/>
  <c r="AG263" i="7"/>
  <c r="A263" i="7" s="1"/>
  <c r="AG174" i="7"/>
  <c r="A174" i="7" s="1"/>
  <c r="AG77" i="7"/>
  <c r="A77" i="7" s="1"/>
  <c r="AG205" i="7"/>
  <c r="A205" i="7" s="1"/>
  <c r="AG178" i="7"/>
  <c r="A178" i="7" s="1"/>
  <c r="AG198" i="7"/>
  <c r="A198" i="7" s="1"/>
  <c r="AG96" i="7"/>
  <c r="A96" i="7" s="1"/>
  <c r="AG149" i="7"/>
  <c r="A149" i="7" s="1"/>
  <c r="AG101" i="7"/>
  <c r="A101" i="7" s="1"/>
  <c r="AG85" i="7"/>
  <c r="A85" i="7" s="1"/>
  <c r="AG55" i="7"/>
  <c r="A55" i="7" s="1"/>
  <c r="AG159" i="7"/>
  <c r="A159" i="7" s="1"/>
  <c r="AG117" i="7"/>
  <c r="A117" i="7" s="1"/>
  <c r="AG262" i="7"/>
  <c r="A262" i="7" s="1"/>
  <c r="AG215" i="7"/>
  <c r="A215" i="7" s="1"/>
  <c r="AG97" i="7"/>
  <c r="A97" i="7" s="1"/>
  <c r="AG161" i="7"/>
  <c r="A161" i="7" s="1"/>
  <c r="AG13" i="7"/>
  <c r="A13" i="7" s="1"/>
  <c r="AG206" i="7"/>
  <c r="A206" i="7" s="1"/>
  <c r="AG103" i="7"/>
  <c r="A103" i="7" s="1"/>
  <c r="AG223" i="7"/>
  <c r="A223" i="7" s="1"/>
  <c r="AG115" i="7"/>
  <c r="A115" i="7" s="1"/>
  <c r="AG209" i="7"/>
  <c r="A209" i="7" s="1"/>
  <c r="AG95" i="7"/>
  <c r="A95" i="7" s="1"/>
  <c r="AG146" i="7"/>
  <c r="A146" i="7" s="1"/>
  <c r="AG212" i="7"/>
  <c r="A212" i="7" s="1"/>
  <c r="AG235" i="7"/>
  <c r="A235" i="7" s="1"/>
  <c r="AG10" i="7"/>
  <c r="A10" i="7" s="1"/>
  <c r="AG213" i="7"/>
  <c r="A213" i="7" s="1"/>
  <c r="AG197" i="7"/>
  <c r="A197" i="7" s="1"/>
  <c r="AG177" i="7"/>
  <c r="A177" i="7" s="1"/>
  <c r="AG208" i="7"/>
  <c r="A208" i="7" s="1"/>
  <c r="AG230" i="7"/>
  <c r="A230" i="7" s="1"/>
  <c r="AG108" i="7"/>
  <c r="A108" i="7" s="1"/>
  <c r="AG157" i="7"/>
  <c r="A157" i="7" s="1"/>
  <c r="AG63" i="7"/>
  <c r="A63" i="7" s="1"/>
  <c r="AG201" i="7"/>
  <c r="A201" i="7" s="1"/>
  <c r="AG164" i="7"/>
  <c r="A164" i="7" s="1"/>
  <c r="AG8" i="7"/>
  <c r="AG52" i="7"/>
  <c r="A52" i="7" s="1"/>
  <c r="AG154" i="7"/>
  <c r="A154" i="7" s="1"/>
  <c r="AG92" i="7"/>
  <c r="A92" i="7" s="1"/>
  <c r="AG59" i="7"/>
  <c r="A59" i="7" s="1"/>
  <c r="AG70" i="7"/>
  <c r="A70" i="7" s="1"/>
  <c r="AG242" i="7"/>
  <c r="A242" i="7" s="1"/>
  <c r="AG244" i="7"/>
  <c r="A244" i="7" s="1"/>
  <c r="AG90" i="7"/>
  <c r="A90" i="7" s="1"/>
  <c r="AG91" i="7"/>
  <c r="A91" i="7" s="1"/>
  <c r="AG36" i="7"/>
  <c r="A36" i="7" s="1"/>
  <c r="AG195" i="7"/>
  <c r="A195" i="7" s="1"/>
  <c r="AG256" i="7"/>
  <c r="A256" i="7" s="1"/>
  <c r="AG58" i="7"/>
  <c r="A58" i="7" s="1"/>
  <c r="AG12" i="7"/>
  <c r="A12" i="7" s="1"/>
  <c r="AG89" i="7"/>
  <c r="A89" i="7" s="1"/>
  <c r="AG173" i="7"/>
  <c r="A173" i="7" s="1"/>
  <c r="A8" i="7" l="1"/>
  <c r="J1" i="7"/>
</calcChain>
</file>

<file path=xl/sharedStrings.xml><?xml version="1.0" encoding="utf-8"?>
<sst xmlns="http://schemas.openxmlformats.org/spreadsheetml/2006/main" count="1897" uniqueCount="436">
  <si>
    <t>Materials</t>
  </si>
  <si>
    <t>Mats Tot</t>
  </si>
  <si>
    <t>Hours</t>
  </si>
  <si>
    <t>Labour hours sub total</t>
  </si>
  <si>
    <t>Rubbish removal skips</t>
  </si>
  <si>
    <t>Materials sub tot</t>
  </si>
  <si>
    <t>Labour sub tot</t>
  </si>
  <si>
    <t xml:space="preserve"> Price</t>
  </si>
  <si>
    <t>Vat</t>
  </si>
  <si>
    <t>Area/No.</t>
  </si>
  <si>
    <t>M/U</t>
  </si>
  <si>
    <t>LMU</t>
  </si>
  <si>
    <t>Total price inc vat</t>
  </si>
  <si>
    <t>Skip hire 8yd</t>
  </si>
  <si>
    <t>Travel</t>
  </si>
  <si>
    <t>No of days</t>
  </si>
  <si>
    <t>Hours travel</t>
  </si>
  <si>
    <t>Contractor hours pay</t>
  </si>
  <si>
    <t>Tot</t>
  </si>
  <si>
    <t>Contractor Materials</t>
  </si>
  <si>
    <t>TT Totals</t>
  </si>
  <si>
    <t>Total hours</t>
  </si>
  <si>
    <t>mens travel</t>
  </si>
  <si>
    <t>Total</t>
  </si>
  <si>
    <t>Approx Travel cost</t>
  </si>
  <si>
    <t>No of men travelling</t>
  </si>
  <si>
    <t>Contractor Totals</t>
  </si>
  <si>
    <t>Vehicle cost</t>
  </si>
  <si>
    <t>Distance from office to job (one way)</t>
  </si>
  <si>
    <t>Survey sheet end</t>
  </si>
  <si>
    <t>Clean out airbrick/fit new face</t>
  </si>
  <si>
    <t>Install additional  airbrick</t>
  </si>
  <si>
    <t>Section</t>
  </si>
  <si>
    <t>Item Name</t>
  </si>
  <si>
    <t>Quantity</t>
  </si>
  <si>
    <t>Unit Cost</t>
  </si>
  <si>
    <t>Unit</t>
  </si>
  <si>
    <t>Cost Code</t>
  </si>
  <si>
    <t>Markup</t>
  </si>
  <si>
    <t>Markup Type</t>
  </si>
  <si>
    <t>Item Type</t>
  </si>
  <si>
    <t>Is Taxable</t>
  </si>
  <si>
    <t>Is Optional</t>
  </si>
  <si>
    <t>Assigned To</t>
  </si>
  <si>
    <t>%</t>
  </si>
  <si>
    <t>Yes</t>
  </si>
  <si>
    <t>These are used to differentiate between the types of items and used for the labor calculations.</t>
  </si>
  <si>
    <t>Contractor Foreman Item Types</t>
  </si>
  <si>
    <t>Item</t>
  </si>
  <si>
    <t>Comments</t>
  </si>
  <si>
    <t>EQUIP</t>
  </si>
  <si>
    <t>Equipment Items</t>
  </si>
  <si>
    <t>LBR</t>
  </si>
  <si>
    <t>Labor items</t>
  </si>
  <si>
    <t>MTL</t>
  </si>
  <si>
    <t>Material Items</t>
  </si>
  <si>
    <t>Other</t>
  </si>
  <si>
    <t>Other Items</t>
  </si>
  <si>
    <t>SUB</t>
  </si>
  <si>
    <t>Subcontractors</t>
  </si>
  <si>
    <t>Sections</t>
  </si>
  <si>
    <t>n/a</t>
  </si>
  <si>
    <t>Cost Codes</t>
  </si>
  <si>
    <t>No</t>
  </si>
  <si>
    <t>Sheet Validation</t>
  </si>
  <si>
    <t>Data Lists For Contractor Foreman</t>
  </si>
  <si>
    <t>M2</t>
  </si>
  <si>
    <t>This is used to on the items for costing reference</t>
  </si>
  <si>
    <t>Unit of measures</t>
  </si>
  <si>
    <t>Each</t>
  </si>
  <si>
    <t>M3</t>
  </si>
  <si>
    <t>LM</t>
  </si>
  <si>
    <t>UOM</t>
  </si>
  <si>
    <t>Travel Costs</t>
  </si>
  <si>
    <t>Waste Removal</t>
  </si>
  <si>
    <t>Miles</t>
  </si>
  <si>
    <t>Sheet Validation to right</t>
  </si>
  <si>
    <t>Check if any data is entered</t>
  </si>
  <si>
    <t>Check if field needs to be completed</t>
  </si>
  <si>
    <t>Bags</t>
  </si>
  <si>
    <t>Pairs</t>
  </si>
  <si>
    <t xml:space="preserve">Base Labour Hourly rate </t>
  </si>
  <si>
    <t>This is used to 'Group' items in a logical order on the estimate.</t>
  </si>
  <si>
    <t>This is used in the projects to determine costs by the 'Cost Code' category (lets you see which areas you are over or under budget on).</t>
  </si>
  <si>
    <t>Enquiry Details</t>
  </si>
  <si>
    <t>Enquiry number</t>
  </si>
  <si>
    <t>Site Details</t>
  </si>
  <si>
    <t>Survey Carried Out By</t>
  </si>
  <si>
    <t>Surveyor</t>
  </si>
  <si>
    <t>CSV Import File Name Creator</t>
  </si>
  <si>
    <t>CSV File Name</t>
  </si>
  <si>
    <t>Current Date</t>
  </si>
  <si>
    <t>Full File Name</t>
  </si>
  <si>
    <t>Lab Total</t>
  </si>
  <si>
    <t>Line total</t>
  </si>
  <si>
    <t xml:space="preserve">Contractor Labour Hourly rate </t>
  </si>
  <si>
    <t>Totals</t>
  </si>
  <si>
    <t>Total Hours</t>
  </si>
  <si>
    <t>Labour</t>
  </si>
  <si>
    <t>Hour Mult</t>
  </si>
  <si>
    <t>CF IGNORE - LINE VALUE</t>
  </si>
  <si>
    <t>CF IGNORE - Zero value Section Validation</t>
  </si>
  <si>
    <t>Customer Pricing Summary</t>
  </si>
  <si>
    <t>#</t>
  </si>
  <si>
    <t>Sub Total</t>
  </si>
  <si>
    <t>Vat at 20%</t>
  </si>
  <si>
    <t>CF IGNORE - LINE VALUE FOR CUSTOMER SUMMARY</t>
  </si>
  <si>
    <t>EACH</t>
  </si>
  <si>
    <t>DELETE</t>
  </si>
  <si>
    <t>CF IGNORE - INCLUDE PRICE IN CUSTOMER SUMMARY</t>
  </si>
  <si>
    <t>For Office Only</t>
  </si>
  <si>
    <r>
      <rPr>
        <b/>
        <sz val="10"/>
        <rFont val="Arial Narrow"/>
        <family val="2"/>
      </rPr>
      <t xml:space="preserve">The value of the csv import on upload should match the figures to the right </t>
    </r>
    <r>
      <rPr>
        <sz val="10"/>
        <rFont val="Arial Narrow"/>
        <family val="2"/>
      </rPr>
      <t xml:space="preserve">
</t>
    </r>
    <r>
      <rPr>
        <sz val="9"/>
        <rFont val="Arial Narrow"/>
        <family val="2"/>
      </rPr>
      <t>(this may be less than the totals to the left as optional items are are not calculated up on the import until the customer selects them)</t>
    </r>
  </si>
  <si>
    <t xml:space="preserve">Tax: VAT (20%)	</t>
  </si>
  <si>
    <t>The property is a:</t>
  </si>
  <si>
    <t>The property is constructed of :</t>
  </si>
  <si>
    <t>The property was built approximately :</t>
  </si>
  <si>
    <t>The terms left, right, front and rear are used in accordance with facing the front elevation from the outside of the building.</t>
  </si>
  <si>
    <t>Proposal</t>
  </si>
  <si>
    <t>Graeme Hazel</t>
  </si>
  <si>
    <t>Remedial Consultant</t>
  </si>
  <si>
    <t>Steven Robinson</t>
  </si>
  <si>
    <t>Steve Robinson A.Inst.SSE.</t>
  </si>
  <si>
    <t>Mike Davison</t>
  </si>
  <si>
    <t>Technical Director</t>
  </si>
  <si>
    <t>Report</t>
  </si>
  <si>
    <t xml:space="preserve">The weather conditions were: </t>
  </si>
  <si>
    <t>← Enter Data Here</t>
  </si>
  <si>
    <t>Visibility</t>
  </si>
  <si>
    <t xml:space="preserve">The weather temperature was: </t>
  </si>
  <si>
    <t>Always show</t>
  </si>
  <si>
    <t>Determined by surveyor</t>
  </si>
  <si>
    <t>•</t>
  </si>
  <si>
    <t>← Enter Visibility</t>
  </si>
  <si>
    <t>Comments for Surveyors</t>
  </si>
  <si>
    <t>The Property</t>
  </si>
  <si>
    <t>The Survey/Specific Defects Inspection</t>
  </si>
  <si>
    <t>Orientation</t>
  </si>
  <si>
    <t>The Scope</t>
  </si>
  <si>
    <t>Abbreviations Used In Report</t>
  </si>
  <si>
    <t>Report produced under the guidance of Tyne Tees Damp Proofing Ltd by:</t>
  </si>
  <si>
    <t xml:space="preserve">Mike Davison CSSW  M.inst.SSE </t>
  </si>
  <si>
    <t>Show dependant on Surveyor</t>
  </si>
  <si>
    <t>← Visibility dependant on below answers</t>
  </si>
  <si>
    <t>Always Hide</t>
  </si>
  <si>
    <t>Use the alt key and the mouse to 'snap' the image to the top and bottom of the cell for alignment.</t>
  </si>
  <si>
    <t>← Enter Images Descriptions</t>
  </si>
  <si>
    <t>← Add Images</t>
  </si>
  <si>
    <t>← Enter Image Visibility</t>
  </si>
  <si>
    <t>↓ Image Section 1 ↓</t>
  </si>
  <si>
    <t>↑ Image Section 1 ↑</t>
  </si>
  <si>
    <t>↓ Image Section 2 ↓</t>
  </si>
  <si>
    <t>↑ Image Section 3 ↑</t>
  </si>
  <si>
    <t>↑ Image Section 2 ↑</t>
  </si>
  <si>
    <t>↓ Image Section 3 ↓</t>
  </si>
  <si>
    <t>Hide</t>
  </si>
  <si>
    <t>Will always show</t>
  </si>
  <si>
    <t>(°C).</t>
  </si>
  <si>
    <t>Will always show (pre-populated)</t>
  </si>
  <si>
    <t>This line will NOT show on the report</t>
  </si>
  <si>
    <t>← Enter Visibility &amp; Data</t>
  </si>
  <si>
    <t>Optional Item?</t>
  </si>
  <si>
    <r>
      <t xml:space="preserve">Price 
</t>
    </r>
    <r>
      <rPr>
        <b/>
        <sz val="9"/>
        <rFont val="Calibri"/>
        <family val="2"/>
      </rPr>
      <t>(Without Optional items)</t>
    </r>
  </si>
  <si>
    <r>
      <t xml:space="preserve">Price 
</t>
    </r>
    <r>
      <rPr>
        <b/>
        <sz val="8"/>
        <color rgb="FFFF0000"/>
        <rFont val="Calibri"/>
        <family val="2"/>
      </rPr>
      <t>(With Optional Items)</t>
    </r>
  </si>
  <si>
    <t>Sketch Plan</t>
  </si>
  <si>
    <t>Notes for office</t>
  </si>
  <si>
    <t>To understand page breaks the link below will be of assistance:</t>
  </si>
  <si>
    <t>https://support.microsoft.com/en-gb/office/insert-move-or-delete-page-breaks-in-a-worksheet-ad3dc726-beec-4a4c-861f-ed640612bdc2</t>
  </si>
  <si>
    <t>PDF Report Name</t>
  </si>
  <si>
    <t>Page Breaks:</t>
  </si>
  <si>
    <t>• Use the 'Alt' key to align an image to the bottom of the cell.</t>
  </si>
  <si>
    <t>• Try to keep images the same height especially if on the same row and ensure you use the 'alt' key to align the image to the bottom of the cell.</t>
  </si>
  <si>
    <t>• Try and keep the images centrally above their descriptions.</t>
  </si>
  <si>
    <t>Image Best Practices:</t>
  </si>
  <si>
    <t>• Try and keep the images a fraction smaller than the cell height to prevent overspill if the image cell falls on a page break.</t>
  </si>
  <si>
    <t>Weather Conditions</t>
  </si>
  <si>
    <t>Internal Reference ID:</t>
  </si>
  <si>
    <t>Client Name And Site Details</t>
  </si>
  <si>
    <t>• To format an image right click on it to set the height and/or crop ( a good starting height is 6cm).</t>
  </si>
  <si>
    <t>You need to attach the following items to the estimate:</t>
  </si>
  <si>
    <r>
      <t xml:space="preserve">• </t>
    </r>
    <r>
      <rPr>
        <b/>
        <sz val="11"/>
        <color theme="1"/>
        <rFont val="Arial"/>
        <family val="2"/>
      </rPr>
      <t>The Survey Inspection Report</t>
    </r>
    <r>
      <rPr>
        <sz val="11"/>
        <color theme="1"/>
        <rFont val="Arial"/>
        <family val="2"/>
      </rPr>
      <t xml:space="preserve"> (generated from the Report tab in this document).</t>
    </r>
  </si>
  <si>
    <t xml:space="preserve">Office tasks when submitting an estimate </t>
  </si>
  <si>
    <r>
      <t xml:space="preserve">• </t>
    </r>
    <r>
      <rPr>
        <b/>
        <sz val="11"/>
        <color theme="1"/>
        <rFont val="Arial"/>
        <family val="2"/>
      </rPr>
      <t>Our Terms and Conditions</t>
    </r>
    <r>
      <rPr>
        <sz val="11"/>
        <color theme="1"/>
        <rFont val="Arial"/>
        <family val="2"/>
      </rPr>
      <t xml:space="preserve"> (latest version always found in the folder '1.Current Documentation'). </t>
    </r>
  </si>
  <si>
    <r>
      <t xml:space="preserve">• </t>
    </r>
    <r>
      <rPr>
        <b/>
        <sz val="11"/>
        <color theme="1"/>
        <rFont val="Arial"/>
        <family val="2"/>
      </rPr>
      <t>General Notes for clients and Health and Safety precautions</t>
    </r>
    <r>
      <rPr>
        <sz val="11"/>
        <color theme="1"/>
        <rFont val="Arial"/>
        <family val="2"/>
      </rPr>
      <t xml:space="preserve"> (latest version always found in the folder '1.Current Documentation'). </t>
    </r>
  </si>
  <si>
    <t xml:space="preserve">Our findings and proposals are set out below and should be read in conjunction with the enclosed document 'General Notes for clients and Health and Safety precautions'. </t>
  </si>
  <si>
    <t>Other not covered by above - (state below)</t>
  </si>
  <si>
    <t>File Name Creator</t>
  </si>
  <si>
    <t>Date of Inspection:</t>
  </si>
  <si>
    <t>Airbricks</t>
  </si>
  <si>
    <t xml:space="preserve">Area of Works </t>
  </si>
  <si>
    <t>Optional Item For Customer</t>
  </si>
  <si>
    <t>We would propose for the following works to be carried out:</t>
  </si>
  <si>
    <t>CONDENSATION SHEET</t>
  </si>
  <si>
    <t>PIV - LOFT UNIT</t>
  </si>
  <si>
    <t>PIV - WALL MOUNTED UNIT</t>
  </si>
  <si>
    <r>
      <t xml:space="preserve">VA Pozidry loft unit - </t>
    </r>
    <r>
      <rPr>
        <b/>
        <i/>
        <sz val="10"/>
        <color rgb="FF000000"/>
        <rFont val="Arial Narrow"/>
        <family val="2"/>
      </rPr>
      <t>unheated</t>
    </r>
  </si>
  <si>
    <r>
      <t xml:space="preserve">VA Pozidry loft unit - </t>
    </r>
    <r>
      <rPr>
        <b/>
        <i/>
        <sz val="10"/>
        <color rgb="FF000000"/>
        <rFont val="Arial Narrow"/>
        <family val="2"/>
      </rPr>
      <t>heated</t>
    </r>
  </si>
  <si>
    <t>Electrical Pack - fused spur, cable, JB</t>
  </si>
  <si>
    <t>Sarkvents</t>
  </si>
  <si>
    <t>Ducting - 1m length</t>
  </si>
  <si>
    <t>Ducting - round elbow</t>
  </si>
  <si>
    <t>Ducting - round - straight conn</t>
  </si>
  <si>
    <t>Ducting - round 1m</t>
  </si>
  <si>
    <t>Ducting - flat to round adaptor</t>
  </si>
  <si>
    <t>Ducting - flat straight connector</t>
  </si>
  <si>
    <t>Ducting - flat horizontal bend</t>
  </si>
  <si>
    <t>Ducting - flat vertical bend</t>
  </si>
  <si>
    <t>Ducting - flat - 1m</t>
  </si>
  <si>
    <t>Ducting - insulated flexi (3m Length)</t>
  </si>
  <si>
    <t>Grille</t>
  </si>
  <si>
    <t xml:space="preserve">Diamond core 107mm hole </t>
  </si>
  <si>
    <t>VA Pozidry Compact wall mounted unit</t>
  </si>
  <si>
    <t>TRICKLE AND BOOST HUMIDISTAT FAN</t>
  </si>
  <si>
    <t>Trickle and boost humidistat fan (greenwood)</t>
  </si>
  <si>
    <t>DRYAIRE CPASS (PLASMO) INSULATED PULLCORD PASSIVE VENT</t>
  </si>
  <si>
    <t>Dryaire Cpass (plasmo) insulated pullcord passive vent</t>
  </si>
  <si>
    <t>Dryaire Cvent</t>
  </si>
  <si>
    <t>Joinery: Supply and fit boxwork for ducting</t>
  </si>
  <si>
    <t>Joinery to box in ducting (per metre) Min charge 2.4 metres</t>
  </si>
  <si>
    <t>New loft hatch - with sturdy fold down ladder with handrail and switched lamp</t>
  </si>
  <si>
    <t>Loft hatch - new hatchwith sturdy fold down ladder with handrail and switched lamp</t>
  </si>
  <si>
    <t>Loft Hatch - enlarge current loft hatch</t>
  </si>
  <si>
    <t>Mould Treatments</t>
  </si>
  <si>
    <t>Asbestos Testing</t>
  </si>
  <si>
    <t xml:space="preserve">Mould treatment </t>
  </si>
  <si>
    <t>Existing loft hatch - enlarge loft hatch</t>
  </si>
  <si>
    <t>Lift/upgrade existing airbrick/fit new face</t>
  </si>
  <si>
    <t>Condensation Equipment</t>
  </si>
  <si>
    <t>Condensation Labour</t>
  </si>
  <si>
    <t>Condensation Materials</t>
  </si>
  <si>
    <t>Condensation Other</t>
  </si>
  <si>
    <t>Condensation Sub Contractors</t>
  </si>
  <si>
    <t>New hatch and ladder: Create larger opening, install new sturdy hatch and ladder to loft entry</t>
  </si>
  <si>
    <t>Loft opening: Enlarge existing loft opening and install new hatch lid</t>
  </si>
  <si>
    <t>Remedial treatments: Mould treatment</t>
  </si>
  <si>
    <t>Condensation control: Supply and install Loft Dryaire system &amp; required accessories</t>
  </si>
  <si>
    <t>Condensation control: Supply and install Wall Mounted Dryaire system &amp; required accessories</t>
  </si>
  <si>
    <t>Condensation control: Supply and install Dryaire Cpass Insulated Pullcord Passive Vent</t>
  </si>
  <si>
    <t>Condensation control: Supply and install Trickle &amp; Boost Fan</t>
  </si>
  <si>
    <t>Condensation control: Supply and install Dryaire CVent</t>
  </si>
  <si>
    <t>In accordance with your specific instructions, we carried out a survey of the above property for problems with mould, mildew &amp; condensation.</t>
  </si>
  <si>
    <t>Our specific defects inspection was solely to identify evidence of problems that you have requested us to inspect which was that of mould and condensation within the above property.</t>
  </si>
  <si>
    <t>Internal Inspection</t>
  </si>
  <si>
    <t>During the internal inspection the following issues were noted:</t>
  </si>
  <si>
    <t xml:space="preserve">Condensation, was apparent on the windows. </t>
  </si>
  <si>
    <t>Areas of low temperature/poor air movement to the walls creating dew points.</t>
  </si>
  <si>
    <t>Black spot mould was present within the building.</t>
  </si>
  <si>
    <t>There was a lack of ventilation and air movement within the property.</t>
  </si>
  <si>
    <t>We suspect poor insulation values due to solid brick walls.</t>
  </si>
  <si>
    <t>Humidity readings were taken within the property, these readings peaked at</t>
  </si>
  <si>
    <t>%.</t>
  </si>
  <si>
    <t>← Enter humidity % Data Here</t>
  </si>
  <si>
    <t>The above problems have been caused by:</t>
  </si>
  <si>
    <t>A lack of ventilation and air movement within the property.</t>
  </si>
  <si>
    <t>Poor insulation values of solid brick walls.</t>
  </si>
  <si>
    <t>Dampness within the fabric of the building.</t>
  </si>
  <si>
    <t>Supply and install a system of devices and measures to introduce fresh air and remove stale damp air.  This system will reduce humidity levels and create air movement  to combat the condensation problem within the property.</t>
  </si>
  <si>
    <t>Extent Of Survey</t>
  </si>
  <si>
    <t>Start of works deposit at 50%</t>
  </si>
  <si>
    <t>Show</t>
  </si>
  <si>
    <t>Front Elevation</t>
  </si>
  <si>
    <t>You will need the following services:</t>
  </si>
  <si>
    <t>Diamond Core</t>
  </si>
  <si>
    <t>Supply &amp; install of</t>
  </si>
  <si>
    <r>
      <t xml:space="preserve">wall mounted Dryair PIV </t>
    </r>
    <r>
      <rPr>
        <b/>
        <i/>
        <sz val="11"/>
        <color theme="1"/>
        <rFont val="Calibri"/>
        <family val="2"/>
        <scheme val="minor"/>
      </rPr>
      <t>heated</t>
    </r>
    <r>
      <rPr>
        <sz val="11"/>
        <color theme="1"/>
        <rFont val="Calibri"/>
        <family val="2"/>
        <scheme val="minor"/>
      </rPr>
      <t xml:space="preserve"> unit(s) to the following area(s):</t>
    </r>
  </si>
  <si>
    <t>Humidistat trickle and boost fan(s) to the following area(s):</t>
  </si>
  <si>
    <t>Dryair Cpass insulated pullcord passive vent fan(s) to the following area(s):</t>
  </si>
  <si>
    <t>Dryair Cvent(s) to the following area(s):</t>
  </si>
  <si>
    <t>Supply and install of</t>
  </si>
  <si>
    <t>https://www.tyneteesdampproofing.co.uk/piv-video/</t>
  </si>
  <si>
    <t>Additional Information: Benefits of PIV systems</t>
  </si>
  <si>
    <t>For more information on the benefits of Positive Input Ventilation systems please visit the link below:</t>
  </si>
  <si>
    <t>← Visibility dependant on PIVs in the proposal</t>
  </si>
  <si>
    <t>PIV = Positive Input Ventilation, ACM's = Asbestos containing materials.</t>
  </si>
  <si>
    <t>107mm hole(s).</t>
  </si>
  <si>
    <t>sark vent(s).</t>
  </si>
  <si>
    <t>Supply materials and labour to box in and insulate ducting (to prevent condensation on ducting).</t>
  </si>
  <si>
    <t>Supply and install of new loft hatch with sturdy fold down ladder, handrail and switched lamp.</t>
  </si>
  <si>
    <r>
      <rPr>
        <b/>
        <sz val="11"/>
        <color theme="1"/>
        <rFont val="Calibri"/>
        <family val="2"/>
        <scheme val="minor"/>
      </rPr>
      <t>Asbestos testing:</t>
    </r>
    <r>
      <rPr>
        <sz val="11"/>
        <color theme="1"/>
        <rFont val="Calibri"/>
        <family val="2"/>
        <scheme val="minor"/>
      </rPr>
      <t xml:space="preserve">  The ceiling/areas designated for the above installations is covered in Artex/decorative plasterwork. These applications can be Asbestos containing materials (ACMs). It will therefore be necessary to arrange a laboratory test to  ascertain if ACMs are present prior to the commencement of works as these pose a serious risk to health.</t>
    </r>
  </si>
  <si>
    <t>You should be aware that we have reported upon condensation problems evident to us at the time of our inspection and in accordance with your instructions. If there are any omissions or if you believe that we have misinterpreted your survey instruction, please let us know at once.  Our recommendations will be for improvements that will help to combat the problems reported and visible to our surveyor at the time of inspection.  Please read carefully the content of this report and all of its enclosures.</t>
  </si>
  <si>
    <t>Supply of labour and materials to enlarge current loft hatch.</t>
  </si>
  <si>
    <t>Supply of labour and materials to treat and kill black mould (Any area treated for mould may require you to redecorate).</t>
  </si>
  <si>
    <r>
      <rPr>
        <b/>
        <sz val="11"/>
        <color theme="1"/>
        <rFont val="Calibri"/>
        <family val="2"/>
        <scheme val="minor"/>
      </rPr>
      <t>Electrical system not up to current standards:</t>
    </r>
    <r>
      <rPr>
        <sz val="11"/>
        <color theme="1"/>
        <rFont val="Calibri"/>
        <family val="2"/>
        <scheme val="minor"/>
      </rPr>
      <t xml:space="preserve">  A check of your electrical system revealed that it was not up to current standards. We recommend that you contact a qualified electrician to upgrade your system before any installations can begin.</t>
    </r>
  </si>
  <si>
    <t>CF-Condensation-PIV-</t>
  </si>
  <si>
    <r>
      <t xml:space="preserve">loft mounted Dryair PIV </t>
    </r>
    <r>
      <rPr>
        <b/>
        <i/>
        <sz val="11"/>
        <color theme="1"/>
        <rFont val="Calibri"/>
        <family val="2"/>
        <scheme val="minor"/>
      </rPr>
      <t>heated</t>
    </r>
    <r>
      <rPr>
        <sz val="11"/>
        <color theme="1"/>
        <rFont val="Calibri"/>
        <family val="2"/>
        <scheme val="minor"/>
      </rPr>
      <t xml:space="preserve"> unit(s) to the following area(s):</t>
    </r>
  </si>
  <si>
    <r>
      <t xml:space="preserve">loft mounted Dryair PIV </t>
    </r>
    <r>
      <rPr>
        <b/>
        <i/>
        <sz val="11"/>
        <color theme="1"/>
        <rFont val="Calibri"/>
        <family val="2"/>
        <scheme val="minor"/>
      </rPr>
      <t>unheated</t>
    </r>
    <r>
      <rPr>
        <sz val="11"/>
        <color theme="1"/>
        <rFont val="Calibri"/>
        <family val="2"/>
        <scheme val="minor"/>
      </rPr>
      <t xml:space="preserve"> unit(s) to the following area(s):</t>
    </r>
  </si>
  <si>
    <t xml:space="preserve">Clean out of </t>
  </si>
  <si>
    <t>existing air brick(s) by removing, cleaning and re-installing).</t>
  </si>
  <si>
    <t>Additional Supporting Comments From Surveyor</t>
  </si>
  <si>
    <t>Date</t>
  </si>
  <si>
    <t>Version From</t>
  </si>
  <si>
    <t>Version To</t>
  </si>
  <si>
    <t>Change</t>
  </si>
  <si>
    <t>Add VBA to updated the file name (date) on each click as the file names only changed on open so if clicking multiple times it was trying to save the same file again which is confusing)</t>
  </si>
  <si>
    <t>Added Sub Contractor 'clarity' section on costing sheet - Vat registered and non vat registered</t>
  </si>
  <si>
    <t>Supply and installation of any necessary electrical fittings/ducting/trunking/grilles required for the installation of Fans/PIVs/Vents (if applicable).</t>
  </si>
  <si>
    <t>Added the word trunking along with ducting etc.</t>
  </si>
  <si>
    <t>Customer to instruct a Roofing specialist to install external roof vents.</t>
  </si>
  <si>
    <t>Changed ambiguous wording to roof vents to 'Customer to …'.</t>
  </si>
  <si>
    <t>Added deposit value ex vat and inc vat for card readers.</t>
  </si>
  <si>
    <t>Ex. VAT</t>
  </si>
  <si>
    <t>Inc. VAT</t>
  </si>
  <si>
    <t>Section Price Adjustment % Values</t>
  </si>
  <si>
    <t>Section Price Adjustment %</t>
  </si>
  <si>
    <t>Default 
Mats Cost</t>
  </si>
  <si>
    <t>Adjusted 
Mats Cost</t>
  </si>
  <si>
    <t>Default 
Lab Cost</t>
  </si>
  <si>
    <t>Adjusted 
Lab Cost</t>
  </si>
  <si>
    <t>EXTERNAL INSPECTION</t>
  </si>
  <si>
    <t>Building Defects</t>
  </si>
  <si>
    <t>No building defects were noted at the time of our inspection.</t>
  </si>
  <si>
    <t>We noted the following building defects:</t>
  </si>
  <si>
    <t>Will be visible based on above input.</t>
  </si>
  <si>
    <t>Defective pointing to chimney stack</t>
  </si>
  <si>
    <t>Defective flashings to chimney stack</t>
  </si>
  <si>
    <t>Defective pointing to ridge tiles</t>
  </si>
  <si>
    <t>Defective pointing to verge</t>
  </si>
  <si>
    <t>Defective pointing to hips</t>
  </si>
  <si>
    <t>Slipped roof slates</t>
  </si>
  <si>
    <t>Loose roof slates</t>
  </si>
  <si>
    <t>Missing roof slates</t>
  </si>
  <si>
    <t>Defective rainwater goods</t>
  </si>
  <si>
    <t>Blockage/vegetation to rainwater goods</t>
  </si>
  <si>
    <t>Defective pointing to external walls</t>
  </si>
  <si>
    <t>Perished external paintwork</t>
  </si>
  <si>
    <t>Wet rot noted to external joinery timbers</t>
  </si>
  <si>
    <t>Perished external brickwork</t>
  </si>
  <si>
    <t>Defective perimeter joint</t>
  </si>
  <si>
    <t>Cracks/movement to walls</t>
  </si>
  <si>
    <t>Cracks/movement to lintels</t>
  </si>
  <si>
    <t>↓ Image Section 4 ↓</t>
  </si>
  <si>
    <t>↑ Image Section 4 ↑</t>
  </si>
  <si>
    <t>↓ Image Section 5 ↓</t>
  </si>
  <si>
    <t>↑ Image Section 5 ↑</t>
  </si>
  <si>
    <t>↓ Image Section 6 ↓</t>
  </si>
  <si>
    <t>↑ Image Section 6 ↑</t>
  </si>
  <si>
    <r>
      <t xml:space="preserve">The above items should be checked and addressed in the short term (3 months maximum) as they have been identified as possible causes of moisture ingress to the fabric of the building, </t>
    </r>
    <r>
      <rPr>
        <b/>
        <i/>
        <sz val="11"/>
        <color theme="1"/>
        <rFont val="Calibri"/>
        <family val="2"/>
        <scheme val="minor"/>
      </rPr>
      <t>failure to correct the defects may affect your guarantee</t>
    </r>
    <r>
      <rPr>
        <sz val="11"/>
        <color theme="1"/>
        <rFont val="Calibri"/>
        <family val="2"/>
        <scheme val="minor"/>
      </rPr>
      <t xml:space="preserve">. </t>
    </r>
  </si>
  <si>
    <t>The above items should be checked and addressed in the short term (3 months maximum) as they have been identified as possible causes of moisture ingress to the fabric of the building.</t>
  </si>
  <si>
    <t>You should check your lease and find who is responsible for the upkeep of the roof, it is possible the upstairs flat may need to carry out the repairs or it could be shared cost. Whilst the roof repairs are not causing any problems with your property at present they may do so in future if not addressed.</t>
  </si>
  <si>
    <t>There were no airbricks installed.</t>
  </si>
  <si>
    <t>It was not possible to inspect the airbricks due to the following:</t>
  </si>
  <si>
    <t>State below - ensure that images are taken of the obstructions to be added to the report.</t>
  </si>
  <si>
    <t>To the front elevations</t>
  </si>
  <si>
    <t>← Enter number of air bricks.</t>
  </si>
  <si>
    <t>To the left elevations</t>
  </si>
  <si>
    <t>To the right elevations</t>
  </si>
  <si>
    <t>To the rear elevations</t>
  </si>
  <si>
    <t>To the rear offshoot</t>
  </si>
  <si>
    <t>The property is ventilated by the following 'visible' number of airbricks:</t>
  </si>
  <si>
    <t>Will be visible dependant on W/W % above.</t>
  </si>
  <si>
    <t>It is our opinion that the above airbricks do not provide sufficient airflow to the property.</t>
  </si>
  <si>
    <t>It is our opinion that the above airbricks are providing sufficient airflow to the property.</t>
  </si>
  <si>
    <t>During our inspection it was noted that some of the existing airbricks appeared to be blocked and may be providing insufficient airflow to the property.</t>
  </si>
  <si>
    <t>During our inspection it was noted that some of the existing airbricks were installed too low to the external ground levels and may permit water ingress to the property.</t>
  </si>
  <si>
    <t>Added external defects &amp; airbricks section to the report.</t>
  </si>
  <si>
    <t>air brick(s) to increase ventilation to the property.</t>
  </si>
  <si>
    <t>Added Section Price Adjustment %.</t>
  </si>
  <si>
    <t>Re-arranged the external defects section to be put at the bottom of the report.</t>
  </si>
  <si>
    <t>See Damp report for building defects.</t>
  </si>
  <si>
    <t>Fixed conditional logic issue which was showing a row on the report when it shouldn't have been.</t>
  </si>
  <si>
    <t>Lift</t>
  </si>
  <si>
    <t>of the existing air bricks.</t>
  </si>
  <si>
    <t>← Enter number of air bricks</t>
  </si>
  <si>
    <t>Add notes below that the office need to consider when compiling the estimate and report.</t>
  </si>
  <si>
    <t>Added conditional logic to Defects section on report so that it pre-populates more cells as requested by GH.  Also removed the Office comments section at the bottom of the report as it is hiiden when the filter is applied so this is replaced with an 'Office Notes' tab.</t>
  </si>
  <si>
    <t>Sub Contractor Costs</t>
  </si>
  <si>
    <t>Client Name</t>
  </si>
  <si>
    <t>Changed wording on Projects Specific Overheads to make it look more generic and to cover more areas and removed the vehicle costs statement.
Added the On Site Approval Form Tab.</t>
  </si>
  <si>
    <t>On Site Acceptance Form (CAF1).</t>
  </si>
  <si>
    <t>Enquiry ID:</t>
  </si>
  <si>
    <t>Address 1</t>
  </si>
  <si>
    <t>Address 2</t>
  </si>
  <si>
    <t>Address 3</t>
  </si>
  <si>
    <t>Address 4</t>
  </si>
  <si>
    <t>Postcode</t>
  </si>
  <si>
    <t>Operation</t>
  </si>
  <si>
    <t>I accept the company terms and conditions of contract which I have viewed at the link below and I have paid my deposit with this order.</t>
  </si>
  <si>
    <t>https://www.tyneteesdampproofing.co.uk/terms-and-conditions/</t>
  </si>
  <si>
    <t>I wish the work to commence before the 14 day cooling off period and waive my consumer rights (please sign to confirm)</t>
  </si>
  <si>
    <t>Signed:</t>
  </si>
  <si>
    <t>Date:</t>
  </si>
  <si>
    <t>Increased rate from £30 to £30.63 to cover for Employers NI increase.</t>
  </si>
  <si>
    <t>Project Specific Overheads</t>
  </si>
  <si>
    <t>Section Description</t>
  </si>
  <si>
    <t>Skips</t>
  </si>
  <si>
    <t>Vehicle Costs (Fuel)</t>
  </si>
  <si>
    <t>Travel Costs for Tradesmen</t>
  </si>
  <si>
    <t>Allowed the editing of the customer summary lines for the surveyors including being able to set something as optional.
Updated the wording etc on the 'Overheads' sections to olny show as Lab and Mats and added the description field to the csv upload as the wording was being cut off in the title.</t>
  </si>
  <si>
    <t>Project Details</t>
  </si>
  <si>
    <t>Costs
(Ex VAT)</t>
  </si>
  <si>
    <t>Assigned to / Comments:</t>
  </si>
  <si>
    <t>Total Projected Hours</t>
  </si>
  <si>
    <t>I wish to proceed with the woks specified below. (tick items required and total cost)</t>
  </si>
  <si>
    <t>Price</t>
  </si>
  <si>
    <t>Tick</t>
  </si>
  <si>
    <t>Damp Proofing</t>
  </si>
  <si>
    <t>Timber treatments/replacements</t>
  </si>
  <si>
    <t>Condensation</t>
  </si>
  <si>
    <t>Wall Ties</t>
  </si>
  <si>
    <t>Other works</t>
  </si>
  <si>
    <t>Subtotal</t>
  </si>
  <si>
    <t>VAT</t>
  </si>
  <si>
    <t>Deposit</t>
  </si>
  <si>
    <t>Image 1: Default or Miscellaneous</t>
  </si>
  <si>
    <t>Added Estimate Coversheet Selections To Cost Sheet.</t>
  </si>
  <si>
    <t>Choose Estimate Cover Sheet Image To Use (dropdown)</t>
  </si>
  <si>
    <t>View Images (this link will take you to the the Estimates Coversheet Images Tab)</t>
  </si>
  <si>
    <t xml:space="preserve">Base Travel Hourly rate </t>
  </si>
  <si>
    <t>Updated pricing on the PIV units due to supplier price increase.</t>
  </si>
  <si>
    <t>Added more coversheet images</t>
  </si>
  <si>
    <t>(May cover any or all of the following: Covers Health &amp; Safety, Tooling Equipment, Access Equipment, Specialist Equipment, Waste Removal &amp; Disposal, Project Management Administration etc.)</t>
  </si>
  <si>
    <t>Project Specifics Overhead description amended on csv upload for change to CF estimate to make it clear that the overheads may contain all or some of the items mentioned.</t>
  </si>
  <si>
    <t>"Fixed margin value column on csv import for beta estimates.
Applied filter to costing sheet for the headers."</t>
  </si>
  <si>
    <t>Reduced cost of asbesto testing as requested by MD</t>
  </si>
  <si>
    <t>Updated costs on PIV loft units.</t>
  </si>
  <si>
    <t>Updated master password.</t>
  </si>
  <si>
    <t>Dry sunny</t>
  </si>
  <si>
    <t>Stone and slate</t>
  </si>
  <si>
    <t xml:space="preserve">Detached </t>
  </si>
  <si>
    <t>1800s</t>
  </si>
  <si>
    <t>Side Elevation</t>
  </si>
  <si>
    <t xml:space="preserve">Plumber to inspect and repair any leaks / damage to the ensuite </t>
  </si>
  <si>
    <t>High humidity</t>
  </si>
  <si>
    <t>Main Bedroom</t>
  </si>
  <si>
    <t>Current extraction</t>
  </si>
  <si>
    <t>Bedroom</t>
  </si>
  <si>
    <t>Staining was noted to the ceiling below the main bathroom and black mould to a cold external wall. The mould to the wall is not related to the bathroom or the ceiling.</t>
  </si>
  <si>
    <t>Leaks from the ensuite. Plumber to inspect and repair. Main bathroom has caused staining to the ceiling below.</t>
  </si>
  <si>
    <t xml:space="preserve">Ensuite </t>
  </si>
  <si>
    <t xml:space="preserve">Plumber to inspect and repair any leaks to the ensuite to the bedroom </t>
  </si>
  <si>
    <t>Loft access</t>
  </si>
  <si>
    <t xml:space="preserve">Lack of ventilation and air movement with the property have caused elevated humidity levels within the building. </t>
  </si>
  <si>
    <t>It is our opinion that the current extraction and ventilation at the property does not provide sufficient ventilation</t>
  </si>
  <si>
    <t xml:space="preserve">Loft area and diffusor to hallway celling </t>
  </si>
  <si>
    <t>Upgrade the existing extractors at the property</t>
  </si>
  <si>
    <t>Prior repainting the ceiling you will have to have your painter apply a stain blocker to the ceiling otherwise the stain will reappear no matter how many times the ceiling is painted.</t>
  </si>
  <si>
    <t>25-11-25-14-57-56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</si>
</sst>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00_-;\-&quot;£&quot;* #,##0.00_-;_-&quot;£&quot;* &quot;-&quot;??_-;_-@_-"/>
    <numFmt numFmtId="165" formatCode="0.0"/>
    <numFmt numFmtId="166" formatCode="&quot;£&quot;#,##0.00"/>
    <numFmt numFmtId="167" formatCode="0.0000000000"/>
  </numFmts>
  <fonts count="57" x14ac:knownFonts="1">
    <font>
      <sz val="11"/>
      <color theme="1"/>
      <name val="Calibri"/>
      <family val="2"/>
      <scheme val="minor"/>
    </font>
    <font>
      <sz val="11"/>
      <color theme="1"/>
      <name val="Calibri"/>
      <family val="2"/>
      <scheme val="minor"/>
    </font>
    <font>
      <sz val="10"/>
      <name val="Arial"/>
      <family val="2"/>
    </font>
    <font>
      <sz val="10"/>
      <name val="Arial Narrow"/>
      <family val="2"/>
    </font>
    <font>
      <b/>
      <u/>
      <sz val="10"/>
      <name val="Arial Narrow"/>
      <family val="2"/>
    </font>
    <font>
      <sz val="11"/>
      <color theme="1"/>
      <name val="Arial Narrow"/>
      <family val="2"/>
    </font>
    <font>
      <b/>
      <sz val="10"/>
      <name val="Arial Narrow"/>
      <family val="2"/>
    </font>
    <font>
      <sz val="10"/>
      <color theme="1"/>
      <name val="Arial Narrow"/>
      <family val="2"/>
    </font>
    <font>
      <sz val="10"/>
      <color indexed="8"/>
      <name val="Arial Narrow"/>
      <family val="2"/>
    </font>
    <font>
      <b/>
      <u/>
      <sz val="10"/>
      <color indexed="8"/>
      <name val="Arial Narrow"/>
      <family val="2"/>
    </font>
    <font>
      <sz val="9"/>
      <color rgb="FFFF0000"/>
      <name val="Arial Narrow"/>
      <family val="2"/>
    </font>
    <font>
      <sz val="9"/>
      <name val="Arial Narrow"/>
      <family val="2"/>
    </font>
    <font>
      <b/>
      <u/>
      <sz val="9"/>
      <name val="Arial Narrow"/>
      <family val="2"/>
    </font>
    <font>
      <sz val="9"/>
      <color theme="1"/>
      <name val="Arial Narrow"/>
      <family val="2"/>
    </font>
    <font>
      <sz val="9"/>
      <color indexed="8"/>
      <name val="Arial Narrow"/>
      <family val="2"/>
    </font>
    <font>
      <b/>
      <sz val="9"/>
      <name val="Arial Narrow"/>
      <family val="2"/>
    </font>
    <font>
      <sz val="12"/>
      <name val="Arial Narrow"/>
      <family val="2"/>
    </font>
    <font>
      <sz val="8"/>
      <name val="Arial Narrow"/>
      <family val="2"/>
    </font>
    <font>
      <b/>
      <sz val="11"/>
      <color theme="1"/>
      <name val="Calibri"/>
      <family val="2"/>
      <scheme val="minor"/>
    </font>
    <font>
      <b/>
      <sz val="14"/>
      <color theme="1"/>
      <name val="Calibri"/>
      <family val="2"/>
      <scheme val="minor"/>
    </font>
    <font>
      <b/>
      <sz val="16"/>
      <color theme="1"/>
      <name val="Arial"/>
      <family val="2"/>
    </font>
    <font>
      <b/>
      <sz val="14"/>
      <color theme="1"/>
      <name val="Arial"/>
      <family val="2"/>
    </font>
    <font>
      <b/>
      <sz val="16"/>
      <color theme="1"/>
      <name val="Calibri"/>
      <family val="2"/>
      <scheme val="minor"/>
    </font>
    <font>
      <sz val="8"/>
      <name val="Calibri"/>
      <family val="2"/>
      <scheme val="minor"/>
    </font>
    <font>
      <sz val="11"/>
      <color theme="1"/>
      <name val="Arial"/>
      <family val="2"/>
    </font>
    <font>
      <sz val="10"/>
      <color theme="1"/>
      <name val="Arial"/>
      <family val="2"/>
    </font>
    <font>
      <sz val="10"/>
      <color rgb="FFFF0000"/>
      <name val="Arial Narrow"/>
      <family val="2"/>
    </font>
    <font>
      <b/>
      <sz val="10"/>
      <color rgb="FFFF0000"/>
      <name val="Arial Narrow"/>
      <family val="2"/>
    </font>
    <font>
      <b/>
      <sz val="10"/>
      <color theme="1"/>
      <name val="Arial"/>
      <family val="2"/>
    </font>
    <font>
      <b/>
      <sz val="12"/>
      <name val="Arial Narrow"/>
      <family val="2"/>
    </font>
    <font>
      <b/>
      <sz val="10"/>
      <color indexed="8"/>
      <name val="Arial Narrow"/>
      <family val="2"/>
    </font>
    <font>
      <b/>
      <u/>
      <sz val="20"/>
      <color theme="1"/>
      <name val="Calibri"/>
      <family val="2"/>
      <scheme val="minor"/>
    </font>
    <font>
      <b/>
      <sz val="11"/>
      <name val="Calibri"/>
      <family val="2"/>
    </font>
    <font>
      <sz val="11"/>
      <color theme="0"/>
      <name val="Calibri"/>
      <family val="2"/>
      <scheme val="minor"/>
    </font>
    <font>
      <b/>
      <i/>
      <u/>
      <sz val="10"/>
      <name val="Arial Narrow"/>
      <family val="2"/>
    </font>
    <font>
      <sz val="14"/>
      <name val="Arial"/>
      <family val="2"/>
    </font>
    <font>
      <sz val="11"/>
      <name val="Arial"/>
      <family val="2"/>
    </font>
    <font>
      <b/>
      <u/>
      <sz val="11"/>
      <color theme="1"/>
      <name val="Arial"/>
      <family val="2"/>
    </font>
    <font>
      <b/>
      <sz val="11"/>
      <color theme="1"/>
      <name val="Arial"/>
      <family val="2"/>
    </font>
    <font>
      <sz val="22"/>
      <color rgb="FF0070C0"/>
      <name val="Vladimir Script"/>
      <family val="4"/>
    </font>
    <font>
      <sz val="22"/>
      <color theme="1"/>
      <name val="Vladimir Script"/>
      <family val="4"/>
    </font>
    <font>
      <sz val="24"/>
      <color rgb="FF0070C0"/>
      <name val="Vladimir Script"/>
      <family val="4"/>
    </font>
    <font>
      <b/>
      <sz val="11"/>
      <color rgb="FFFF0000"/>
      <name val="Arial"/>
      <family val="2"/>
    </font>
    <font>
      <sz val="11"/>
      <color theme="0"/>
      <name val="Arial"/>
      <family val="2"/>
    </font>
    <font>
      <b/>
      <u/>
      <sz val="16"/>
      <color theme="1"/>
      <name val="Arial"/>
      <family val="2"/>
    </font>
    <font>
      <b/>
      <sz val="11"/>
      <color theme="0" tint="-0.499984740745262"/>
      <name val="Arial"/>
      <family val="2"/>
    </font>
    <font>
      <b/>
      <sz val="9"/>
      <name val="Calibri"/>
      <family val="2"/>
    </font>
    <font>
      <b/>
      <sz val="8"/>
      <color rgb="FFFF0000"/>
      <name val="Calibri"/>
      <family val="2"/>
    </font>
    <font>
      <u/>
      <sz val="11"/>
      <color theme="10"/>
      <name val="Calibri"/>
      <family val="2"/>
      <scheme val="minor"/>
    </font>
    <font>
      <sz val="11"/>
      <name val="Calibri"/>
      <family val="2"/>
      <scheme val="minor"/>
    </font>
    <font>
      <b/>
      <sz val="11"/>
      <color theme="0"/>
      <name val="Arial"/>
      <family val="2"/>
    </font>
    <font>
      <b/>
      <i/>
      <sz val="10"/>
      <color rgb="FF000000"/>
      <name val="Arial Narrow"/>
      <family val="2"/>
    </font>
    <font>
      <b/>
      <i/>
      <sz val="11"/>
      <color theme="1"/>
      <name val="Calibri"/>
      <family val="2"/>
      <scheme val="minor"/>
    </font>
    <font>
      <sz val="9"/>
      <color theme="1"/>
      <name val="Arial"/>
      <family val="2"/>
    </font>
    <font>
      <b/>
      <i/>
      <sz val="10"/>
      <name val="Arial Narrow"/>
      <family val="2"/>
    </font>
    <font>
      <b/>
      <sz val="20"/>
      <color theme="1"/>
      <name val="Aptos"/>
      <family val="2"/>
    </font>
    <font>
      <u/>
      <sz val="10"/>
      <color theme="10"/>
      <name val="Calibri"/>
      <family val="2"/>
      <scheme val="minor"/>
    </font>
  </fonts>
  <fills count="11">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1"/>
        <bgColor indexed="64"/>
      </patternFill>
    </fill>
    <fill>
      <patternFill patternType="solid">
        <fgColor theme="0" tint="-0.14999847407452621"/>
        <bgColor indexed="64"/>
      </patternFill>
    </fill>
    <fill>
      <patternFill patternType="solid">
        <fgColor rgb="FFFFC000"/>
        <bgColor indexed="64"/>
      </patternFill>
    </fill>
    <fill>
      <patternFill patternType="solid">
        <fgColor theme="8" tint="0.59999389629810485"/>
        <bgColor indexed="64"/>
      </patternFill>
    </fill>
    <fill>
      <patternFill patternType="solid">
        <fgColor rgb="FF92D050"/>
        <bgColor indexed="64"/>
      </patternFill>
    </fill>
    <fill>
      <patternFill patternType="solid">
        <fgColor rgb="FF00B0F0"/>
        <bgColor indexed="64"/>
      </patternFill>
    </fill>
    <fill>
      <patternFill patternType="solid">
        <fgColor rgb="FFFFFF00"/>
        <bgColor indexed="64"/>
      </patternFill>
    </fill>
  </fills>
  <borders count="7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bottom style="thin">
        <color indexed="64"/>
      </bottom>
      <diagonal/>
    </border>
    <border>
      <left style="thin">
        <color theme="1"/>
      </left>
      <right style="thin">
        <color theme="1"/>
      </right>
      <top style="thin">
        <color theme="1"/>
      </top>
      <bottom style="thin">
        <color theme="1"/>
      </bottom>
      <diagonal/>
    </border>
    <border>
      <left/>
      <right/>
      <top style="thin">
        <color theme="1"/>
      </top>
      <bottom style="thin">
        <color theme="1"/>
      </bottom>
      <diagonal/>
    </border>
    <border>
      <left style="medium">
        <color theme="1"/>
      </left>
      <right style="medium">
        <color theme="1"/>
      </right>
      <top style="medium">
        <color theme="1"/>
      </top>
      <bottom style="medium">
        <color theme="1"/>
      </bottom>
      <diagonal/>
    </border>
    <border>
      <left style="medium">
        <color theme="1"/>
      </left>
      <right style="medium">
        <color theme="1"/>
      </right>
      <top/>
      <bottom style="medium">
        <color theme="1"/>
      </bottom>
      <diagonal/>
    </border>
    <border>
      <left/>
      <right/>
      <top style="thin">
        <color theme="1"/>
      </top>
      <bottom style="double">
        <color theme="1"/>
      </bottom>
      <diagonal/>
    </border>
    <border>
      <left/>
      <right/>
      <top style="thin">
        <color theme="1"/>
      </top>
      <bottom/>
      <diagonal/>
    </border>
    <border>
      <left/>
      <right/>
      <top/>
      <bottom style="double">
        <color theme="1"/>
      </bottom>
      <diagonal/>
    </border>
    <border>
      <left/>
      <right style="thin">
        <color theme="1"/>
      </right>
      <top style="thin">
        <color theme="1"/>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style="medium">
        <color indexed="64"/>
      </left>
      <right/>
      <top style="thin">
        <color theme="1"/>
      </top>
      <bottom style="thin">
        <color theme="1"/>
      </bottom>
      <diagonal/>
    </border>
    <border>
      <left style="medium">
        <color indexed="64"/>
      </left>
      <right/>
      <top/>
      <bottom style="thin">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top style="thin">
        <color indexed="64"/>
      </top>
      <bottom style="double">
        <color indexed="64"/>
      </bottom>
      <diagonal/>
    </border>
    <border>
      <left/>
      <right/>
      <top style="thin">
        <color indexed="64"/>
      </top>
      <bottom style="double">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top/>
      <bottom style="double">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theme="1"/>
      </left>
      <right style="medium">
        <color indexed="64"/>
      </right>
      <top style="medium">
        <color theme="1"/>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s>
  <cellStyleXfs count="12">
    <xf numFmtId="0" fontId="0" fillId="0" borderId="0"/>
    <xf numFmtId="164" fontId="1"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0" fontId="1" fillId="0" borderId="0"/>
    <xf numFmtId="164"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0" fontId="2" fillId="0" borderId="0"/>
    <xf numFmtId="0" fontId="48" fillId="0" borderId="0" applyNumberFormat="0" applyFill="0" applyBorder="0" applyAlignment="0" applyProtection="0"/>
    <xf numFmtId="0" fontId="48" fillId="0" borderId="0" applyNumberFormat="0" applyFill="0" applyBorder="0" applyAlignment="0" applyProtection="0"/>
  </cellStyleXfs>
  <cellXfs count="544">
    <xf numFmtId="0" fontId="0" fillId="0" borderId="0" xfId="0"/>
    <xf numFmtId="0" fontId="3" fillId="0" borderId="0" xfId="2" applyFont="1" applyAlignment="1">
      <alignment vertical="center"/>
    </xf>
    <xf numFmtId="0" fontId="11" fillId="0" borderId="0" xfId="2" applyFont="1" applyAlignment="1">
      <alignment vertical="center"/>
    </xf>
    <xf numFmtId="164" fontId="11" fillId="0" borderId="0" xfId="1" applyFont="1" applyAlignment="1">
      <alignment vertical="center"/>
    </xf>
    <xf numFmtId="0" fontId="11" fillId="0" borderId="0" xfId="2" applyFont="1" applyAlignment="1">
      <alignment horizontal="right" vertical="center"/>
    </xf>
    <xf numFmtId="2" fontId="11" fillId="0" borderId="0" xfId="2" applyNumberFormat="1" applyFont="1" applyAlignment="1">
      <alignment horizontal="right" vertical="center"/>
    </xf>
    <xf numFmtId="164" fontId="11" fillId="0" borderId="0" xfId="2" applyNumberFormat="1" applyFont="1" applyAlignment="1">
      <alignment vertical="center"/>
    </xf>
    <xf numFmtId="0" fontId="10" fillId="0" borderId="0" xfId="2" applyFont="1" applyAlignment="1">
      <alignment horizontal="right" vertical="center"/>
    </xf>
    <xf numFmtId="9" fontId="13" fillId="3" borderId="2" xfId="1" applyNumberFormat="1" applyFont="1" applyFill="1" applyBorder="1" applyAlignment="1">
      <alignment horizontal="center" vertical="center"/>
    </xf>
    <xf numFmtId="9" fontId="13" fillId="3" borderId="1" xfId="1" applyNumberFormat="1" applyFont="1" applyFill="1" applyBorder="1" applyAlignment="1">
      <alignment horizontal="center" vertical="center"/>
    </xf>
    <xf numFmtId="164" fontId="13" fillId="3" borderId="3" xfId="1" applyFont="1" applyFill="1" applyBorder="1" applyAlignment="1">
      <alignment horizontal="center" vertical="center"/>
    </xf>
    <xf numFmtId="164" fontId="13" fillId="3" borderId="1" xfId="1" applyFont="1" applyFill="1" applyBorder="1" applyAlignment="1">
      <alignment horizontal="center" vertical="center"/>
    </xf>
    <xf numFmtId="164" fontId="13" fillId="3" borderId="0" xfId="1" applyFont="1" applyFill="1" applyBorder="1" applyAlignment="1">
      <alignment horizontal="center" vertical="center"/>
    </xf>
    <xf numFmtId="164" fontId="13" fillId="3" borderId="0" xfId="1" applyFont="1" applyFill="1" applyBorder="1" applyAlignment="1">
      <alignment horizontal="right" vertical="center"/>
    </xf>
    <xf numFmtId="164" fontId="11" fillId="3" borderId="3" xfId="1" applyFont="1" applyFill="1" applyBorder="1" applyAlignment="1">
      <alignment horizontal="center" vertical="center"/>
    </xf>
    <xf numFmtId="164" fontId="11" fillId="3" borderId="1" xfId="1" applyFont="1" applyFill="1" applyBorder="1" applyAlignment="1">
      <alignment horizontal="center" vertical="center"/>
    </xf>
    <xf numFmtId="164" fontId="11" fillId="3" borderId="0" xfId="1" applyFont="1" applyFill="1" applyBorder="1" applyAlignment="1">
      <alignment horizontal="center" vertical="center"/>
    </xf>
    <xf numFmtId="9" fontId="13" fillId="3" borderId="5" xfId="1" applyNumberFormat="1" applyFont="1" applyFill="1" applyBorder="1" applyAlignment="1">
      <alignment horizontal="center" vertical="center"/>
    </xf>
    <xf numFmtId="164" fontId="13" fillId="3" borderId="0" xfId="3" applyFont="1" applyFill="1" applyBorder="1" applyAlignment="1">
      <alignment horizontal="center" vertical="center"/>
    </xf>
    <xf numFmtId="2" fontId="11" fillId="3" borderId="5" xfId="2" applyNumberFormat="1" applyFont="1" applyFill="1" applyBorder="1" applyAlignment="1">
      <alignment horizontal="center" vertical="center"/>
    </xf>
    <xf numFmtId="164" fontId="13" fillId="3" borderId="10" xfId="3" applyFont="1" applyFill="1" applyBorder="1" applyAlignment="1">
      <alignment horizontal="center" vertical="center"/>
    </xf>
    <xf numFmtId="164" fontId="13" fillId="3" borderId="25" xfId="3" applyFont="1" applyFill="1" applyBorder="1" applyAlignment="1">
      <alignment horizontal="center" vertical="center"/>
    </xf>
    <xf numFmtId="0" fontId="16" fillId="0" borderId="0" xfId="2" applyFont="1" applyAlignment="1">
      <alignment vertical="center"/>
    </xf>
    <xf numFmtId="0" fontId="11" fillId="0" borderId="0" xfId="2" applyFont="1" applyAlignment="1">
      <alignment horizontal="center" vertical="center"/>
    </xf>
    <xf numFmtId="2" fontId="3" fillId="3" borderId="17" xfId="2" applyNumberFormat="1" applyFont="1" applyFill="1" applyBorder="1" applyAlignment="1">
      <alignment horizontal="center" vertical="center"/>
    </xf>
    <xf numFmtId="0" fontId="3" fillId="3" borderId="6" xfId="2" applyFont="1" applyFill="1" applyBorder="1" applyAlignment="1">
      <alignment horizontal="right" vertical="center"/>
    </xf>
    <xf numFmtId="0" fontId="3" fillId="3" borderId="12" xfId="2" applyFont="1" applyFill="1" applyBorder="1" applyAlignment="1">
      <alignment horizontal="right" vertical="center"/>
    </xf>
    <xf numFmtId="0" fontId="3" fillId="3" borderId="16" xfId="2" applyFont="1" applyFill="1" applyBorder="1" applyAlignment="1">
      <alignment horizontal="right" vertical="center"/>
    </xf>
    <xf numFmtId="0" fontId="3" fillId="3" borderId="20" xfId="2" applyFont="1" applyFill="1" applyBorder="1" applyAlignment="1">
      <alignment horizontal="right" vertical="center"/>
    </xf>
    <xf numFmtId="0" fontId="11" fillId="3" borderId="4" xfId="2" applyFont="1" applyFill="1" applyBorder="1" applyAlignment="1">
      <alignment horizontal="center" vertical="center"/>
    </xf>
    <xf numFmtId="0" fontId="15" fillId="3" borderId="4" xfId="2" applyFont="1" applyFill="1" applyBorder="1" applyAlignment="1">
      <alignment horizontal="right" vertical="center"/>
    </xf>
    <xf numFmtId="0" fontId="12" fillId="3" borderId="4" xfId="2" applyFont="1" applyFill="1" applyBorder="1" applyAlignment="1">
      <alignment horizontal="right" vertical="center"/>
    </xf>
    <xf numFmtId="0" fontId="3" fillId="3" borderId="16" xfId="2" applyFont="1" applyFill="1" applyBorder="1" applyAlignment="1">
      <alignment vertical="center"/>
    </xf>
    <xf numFmtId="0" fontId="3" fillId="3" borderId="21" xfId="2" applyFont="1" applyFill="1" applyBorder="1" applyAlignment="1">
      <alignment horizontal="right" vertical="center"/>
    </xf>
    <xf numFmtId="0" fontId="11" fillId="3" borderId="22" xfId="2" applyFont="1" applyFill="1" applyBorder="1" applyAlignment="1">
      <alignment horizontal="center" vertical="center"/>
    </xf>
    <xf numFmtId="0" fontId="11" fillId="3" borderId="22" xfId="2" applyFont="1" applyFill="1" applyBorder="1" applyAlignment="1">
      <alignment vertical="center"/>
    </xf>
    <xf numFmtId="164" fontId="11" fillId="3" borderId="9" xfId="2" applyNumberFormat="1" applyFont="1" applyFill="1" applyBorder="1" applyAlignment="1">
      <alignment vertical="center"/>
    </xf>
    <xf numFmtId="164" fontId="11" fillId="3" borderId="11" xfId="2" applyNumberFormat="1" applyFont="1" applyFill="1" applyBorder="1" applyAlignment="1">
      <alignment vertical="center"/>
    </xf>
    <xf numFmtId="164" fontId="11" fillId="3" borderId="8" xfId="2" applyNumberFormat="1" applyFont="1" applyFill="1" applyBorder="1" applyAlignment="1">
      <alignment vertical="center"/>
    </xf>
    <xf numFmtId="2" fontId="11" fillId="3" borderId="24" xfId="2" applyNumberFormat="1" applyFont="1" applyFill="1" applyBorder="1" applyAlignment="1">
      <alignment horizontal="right" vertical="center"/>
    </xf>
    <xf numFmtId="0" fontId="6" fillId="3" borderId="4" xfId="2" applyFont="1" applyFill="1" applyBorder="1" applyAlignment="1">
      <alignment horizontal="left" vertical="center"/>
    </xf>
    <xf numFmtId="0" fontId="11" fillId="0" borderId="0" xfId="2" applyFont="1" applyAlignment="1">
      <alignment horizontal="right" vertical="center" wrapText="1"/>
    </xf>
    <xf numFmtId="2" fontId="11" fillId="0" borderId="0" xfId="2" applyNumberFormat="1" applyFont="1" applyAlignment="1">
      <alignment horizontal="right" vertical="center" wrapText="1"/>
    </xf>
    <xf numFmtId="164" fontId="11" fillId="0" borderId="0" xfId="2" applyNumberFormat="1" applyFont="1" applyAlignment="1">
      <alignment vertical="center" wrapText="1"/>
    </xf>
    <xf numFmtId="0" fontId="11" fillId="0" borderId="0" xfId="2" applyFont="1" applyAlignment="1">
      <alignment vertical="center" wrapText="1"/>
    </xf>
    <xf numFmtId="164" fontId="11" fillId="0" borderId="0" xfId="1" applyFont="1" applyAlignment="1">
      <alignment vertical="center" wrapText="1"/>
    </xf>
    <xf numFmtId="0" fontId="3" fillId="3" borderId="22" xfId="2" applyFont="1" applyFill="1" applyBorder="1" applyAlignment="1">
      <alignment vertical="center"/>
    </xf>
    <xf numFmtId="0" fontId="11" fillId="3" borderId="1" xfId="2" applyFont="1" applyFill="1" applyBorder="1" applyAlignment="1">
      <alignment horizontal="center" vertical="center"/>
    </xf>
    <xf numFmtId="0" fontId="3" fillId="3" borderId="6" xfId="2" applyFont="1" applyFill="1" applyBorder="1" applyAlignment="1">
      <alignment horizontal="center" vertical="center"/>
    </xf>
    <xf numFmtId="164" fontId="14" fillId="3" borderId="3" xfId="1" applyFont="1" applyFill="1" applyBorder="1" applyAlignment="1">
      <alignment horizontal="left" vertical="center"/>
    </xf>
    <xf numFmtId="0" fontId="0" fillId="2" borderId="0" xfId="0" applyFill="1"/>
    <xf numFmtId="0" fontId="18" fillId="2" borderId="31" xfId="0" applyFont="1" applyFill="1" applyBorder="1"/>
    <xf numFmtId="0" fontId="18" fillId="2" borderId="40" xfId="0" applyFont="1" applyFill="1" applyBorder="1"/>
    <xf numFmtId="0" fontId="0" fillId="2" borderId="31" xfId="0" applyFill="1" applyBorder="1"/>
    <xf numFmtId="0" fontId="0" fillId="2" borderId="40" xfId="0" applyFill="1" applyBorder="1"/>
    <xf numFmtId="0" fontId="0" fillId="2" borderId="41" xfId="0" applyFill="1" applyBorder="1"/>
    <xf numFmtId="0" fontId="0" fillId="2" borderId="42" xfId="0" applyFill="1" applyBorder="1"/>
    <xf numFmtId="0" fontId="22" fillId="2" borderId="0" xfId="0" applyFont="1" applyFill="1"/>
    <xf numFmtId="2" fontId="0" fillId="0" borderId="0" xfId="0" applyNumberFormat="1"/>
    <xf numFmtId="0" fontId="0" fillId="2" borderId="43" xfId="0" applyFill="1" applyBorder="1"/>
    <xf numFmtId="0" fontId="0" fillId="2" borderId="44" xfId="0" applyFill="1" applyBorder="1"/>
    <xf numFmtId="164" fontId="3" fillId="0" borderId="0" xfId="2" applyNumberFormat="1" applyFont="1" applyAlignment="1">
      <alignment vertical="center"/>
    </xf>
    <xf numFmtId="0" fontId="24" fillId="2" borderId="1" xfId="5" applyFont="1" applyFill="1" applyBorder="1" applyAlignment="1">
      <alignment horizontal="center" vertical="center"/>
    </xf>
    <xf numFmtId="0" fontId="24" fillId="0" borderId="0" xfId="5" applyFont="1"/>
    <xf numFmtId="0" fontId="24" fillId="4" borderId="1" xfId="5" applyFont="1" applyFill="1" applyBorder="1" applyAlignment="1">
      <alignment horizontal="center" vertical="center"/>
    </xf>
    <xf numFmtId="0" fontId="24" fillId="0" borderId="0" xfId="5" applyFont="1" applyAlignment="1">
      <alignment vertical="center"/>
    </xf>
    <xf numFmtId="0" fontId="24" fillId="0" borderId="0" xfId="5" applyFont="1" applyAlignment="1">
      <alignment horizontal="right" vertical="center"/>
    </xf>
    <xf numFmtId="0" fontId="24" fillId="0" borderId="0" xfId="5" applyFont="1" applyAlignment="1">
      <alignment horizontal="center" vertical="center"/>
    </xf>
    <xf numFmtId="0" fontId="25" fillId="2" borderId="1" xfId="5" applyFont="1" applyFill="1" applyBorder="1" applyAlignment="1">
      <alignment horizontal="center" vertical="center" wrapText="1"/>
    </xf>
    <xf numFmtId="165" fontId="11" fillId="2" borderId="25" xfId="2" applyNumberFormat="1" applyFont="1" applyFill="1" applyBorder="1" applyAlignment="1" applyProtection="1">
      <alignment horizontal="center" vertical="center"/>
      <protection locked="0"/>
    </xf>
    <xf numFmtId="165" fontId="11" fillId="2" borderId="29" xfId="2" applyNumberFormat="1" applyFont="1" applyFill="1" applyBorder="1" applyAlignment="1" applyProtection="1">
      <alignment horizontal="center" vertical="center"/>
      <protection locked="0"/>
    </xf>
    <xf numFmtId="2" fontId="11" fillId="2" borderId="25" xfId="2" applyNumberFormat="1" applyFont="1" applyFill="1" applyBorder="1" applyAlignment="1" applyProtection="1">
      <alignment horizontal="center" vertical="center"/>
      <protection locked="0"/>
    </xf>
    <xf numFmtId="2" fontId="11" fillId="2" borderId="29" xfId="2" applyNumberFormat="1" applyFont="1" applyFill="1" applyBorder="1" applyAlignment="1" applyProtection="1">
      <alignment horizontal="center" vertical="center"/>
      <protection locked="0"/>
    </xf>
    <xf numFmtId="2" fontId="11" fillId="2" borderId="27" xfId="2" applyNumberFormat="1" applyFont="1" applyFill="1" applyBorder="1" applyAlignment="1" applyProtection="1">
      <alignment horizontal="center" vertical="center"/>
      <protection locked="0"/>
    </xf>
    <xf numFmtId="1" fontId="26" fillId="3" borderId="7" xfId="2" applyNumberFormat="1" applyFont="1" applyFill="1" applyBorder="1" applyAlignment="1">
      <alignment horizontal="center" vertical="center"/>
    </xf>
    <xf numFmtId="0" fontId="3" fillId="0" borderId="0" xfId="2" applyFont="1" applyAlignment="1">
      <alignment vertical="center" wrapText="1"/>
    </xf>
    <xf numFmtId="0" fontId="27" fillId="0" borderId="0" xfId="2" applyFont="1" applyAlignment="1">
      <alignment vertical="center"/>
    </xf>
    <xf numFmtId="0" fontId="28" fillId="3" borderId="1" xfId="5" applyFont="1" applyFill="1" applyBorder="1" applyAlignment="1">
      <alignment horizontal="center" vertical="center" wrapText="1"/>
    </xf>
    <xf numFmtId="165" fontId="11" fillId="3" borderId="3" xfId="2" applyNumberFormat="1" applyFont="1" applyFill="1" applyBorder="1" applyAlignment="1">
      <alignment horizontal="center" vertical="center"/>
    </xf>
    <xf numFmtId="164" fontId="11" fillId="3" borderId="12" xfId="1" applyFont="1" applyFill="1" applyBorder="1" applyAlignment="1">
      <alignment horizontal="center" vertical="center"/>
    </xf>
    <xf numFmtId="2" fontId="11" fillId="3" borderId="4" xfId="2" applyNumberFormat="1" applyFont="1" applyFill="1" applyBorder="1" applyAlignment="1">
      <alignment horizontal="right" vertical="center"/>
    </xf>
    <xf numFmtId="0" fontId="24" fillId="0" borderId="0" xfId="5" applyFont="1" applyAlignment="1">
      <alignment horizontal="center"/>
    </xf>
    <xf numFmtId="164" fontId="24" fillId="0" borderId="0" xfId="8" applyFont="1" applyBorder="1" applyProtection="1"/>
    <xf numFmtId="0" fontId="3" fillId="3" borderId="31" xfId="2" applyFont="1" applyFill="1" applyBorder="1" applyAlignment="1">
      <alignment vertical="center" wrapText="1"/>
    </xf>
    <xf numFmtId="0" fontId="6" fillId="3" borderId="16" xfId="2" applyFont="1" applyFill="1" applyBorder="1" applyAlignment="1">
      <alignment horizontal="right" vertical="center"/>
    </xf>
    <xf numFmtId="164" fontId="11" fillId="5" borderId="34" xfId="1" applyFont="1" applyFill="1" applyBorder="1" applyAlignment="1">
      <alignment vertical="center"/>
    </xf>
    <xf numFmtId="164" fontId="11" fillId="5" borderId="36" xfId="2" applyNumberFormat="1" applyFont="1" applyFill="1" applyBorder="1" applyAlignment="1">
      <alignment vertical="center"/>
    </xf>
    <xf numFmtId="164" fontId="11" fillId="5" borderId="55" xfId="1" applyFont="1" applyFill="1" applyBorder="1" applyAlignment="1">
      <alignment vertical="center"/>
    </xf>
    <xf numFmtId="0" fontId="11" fillId="5" borderId="32" xfId="2" applyFont="1" applyFill="1" applyBorder="1" applyAlignment="1">
      <alignment vertical="center"/>
    </xf>
    <xf numFmtId="164" fontId="11" fillId="5" borderId="16" xfId="2" applyNumberFormat="1" applyFont="1" applyFill="1" applyBorder="1" applyAlignment="1">
      <alignment vertical="center"/>
    </xf>
    <xf numFmtId="0" fontId="11" fillId="5" borderId="21" xfId="2" applyFont="1" applyFill="1" applyBorder="1" applyAlignment="1">
      <alignment vertical="center"/>
    </xf>
    <xf numFmtId="22" fontId="0" fillId="2" borderId="40" xfId="0" applyNumberFormat="1" applyFill="1" applyBorder="1"/>
    <xf numFmtId="0" fontId="3" fillId="4" borderId="0" xfId="2" applyFont="1" applyFill="1" applyAlignment="1">
      <alignment vertical="center"/>
    </xf>
    <xf numFmtId="0" fontId="3" fillId="3" borderId="21" xfId="2" applyFont="1" applyFill="1" applyBorder="1" applyAlignment="1">
      <alignment vertical="center"/>
    </xf>
    <xf numFmtId="0" fontId="11" fillId="3" borderId="22" xfId="2" applyFont="1" applyFill="1" applyBorder="1" applyAlignment="1">
      <alignment horizontal="right" vertical="center"/>
    </xf>
    <xf numFmtId="0" fontId="3" fillId="3" borderId="31" xfId="2" applyFont="1" applyFill="1" applyBorder="1" applyAlignment="1">
      <alignment vertical="center"/>
    </xf>
    <xf numFmtId="0" fontId="4" fillId="3" borderId="14" xfId="2" applyFont="1" applyFill="1" applyBorder="1" applyAlignment="1">
      <alignment horizontal="left" vertical="center"/>
    </xf>
    <xf numFmtId="164" fontId="7" fillId="3" borderId="15" xfId="3" applyFont="1" applyFill="1" applyBorder="1" applyAlignment="1">
      <alignment horizontal="center" vertical="center"/>
    </xf>
    <xf numFmtId="0" fontId="9" fillId="3" borderId="17" xfId="2" applyFont="1" applyFill="1" applyBorder="1" applyAlignment="1">
      <alignment horizontal="left" vertical="center"/>
    </xf>
    <xf numFmtId="164" fontId="7" fillId="3" borderId="17" xfId="3" applyFont="1" applyFill="1" applyBorder="1" applyAlignment="1">
      <alignment horizontal="center" vertical="center"/>
    </xf>
    <xf numFmtId="164" fontId="3" fillId="3" borderId="17" xfId="1" applyFont="1" applyFill="1" applyBorder="1" applyAlignment="1">
      <alignment horizontal="center" vertical="center"/>
    </xf>
    <xf numFmtId="0" fontId="3" fillId="3" borderId="0" xfId="2" applyFont="1" applyFill="1" applyAlignment="1">
      <alignment vertical="center"/>
    </xf>
    <xf numFmtId="0" fontId="11" fillId="3" borderId="0" xfId="2" applyFont="1" applyFill="1" applyAlignment="1">
      <alignment horizontal="center" vertical="center"/>
    </xf>
    <xf numFmtId="2" fontId="11" fillId="3" borderId="0" xfId="2" applyNumberFormat="1" applyFont="1" applyFill="1" applyAlignment="1">
      <alignment horizontal="center" vertical="center"/>
    </xf>
    <xf numFmtId="2" fontId="11" fillId="3" borderId="1" xfId="2" applyNumberFormat="1" applyFont="1" applyFill="1" applyBorder="1" applyAlignment="1">
      <alignment horizontal="center" vertical="center"/>
    </xf>
    <xf numFmtId="0" fontId="11" fillId="3" borderId="0" xfId="2" applyFont="1" applyFill="1" applyAlignment="1">
      <alignment horizontal="right" vertical="center"/>
    </xf>
    <xf numFmtId="164" fontId="11" fillId="3" borderId="0" xfId="2" applyNumberFormat="1" applyFont="1" applyFill="1" applyAlignment="1">
      <alignment vertical="center"/>
    </xf>
    <xf numFmtId="0" fontId="6" fillId="3" borderId="0" xfId="2" applyFont="1" applyFill="1" applyAlignment="1">
      <alignment horizontal="center" vertical="center"/>
    </xf>
    <xf numFmtId="0" fontId="3" fillId="3" borderId="0" xfId="2" applyFont="1" applyFill="1" applyAlignment="1">
      <alignment horizontal="right" vertical="center"/>
    </xf>
    <xf numFmtId="0" fontId="11" fillId="3" borderId="0" xfId="2" applyFont="1" applyFill="1" applyAlignment="1">
      <alignment vertical="center"/>
    </xf>
    <xf numFmtId="2" fontId="15" fillId="3" borderId="0" xfId="2" applyNumberFormat="1" applyFont="1" applyFill="1" applyAlignment="1">
      <alignment horizontal="right" vertical="center"/>
    </xf>
    <xf numFmtId="0" fontId="15" fillId="3" borderId="0" xfId="2" applyFont="1" applyFill="1" applyAlignment="1">
      <alignment horizontal="right" vertical="center"/>
    </xf>
    <xf numFmtId="2" fontId="11" fillId="3" borderId="0" xfId="2" applyNumberFormat="1" applyFont="1" applyFill="1" applyAlignment="1">
      <alignment horizontal="right" vertical="center"/>
    </xf>
    <xf numFmtId="0" fontId="11" fillId="3" borderId="14" xfId="2" applyFont="1" applyFill="1" applyBorder="1" applyAlignment="1">
      <alignment horizontal="right" vertical="center"/>
    </xf>
    <xf numFmtId="2" fontId="11" fillId="3" borderId="14" xfId="2" applyNumberFormat="1" applyFont="1" applyFill="1" applyBorder="1" applyAlignment="1">
      <alignment horizontal="right" vertical="center"/>
    </xf>
    <xf numFmtId="0" fontId="11" fillId="3" borderId="22" xfId="2" applyFont="1" applyFill="1" applyBorder="1" applyAlignment="1">
      <alignment horizontal="center"/>
    </xf>
    <xf numFmtId="0" fontId="10" fillId="3" borderId="22" xfId="2" applyFont="1" applyFill="1" applyBorder="1" applyAlignment="1">
      <alignment vertical="center"/>
    </xf>
    <xf numFmtId="164" fontId="11" fillId="5" borderId="42" xfId="1" applyFont="1" applyFill="1" applyBorder="1" applyAlignment="1">
      <alignment vertical="center"/>
    </xf>
    <xf numFmtId="164" fontId="11" fillId="5" borderId="0" xfId="2" applyNumberFormat="1" applyFont="1" applyFill="1" applyAlignment="1">
      <alignment vertical="center"/>
    </xf>
    <xf numFmtId="164" fontId="11" fillId="5" borderId="49" xfId="2" applyNumberFormat="1" applyFont="1" applyFill="1" applyBorder="1" applyAlignment="1">
      <alignment vertical="center"/>
    </xf>
    <xf numFmtId="0" fontId="8" fillId="3" borderId="31" xfId="2" applyFont="1" applyFill="1" applyBorder="1" applyAlignment="1">
      <alignment horizontal="left" vertical="center"/>
    </xf>
    <xf numFmtId="9" fontId="11" fillId="3" borderId="1" xfId="7" applyFont="1" applyFill="1" applyBorder="1" applyAlignment="1">
      <alignment horizontal="center" vertical="center"/>
    </xf>
    <xf numFmtId="0" fontId="3" fillId="3" borderId="15" xfId="2" applyFont="1" applyFill="1" applyBorder="1" applyAlignment="1">
      <alignment vertical="center"/>
    </xf>
    <xf numFmtId="0" fontId="11" fillId="3" borderId="51" xfId="2" applyFont="1" applyFill="1" applyBorder="1" applyAlignment="1">
      <alignment horizontal="center" vertical="center"/>
    </xf>
    <xf numFmtId="164" fontId="5" fillId="3" borderId="32" xfId="3" applyFont="1" applyFill="1" applyBorder="1" applyAlignment="1">
      <alignment horizontal="center" vertical="center"/>
    </xf>
    <xf numFmtId="164" fontId="11" fillId="5" borderId="40" xfId="1" applyFont="1" applyFill="1" applyBorder="1" applyAlignment="1">
      <alignment vertical="center"/>
    </xf>
    <xf numFmtId="164" fontId="14" fillId="3" borderId="40" xfId="2" applyNumberFormat="1" applyFont="1" applyFill="1" applyBorder="1" applyAlignment="1">
      <alignment horizontal="left" vertical="center"/>
    </xf>
    <xf numFmtId="164" fontId="11" fillId="3" borderId="42" xfId="2" applyNumberFormat="1" applyFont="1" applyFill="1" applyBorder="1" applyAlignment="1">
      <alignment vertical="center"/>
    </xf>
    <xf numFmtId="2" fontId="11" fillId="3" borderId="51" xfId="2" applyNumberFormat="1" applyFont="1" applyFill="1" applyBorder="1" applyAlignment="1">
      <alignment horizontal="center" vertical="center"/>
    </xf>
    <xf numFmtId="0" fontId="4" fillId="3" borderId="47" xfId="2" applyFont="1" applyFill="1" applyBorder="1" applyAlignment="1">
      <alignment horizontal="center" vertical="center"/>
    </xf>
    <xf numFmtId="164" fontId="11" fillId="5" borderId="31" xfId="2" applyNumberFormat="1" applyFont="1" applyFill="1" applyBorder="1" applyAlignment="1">
      <alignment vertical="center"/>
    </xf>
    <xf numFmtId="164" fontId="11" fillId="5" borderId="41" xfId="2" applyNumberFormat="1" applyFont="1" applyFill="1" applyBorder="1" applyAlignment="1">
      <alignment vertical="center"/>
    </xf>
    <xf numFmtId="164" fontId="13" fillId="3" borderId="62" xfId="3" applyFont="1" applyFill="1" applyBorder="1" applyAlignment="1">
      <alignment horizontal="center" vertical="center"/>
    </xf>
    <xf numFmtId="0" fontId="9" fillId="3" borderId="28" xfId="2" applyFont="1" applyFill="1" applyBorder="1" applyAlignment="1">
      <alignment horizontal="left" vertical="center"/>
    </xf>
    <xf numFmtId="164" fontId="7" fillId="3" borderId="30" xfId="3" applyFont="1" applyFill="1" applyBorder="1" applyAlignment="1">
      <alignment horizontal="center" vertical="center"/>
    </xf>
    <xf numFmtId="164" fontId="7" fillId="3" borderId="29" xfId="3" applyFont="1" applyFill="1" applyBorder="1" applyAlignment="1">
      <alignment horizontal="center" vertical="center"/>
    </xf>
    <xf numFmtId="164" fontId="11" fillId="3" borderId="63" xfId="1" applyFont="1" applyFill="1" applyBorder="1" applyAlignment="1">
      <alignment horizontal="center" vertical="center"/>
    </xf>
    <xf numFmtId="164" fontId="3" fillId="3" borderId="30" xfId="1" applyFont="1" applyFill="1" applyBorder="1" applyAlignment="1">
      <alignment horizontal="center" vertical="center"/>
    </xf>
    <xf numFmtId="164" fontId="3" fillId="3" borderId="29" xfId="1" applyFont="1" applyFill="1" applyBorder="1" applyAlignment="1">
      <alignment horizontal="center" vertical="center"/>
    </xf>
    <xf numFmtId="164" fontId="13" fillId="3" borderId="58" xfId="3" applyFont="1" applyFill="1" applyBorder="1" applyAlignment="1">
      <alignment horizontal="center" vertical="center"/>
    </xf>
    <xf numFmtId="164" fontId="3" fillId="3" borderId="28" xfId="1" applyFont="1" applyFill="1" applyBorder="1" applyAlignment="1">
      <alignment horizontal="center" vertical="center"/>
    </xf>
    <xf numFmtId="164" fontId="11" fillId="3" borderId="26" xfId="1" applyFont="1" applyFill="1" applyBorder="1" applyAlignment="1">
      <alignment horizontal="center" vertical="center"/>
    </xf>
    <xf numFmtId="164" fontId="11" fillId="3" borderId="58" xfId="1" applyFont="1" applyFill="1" applyBorder="1" applyAlignment="1">
      <alignment horizontal="center" vertical="center"/>
    </xf>
    <xf numFmtId="0" fontId="11" fillId="3" borderId="28" xfId="2" applyFont="1" applyFill="1" applyBorder="1" applyAlignment="1">
      <alignment horizontal="right" vertical="center"/>
    </xf>
    <xf numFmtId="164" fontId="11" fillId="3" borderId="61" xfId="2" applyNumberFormat="1" applyFont="1" applyFill="1" applyBorder="1" applyAlignment="1">
      <alignment vertical="center"/>
    </xf>
    <xf numFmtId="0" fontId="3" fillId="3" borderId="13" xfId="2" applyFont="1" applyFill="1" applyBorder="1" applyAlignment="1">
      <alignment vertical="center"/>
    </xf>
    <xf numFmtId="164" fontId="11" fillId="3" borderId="49" xfId="2" applyNumberFormat="1" applyFont="1" applyFill="1" applyBorder="1" applyAlignment="1">
      <alignment vertical="center"/>
    </xf>
    <xf numFmtId="164" fontId="13" fillId="5" borderId="40" xfId="1" applyFont="1" applyFill="1" applyBorder="1" applyAlignment="1">
      <alignment horizontal="right" vertical="center"/>
    </xf>
    <xf numFmtId="164" fontId="11" fillId="5" borderId="3" xfId="1" applyFont="1" applyFill="1" applyBorder="1" applyAlignment="1">
      <alignment vertical="center"/>
    </xf>
    <xf numFmtId="0" fontId="11" fillId="5" borderId="13" xfId="2" applyFont="1" applyFill="1" applyBorder="1" applyAlignment="1">
      <alignment vertical="center"/>
    </xf>
    <xf numFmtId="0" fontId="4" fillId="3" borderId="15" xfId="2" applyFont="1" applyFill="1" applyBorder="1" applyAlignment="1">
      <alignment horizontal="center" vertical="center"/>
    </xf>
    <xf numFmtId="165" fontId="11" fillId="3" borderId="50" xfId="2" applyNumberFormat="1" applyFont="1" applyFill="1" applyBorder="1" applyAlignment="1">
      <alignment horizontal="center" vertical="center"/>
    </xf>
    <xf numFmtId="164" fontId="11" fillId="3" borderId="50" xfId="1" applyFont="1" applyFill="1" applyBorder="1" applyAlignment="1">
      <alignment horizontal="center" vertical="center"/>
    </xf>
    <xf numFmtId="9" fontId="13" fillId="3" borderId="51" xfId="1" applyNumberFormat="1" applyFont="1" applyFill="1" applyBorder="1" applyAlignment="1">
      <alignment horizontal="center" vertical="center"/>
    </xf>
    <xf numFmtId="164" fontId="11" fillId="5" borderId="32" xfId="1" applyFont="1" applyFill="1" applyBorder="1" applyAlignment="1">
      <alignment vertical="center"/>
    </xf>
    <xf numFmtId="166" fontId="11" fillId="3" borderId="1" xfId="7" applyNumberFormat="1" applyFont="1" applyFill="1" applyBorder="1" applyAlignment="1">
      <alignment horizontal="center" vertical="center"/>
    </xf>
    <xf numFmtId="164" fontId="11" fillId="3" borderId="40" xfId="2" applyNumberFormat="1" applyFont="1" applyFill="1" applyBorder="1" applyAlignment="1">
      <alignment horizontal="center" vertical="center"/>
    </xf>
    <xf numFmtId="9" fontId="11" fillId="3" borderId="51" xfId="7" applyFont="1" applyFill="1" applyBorder="1" applyAlignment="1">
      <alignment horizontal="center" vertical="center"/>
    </xf>
    <xf numFmtId="166" fontId="11" fillId="3" borderId="51" xfId="2" applyNumberFormat="1" applyFont="1" applyFill="1" applyBorder="1" applyAlignment="1">
      <alignment horizontal="center" vertical="center"/>
    </xf>
    <xf numFmtId="164" fontId="11" fillId="3" borderId="42" xfId="2" applyNumberFormat="1" applyFont="1" applyFill="1" applyBorder="1" applyAlignment="1">
      <alignment horizontal="center" vertical="center"/>
    </xf>
    <xf numFmtId="2" fontId="10" fillId="3" borderId="49" xfId="2" applyNumberFormat="1" applyFont="1" applyFill="1" applyBorder="1" applyAlignment="1">
      <alignment horizontal="center" vertical="center"/>
    </xf>
    <xf numFmtId="166" fontId="11" fillId="3" borderId="51" xfId="7" applyNumberFormat="1" applyFont="1" applyFill="1" applyBorder="1" applyAlignment="1">
      <alignment horizontal="center" vertical="center"/>
    </xf>
    <xf numFmtId="2" fontId="11" fillId="3" borderId="49" xfId="2" applyNumberFormat="1" applyFont="1" applyFill="1" applyBorder="1" applyAlignment="1">
      <alignment horizontal="center" vertical="center"/>
    </xf>
    <xf numFmtId="164" fontId="11" fillId="3" borderId="51" xfId="2" applyNumberFormat="1" applyFont="1" applyFill="1" applyBorder="1" applyAlignment="1">
      <alignment horizontal="center" vertical="center"/>
    </xf>
    <xf numFmtId="0" fontId="10" fillId="3" borderId="0" xfId="2" applyFont="1" applyFill="1" applyAlignment="1">
      <alignment horizontal="right" vertical="center"/>
    </xf>
    <xf numFmtId="164" fontId="11" fillId="5" borderId="15" xfId="1" applyFont="1" applyFill="1" applyBorder="1" applyAlignment="1">
      <alignment vertical="center"/>
    </xf>
    <xf numFmtId="0" fontId="10" fillId="3" borderId="14" xfId="2" applyFont="1" applyFill="1" applyBorder="1" applyAlignment="1">
      <alignment horizontal="right" vertical="center"/>
    </xf>
    <xf numFmtId="0" fontId="11" fillId="3" borderId="14" xfId="2" applyFont="1" applyFill="1" applyBorder="1" applyAlignment="1">
      <alignment vertical="center"/>
    </xf>
    <xf numFmtId="164" fontId="11" fillId="3" borderId="65" xfId="1" applyFont="1" applyFill="1" applyBorder="1" applyAlignment="1">
      <alignment horizontal="center" vertical="center"/>
    </xf>
    <xf numFmtId="0" fontId="11" fillId="3" borderId="20" xfId="2" applyFont="1" applyFill="1" applyBorder="1" applyAlignment="1">
      <alignment horizontal="center" vertical="center" wrapText="1"/>
    </xf>
    <xf numFmtId="0" fontId="11" fillId="3" borderId="0" xfId="2" applyFont="1" applyFill="1" applyAlignment="1">
      <alignment horizontal="center" vertical="center" wrapText="1"/>
    </xf>
    <xf numFmtId="0" fontId="17" fillId="3" borderId="0" xfId="2" applyFont="1" applyFill="1" applyAlignment="1">
      <alignment horizontal="center" vertical="center" wrapText="1"/>
    </xf>
    <xf numFmtId="0" fontId="11" fillId="3" borderId="17" xfId="2" applyFont="1" applyFill="1" applyBorder="1" applyAlignment="1">
      <alignment horizontal="center" vertical="center" wrapText="1"/>
    </xf>
    <xf numFmtId="2" fontId="11" fillId="3" borderId="48" xfId="2" applyNumberFormat="1" applyFont="1" applyFill="1" applyBorder="1" applyAlignment="1">
      <alignment horizontal="center" vertical="center"/>
    </xf>
    <xf numFmtId="164" fontId="11" fillId="3" borderId="49" xfId="1" applyFont="1" applyFill="1" applyBorder="1" applyAlignment="1">
      <alignment horizontal="center" vertical="center"/>
    </xf>
    <xf numFmtId="0" fontId="0" fillId="0" borderId="0" xfId="0" applyAlignment="1">
      <alignment horizontal="center"/>
    </xf>
    <xf numFmtId="167" fontId="0" fillId="0" borderId="0" xfId="0" applyNumberFormat="1"/>
    <xf numFmtId="0" fontId="3" fillId="3" borderId="7" xfId="2" applyFont="1" applyFill="1" applyBorder="1" applyAlignment="1">
      <alignment horizontal="center" vertical="center"/>
    </xf>
    <xf numFmtId="0" fontId="0" fillId="3" borderId="0" xfId="0" applyFill="1"/>
    <xf numFmtId="0" fontId="32" fillId="7" borderId="56" xfId="9" applyFont="1" applyFill="1" applyBorder="1" applyAlignment="1">
      <alignment horizontal="center" vertical="center"/>
    </xf>
    <xf numFmtId="166" fontId="0" fillId="2" borderId="40" xfId="0" applyNumberFormat="1" applyFill="1" applyBorder="1" applyAlignment="1">
      <alignment horizontal="center" vertical="center"/>
    </xf>
    <xf numFmtId="166" fontId="0" fillId="3" borderId="0" xfId="0" applyNumberFormat="1" applyFill="1"/>
    <xf numFmtId="166" fontId="0" fillId="4" borderId="40" xfId="0" applyNumberFormat="1" applyFill="1" applyBorder="1" applyAlignment="1">
      <alignment horizontal="center" vertical="center"/>
    </xf>
    <xf numFmtId="166" fontId="0" fillId="2" borderId="42" xfId="0" applyNumberFormat="1" applyFill="1" applyBorder="1" applyAlignment="1">
      <alignment horizontal="center" vertical="center"/>
    </xf>
    <xf numFmtId="0" fontId="0" fillId="4" borderId="0" xfId="0" applyFill="1"/>
    <xf numFmtId="167" fontId="0" fillId="4" borderId="0" xfId="0" applyNumberFormat="1" applyFill="1"/>
    <xf numFmtId="0" fontId="0" fillId="4" borderId="0" xfId="0" applyFill="1" applyAlignment="1">
      <alignment horizontal="center"/>
    </xf>
    <xf numFmtId="0" fontId="33" fillId="4" borderId="0" xfId="0" applyFont="1" applyFill="1" applyAlignment="1">
      <alignment horizontal="center"/>
    </xf>
    <xf numFmtId="0" fontId="0" fillId="8" borderId="0" xfId="0" applyFill="1"/>
    <xf numFmtId="0" fontId="0" fillId="8" borderId="0" xfId="0" applyFill="1" applyAlignment="1">
      <alignment horizontal="center"/>
    </xf>
    <xf numFmtId="0" fontId="0" fillId="9" borderId="0" xfId="0" applyFill="1"/>
    <xf numFmtId="167" fontId="0" fillId="9" borderId="0" xfId="0" applyNumberFormat="1" applyFill="1"/>
    <xf numFmtId="0" fontId="0" fillId="9" borderId="0" xfId="0" applyFill="1" applyAlignment="1">
      <alignment horizontal="center"/>
    </xf>
    <xf numFmtId="167" fontId="0" fillId="0" borderId="0" xfId="0" applyNumberFormat="1" applyAlignment="1">
      <alignment horizontal="center"/>
    </xf>
    <xf numFmtId="167" fontId="0" fillId="9" borderId="0" xfId="0" applyNumberFormat="1" applyFill="1" applyAlignment="1">
      <alignment horizontal="center"/>
    </xf>
    <xf numFmtId="2" fontId="3" fillId="3" borderId="22" xfId="2" applyNumberFormat="1" applyFont="1" applyFill="1" applyBorder="1" applyAlignment="1">
      <alignment horizontal="center" vertical="center"/>
    </xf>
    <xf numFmtId="2" fontId="3" fillId="3" borderId="0" xfId="2" applyNumberFormat="1" applyFont="1" applyFill="1" applyAlignment="1">
      <alignment horizontal="center" vertical="center"/>
    </xf>
    <xf numFmtId="0" fontId="24" fillId="5" borderId="0" xfId="5" applyFont="1" applyFill="1"/>
    <xf numFmtId="0" fontId="24" fillId="5" borderId="0" xfId="5" applyFont="1" applyFill="1" applyAlignment="1">
      <alignment horizontal="center" vertical="center"/>
    </xf>
    <xf numFmtId="0" fontId="35" fillId="5" borderId="0" xfId="0" applyFont="1" applyFill="1" applyAlignment="1">
      <alignment horizontal="center" vertical="center"/>
    </xf>
    <xf numFmtId="0" fontId="24" fillId="5" borderId="0" xfId="0" applyFont="1" applyFill="1" applyAlignment="1">
      <alignment horizontal="left" vertical="center"/>
    </xf>
    <xf numFmtId="0" fontId="36" fillId="5" borderId="0" xfId="0" applyFont="1" applyFill="1" applyAlignment="1">
      <alignment horizontal="center" vertical="center"/>
    </xf>
    <xf numFmtId="0" fontId="24" fillId="5" borderId="0" xfId="0" applyFont="1" applyFill="1" applyAlignment="1">
      <alignment vertical="center"/>
    </xf>
    <xf numFmtId="0" fontId="24" fillId="5" borderId="0" xfId="0" applyFont="1" applyFill="1" applyAlignment="1">
      <alignment horizontal="center" vertical="center"/>
    </xf>
    <xf numFmtId="0" fontId="24" fillId="5" borderId="0" xfId="0" applyFont="1" applyFill="1" applyAlignment="1">
      <alignment vertical="center" wrapText="1"/>
    </xf>
    <xf numFmtId="0" fontId="24" fillId="5" borderId="0" xfId="0" applyFont="1" applyFill="1" applyAlignment="1">
      <alignment horizontal="left" vertical="center" wrapText="1"/>
    </xf>
    <xf numFmtId="0" fontId="38" fillId="5" borderId="0" xfId="5" applyFont="1" applyFill="1" applyAlignment="1">
      <alignment vertical="center"/>
    </xf>
    <xf numFmtId="0" fontId="24" fillId="5" borderId="0" xfId="5" applyFont="1" applyFill="1" applyAlignment="1">
      <alignment vertical="center"/>
    </xf>
    <xf numFmtId="0" fontId="38" fillId="5" borderId="0" xfId="0" applyFont="1" applyFill="1" applyAlignment="1">
      <alignment horizontal="left" vertical="center" wrapText="1"/>
    </xf>
    <xf numFmtId="0" fontId="36" fillId="5" borderId="0" xfId="5" applyFont="1" applyFill="1" applyAlignment="1">
      <alignment horizontal="center" vertical="center"/>
    </xf>
    <xf numFmtId="0" fontId="24" fillId="5" borderId="0" xfId="0" applyFont="1" applyFill="1" applyAlignment="1">
      <alignment horizontal="left" wrapText="1"/>
    </xf>
    <xf numFmtId="0" fontId="24" fillId="8" borderId="1" xfId="5" applyFont="1" applyFill="1" applyBorder="1" applyAlignment="1">
      <alignment horizontal="center" vertical="center"/>
    </xf>
    <xf numFmtId="0" fontId="27" fillId="5" borderId="0" xfId="2" applyFont="1" applyFill="1" applyAlignment="1">
      <alignment vertical="center"/>
    </xf>
    <xf numFmtId="0" fontId="24" fillId="5" borderId="1" xfId="5" applyFont="1" applyFill="1" applyBorder="1" applyAlignment="1">
      <alignment horizontal="center" vertical="center"/>
    </xf>
    <xf numFmtId="0" fontId="42" fillId="5" borderId="0" xfId="5" applyFont="1" applyFill="1" applyAlignment="1">
      <alignment horizontal="center" vertical="center"/>
    </xf>
    <xf numFmtId="0" fontId="28" fillId="5" borderId="1" xfId="5" applyFont="1" applyFill="1" applyBorder="1" applyAlignment="1">
      <alignment horizontal="center" vertical="center" wrapText="1"/>
    </xf>
    <xf numFmtId="0" fontId="25" fillId="5" borderId="1" xfId="5" applyFont="1" applyFill="1" applyBorder="1" applyAlignment="1">
      <alignment horizontal="center" vertical="center" wrapText="1"/>
    </xf>
    <xf numFmtId="0" fontId="16" fillId="5" borderId="0" xfId="2" applyFont="1" applyFill="1" applyAlignment="1">
      <alignment vertical="center"/>
    </xf>
    <xf numFmtId="0" fontId="3" fillId="5" borderId="0" xfId="2" applyFont="1" applyFill="1" applyAlignment="1">
      <alignment vertical="center"/>
    </xf>
    <xf numFmtId="0" fontId="24" fillId="9" borderId="0" xfId="5" applyFont="1" applyFill="1" applyAlignment="1">
      <alignment horizontal="center" vertical="center"/>
    </xf>
    <xf numFmtId="0" fontId="24" fillId="2" borderId="1" xfId="5" applyFont="1" applyFill="1" applyBorder="1" applyAlignment="1" applyProtection="1">
      <alignment horizontal="center" vertical="center"/>
      <protection locked="0"/>
    </xf>
    <xf numFmtId="0" fontId="24" fillId="8" borderId="0" xfId="5" applyFont="1" applyFill="1" applyAlignment="1">
      <alignment horizontal="center" vertical="center"/>
    </xf>
    <xf numFmtId="164" fontId="3" fillId="5" borderId="0" xfId="2" applyNumberFormat="1" applyFont="1" applyFill="1" applyAlignment="1">
      <alignment vertical="center"/>
    </xf>
    <xf numFmtId="0" fontId="24" fillId="2" borderId="0" xfId="0" applyFont="1" applyFill="1" applyAlignment="1">
      <alignment vertical="center"/>
    </xf>
    <xf numFmtId="0" fontId="24" fillId="4" borderId="0" xfId="0" applyFont="1" applyFill="1" applyAlignment="1">
      <alignment horizontal="center" vertical="center"/>
    </xf>
    <xf numFmtId="0" fontId="45" fillId="5" borderId="0" xfId="5" applyFont="1" applyFill="1" applyAlignment="1">
      <alignment horizontal="center" vertical="center"/>
    </xf>
    <xf numFmtId="0" fontId="38" fillId="8" borderId="0" xfId="5" applyFont="1" applyFill="1" applyAlignment="1">
      <alignment horizontal="center" vertical="center"/>
    </xf>
    <xf numFmtId="0" fontId="0" fillId="4" borderId="26" xfId="0" applyFill="1" applyBorder="1" applyAlignment="1">
      <alignment horizontal="right" indent="1"/>
    </xf>
    <xf numFmtId="0" fontId="32" fillId="7" borderId="60" xfId="9" applyFont="1" applyFill="1" applyBorder="1" applyAlignment="1">
      <alignment horizontal="center" vertical="center" wrapText="1"/>
    </xf>
    <xf numFmtId="166" fontId="0" fillId="2" borderId="1" xfId="0" applyNumberFormat="1" applyFill="1" applyBorder="1" applyAlignment="1">
      <alignment horizontal="center" vertical="center"/>
    </xf>
    <xf numFmtId="0" fontId="32" fillId="7" borderId="57" xfId="9" applyFont="1" applyFill="1" applyBorder="1" applyAlignment="1">
      <alignment horizontal="center" vertical="center" wrapText="1"/>
    </xf>
    <xf numFmtId="0" fontId="0" fillId="2" borderId="0" xfId="0" applyFill="1" applyAlignment="1">
      <alignment horizontal="right" vertical="center" wrapText="1"/>
    </xf>
    <xf numFmtId="0" fontId="24" fillId="4" borderId="0" xfId="0" applyFont="1" applyFill="1" applyAlignment="1">
      <alignment horizontal="left" vertical="center"/>
    </xf>
    <xf numFmtId="0" fontId="49" fillId="2" borderId="1" xfId="0" applyFont="1" applyFill="1" applyBorder="1" applyAlignment="1">
      <alignment horizontal="center" vertical="center"/>
    </xf>
    <xf numFmtId="166" fontId="49" fillId="2" borderId="1" xfId="0" applyNumberFormat="1" applyFont="1" applyFill="1" applyBorder="1" applyAlignment="1">
      <alignment horizontal="center" vertical="center"/>
    </xf>
    <xf numFmtId="166" fontId="49" fillId="2" borderId="40" xfId="0" applyNumberFormat="1" applyFont="1" applyFill="1" applyBorder="1" applyAlignment="1">
      <alignment horizontal="center" vertical="center"/>
    </xf>
    <xf numFmtId="164" fontId="0" fillId="3" borderId="0" xfId="0" applyNumberFormat="1" applyFill="1"/>
    <xf numFmtId="164" fontId="13" fillId="3" borderId="5" xfId="3" applyFont="1" applyFill="1" applyBorder="1" applyAlignment="1">
      <alignment horizontal="center" vertical="center"/>
    </xf>
    <xf numFmtId="0" fontId="24" fillId="5" borderId="1" xfId="5" applyFont="1" applyFill="1" applyBorder="1" applyAlignment="1" applyProtection="1">
      <alignment horizontal="center" vertical="center"/>
      <protection locked="0"/>
    </xf>
    <xf numFmtId="0" fontId="1" fillId="2" borderId="0" xfId="5" applyFill="1" applyAlignment="1" applyProtection="1">
      <alignment horizontal="left" vertical="center" wrapText="1"/>
      <protection locked="0"/>
    </xf>
    <xf numFmtId="0" fontId="1" fillId="2" borderId="0" xfId="5" applyFill="1" applyAlignment="1" applyProtection="1">
      <alignment horizontal="center" vertical="center" wrapText="1"/>
      <protection locked="0"/>
    </xf>
    <xf numFmtId="1" fontId="0" fillId="2" borderId="0" xfId="0" applyNumberFormat="1" applyFill="1" applyAlignment="1" applyProtection="1">
      <alignment horizontal="left" vertical="center"/>
      <protection locked="0"/>
    </xf>
    <xf numFmtId="15" fontId="0" fillId="2" borderId="0" xfId="0" applyNumberFormat="1" applyFill="1" applyAlignment="1">
      <alignment vertical="center"/>
    </xf>
    <xf numFmtId="0" fontId="0" fillId="2" borderId="0" xfId="0" applyFill="1" applyAlignment="1">
      <alignment vertical="center"/>
    </xf>
    <xf numFmtId="0" fontId="1" fillId="2" borderId="0" xfId="0" applyFont="1" applyFill="1" applyAlignment="1">
      <alignment horizontal="right" vertical="center"/>
    </xf>
    <xf numFmtId="0" fontId="24" fillId="2" borderId="0" xfId="0" applyFont="1" applyFill="1" applyAlignment="1">
      <alignment horizontal="left" wrapText="1"/>
    </xf>
    <xf numFmtId="0" fontId="24" fillId="2" borderId="0" xfId="0" applyFont="1" applyFill="1" applyAlignment="1">
      <alignment horizontal="left" vertical="center"/>
    </xf>
    <xf numFmtId="0" fontId="41" fillId="2" borderId="0" xfId="0" applyFont="1" applyFill="1" applyAlignment="1">
      <alignment horizontal="left" vertical="center"/>
    </xf>
    <xf numFmtId="0" fontId="0" fillId="2" borderId="0" xfId="5" applyFont="1" applyFill="1" applyAlignment="1">
      <alignment vertical="center"/>
    </xf>
    <xf numFmtId="0" fontId="18" fillId="0" borderId="1" xfId="0" applyFont="1" applyBorder="1" applyAlignment="1">
      <alignment horizontal="center"/>
    </xf>
    <xf numFmtId="0" fontId="18" fillId="0" borderId="1" xfId="0" applyFont="1" applyBorder="1" applyAlignment="1">
      <alignment horizontal="left" wrapText="1"/>
    </xf>
    <xf numFmtId="14" fontId="0" fillId="0" borderId="1" xfId="0" applyNumberFormat="1" applyBorder="1" applyAlignment="1">
      <alignment horizontal="center"/>
    </xf>
    <xf numFmtId="0" fontId="0" fillId="0" borderId="1" xfId="0" applyBorder="1" applyAlignment="1">
      <alignment horizontal="center"/>
    </xf>
    <xf numFmtId="0" fontId="0" fillId="0" borderId="1" xfId="0" applyBorder="1" applyAlignment="1">
      <alignment horizontal="left" wrapText="1"/>
    </xf>
    <xf numFmtId="0" fontId="0" fillId="0" borderId="1" xfId="0" applyBorder="1" applyAlignment="1">
      <alignment horizontal="left"/>
    </xf>
    <xf numFmtId="166" fontId="0" fillId="4" borderId="1" xfId="0" applyNumberFormat="1" applyFill="1" applyBorder="1" applyAlignment="1">
      <alignment horizontal="center" vertical="center"/>
    </xf>
    <xf numFmtId="0" fontId="32" fillId="7" borderId="37" xfId="9" applyFont="1" applyFill="1" applyBorder="1" applyAlignment="1">
      <alignment horizontal="center" vertical="center"/>
    </xf>
    <xf numFmtId="0" fontId="49" fillId="2" borderId="18" xfId="0" applyFont="1" applyFill="1" applyBorder="1" applyAlignment="1">
      <alignment horizontal="center" vertical="center"/>
    </xf>
    <xf numFmtId="0" fontId="0" fillId="4" borderId="31" xfId="0" applyFill="1" applyBorder="1" applyAlignment="1">
      <alignment horizontal="right" indent="1"/>
    </xf>
    <xf numFmtId="166" fontId="0" fillId="2" borderId="51" xfId="0" applyNumberFormat="1" applyFill="1" applyBorder="1" applyAlignment="1">
      <alignment horizontal="center" vertical="center"/>
    </xf>
    <xf numFmtId="0" fontId="0" fillId="4" borderId="67" xfId="0" applyFill="1" applyBorder="1" applyAlignment="1">
      <alignment horizontal="right" indent="1"/>
    </xf>
    <xf numFmtId="0" fontId="0" fillId="4" borderId="69" xfId="0" applyFill="1" applyBorder="1" applyAlignment="1">
      <alignment horizontal="right" indent="1"/>
    </xf>
    <xf numFmtId="166" fontId="0" fillId="4" borderId="59" xfId="0" applyNumberFormat="1" applyFill="1" applyBorder="1" applyAlignment="1">
      <alignment horizontal="center" vertical="center"/>
    </xf>
    <xf numFmtId="166" fontId="0" fillId="2" borderId="60" xfId="0" applyNumberFormat="1" applyFill="1" applyBorder="1" applyAlignment="1">
      <alignment horizontal="center" vertical="center"/>
    </xf>
    <xf numFmtId="166" fontId="0" fillId="2" borderId="57" xfId="0" applyNumberFormat="1" applyFill="1" applyBorder="1" applyAlignment="1">
      <alignment horizontal="center" vertical="center"/>
    </xf>
    <xf numFmtId="0" fontId="0" fillId="2" borderId="3" xfId="0" applyFill="1" applyBorder="1" applyAlignment="1">
      <alignment horizontal="center" vertical="center"/>
    </xf>
    <xf numFmtId="0" fontId="0" fillId="2" borderId="68" xfId="0" applyFill="1" applyBorder="1" applyAlignment="1">
      <alignment horizontal="center" vertical="center"/>
    </xf>
    <xf numFmtId="0" fontId="18" fillId="9" borderId="27" xfId="0" applyFont="1" applyFill="1" applyBorder="1"/>
    <xf numFmtId="0" fontId="0" fillId="2" borderId="64" xfId="0" applyFill="1" applyBorder="1" applyAlignment="1">
      <alignment horizontal="left"/>
    </xf>
    <xf numFmtId="0" fontId="0" fillId="2" borderId="65" xfId="0" applyFill="1" applyBorder="1" applyAlignment="1">
      <alignment horizontal="left"/>
    </xf>
    <xf numFmtId="0" fontId="27" fillId="2" borderId="0" xfId="2" applyFont="1" applyFill="1" applyAlignment="1">
      <alignment vertical="center"/>
    </xf>
    <xf numFmtId="0" fontId="54" fillId="4" borderId="1" xfId="2" applyFont="1" applyFill="1" applyBorder="1" applyAlignment="1">
      <alignment vertical="center"/>
    </xf>
    <xf numFmtId="0" fontId="11" fillId="4" borderId="1" xfId="2" applyFont="1" applyFill="1" applyBorder="1" applyAlignment="1" applyProtection="1">
      <alignment horizontal="center" vertical="center"/>
      <protection locked="0"/>
    </xf>
    <xf numFmtId="0" fontId="11" fillId="4" borderId="1" xfId="2" applyFont="1" applyFill="1" applyBorder="1" applyAlignment="1">
      <alignment horizontal="center"/>
    </xf>
    <xf numFmtId="0" fontId="10" fillId="4" borderId="1" xfId="2" applyFont="1" applyFill="1" applyBorder="1" applyAlignment="1">
      <alignment vertical="center"/>
    </xf>
    <xf numFmtId="0" fontId="11" fillId="4" borderId="1" xfId="2" applyFont="1" applyFill="1" applyBorder="1" applyAlignment="1">
      <alignment horizontal="right" vertical="center"/>
    </xf>
    <xf numFmtId="164" fontId="11" fillId="4" borderId="1" xfId="2" applyNumberFormat="1" applyFont="1" applyFill="1" applyBorder="1" applyAlignment="1">
      <alignment vertical="center"/>
    </xf>
    <xf numFmtId="164" fontId="7" fillId="4" borderId="1" xfId="3" applyFont="1" applyFill="1" applyBorder="1" applyAlignment="1">
      <alignment horizontal="center" vertical="center"/>
    </xf>
    <xf numFmtId="2" fontId="11" fillId="4" borderId="1" xfId="2" applyNumberFormat="1" applyFont="1" applyFill="1" applyBorder="1" applyAlignment="1">
      <alignment horizontal="center" vertical="center"/>
    </xf>
    <xf numFmtId="2" fontId="10" fillId="4" borderId="1" xfId="2" applyNumberFormat="1" applyFont="1" applyFill="1" applyBorder="1" applyAlignment="1">
      <alignment horizontal="center" vertical="center"/>
    </xf>
    <xf numFmtId="166" fontId="11" fillId="4" borderId="1" xfId="2" applyNumberFormat="1" applyFont="1" applyFill="1" applyBorder="1" applyAlignment="1">
      <alignment horizontal="center" vertical="center"/>
    </xf>
    <xf numFmtId="164" fontId="11" fillId="4" borderId="1" xfId="2" applyNumberFormat="1" applyFont="1" applyFill="1" applyBorder="1" applyAlignment="1">
      <alignment horizontal="center" vertical="center"/>
    </xf>
    <xf numFmtId="164" fontId="11" fillId="4" borderId="1" xfId="1" applyFont="1" applyFill="1" applyBorder="1" applyAlignment="1">
      <alignment vertical="center"/>
    </xf>
    <xf numFmtId="164" fontId="3" fillId="4" borderId="1" xfId="2" applyNumberFormat="1" applyFont="1" applyFill="1" applyBorder="1" applyAlignment="1">
      <alignment vertical="center"/>
    </xf>
    <xf numFmtId="164" fontId="53" fillId="4" borderId="1" xfId="8" applyFont="1" applyFill="1" applyBorder="1" applyAlignment="1" applyProtection="1">
      <alignment horizontal="center" vertical="center"/>
    </xf>
    <xf numFmtId="0" fontId="3" fillId="4" borderId="1" xfId="2" applyFont="1" applyFill="1" applyBorder="1" applyAlignment="1">
      <alignment vertical="center"/>
    </xf>
    <xf numFmtId="0" fontId="24" fillId="4" borderId="0" xfId="5" applyFont="1" applyFill="1"/>
    <xf numFmtId="0" fontId="11" fillId="2" borderId="25" xfId="2" applyFont="1" applyFill="1" applyBorder="1" applyAlignment="1" applyProtection="1">
      <alignment horizontal="center" vertical="center"/>
      <protection locked="0"/>
    </xf>
    <xf numFmtId="0" fontId="6" fillId="3" borderId="0" xfId="2" applyFont="1" applyFill="1" applyAlignment="1">
      <alignment horizontal="left" vertical="center" wrapText="1"/>
    </xf>
    <xf numFmtId="0" fontId="12" fillId="3" borderId="0" xfId="2" applyFont="1" applyFill="1" applyAlignment="1">
      <alignment horizontal="right" vertical="center"/>
    </xf>
    <xf numFmtId="164" fontId="7" fillId="4" borderId="2" xfId="3" applyFont="1" applyFill="1" applyBorder="1" applyAlignment="1">
      <alignment horizontal="center" vertical="center"/>
    </xf>
    <xf numFmtId="0" fontId="11" fillId="4" borderId="2" xfId="2" applyFont="1" applyFill="1" applyBorder="1" applyAlignment="1">
      <alignment horizontal="right" vertical="center"/>
    </xf>
    <xf numFmtId="2" fontId="11" fillId="4" borderId="2" xfId="2" applyNumberFormat="1" applyFont="1" applyFill="1" applyBorder="1" applyAlignment="1">
      <alignment horizontal="center" vertical="center"/>
    </xf>
    <xf numFmtId="164" fontId="7" fillId="4" borderId="71" xfId="3" applyFont="1" applyFill="1" applyBorder="1" applyAlignment="1">
      <alignment horizontal="center" vertical="center"/>
    </xf>
    <xf numFmtId="0" fontId="11" fillId="4" borderId="71" xfId="2" applyFont="1" applyFill="1" applyBorder="1" applyAlignment="1">
      <alignment horizontal="right" vertical="center"/>
    </xf>
    <xf numFmtId="2" fontId="11" fillId="4" borderId="71" xfId="2" applyNumberFormat="1" applyFont="1" applyFill="1" applyBorder="1" applyAlignment="1">
      <alignment horizontal="center" vertical="center"/>
    </xf>
    <xf numFmtId="0" fontId="0" fillId="6" borderId="0" xfId="0" applyFill="1"/>
    <xf numFmtId="0" fontId="0" fillId="6" borderId="0" xfId="0" applyFill="1" applyAlignment="1">
      <alignment horizontal="center"/>
    </xf>
    <xf numFmtId="0" fontId="24" fillId="5" borderId="0" xfId="5" applyFont="1" applyFill="1" applyAlignment="1">
      <alignment horizontal="left" vertical="center"/>
    </xf>
    <xf numFmtId="0" fontId="0" fillId="2" borderId="0" xfId="0" applyFill="1" applyAlignment="1">
      <alignment horizontal="right" vertical="center"/>
    </xf>
    <xf numFmtId="0" fontId="0" fillId="2" borderId="0" xfId="0" applyFill="1" applyAlignment="1">
      <alignment horizontal="left" vertical="center"/>
    </xf>
    <xf numFmtId="0" fontId="36" fillId="5" borderId="0" xfId="0" applyFont="1" applyFill="1" applyAlignment="1">
      <alignment horizontal="center"/>
    </xf>
    <xf numFmtId="0" fontId="24" fillId="5" borderId="0" xfId="0" applyFont="1" applyFill="1"/>
    <xf numFmtId="0" fontId="0" fillId="2" borderId="0" xfId="0" applyFill="1" applyAlignment="1" applyProtection="1">
      <alignment horizontal="center" vertical="center"/>
      <protection locked="0"/>
    </xf>
    <xf numFmtId="0" fontId="0" fillId="10" borderId="0" xfId="0" applyFill="1"/>
    <xf numFmtId="0" fontId="18" fillId="10" borderId="0" xfId="0" applyFont="1" applyFill="1"/>
    <xf numFmtId="0" fontId="0" fillId="0" borderId="1" xfId="0" applyBorder="1" applyAlignment="1">
      <alignment horizontal="center" vertical="center"/>
    </xf>
    <xf numFmtId="0" fontId="0" fillId="2" borderId="31" xfId="0" applyFill="1" applyBorder="1" applyAlignment="1">
      <alignment horizontal="center" vertical="center"/>
    </xf>
    <xf numFmtId="0" fontId="0" fillId="2" borderId="3" xfId="0" applyFill="1" applyBorder="1" applyAlignment="1">
      <alignment horizontal="right"/>
    </xf>
    <xf numFmtId="0" fontId="49" fillId="2" borderId="31" xfId="0" applyFont="1" applyFill="1" applyBorder="1" applyAlignment="1" applyProtection="1">
      <alignment horizontal="left" vertical="center"/>
      <protection locked="0"/>
    </xf>
    <xf numFmtId="0" fontId="49" fillId="2" borderId="1" xfId="0" applyFont="1" applyFill="1" applyBorder="1" applyAlignment="1" applyProtection="1">
      <alignment horizontal="center" vertical="center"/>
      <protection locked="0"/>
    </xf>
    <xf numFmtId="0" fontId="49" fillId="2" borderId="43" xfId="0" applyFont="1" applyFill="1" applyBorder="1" applyAlignment="1">
      <alignment horizontal="left" vertical="center" wrapText="1"/>
    </xf>
    <xf numFmtId="0" fontId="0" fillId="9" borderId="0" xfId="0" applyFill="1" applyAlignment="1">
      <alignment wrapText="1"/>
    </xf>
    <xf numFmtId="0" fontId="32" fillId="7" borderId="60" xfId="9" applyFont="1" applyFill="1" applyBorder="1" applyAlignment="1">
      <alignment horizontal="center" vertical="center"/>
    </xf>
    <xf numFmtId="0" fontId="32" fillId="7" borderId="27" xfId="9" applyFont="1" applyFill="1" applyBorder="1" applyAlignment="1">
      <alignment horizontal="center" vertical="center" wrapText="1"/>
    </xf>
    <xf numFmtId="0" fontId="0" fillId="2" borderId="1" xfId="0" applyFill="1" applyBorder="1" applyAlignment="1" applyProtection="1">
      <alignment horizontal="left" vertical="center"/>
      <protection locked="0"/>
    </xf>
    <xf numFmtId="0" fontId="0" fillId="2" borderId="40" xfId="0" applyFill="1" applyBorder="1" applyAlignment="1" applyProtection="1">
      <alignment horizontal="left" vertical="center"/>
      <protection locked="0"/>
    </xf>
    <xf numFmtId="164" fontId="0" fillId="2" borderId="0" xfId="0" applyNumberFormat="1" applyFill="1"/>
    <xf numFmtId="165" fontId="49" fillId="2" borderId="64" xfId="0" applyNumberFormat="1" applyFont="1" applyFill="1" applyBorder="1" applyAlignment="1">
      <alignment horizontal="center" vertical="center"/>
    </xf>
    <xf numFmtId="166" fontId="0" fillId="2" borderId="0" xfId="0" applyNumberFormat="1" applyFill="1"/>
    <xf numFmtId="0" fontId="0" fillId="2" borderId="43" xfId="0" applyFill="1" applyBorder="1" applyAlignment="1">
      <alignment horizontal="center" vertical="center"/>
    </xf>
    <xf numFmtId="0" fontId="0" fillId="4" borderId="56" xfId="0" applyFill="1" applyBorder="1" applyAlignment="1">
      <alignment horizontal="right" indent="1"/>
    </xf>
    <xf numFmtId="0" fontId="0" fillId="4" borderId="70" xfId="0" applyFill="1" applyBorder="1" applyAlignment="1">
      <alignment horizontal="right" indent="1"/>
    </xf>
    <xf numFmtId="166" fontId="0" fillId="4" borderId="57" xfId="0" applyNumberFormat="1" applyFill="1" applyBorder="1" applyAlignment="1">
      <alignment horizontal="center" vertical="center"/>
    </xf>
    <xf numFmtId="0" fontId="0" fillId="4" borderId="64" xfId="0" applyFill="1" applyBorder="1" applyAlignment="1">
      <alignment horizontal="right" indent="1"/>
    </xf>
    <xf numFmtId="0" fontId="18" fillId="2" borderId="31" xfId="0" applyFont="1" applyFill="1" applyBorder="1" applyAlignment="1">
      <alignment vertical="center" textRotation="90" wrapText="1"/>
    </xf>
    <xf numFmtId="0" fontId="0" fillId="4" borderId="45" xfId="0" applyFill="1" applyBorder="1" applyAlignment="1">
      <alignment horizontal="right" indent="1"/>
    </xf>
    <xf numFmtId="0" fontId="0" fillId="4" borderId="50" xfId="0" applyFill="1" applyBorder="1" applyAlignment="1">
      <alignment horizontal="right" indent="1"/>
    </xf>
    <xf numFmtId="166" fontId="0" fillId="4" borderId="51" xfId="0" applyNumberFormat="1" applyFill="1" applyBorder="1" applyAlignment="1">
      <alignment horizontal="center" vertical="center"/>
    </xf>
    <xf numFmtId="166" fontId="0" fillId="4" borderId="42" xfId="0" applyNumberFormat="1" applyFill="1" applyBorder="1" applyAlignment="1">
      <alignment horizontal="center" vertical="center"/>
    </xf>
    <xf numFmtId="0" fontId="0" fillId="4" borderId="65" xfId="0" applyFill="1" applyBorder="1" applyAlignment="1">
      <alignment horizontal="right" indent="1"/>
    </xf>
    <xf numFmtId="164" fontId="11" fillId="0" borderId="0" xfId="1" applyFont="1" applyAlignment="1" applyProtection="1">
      <alignment vertical="center"/>
    </xf>
    <xf numFmtId="164" fontId="11" fillId="3" borderId="65" xfId="1" applyFont="1" applyFill="1" applyBorder="1" applyAlignment="1" applyProtection="1">
      <alignment horizontal="center" vertical="center"/>
    </xf>
    <xf numFmtId="0" fontId="3" fillId="2" borderId="7" xfId="2" applyFont="1" applyFill="1" applyBorder="1" applyAlignment="1" applyProtection="1">
      <alignment horizontal="center" vertical="center"/>
      <protection locked="0"/>
    </xf>
    <xf numFmtId="0" fontId="0" fillId="0" borderId="1" xfId="0" quotePrefix="1" applyBorder="1" applyAlignment="1">
      <alignment horizontal="left" wrapText="1"/>
    </xf>
    <xf numFmtId="0" fontId="24" fillId="2" borderId="0" xfId="0" applyFont="1" applyFill="1" applyAlignment="1">
      <alignment horizontal="center" vertical="center"/>
    </xf>
    <xf numFmtId="0" fontId="43" fillId="4" borderId="0" xfId="0" applyFont="1" applyFill="1" applyAlignment="1">
      <alignment horizontal="center" vertical="center"/>
    </xf>
    <xf numFmtId="0" fontId="24" fillId="2" borderId="1" xfId="0" applyFont="1" applyFill="1" applyBorder="1" applyAlignment="1" applyProtection="1">
      <alignment horizontal="center" vertical="center"/>
      <protection locked="0"/>
    </xf>
    <xf numFmtId="0" fontId="28" fillId="2" borderId="1" xfId="0" applyFont="1" applyFill="1" applyBorder="1" applyAlignment="1" applyProtection="1">
      <alignment horizontal="center" vertical="center" wrapText="1"/>
      <protection locked="0"/>
    </xf>
    <xf numFmtId="0" fontId="0" fillId="2" borderId="0" xfId="0" applyFill="1" applyAlignment="1">
      <alignment horizontal="left" vertical="center" wrapText="1"/>
    </xf>
    <xf numFmtId="0" fontId="0" fillId="2" borderId="0" xfId="0" applyFill="1" applyAlignment="1">
      <alignment horizontal="right" vertical="center" wrapText="1"/>
    </xf>
    <xf numFmtId="0" fontId="0" fillId="2" borderId="0" xfId="5" applyFont="1" applyFill="1" applyAlignment="1" applyProtection="1">
      <alignment horizontal="left" vertical="center" wrapText="1"/>
      <protection locked="0"/>
    </xf>
    <xf numFmtId="0" fontId="1" fillId="2" borderId="0" xfId="5" applyFill="1" applyAlignment="1" applyProtection="1">
      <alignment horizontal="left" vertical="center" wrapText="1"/>
      <protection locked="0"/>
    </xf>
    <xf numFmtId="0" fontId="21" fillId="3" borderId="58" xfId="5" applyFont="1" applyFill="1" applyBorder="1" applyAlignment="1">
      <alignment horizontal="center" vertical="center"/>
    </xf>
    <xf numFmtId="0" fontId="21" fillId="3" borderId="53" xfId="5" applyFont="1" applyFill="1" applyBorder="1" applyAlignment="1">
      <alignment horizontal="center" vertical="center"/>
    </xf>
    <xf numFmtId="0" fontId="20" fillId="3" borderId="52" xfId="5" applyFont="1" applyFill="1" applyBorder="1" applyAlignment="1">
      <alignment horizontal="center" vertical="center"/>
    </xf>
    <xf numFmtId="0" fontId="20" fillId="3" borderId="53" xfId="5" applyFont="1" applyFill="1" applyBorder="1" applyAlignment="1">
      <alignment horizontal="center" vertical="center"/>
    </xf>
    <xf numFmtId="0" fontId="20" fillId="3" borderId="54" xfId="5" applyFont="1" applyFill="1" applyBorder="1" applyAlignment="1">
      <alignment horizontal="center" vertical="center"/>
    </xf>
    <xf numFmtId="0" fontId="44" fillId="2" borderId="0" xfId="0" applyFont="1" applyFill="1" applyAlignment="1">
      <alignment horizontal="center" vertical="center"/>
    </xf>
    <xf numFmtId="0" fontId="37" fillId="2" borderId="22" xfId="0" applyFont="1" applyFill="1" applyBorder="1" applyAlignment="1">
      <alignment horizontal="center" vertical="center"/>
    </xf>
    <xf numFmtId="0" fontId="24" fillId="2" borderId="14" xfId="5" applyFont="1" applyFill="1" applyBorder="1" applyAlignment="1">
      <alignment horizontal="center"/>
    </xf>
    <xf numFmtId="0" fontId="37" fillId="2" borderId="0" xfId="5" applyFont="1" applyFill="1"/>
    <xf numFmtId="0" fontId="0" fillId="2" borderId="0" xfId="0" applyFill="1" applyAlignment="1">
      <alignment horizontal="left" vertical="center"/>
    </xf>
    <xf numFmtId="15" fontId="0" fillId="2" borderId="0" xfId="0" applyNumberFormat="1" applyFill="1" applyAlignment="1" applyProtection="1">
      <alignment horizontal="left" vertical="center"/>
      <protection locked="0"/>
    </xf>
    <xf numFmtId="0" fontId="0" fillId="2" borderId="0" xfId="5" applyFont="1" applyFill="1" applyAlignment="1">
      <alignment horizontal="left" vertical="center"/>
    </xf>
    <xf numFmtId="0" fontId="1" fillId="2" borderId="0" xfId="5" applyFill="1" applyAlignment="1">
      <alignment horizontal="left" vertical="center"/>
    </xf>
    <xf numFmtId="0" fontId="37" fillId="2" borderId="0" xfId="5" applyFont="1" applyFill="1" applyAlignment="1">
      <alignment horizontal="left"/>
    </xf>
    <xf numFmtId="0" fontId="24" fillId="6" borderId="1" xfId="0" applyFont="1" applyFill="1" applyBorder="1" applyAlignment="1">
      <alignment horizontal="center" vertical="center"/>
    </xf>
    <xf numFmtId="0" fontId="24" fillId="2" borderId="0" xfId="5" applyFont="1" applyFill="1" applyAlignment="1">
      <alignment horizontal="center"/>
    </xf>
    <xf numFmtId="0" fontId="0" fillId="2" borderId="0" xfId="0" applyFill="1" applyAlignment="1" applyProtection="1">
      <alignment horizontal="left" vertical="center"/>
      <protection locked="0"/>
    </xf>
    <xf numFmtId="0" fontId="28" fillId="2" borderId="1" xfId="0" applyFont="1" applyFill="1" applyBorder="1" applyAlignment="1" applyProtection="1">
      <alignment horizontal="center" vertical="center"/>
      <protection locked="0"/>
    </xf>
    <xf numFmtId="0" fontId="0" fillId="2" borderId="0" xfId="0" applyFill="1" applyAlignment="1" applyProtection="1">
      <alignment horizontal="left" vertical="center" wrapText="1"/>
      <protection locked="0"/>
    </xf>
    <xf numFmtId="165" fontId="1" fillId="2" borderId="0" xfId="5" applyNumberFormat="1" applyFill="1" applyAlignment="1" applyProtection="1">
      <alignment horizontal="center" vertical="center" wrapText="1"/>
      <protection locked="0"/>
    </xf>
    <xf numFmtId="0" fontId="37" fillId="2" borderId="0" xfId="0" applyFont="1" applyFill="1" applyAlignment="1">
      <alignment horizontal="left" wrapText="1"/>
    </xf>
    <xf numFmtId="0" fontId="0" fillId="2" borderId="0" xfId="5" applyFont="1" applyFill="1" applyAlignment="1">
      <alignment horizontal="left" vertical="center" wrapText="1"/>
    </xf>
    <xf numFmtId="0" fontId="48" fillId="2" borderId="0" xfId="11" applyFill="1" applyAlignment="1">
      <alignment horizontal="left" vertical="center" wrapText="1"/>
    </xf>
    <xf numFmtId="0" fontId="24" fillId="2" borderId="0" xfId="0" applyFont="1" applyFill="1" applyAlignment="1">
      <alignment horizontal="left" vertical="center"/>
    </xf>
    <xf numFmtId="0" fontId="39" fillId="2" borderId="0" xfId="0" applyFont="1" applyFill="1" applyAlignment="1">
      <alignment horizontal="left" vertical="center"/>
    </xf>
    <xf numFmtId="0" fontId="40" fillId="2" borderId="0" xfId="0" applyFont="1" applyFill="1" applyAlignment="1">
      <alignment horizontal="left" vertical="center"/>
    </xf>
    <xf numFmtId="0" fontId="38" fillId="2" borderId="0" xfId="0" applyFont="1" applyFill="1" applyAlignment="1">
      <alignment horizontal="left" vertical="center"/>
    </xf>
    <xf numFmtId="0" fontId="50" fillId="4" borderId="1" xfId="5" applyFont="1" applyFill="1" applyBorder="1" applyAlignment="1">
      <alignment horizontal="left" vertical="center"/>
    </xf>
    <xf numFmtId="0" fontId="24" fillId="5" borderId="1" xfId="5" applyFont="1" applyFill="1" applyBorder="1" applyAlignment="1">
      <alignment horizontal="left" vertical="center"/>
    </xf>
    <xf numFmtId="0" fontId="24" fillId="5" borderId="1" xfId="5" applyFont="1" applyFill="1" applyBorder="1" applyAlignment="1">
      <alignment horizontal="left" vertical="center" wrapText="1"/>
    </xf>
    <xf numFmtId="0" fontId="48" fillId="5" borderId="1" xfId="10" applyFill="1" applyBorder="1" applyAlignment="1">
      <alignment horizontal="left" wrapText="1"/>
    </xf>
    <xf numFmtId="0" fontId="38" fillId="5" borderId="1" xfId="5" applyFont="1" applyFill="1" applyBorder="1" applyAlignment="1">
      <alignment horizontal="left" vertical="center"/>
    </xf>
    <xf numFmtId="0" fontId="24" fillId="6" borderId="71" xfId="0" applyFont="1" applyFill="1" applyBorder="1" applyAlignment="1">
      <alignment horizontal="center" vertical="center"/>
    </xf>
    <xf numFmtId="0" fontId="1" fillId="2" borderId="0" xfId="5" applyFill="1" applyAlignment="1">
      <alignment horizontal="left" vertical="center" wrapText="1"/>
    </xf>
    <xf numFmtId="0" fontId="1" fillId="2" borderId="0" xfId="0" applyFont="1" applyFill="1" applyAlignment="1">
      <alignment horizontal="left" vertical="center" wrapText="1"/>
    </xf>
    <xf numFmtId="0" fontId="0" fillId="2" borderId="33" xfId="0" applyFill="1" applyBorder="1" applyAlignment="1" applyProtection="1">
      <alignment horizontal="center" vertical="center"/>
      <protection locked="0"/>
    </xf>
    <xf numFmtId="0" fontId="0" fillId="2" borderId="4" xfId="0" applyFill="1" applyBorder="1" applyAlignment="1" applyProtection="1">
      <alignment horizontal="center" vertical="center"/>
      <protection locked="0"/>
    </xf>
    <xf numFmtId="2" fontId="11" fillId="2" borderId="58" xfId="2" applyNumberFormat="1" applyFont="1" applyFill="1" applyBorder="1" applyAlignment="1" applyProtection="1">
      <alignment horizontal="left" vertical="center"/>
      <protection locked="0"/>
    </xf>
    <xf numFmtId="2" fontId="11" fillId="2" borderId="53" xfId="2" applyNumberFormat="1" applyFont="1" applyFill="1" applyBorder="1" applyAlignment="1" applyProtection="1">
      <alignment horizontal="left" vertical="center"/>
      <protection locked="0"/>
    </xf>
    <xf numFmtId="2" fontId="11" fillId="2" borderId="54" xfId="2" applyNumberFormat="1" applyFont="1" applyFill="1" applyBorder="1" applyAlignment="1" applyProtection="1">
      <alignment horizontal="left" vertical="center"/>
      <protection locked="0"/>
    </xf>
    <xf numFmtId="0" fontId="56" fillId="0" borderId="58" xfId="11" applyFont="1" applyBorder="1" applyAlignment="1">
      <alignment horizontal="center" vertical="center"/>
    </xf>
    <xf numFmtId="0" fontId="56" fillId="0" borderId="53" xfId="11" applyFont="1" applyBorder="1" applyAlignment="1">
      <alignment horizontal="center" vertical="center"/>
    </xf>
    <xf numFmtId="0" fontId="56" fillId="0" borderId="54" xfId="11" applyFont="1" applyBorder="1" applyAlignment="1">
      <alignment horizontal="center" vertical="center"/>
    </xf>
    <xf numFmtId="0" fontId="3" fillId="0" borderId="14" xfId="2" applyFont="1" applyBorder="1" applyAlignment="1">
      <alignment horizontal="center" vertical="center"/>
    </xf>
    <xf numFmtId="0" fontId="21" fillId="3" borderId="45" xfId="5" applyFont="1" applyFill="1" applyBorder="1" applyAlignment="1">
      <alignment horizontal="center" vertical="center"/>
    </xf>
    <xf numFmtId="0" fontId="21" fillId="3" borderId="46" xfId="5" applyFont="1" applyFill="1" applyBorder="1" applyAlignment="1">
      <alignment horizontal="center" vertical="center"/>
    </xf>
    <xf numFmtId="0" fontId="8" fillId="3" borderId="31" xfId="2" applyFont="1" applyFill="1" applyBorder="1" applyAlignment="1">
      <alignment horizontal="left" vertical="center"/>
    </xf>
    <xf numFmtId="0" fontId="8" fillId="3" borderId="1" xfId="2" applyFont="1" applyFill="1" applyBorder="1" applyAlignment="1">
      <alignment horizontal="left" vertical="center"/>
    </xf>
    <xf numFmtId="0" fontId="8" fillId="3" borderId="26" xfId="2" applyFont="1" applyFill="1" applyBorder="1" applyAlignment="1">
      <alignment horizontal="left" vertical="center"/>
    </xf>
    <xf numFmtId="0" fontId="24" fillId="3" borderId="48" xfId="5" applyFont="1" applyFill="1" applyBorder="1" applyAlignment="1">
      <alignment horizontal="left"/>
    </xf>
    <xf numFmtId="0" fontId="24" fillId="3" borderId="49" xfId="5" applyFont="1" applyFill="1" applyBorder="1" applyAlignment="1">
      <alignment horizontal="left"/>
    </xf>
    <xf numFmtId="0" fontId="24" fillId="3" borderId="50" xfId="5" applyFont="1" applyFill="1" applyBorder="1" applyAlignment="1">
      <alignment horizontal="left"/>
    </xf>
    <xf numFmtId="0" fontId="24" fillId="3" borderId="51" xfId="5" applyFont="1" applyFill="1" applyBorder="1" applyAlignment="1">
      <alignment horizontal="left"/>
    </xf>
    <xf numFmtId="0" fontId="24" fillId="3" borderId="42" xfId="5" applyFont="1" applyFill="1" applyBorder="1" applyAlignment="1">
      <alignment horizontal="left"/>
    </xf>
    <xf numFmtId="0" fontId="24" fillId="3" borderId="18" xfId="5" applyFont="1" applyFill="1" applyBorder="1" applyAlignment="1">
      <alignment horizontal="left"/>
    </xf>
    <xf numFmtId="0" fontId="24" fillId="3" borderId="33" xfId="5" applyFont="1" applyFill="1" applyBorder="1" applyAlignment="1">
      <alignment horizontal="left"/>
    </xf>
    <xf numFmtId="0" fontId="24" fillId="3" borderId="3" xfId="5" applyFont="1" applyFill="1" applyBorder="1" applyAlignment="1">
      <alignment horizontal="left"/>
    </xf>
    <xf numFmtId="0" fontId="24" fillId="3" borderId="26" xfId="5" applyFont="1" applyFill="1" applyBorder="1" applyAlignment="1">
      <alignment horizontal="left"/>
    </xf>
    <xf numFmtId="0" fontId="24" fillId="3" borderId="39" xfId="5" applyFont="1" applyFill="1" applyBorder="1" applyAlignment="1">
      <alignment horizontal="left"/>
    </xf>
    <xf numFmtId="0" fontId="54" fillId="3" borderId="21" xfId="2" applyFont="1" applyFill="1" applyBorder="1" applyAlignment="1">
      <alignment vertical="center"/>
    </xf>
    <xf numFmtId="0" fontId="54" fillId="3" borderId="22" xfId="2" applyFont="1" applyFill="1" applyBorder="1" applyAlignment="1">
      <alignment vertical="center"/>
    </xf>
    <xf numFmtId="0" fontId="11" fillId="3" borderId="60" xfId="2" applyFont="1" applyFill="1" applyBorder="1" applyAlignment="1">
      <alignment horizontal="center" vertical="center"/>
    </xf>
    <xf numFmtId="0" fontId="11" fillId="3" borderId="51" xfId="2" applyFont="1" applyFill="1" applyBorder="1" applyAlignment="1">
      <alignment horizontal="center" vertical="center"/>
    </xf>
    <xf numFmtId="0" fontId="21" fillId="3" borderId="37" xfId="5" applyFont="1" applyFill="1" applyBorder="1" applyAlignment="1">
      <alignment horizontal="left"/>
    </xf>
    <xf numFmtId="0" fontId="21" fillId="3" borderId="47" xfId="5" applyFont="1" applyFill="1" applyBorder="1" applyAlignment="1">
      <alignment horizontal="left"/>
    </xf>
    <xf numFmtId="0" fontId="21" fillId="3" borderId="38" xfId="5" applyFont="1" applyFill="1" applyBorder="1" applyAlignment="1">
      <alignment horizontal="left"/>
    </xf>
    <xf numFmtId="0" fontId="24" fillId="3" borderId="1" xfId="5" applyFont="1" applyFill="1" applyBorder="1" applyAlignment="1">
      <alignment horizontal="left"/>
    </xf>
    <xf numFmtId="0" fontId="24" fillId="3" borderId="40" xfId="5" applyFont="1" applyFill="1" applyBorder="1" applyAlignment="1">
      <alignment horizontal="left"/>
    </xf>
    <xf numFmtId="164" fontId="13" fillId="3" borderId="57" xfId="3" applyFont="1" applyFill="1" applyBorder="1" applyAlignment="1">
      <alignment horizontal="center" vertical="center"/>
    </xf>
    <xf numFmtId="164" fontId="13" fillId="3" borderId="42" xfId="3" applyFont="1" applyFill="1" applyBorder="1" applyAlignment="1">
      <alignment horizontal="center" vertical="center"/>
    </xf>
    <xf numFmtId="0" fontId="6" fillId="3" borderId="13" xfId="2" applyFont="1" applyFill="1" applyBorder="1" applyAlignment="1">
      <alignment horizontal="left" vertical="center"/>
    </xf>
    <xf numFmtId="0" fontId="6" fillId="3" borderId="21" xfId="2" applyFont="1" applyFill="1" applyBorder="1" applyAlignment="1">
      <alignment horizontal="left" vertical="center"/>
    </xf>
    <xf numFmtId="0" fontId="11" fillId="3" borderId="60" xfId="2" applyFont="1" applyFill="1" applyBorder="1" applyAlignment="1">
      <alignment horizontal="center" vertical="center" wrapText="1"/>
    </xf>
    <xf numFmtId="0" fontId="11" fillId="3" borderId="51" xfId="2" applyFont="1" applyFill="1" applyBorder="1" applyAlignment="1">
      <alignment horizontal="center" vertical="center" wrapText="1"/>
    </xf>
    <xf numFmtId="0" fontId="29" fillId="6" borderId="13" xfId="2" applyFont="1" applyFill="1" applyBorder="1" applyAlignment="1">
      <alignment horizontal="center" vertical="center"/>
    </xf>
    <xf numFmtId="0" fontId="29" fillId="6" borderId="14" xfId="2" applyFont="1" applyFill="1" applyBorder="1" applyAlignment="1">
      <alignment horizontal="center" vertical="center"/>
    </xf>
    <xf numFmtId="0" fontId="29" fillId="6" borderId="15" xfId="2" applyFont="1" applyFill="1" applyBorder="1" applyAlignment="1">
      <alignment horizontal="center" vertical="center"/>
    </xf>
    <xf numFmtId="0" fontId="6" fillId="5" borderId="37" xfId="2" applyFont="1" applyFill="1" applyBorder="1" applyAlignment="1">
      <alignment horizontal="center" vertical="center"/>
    </xf>
    <xf numFmtId="0" fontId="6" fillId="5" borderId="38" xfId="2" applyFont="1" applyFill="1" applyBorder="1" applyAlignment="1">
      <alignment horizontal="center" vertical="center"/>
    </xf>
    <xf numFmtId="164" fontId="11" fillId="5" borderId="59" xfId="1" applyFont="1" applyFill="1" applyBorder="1" applyAlignment="1">
      <alignment horizontal="center" vertical="center" wrapText="1"/>
    </xf>
    <xf numFmtId="164" fontId="11" fillId="5" borderId="35" xfId="1" applyFont="1" applyFill="1" applyBorder="1" applyAlignment="1">
      <alignment horizontal="center" vertical="center" wrapText="1"/>
    </xf>
    <xf numFmtId="164" fontId="11" fillId="5" borderId="13" xfId="1" applyFont="1" applyFill="1" applyBorder="1" applyAlignment="1">
      <alignment horizontal="center" vertical="center" wrapText="1"/>
    </xf>
    <xf numFmtId="164" fontId="11" fillId="5" borderId="21" xfId="1" applyFont="1" applyFill="1" applyBorder="1" applyAlignment="1">
      <alignment horizontal="center" vertical="center" wrapText="1"/>
    </xf>
    <xf numFmtId="0" fontId="6" fillId="3" borderId="14" xfId="2" applyFont="1" applyFill="1" applyBorder="1" applyAlignment="1">
      <alignment horizontal="left" vertical="center"/>
    </xf>
    <xf numFmtId="0" fontId="6" fillId="3" borderId="22" xfId="2" applyFont="1" applyFill="1" applyBorder="1" applyAlignment="1">
      <alignment horizontal="left" vertical="center"/>
    </xf>
    <xf numFmtId="0" fontId="11" fillId="3" borderId="2" xfId="2" applyFont="1" applyFill="1" applyBorder="1" applyAlignment="1">
      <alignment horizontal="center" vertical="center"/>
    </xf>
    <xf numFmtId="2" fontId="11" fillId="3" borderId="60" xfId="2" applyNumberFormat="1" applyFont="1" applyFill="1" applyBorder="1" applyAlignment="1">
      <alignment horizontal="center" vertical="center" wrapText="1"/>
    </xf>
    <xf numFmtId="2" fontId="11" fillId="3" borderId="51" xfId="2" applyNumberFormat="1" applyFont="1" applyFill="1" applyBorder="1" applyAlignment="1">
      <alignment horizontal="center" vertical="center" wrapText="1"/>
    </xf>
    <xf numFmtId="0" fontId="11" fillId="3" borderId="57" xfId="2" applyFont="1" applyFill="1" applyBorder="1" applyAlignment="1">
      <alignment horizontal="center" vertical="center"/>
    </xf>
    <xf numFmtId="0" fontId="11" fillId="3" borderId="42" xfId="2" applyFont="1" applyFill="1" applyBorder="1" applyAlignment="1">
      <alignment horizontal="center" vertical="center"/>
    </xf>
    <xf numFmtId="0" fontId="15" fillId="3" borderId="27" xfId="2" applyFont="1" applyFill="1" applyBorder="1" applyAlignment="1">
      <alignment horizontal="center" vertical="center" wrapText="1"/>
    </xf>
    <xf numFmtId="0" fontId="15" fillId="3" borderId="64" xfId="2" applyFont="1" applyFill="1" applyBorder="1" applyAlignment="1">
      <alignment horizontal="center" vertical="center" wrapText="1"/>
    </xf>
    <xf numFmtId="0" fontId="15" fillId="3" borderId="56" xfId="2" applyFont="1" applyFill="1" applyBorder="1" applyAlignment="1">
      <alignment horizontal="center" vertical="center"/>
    </xf>
    <xf numFmtId="0" fontId="15" fillId="3" borderId="60" xfId="2" applyFont="1" applyFill="1" applyBorder="1" applyAlignment="1">
      <alignment horizontal="center" vertical="center"/>
    </xf>
    <xf numFmtId="0" fontId="15" fillId="3" borderId="57" xfId="2" applyFont="1" applyFill="1" applyBorder="1" applyAlignment="1">
      <alignment horizontal="center" vertical="center"/>
    </xf>
    <xf numFmtId="0" fontId="11" fillId="3" borderId="48" xfId="2" applyFont="1" applyFill="1" applyBorder="1" applyAlignment="1">
      <alignment horizontal="right" vertical="center"/>
    </xf>
    <xf numFmtId="0" fontId="11" fillId="3" borderId="50" xfId="2" applyFont="1" applyFill="1" applyBorder="1" applyAlignment="1">
      <alignment horizontal="right" vertical="center"/>
    </xf>
    <xf numFmtId="0" fontId="30" fillId="3" borderId="37" xfId="2" applyFont="1" applyFill="1" applyBorder="1" applyAlignment="1">
      <alignment horizontal="left" vertical="center"/>
    </xf>
    <xf numFmtId="0" fontId="30" fillId="3" borderId="47" xfId="2" applyFont="1" applyFill="1" applyBorder="1" applyAlignment="1">
      <alignment horizontal="left" vertical="center"/>
    </xf>
    <xf numFmtId="0" fontId="30" fillId="3" borderId="14" xfId="2" applyFont="1" applyFill="1" applyBorder="1" applyAlignment="1">
      <alignment horizontal="left" vertical="center"/>
    </xf>
    <xf numFmtId="0" fontId="6" fillId="3" borderId="15" xfId="2" applyFont="1" applyFill="1" applyBorder="1" applyAlignment="1">
      <alignment horizontal="left" vertical="center"/>
    </xf>
    <xf numFmtId="0" fontId="6" fillId="3" borderId="37" xfId="2" applyFont="1" applyFill="1" applyBorder="1" applyAlignment="1">
      <alignment horizontal="left" vertical="center"/>
    </xf>
    <xf numFmtId="0" fontId="6" fillId="3" borderId="47" xfId="2" applyFont="1" applyFill="1" applyBorder="1" applyAlignment="1">
      <alignment horizontal="left" vertical="center"/>
    </xf>
    <xf numFmtId="0" fontId="6" fillId="3" borderId="38" xfId="2" applyFont="1" applyFill="1" applyBorder="1" applyAlignment="1">
      <alignment horizontal="left" vertical="center"/>
    </xf>
    <xf numFmtId="0" fontId="3" fillId="3" borderId="19" xfId="2" applyFont="1" applyFill="1" applyBorder="1" applyAlignment="1">
      <alignment horizontal="left" vertical="center"/>
    </xf>
    <xf numFmtId="0" fontId="3" fillId="3" borderId="6" xfId="2" applyFont="1" applyFill="1" applyBorder="1" applyAlignment="1">
      <alignment horizontal="left" vertical="center"/>
    </xf>
    <xf numFmtId="0" fontId="3" fillId="3" borderId="12" xfId="2" applyFont="1" applyFill="1" applyBorder="1" applyAlignment="1">
      <alignment horizontal="left" vertical="center"/>
    </xf>
    <xf numFmtId="0" fontId="34" fillId="3" borderId="13" xfId="2" applyFont="1" applyFill="1" applyBorder="1" applyAlignment="1">
      <alignment horizontal="center" vertical="center"/>
    </xf>
    <xf numFmtId="0" fontId="34" fillId="3" borderId="14" xfId="2" applyFont="1" applyFill="1" applyBorder="1" applyAlignment="1">
      <alignment horizontal="center" vertical="center"/>
    </xf>
    <xf numFmtId="0" fontId="34" fillId="3" borderId="15" xfId="2" applyFont="1" applyFill="1" applyBorder="1" applyAlignment="1">
      <alignment horizontal="center" vertical="center"/>
    </xf>
    <xf numFmtId="0" fontId="34" fillId="3" borderId="16" xfId="2" applyFont="1" applyFill="1" applyBorder="1" applyAlignment="1">
      <alignment horizontal="center" vertical="center"/>
    </xf>
    <xf numFmtId="0" fontId="34" fillId="3" borderId="0" xfId="2" applyFont="1" applyFill="1" applyAlignment="1">
      <alignment horizontal="center" vertical="center"/>
    </xf>
    <xf numFmtId="0" fontId="34" fillId="3" borderId="17" xfId="2" applyFont="1" applyFill="1" applyBorder="1" applyAlignment="1">
      <alignment horizontal="center" vertical="center"/>
    </xf>
    <xf numFmtId="0" fontId="6" fillId="3" borderId="1" xfId="2" applyFont="1" applyFill="1" applyBorder="1" applyAlignment="1">
      <alignment horizontal="center" vertical="center"/>
    </xf>
    <xf numFmtId="0" fontId="3" fillId="3" borderId="45" xfId="2" applyFont="1" applyFill="1" applyBorder="1" applyAlignment="1">
      <alignment vertical="center"/>
    </xf>
    <xf numFmtId="0" fontId="3" fillId="3" borderId="46" xfId="2" applyFont="1" applyFill="1" applyBorder="1" applyAlignment="1">
      <alignment vertical="center"/>
    </xf>
    <xf numFmtId="0" fontId="3" fillId="3" borderId="31" xfId="2" applyFont="1" applyFill="1" applyBorder="1" applyAlignment="1">
      <alignment vertical="center"/>
    </xf>
    <xf numFmtId="0" fontId="3" fillId="3" borderId="1" xfId="2" applyFont="1" applyFill="1" applyBorder="1" applyAlignment="1">
      <alignment vertical="center"/>
    </xf>
    <xf numFmtId="0" fontId="6" fillId="5" borderId="47" xfId="2" applyFont="1" applyFill="1" applyBorder="1" applyAlignment="1">
      <alignment horizontal="center" vertical="center" wrapText="1"/>
    </xf>
    <xf numFmtId="0" fontId="6" fillId="5" borderId="38" xfId="2" applyFont="1" applyFill="1" applyBorder="1" applyAlignment="1">
      <alignment horizontal="center" vertical="center" wrapText="1"/>
    </xf>
    <xf numFmtId="0" fontId="3" fillId="3" borderId="31" xfId="2" applyFont="1" applyFill="1" applyBorder="1" applyAlignment="1">
      <alignment vertical="center" wrapText="1"/>
    </xf>
    <xf numFmtId="0" fontId="3" fillId="3" borderId="1" xfId="2" applyFont="1" applyFill="1" applyBorder="1" applyAlignment="1">
      <alignment vertical="center" wrapText="1"/>
    </xf>
    <xf numFmtId="0" fontId="3" fillId="3" borderId="26" xfId="2" applyFont="1" applyFill="1" applyBorder="1" applyAlignment="1">
      <alignment vertical="center" wrapText="1"/>
    </xf>
    <xf numFmtId="0" fontId="3" fillId="3" borderId="26" xfId="2" applyFont="1" applyFill="1" applyBorder="1" applyAlignment="1">
      <alignment vertical="center"/>
    </xf>
    <xf numFmtId="0" fontId="6" fillId="3" borderId="16" xfId="2" applyFont="1" applyFill="1" applyBorder="1" applyAlignment="1">
      <alignment vertical="center"/>
    </xf>
    <xf numFmtId="0" fontId="6" fillId="3" borderId="0" xfId="2" applyFont="1" applyFill="1" applyAlignment="1">
      <alignment vertical="center"/>
    </xf>
    <xf numFmtId="0" fontId="6" fillId="5" borderId="37" xfId="2" applyFont="1" applyFill="1" applyBorder="1" applyAlignment="1">
      <alignment horizontal="center" vertical="center" wrapText="1"/>
    </xf>
    <xf numFmtId="0" fontId="30" fillId="3" borderId="38" xfId="2" applyFont="1" applyFill="1" applyBorder="1" applyAlignment="1">
      <alignment horizontal="left" vertical="center"/>
    </xf>
    <xf numFmtId="0" fontId="6" fillId="3" borderId="37" xfId="2" applyFont="1" applyFill="1" applyBorder="1" applyAlignment="1">
      <alignment horizontal="left" vertical="center" wrapText="1"/>
    </xf>
    <xf numFmtId="0" fontId="6" fillId="3" borderId="47" xfId="2" applyFont="1" applyFill="1" applyBorder="1" applyAlignment="1">
      <alignment horizontal="left" vertical="center" wrapText="1"/>
    </xf>
    <xf numFmtId="0" fontId="6" fillId="3" borderId="38" xfId="2" applyFont="1" applyFill="1" applyBorder="1" applyAlignment="1">
      <alignment horizontal="left" vertical="center" wrapText="1"/>
    </xf>
    <xf numFmtId="0" fontId="6" fillId="3" borderId="16" xfId="2" applyFont="1" applyFill="1" applyBorder="1" applyAlignment="1">
      <alignment horizontal="left" vertical="center"/>
    </xf>
    <xf numFmtId="0" fontId="6" fillId="3" borderId="0" xfId="2" applyFont="1" applyFill="1" applyAlignment="1">
      <alignment horizontal="left" vertical="center"/>
    </xf>
    <xf numFmtId="0" fontId="3" fillId="3" borderId="23" xfId="2" applyFont="1" applyFill="1" applyBorder="1" applyAlignment="1">
      <alignment horizontal="center" vertical="center"/>
    </xf>
    <xf numFmtId="0" fontId="3" fillId="3" borderId="24" xfId="2" applyFont="1" applyFill="1" applyBorder="1" applyAlignment="1">
      <alignment horizontal="center" vertical="center"/>
    </xf>
    <xf numFmtId="164" fontId="11" fillId="5" borderId="48" xfId="2" applyNumberFormat="1" applyFont="1" applyFill="1" applyBorder="1" applyAlignment="1">
      <alignment horizontal="center" vertical="center"/>
    </xf>
    <xf numFmtId="164" fontId="11" fillId="5" borderId="61" xfId="2" applyNumberFormat="1" applyFont="1" applyFill="1" applyBorder="1" applyAlignment="1">
      <alignment horizontal="center" vertical="center"/>
    </xf>
    <xf numFmtId="0" fontId="4" fillId="3" borderId="13" xfId="2" applyFont="1" applyFill="1" applyBorder="1" applyAlignment="1">
      <alignment horizontal="left" vertical="center"/>
    </xf>
    <xf numFmtId="0" fontId="4" fillId="3" borderId="14" xfId="2" applyFont="1" applyFill="1" applyBorder="1" applyAlignment="1">
      <alignment horizontal="left" vertical="center"/>
    </xf>
    <xf numFmtId="0" fontId="3" fillId="3" borderId="16" xfId="2" applyFont="1" applyFill="1" applyBorder="1" applyAlignment="1">
      <alignment vertical="center"/>
    </xf>
    <xf numFmtId="0" fontId="3" fillId="3" borderId="0" xfId="2" applyFont="1" applyFill="1" applyAlignment="1">
      <alignment vertical="center"/>
    </xf>
    <xf numFmtId="0" fontId="8" fillId="3" borderId="41" xfId="2" applyFont="1" applyFill="1" applyBorder="1" applyAlignment="1">
      <alignment horizontal="left" vertical="center"/>
    </xf>
    <xf numFmtId="0" fontId="8" fillId="3" borderId="51" xfId="2" applyFont="1" applyFill="1" applyBorder="1" applyAlignment="1">
      <alignment horizontal="left" vertical="center"/>
    </xf>
    <xf numFmtId="0" fontId="8" fillId="3" borderId="62" xfId="2" applyFont="1" applyFill="1" applyBorder="1" applyAlignment="1">
      <alignment horizontal="left" vertical="center"/>
    </xf>
    <xf numFmtId="0" fontId="6" fillId="3" borderId="13" xfId="2" applyFont="1" applyFill="1" applyBorder="1" applyAlignment="1">
      <alignment horizontal="left" vertical="center" wrapText="1"/>
    </xf>
    <xf numFmtId="0" fontId="6" fillId="3" borderId="14" xfId="2" applyFont="1" applyFill="1" applyBorder="1" applyAlignment="1">
      <alignment horizontal="left" vertical="center" wrapText="1"/>
    </xf>
    <xf numFmtId="0" fontId="3" fillId="3" borderId="31" xfId="2" applyFont="1" applyFill="1" applyBorder="1" applyAlignment="1">
      <alignment horizontal="center" vertical="center" wrapText="1"/>
    </xf>
    <xf numFmtId="0" fontId="3" fillId="3" borderId="1" xfId="2" applyFont="1" applyFill="1" applyBorder="1" applyAlignment="1">
      <alignment horizontal="center" vertical="center" wrapText="1"/>
    </xf>
    <xf numFmtId="0" fontId="3" fillId="3" borderId="41" xfId="2" applyFont="1" applyFill="1" applyBorder="1" applyAlignment="1">
      <alignment horizontal="center" vertical="center" wrapText="1"/>
    </xf>
    <xf numFmtId="0" fontId="3" fillId="3" borderId="51" xfId="2" applyFont="1" applyFill="1" applyBorder="1" applyAlignment="1">
      <alignment horizontal="center" vertical="center" wrapText="1"/>
    </xf>
    <xf numFmtId="0" fontId="6" fillId="3" borderId="51" xfId="2" applyFont="1" applyFill="1" applyBorder="1" applyAlignment="1">
      <alignment horizontal="center" vertical="center"/>
    </xf>
    <xf numFmtId="166" fontId="3" fillId="3" borderId="1" xfId="2" applyNumberFormat="1" applyFont="1" applyFill="1" applyBorder="1" applyAlignment="1">
      <alignment horizontal="center" vertical="center"/>
    </xf>
    <xf numFmtId="166" fontId="3" fillId="3" borderId="40" xfId="2" applyNumberFormat="1" applyFont="1" applyFill="1" applyBorder="1" applyAlignment="1">
      <alignment horizontal="center" vertical="center"/>
    </xf>
    <xf numFmtId="166" fontId="3" fillId="3" borderId="51" xfId="2" applyNumberFormat="1" applyFont="1" applyFill="1" applyBorder="1" applyAlignment="1">
      <alignment horizontal="center" vertical="center"/>
    </xf>
    <xf numFmtId="166" fontId="3" fillId="3" borderId="42" xfId="2" applyNumberFormat="1" applyFont="1" applyFill="1" applyBorder="1" applyAlignment="1">
      <alignment horizontal="center" vertical="center"/>
    </xf>
    <xf numFmtId="0" fontId="0" fillId="2" borderId="31" xfId="0" applyFill="1" applyBorder="1" applyAlignment="1">
      <alignment horizontal="center" vertical="center"/>
    </xf>
    <xf numFmtId="0" fontId="0" fillId="2" borderId="41" xfId="0" applyFill="1" applyBorder="1" applyAlignment="1">
      <alignment horizontal="center" vertical="center"/>
    </xf>
    <xf numFmtId="0" fontId="0" fillId="3" borderId="22" xfId="0" applyFill="1" applyBorder="1" applyAlignment="1">
      <alignment horizontal="center"/>
    </xf>
    <xf numFmtId="0" fontId="31" fillId="2" borderId="45" xfId="0" applyFont="1" applyFill="1" applyBorder="1" applyAlignment="1">
      <alignment horizontal="center" vertical="center"/>
    </xf>
    <xf numFmtId="0" fontId="31" fillId="2" borderId="46" xfId="0" applyFont="1" applyFill="1" applyBorder="1" applyAlignment="1">
      <alignment horizontal="center" vertical="center"/>
    </xf>
    <xf numFmtId="0" fontId="31" fillId="2" borderId="52" xfId="0" applyFont="1" applyFill="1" applyBorder="1" applyAlignment="1">
      <alignment horizontal="center" vertical="center"/>
    </xf>
    <xf numFmtId="0" fontId="31" fillId="2" borderId="66" xfId="0" applyFont="1" applyFill="1" applyBorder="1" applyAlignment="1">
      <alignment horizontal="center" vertical="center"/>
    </xf>
    <xf numFmtId="0" fontId="18" fillId="2" borderId="13" xfId="0" applyFont="1" applyFill="1" applyBorder="1" applyAlignment="1">
      <alignment horizontal="center" vertical="center" textRotation="90" wrapText="1"/>
    </xf>
    <xf numFmtId="0" fontId="18" fillId="2" borderId="16" xfId="0" applyFont="1" applyFill="1" applyBorder="1" applyAlignment="1">
      <alignment horizontal="center" vertical="center" textRotation="90" wrapText="1"/>
    </xf>
    <xf numFmtId="0" fontId="18" fillId="2" borderId="21" xfId="0" applyFont="1" applyFill="1" applyBorder="1" applyAlignment="1">
      <alignment horizontal="center" vertical="center" textRotation="90" wrapText="1"/>
    </xf>
    <xf numFmtId="0" fontId="0" fillId="2" borderId="37" xfId="0" applyFill="1" applyBorder="1" applyAlignment="1">
      <alignment horizontal="right"/>
    </xf>
    <xf numFmtId="0" fontId="0" fillId="2" borderId="70" xfId="0" applyFill="1" applyBorder="1" applyAlignment="1">
      <alignment horizontal="right"/>
    </xf>
    <xf numFmtId="0" fontId="0" fillId="2" borderId="18" xfId="0" applyFill="1" applyBorder="1" applyAlignment="1">
      <alignment horizontal="right"/>
    </xf>
    <xf numFmtId="0" fontId="0" fillId="2" borderId="3" xfId="0" applyFill="1" applyBorder="1" applyAlignment="1">
      <alignment horizontal="right"/>
    </xf>
    <xf numFmtId="0" fontId="0" fillId="0" borderId="0" xfId="0" applyAlignment="1">
      <alignment horizontal="left" vertical="center" wrapText="1"/>
    </xf>
    <xf numFmtId="0" fontId="0" fillId="0" borderId="1" xfId="0" applyBorder="1" applyAlignment="1">
      <alignment horizontal="center" vertical="center"/>
    </xf>
    <xf numFmtId="0" fontId="0" fillId="0" borderId="26" xfId="0" applyBorder="1" applyAlignment="1">
      <alignment horizontal="center" vertical="center"/>
    </xf>
    <xf numFmtId="0" fontId="0" fillId="0" borderId="33" xfId="0"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left" vertical="center"/>
    </xf>
    <xf numFmtId="0" fontId="0" fillId="0" borderId="26" xfId="0" applyBorder="1" applyAlignment="1">
      <alignment horizontal="center"/>
    </xf>
    <xf numFmtId="0" fontId="0" fillId="0" borderId="3" xfId="0" applyBorder="1" applyAlignment="1">
      <alignment horizontal="center"/>
    </xf>
    <xf numFmtId="0" fontId="48" fillId="0" borderId="0" xfId="11" applyAlignment="1">
      <alignment horizontal="left"/>
    </xf>
    <xf numFmtId="0" fontId="0" fillId="0" borderId="1" xfId="0" applyBorder="1" applyAlignment="1">
      <alignment horizontal="left" vertical="center" wrapText="1"/>
    </xf>
    <xf numFmtId="0" fontId="0" fillId="0" borderId="1" xfId="0" applyBorder="1" applyAlignment="1">
      <alignment horizontal="left"/>
    </xf>
    <xf numFmtId="0" fontId="18" fillId="0" borderId="1" xfId="0" applyFont="1" applyBorder="1" applyAlignment="1">
      <alignment horizontal="left"/>
    </xf>
    <xf numFmtId="0" fontId="18" fillId="0" borderId="26" xfId="0" applyFont="1" applyBorder="1" applyAlignment="1">
      <alignment horizontal="center"/>
    </xf>
    <xf numFmtId="0" fontId="18" fillId="0" borderId="3" xfId="0" applyFont="1" applyBorder="1" applyAlignment="1">
      <alignment horizontal="center"/>
    </xf>
    <xf numFmtId="0" fontId="55" fillId="0" borderId="0" xfId="0" applyFont="1" applyAlignment="1">
      <alignment horizontal="center" vertical="center"/>
    </xf>
    <xf numFmtId="0" fontId="24" fillId="2" borderId="31" xfId="5" applyFont="1" applyFill="1" applyBorder="1" applyAlignment="1">
      <alignment horizontal="left"/>
    </xf>
    <xf numFmtId="0" fontId="24" fillId="2" borderId="1" xfId="5" applyFont="1" applyFill="1" applyBorder="1" applyAlignment="1">
      <alignment horizontal="left"/>
    </xf>
    <xf numFmtId="0" fontId="24" fillId="2" borderId="40" xfId="5" applyFont="1" applyFill="1" applyBorder="1" applyAlignment="1">
      <alignment horizontal="left"/>
    </xf>
    <xf numFmtId="0" fontId="24" fillId="2" borderId="41" xfId="5" applyFont="1" applyFill="1" applyBorder="1" applyAlignment="1">
      <alignment horizontal="left"/>
    </xf>
    <xf numFmtId="0" fontId="24" fillId="2" borderId="51" xfId="5" applyFont="1" applyFill="1" applyBorder="1" applyAlignment="1">
      <alignment horizontal="left"/>
    </xf>
    <xf numFmtId="0" fontId="24" fillId="2" borderId="42" xfId="5" applyFont="1" applyFill="1" applyBorder="1" applyAlignment="1">
      <alignment horizontal="left"/>
    </xf>
    <xf numFmtId="0" fontId="21" fillId="7" borderId="56" xfId="5" applyFont="1" applyFill="1" applyBorder="1" applyAlignment="1">
      <alignment horizontal="left"/>
    </xf>
    <xf numFmtId="0" fontId="21" fillId="7" borderId="60" xfId="5" applyFont="1" applyFill="1" applyBorder="1" applyAlignment="1">
      <alignment horizontal="left"/>
    </xf>
    <xf numFmtId="0" fontId="21" fillId="7" borderId="57" xfId="5" applyFont="1" applyFill="1" applyBorder="1" applyAlignment="1">
      <alignment horizontal="left"/>
    </xf>
    <xf numFmtId="0" fontId="18" fillId="2" borderId="56" xfId="0" applyFont="1" applyFill="1" applyBorder="1"/>
    <xf numFmtId="0" fontId="18" fillId="2" borderId="57" xfId="0" applyFont="1" applyFill="1" applyBorder="1"/>
    <xf numFmtId="0" fontId="18" fillId="9" borderId="56" xfId="0" applyFont="1" applyFill="1" applyBorder="1"/>
    <xf numFmtId="0" fontId="18" fillId="9" borderId="57" xfId="0" applyFont="1" applyFill="1" applyBorder="1"/>
    <xf numFmtId="0" fontId="18" fillId="2" borderId="37" xfId="0" applyFont="1" applyFill="1" applyBorder="1"/>
    <xf numFmtId="0" fontId="18" fillId="2" borderId="38" xfId="0" applyFont="1" applyFill="1" applyBorder="1"/>
    <xf numFmtId="0" fontId="19" fillId="9" borderId="18" xfId="0" applyFont="1" applyFill="1" applyBorder="1" applyAlignment="1">
      <alignment horizontal="left"/>
    </xf>
    <xf numFmtId="0" fontId="19" fillId="9" borderId="39" xfId="0" applyFont="1" applyFill="1" applyBorder="1" applyAlignment="1">
      <alignment horizontal="left"/>
    </xf>
  </cellXfs>
  <cellStyles count="12">
    <cellStyle name="Currency" xfId="1" builtinId="4"/>
    <cellStyle name="Currency 2" xfId="6" xr:uid="{2800CA73-A752-4263-8D78-0F714433584E}"/>
    <cellStyle name="Currency 2 2" xfId="8" xr:uid="{9B4C19C7-EDBC-4695-A55E-7C5F25836D44}"/>
    <cellStyle name="Currency 3" xfId="3" xr:uid="{E738330B-3C4B-4D82-BF97-1D7ABF652E88}"/>
    <cellStyle name="Hyperlink" xfId="11" builtinId="8"/>
    <cellStyle name="Hyperlink 2" xfId="10" xr:uid="{3FE666C5-8EEE-4A99-9603-E6E1C9BAB0AE}"/>
    <cellStyle name="Normal" xfId="0" builtinId="0"/>
    <cellStyle name="Normal 2" xfId="5" xr:uid="{9E243402-6172-4704-B3E0-F7004D7B61E8}"/>
    <cellStyle name="Normal 3" xfId="4" xr:uid="{82BA8019-1716-471F-AE80-55969D00D4AB}"/>
    <cellStyle name="Normal 5" xfId="9" xr:uid="{5C8E3641-7180-4F94-86EC-4D4A265B2AC6}"/>
    <cellStyle name="Normal 7" xfId="2" xr:uid="{762588F1-C23B-4202-BE97-B189D55CDF85}"/>
    <cellStyle name="Per cent" xfId="7" builtinId="5"/>
  </cellStyles>
  <dxfs count="283">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ont>
        <color rgb="FFFF0000"/>
      </font>
    </dxf>
    <dxf>
      <font>
        <b/>
        <i val="0"/>
        <color theme="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C000"/>
        </patternFill>
      </fill>
    </dxf>
    <dxf>
      <font>
        <b/>
        <i val="0"/>
        <color theme="0"/>
      </font>
      <fill>
        <patternFill>
          <bgColor rgb="FFFF0000"/>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color theme="0"/>
      </font>
      <fill>
        <patternFill>
          <bgColor rgb="FFFF0000"/>
        </patternFill>
      </fill>
    </dxf>
    <dxf>
      <font>
        <b/>
        <i val="0"/>
        <color theme="0"/>
      </font>
      <fill>
        <patternFill>
          <bgColor rgb="FFFF0000"/>
        </patternFill>
      </fill>
    </dxf>
    <dxf>
      <font>
        <b/>
        <i val="0"/>
      </font>
      <fill>
        <patternFill>
          <bgColor rgb="FFFFC000"/>
        </patternFill>
      </fill>
    </dxf>
    <dxf>
      <font>
        <b/>
        <i val="0"/>
        <color theme="0"/>
      </font>
      <fill>
        <patternFill>
          <bgColor rgb="FFFF0000"/>
        </patternFill>
      </fill>
    </dxf>
    <dxf>
      <font>
        <b/>
        <i val="0"/>
      </font>
      <fill>
        <patternFill>
          <bgColor rgb="FFFFC000"/>
        </patternFill>
      </fill>
    </dxf>
    <dxf>
      <font>
        <b/>
        <i val="0"/>
        <color theme="0"/>
      </font>
      <fill>
        <patternFill>
          <bgColor rgb="FFFF0000"/>
        </patternFill>
      </fill>
    </dxf>
    <dxf>
      <font>
        <b/>
        <i val="0"/>
      </font>
      <fill>
        <patternFill>
          <bgColor rgb="FFFFC000"/>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color theme="0"/>
      </font>
      <fill>
        <patternFill>
          <bgColor rgb="FFFF0000"/>
        </patternFill>
      </fill>
    </dxf>
    <dxf>
      <font>
        <b/>
        <i val="0"/>
        <color theme="0"/>
      </font>
      <fill>
        <patternFill>
          <bgColor rgb="FFFF0000"/>
        </patternFill>
      </fill>
    </dxf>
    <dxf>
      <font>
        <b/>
        <i val="0"/>
      </font>
      <fill>
        <patternFill>
          <bgColor rgb="FFFFC000"/>
        </patternFill>
      </fill>
    </dxf>
    <dxf>
      <font>
        <b/>
        <i val="0"/>
        <color theme="0"/>
      </font>
      <fill>
        <patternFill>
          <bgColor rgb="FFFF0000"/>
        </patternFill>
      </fill>
    </dxf>
    <dxf>
      <font>
        <b/>
        <i val="0"/>
      </font>
      <fill>
        <patternFill>
          <bgColor rgb="FFFFC000"/>
        </patternFill>
      </fill>
    </dxf>
    <dxf>
      <font>
        <b/>
        <i val="0"/>
        <color theme="0"/>
      </font>
      <fill>
        <patternFill>
          <bgColor rgb="FFFF0000"/>
        </patternFill>
      </fill>
    </dxf>
    <dxf>
      <font>
        <b/>
        <i val="0"/>
      </font>
      <fill>
        <patternFill>
          <bgColor rgb="FFFFC000"/>
        </patternFill>
      </fill>
    </dxf>
    <dxf>
      <font>
        <b/>
        <i val="0"/>
        <color theme="0"/>
      </font>
      <fill>
        <patternFill>
          <bgColor rgb="FFFF0000"/>
        </patternFill>
      </fill>
    </dxf>
    <dxf>
      <font>
        <b/>
        <i val="0"/>
      </font>
      <fill>
        <patternFill>
          <bgColor rgb="FFFFC000"/>
        </patternFill>
      </fill>
    </dxf>
    <dxf>
      <font>
        <b/>
        <i val="0"/>
        <color theme="0"/>
      </font>
      <fill>
        <patternFill>
          <bgColor rgb="FFFF0000"/>
        </patternFill>
      </fill>
    </dxf>
    <dxf>
      <font>
        <b/>
        <i val="0"/>
      </font>
      <fill>
        <patternFill>
          <bgColor rgb="FFFFC000"/>
        </patternFill>
      </fill>
    </dxf>
    <dxf>
      <font>
        <b/>
        <i val="0"/>
      </font>
      <fill>
        <patternFill>
          <bgColor rgb="FF92D050"/>
        </patternFill>
      </fill>
    </dxf>
    <dxf>
      <font>
        <b/>
        <i val="0"/>
        <color theme="0"/>
      </font>
      <fill>
        <patternFill>
          <bgColor rgb="FFFF0000"/>
        </patternFill>
      </fill>
    </dxf>
    <dxf>
      <fill>
        <patternFill>
          <bgColor rgb="FFFFFF00"/>
        </patternFill>
      </fill>
    </dxf>
    <dxf>
      <fill>
        <patternFill>
          <bgColor rgb="FFFFFF00"/>
        </patternFill>
      </fill>
    </dxf>
    <dxf>
      <border>
        <left/>
        <right/>
        <top/>
        <bottom/>
        <vertical/>
        <horizontal/>
      </border>
    </dxf>
    <dxf>
      <border>
        <left/>
        <right/>
        <top/>
        <bottom/>
        <vertical/>
        <horizontal/>
      </border>
    </dxf>
    <dxf>
      <border>
        <left/>
        <right/>
        <top/>
        <bottom/>
        <vertical/>
        <horizontal/>
      </border>
    </dxf>
    <dxf>
      <fill>
        <patternFill>
          <bgColor rgb="FFFFFF00"/>
        </patternFill>
      </fill>
    </dxf>
    <dxf>
      <border>
        <left/>
        <right/>
        <top/>
        <bottom/>
        <vertical/>
        <horizontal/>
      </border>
    </dxf>
    <dxf>
      <border>
        <left/>
        <right/>
        <top/>
        <bottom/>
        <vertical/>
        <horizontal/>
      </border>
    </dxf>
    <dxf>
      <border>
        <left/>
        <right/>
        <top/>
        <bottom/>
        <vertical/>
        <horizontal/>
      </border>
    </dxf>
    <dxf>
      <fill>
        <patternFill>
          <bgColor rgb="FFFFFF00"/>
        </patternFill>
      </fill>
    </dxf>
    <dxf>
      <border>
        <left/>
        <right/>
        <top/>
        <bottom/>
        <vertical/>
        <horizontal/>
      </border>
    </dxf>
    <dxf>
      <border>
        <left/>
        <right/>
        <top/>
        <bottom/>
        <vertical/>
        <horizontal/>
      </border>
    </dxf>
    <dxf>
      <border>
        <left/>
        <right/>
        <top/>
        <bottom/>
        <vertical/>
        <horizontal/>
      </border>
    </dxf>
    <dxf>
      <fill>
        <patternFill>
          <bgColor rgb="FFFFFF00"/>
        </patternFill>
      </fill>
    </dxf>
    <dxf>
      <border>
        <left/>
        <right/>
        <top/>
        <bottom/>
        <vertical/>
        <horizontal/>
      </border>
    </dxf>
    <dxf>
      <border>
        <left/>
        <right/>
        <top/>
        <bottom/>
        <vertical/>
        <horizontal/>
      </border>
    </dxf>
    <dxf>
      <border>
        <left/>
        <right/>
        <top/>
        <bottom/>
        <vertical/>
        <horizontal/>
      </border>
    </dxf>
    <dxf>
      <fill>
        <patternFill>
          <bgColor rgb="FFFFFF00"/>
        </patternFill>
      </fill>
    </dxf>
    <dxf>
      <border>
        <left/>
        <right/>
        <top/>
        <bottom/>
        <vertical/>
        <horizontal/>
      </border>
    </dxf>
    <dxf>
      <border>
        <left/>
        <right/>
        <top/>
        <bottom/>
        <vertical/>
        <horizontal/>
      </border>
    </dxf>
    <dxf>
      <border>
        <left/>
        <right/>
        <top/>
        <bottom/>
        <vertical/>
        <horizontal/>
      </border>
    </dxf>
    <dxf>
      <fill>
        <patternFill>
          <bgColor rgb="FFFFFF00"/>
        </patternFill>
      </fill>
    </dxf>
    <dxf>
      <border>
        <left/>
        <right/>
        <top/>
        <bottom/>
        <vertical/>
        <horizontal/>
      </border>
    </dxf>
    <dxf>
      <border>
        <left/>
        <right/>
        <top/>
        <bottom/>
        <vertical/>
        <horizontal/>
      </border>
    </dxf>
    <dxf>
      <border>
        <left/>
        <right/>
        <top/>
        <bottom/>
        <vertical/>
        <horizontal/>
      </border>
    </dxf>
    <dxf>
      <fill>
        <patternFill>
          <bgColor rgb="FFFFFF00"/>
        </patternFill>
      </fill>
    </dxf>
    <dxf>
      <border>
        <left/>
        <right/>
        <top/>
        <bottom/>
        <vertical/>
        <horizontal/>
      </border>
    </dxf>
    <dxf>
      <border>
        <left/>
        <right/>
        <top/>
        <bottom/>
        <vertical/>
        <horizontal/>
      </border>
    </dxf>
    <dxf>
      <border>
        <left/>
        <right/>
        <top/>
        <bottom/>
        <vertical/>
        <horizontal/>
      </border>
    </dxf>
    <dxf>
      <fill>
        <patternFill>
          <bgColor rgb="FFFFFF00"/>
        </patternFill>
      </fill>
    </dxf>
    <dxf>
      <border>
        <left/>
        <right/>
        <top/>
        <bottom/>
        <vertical/>
        <horizontal/>
      </border>
    </dxf>
    <dxf>
      <border>
        <left/>
        <right/>
        <top/>
        <bottom/>
        <vertical/>
        <horizontal/>
      </border>
    </dxf>
    <dxf>
      <border>
        <left/>
        <right/>
        <top/>
        <bottom/>
        <vertical/>
        <horizontal/>
      </border>
    </dxf>
    <dxf>
      <fill>
        <patternFill>
          <bgColor rgb="FFFFFF00"/>
        </patternFill>
      </fill>
    </dxf>
    <dxf>
      <border>
        <left/>
        <right/>
        <top/>
        <bottom/>
        <vertical/>
        <horizontal/>
      </border>
    </dxf>
    <dxf>
      <border>
        <left/>
        <right/>
        <top/>
        <bottom/>
        <vertical/>
        <horizontal/>
      </border>
    </dxf>
    <dxf>
      <border>
        <left/>
        <right/>
        <top/>
        <bottom/>
        <vertical/>
        <horizontal/>
      </border>
    </dxf>
    <dxf>
      <fill>
        <patternFill>
          <bgColor rgb="FFFFFF00"/>
        </patternFill>
      </fill>
    </dxf>
    <dxf>
      <border>
        <left/>
        <right/>
        <top/>
        <bottom/>
        <vertical/>
        <horizontal/>
      </border>
    </dxf>
    <dxf>
      <border>
        <left/>
        <right/>
        <top/>
        <bottom/>
        <vertical/>
        <horizontal/>
      </border>
    </dxf>
    <dxf>
      <border>
        <left/>
        <right/>
        <top/>
        <bottom/>
        <vertical/>
        <horizontal/>
      </border>
    </dxf>
    <dxf>
      <fill>
        <patternFill>
          <bgColor rgb="FFFFFF00"/>
        </patternFill>
      </fill>
    </dxf>
    <dxf>
      <border>
        <left/>
        <right/>
        <top/>
        <bottom/>
        <vertical/>
        <horizontal/>
      </border>
    </dxf>
    <dxf>
      <border>
        <left/>
        <right/>
        <top/>
        <bottom/>
        <vertical/>
        <horizontal/>
      </border>
    </dxf>
    <dxf>
      <border>
        <left/>
        <right/>
        <top/>
        <bottom/>
        <vertical/>
        <horizontal/>
      </border>
    </dxf>
    <dxf>
      <fill>
        <patternFill>
          <bgColor rgb="FFFFFF00"/>
        </patternFill>
      </fill>
    </dxf>
    <dxf>
      <border>
        <left/>
        <right/>
        <top/>
        <bottom/>
        <vertical/>
        <horizontal/>
      </border>
    </dxf>
    <dxf>
      <border>
        <left/>
        <right/>
        <top/>
        <bottom/>
        <vertical/>
        <horizontal/>
      </border>
    </dxf>
    <dxf>
      <border>
        <left/>
        <right/>
        <top/>
        <bottom/>
        <vertical/>
        <horizontal/>
      </border>
    </dxf>
    <dxf>
      <fill>
        <patternFill>
          <bgColor rgb="FFFFFF00"/>
        </patternFill>
      </fill>
    </dxf>
    <dxf>
      <border>
        <left/>
        <right/>
        <top/>
        <bottom/>
        <vertical/>
        <horizontal/>
      </border>
    </dxf>
    <dxf>
      <border>
        <left/>
        <right/>
        <top/>
        <bottom/>
        <vertical/>
        <horizontal/>
      </border>
    </dxf>
    <dxf>
      <border>
        <left/>
        <right/>
        <top/>
        <bottom/>
        <vertical/>
        <horizontal/>
      </border>
    </dxf>
    <dxf>
      <fill>
        <patternFill>
          <bgColor rgb="FFFFFF00"/>
        </patternFill>
      </fill>
    </dxf>
    <dxf>
      <border>
        <left/>
        <right/>
        <top/>
        <bottom/>
        <vertical/>
        <horizontal/>
      </border>
    </dxf>
    <dxf>
      <border>
        <left/>
        <right/>
        <top/>
        <bottom/>
        <vertical/>
        <horizontal/>
      </border>
    </dxf>
    <dxf>
      <border>
        <left/>
        <right/>
        <top/>
        <bottom/>
        <vertical/>
        <horizontal/>
      </border>
    </dxf>
    <dxf>
      <fill>
        <patternFill>
          <bgColor rgb="FFFFFF00"/>
        </patternFill>
      </fill>
    </dxf>
    <dxf>
      <border>
        <left/>
        <right/>
        <top/>
        <bottom/>
        <vertical/>
        <horizontal/>
      </border>
    </dxf>
    <dxf>
      <border>
        <left/>
        <right/>
        <top/>
        <bottom/>
        <vertical/>
        <horizontal/>
      </border>
    </dxf>
    <dxf>
      <border>
        <left/>
        <right/>
        <top/>
        <bottom/>
        <vertical/>
        <horizontal/>
      </border>
    </dxf>
    <dxf>
      <fill>
        <patternFill>
          <bgColor rgb="FFFFFF00"/>
        </patternFill>
      </fill>
    </dxf>
    <dxf>
      <border>
        <left/>
        <right/>
        <top/>
        <bottom/>
        <vertical/>
        <horizontal/>
      </border>
    </dxf>
    <dxf>
      <border>
        <left/>
        <right/>
        <top/>
        <bottom/>
        <vertical/>
        <horizontal/>
      </border>
    </dxf>
    <dxf>
      <border>
        <left/>
        <right/>
        <top/>
        <bottom/>
        <vertical/>
        <horizontal/>
      </border>
    </dxf>
    <dxf>
      <fill>
        <patternFill>
          <bgColor rgb="FFFFFF00"/>
        </patternFill>
      </fill>
    </dxf>
    <dxf>
      <border>
        <left/>
        <right/>
        <top/>
        <bottom/>
        <vertical/>
        <horizontal/>
      </border>
    </dxf>
    <dxf>
      <border>
        <left/>
        <right/>
        <top/>
        <bottom/>
        <vertical/>
        <horizontal/>
      </border>
    </dxf>
    <dxf>
      <border>
        <left/>
        <right/>
        <top/>
        <bottom/>
        <vertical/>
        <horizontal/>
      </border>
    </dxf>
    <dxf>
      <fill>
        <patternFill>
          <bgColor rgb="FFFFFF00"/>
        </patternFill>
      </fill>
    </dxf>
    <dxf>
      <border>
        <left/>
        <right/>
        <top/>
        <bottom/>
        <vertical/>
        <horizontal/>
      </border>
    </dxf>
    <dxf>
      <border>
        <left/>
        <right/>
        <top/>
        <bottom/>
        <vertical/>
        <horizontal/>
      </border>
    </dxf>
    <dxf>
      <border>
        <left/>
        <right/>
        <top/>
        <bottom/>
        <vertical/>
        <horizontal/>
      </border>
    </dxf>
    <dxf>
      <fill>
        <patternFill>
          <bgColor rgb="FFFFFF00"/>
        </patternFill>
      </fill>
    </dxf>
    <dxf>
      <font>
        <b/>
        <i val="0"/>
      </font>
      <fill>
        <patternFill>
          <bgColor rgb="FF92D050"/>
        </patternFill>
      </fill>
    </dxf>
    <dxf>
      <font>
        <b/>
        <i val="0"/>
        <color theme="0"/>
      </font>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right/>
        <top/>
        <bottom/>
        <vertical/>
        <horizontal/>
      </border>
    </dxf>
    <dxf>
      <border>
        <left/>
        <right/>
        <top/>
        <bottom/>
        <vertical/>
        <horizontal/>
      </border>
    </dxf>
    <dxf>
      <border>
        <left/>
        <right/>
        <top/>
        <bottom/>
      </border>
    </dxf>
    <dxf>
      <fill>
        <patternFill>
          <bgColor rgb="FFFFFF00"/>
        </patternFill>
      </fill>
    </dxf>
    <dxf>
      <fill>
        <patternFill>
          <bgColor rgb="FF92D050"/>
        </patternFill>
      </fill>
    </dxf>
    <dxf>
      <font>
        <color theme="0"/>
      </font>
      <fill>
        <patternFill>
          <bgColor rgb="FFFF0000"/>
        </patternFill>
      </fill>
    </dxf>
    <dxf>
      <fill>
        <patternFill>
          <bgColor rgb="FFFFFF00"/>
        </patternFill>
      </fill>
    </dxf>
    <dxf>
      <border>
        <left/>
        <right/>
        <top/>
        <bottom/>
        <vertical/>
        <horizontal/>
      </border>
    </dxf>
    <dxf>
      <border>
        <left/>
        <right/>
        <top/>
        <bottom/>
        <vertical/>
        <horizontal/>
      </border>
    </dxf>
    <dxf>
      <border>
        <left/>
        <right/>
        <top/>
        <bottom/>
      </border>
    </dxf>
    <dxf>
      <fill>
        <patternFill>
          <bgColor rgb="FFFFFF00"/>
        </patternFill>
      </fill>
    </dxf>
    <dxf>
      <font>
        <color theme="0"/>
      </font>
      <fill>
        <patternFill>
          <bgColor rgb="FFFF0000"/>
        </patternFill>
      </fill>
    </dxf>
    <dxf>
      <fill>
        <patternFill>
          <bgColor rgb="FF92D050"/>
        </patternFill>
      </fill>
    </dxf>
    <dxf>
      <fill>
        <patternFill>
          <bgColor rgb="FFFFFF00"/>
        </patternFill>
      </fill>
    </dxf>
    <dxf>
      <border>
        <left/>
        <right/>
        <top/>
        <bottom/>
        <vertical/>
        <horizontal/>
      </border>
    </dxf>
    <dxf>
      <border>
        <left/>
        <right/>
        <top/>
        <bottom/>
        <vertical/>
        <horizontal/>
      </border>
    </dxf>
    <dxf>
      <border>
        <left/>
        <right/>
        <top/>
        <bottom/>
      </border>
    </dxf>
    <dxf>
      <fill>
        <patternFill>
          <bgColor rgb="FF92D050"/>
        </patternFill>
      </fill>
    </dxf>
    <dxf>
      <font>
        <color theme="0"/>
      </font>
      <fill>
        <patternFill>
          <bgColor rgb="FFFF0000"/>
        </patternFill>
      </fill>
    </dxf>
    <dxf>
      <fill>
        <patternFill>
          <bgColor rgb="FFFFFF00"/>
        </patternFill>
      </fill>
    </dxf>
    <dxf>
      <fill>
        <patternFill>
          <bgColor rgb="FFFFFF00"/>
        </patternFill>
      </fill>
    </dxf>
    <dxf>
      <border>
        <left/>
        <right/>
        <top/>
        <bottom/>
        <vertical/>
        <horizontal/>
      </border>
    </dxf>
    <dxf>
      <border>
        <left/>
        <right/>
        <top/>
        <bottom/>
        <vertical/>
        <horizontal/>
      </border>
    </dxf>
    <dxf>
      <border>
        <left/>
        <right/>
        <top/>
        <bottom/>
      </border>
    </dxf>
    <dxf>
      <fill>
        <patternFill>
          <bgColor rgb="FF92D050"/>
        </patternFill>
      </fill>
    </dxf>
    <dxf>
      <font>
        <color theme="0"/>
      </font>
      <fill>
        <patternFill>
          <bgColor rgb="FFFF0000"/>
        </patternFill>
      </fill>
    </dxf>
    <dxf>
      <fill>
        <patternFill>
          <bgColor rgb="FFFFFF00"/>
        </patternFill>
      </fill>
    </dxf>
    <dxf>
      <fill>
        <patternFill>
          <bgColor rgb="FFFFFF00"/>
        </patternFill>
      </fill>
    </dxf>
    <dxf>
      <border>
        <left/>
        <right/>
        <top/>
        <bottom/>
        <vertical/>
        <horizontal/>
      </border>
    </dxf>
    <dxf>
      <border>
        <left/>
        <right/>
        <top/>
        <bottom/>
        <vertical/>
        <horizontal/>
      </border>
    </dxf>
    <dxf>
      <border>
        <left/>
        <right/>
        <top/>
        <bottom/>
      </border>
    </dxf>
    <dxf>
      <fill>
        <patternFill>
          <bgColor rgb="FF92D050"/>
        </patternFill>
      </fill>
    </dxf>
    <dxf>
      <font>
        <color theme="0"/>
      </font>
      <fill>
        <patternFill>
          <bgColor rgb="FFFF0000"/>
        </patternFill>
      </fill>
    </dxf>
    <dxf>
      <fill>
        <patternFill>
          <bgColor rgb="FFFFFF00"/>
        </patternFill>
      </fill>
    </dxf>
    <dxf>
      <fill>
        <patternFill>
          <bgColor rgb="FFFFFF00"/>
        </patternFill>
      </fill>
    </dxf>
    <dxf>
      <border>
        <left/>
        <right/>
        <top/>
        <bottom/>
        <vertical/>
        <horizontal/>
      </border>
    </dxf>
    <dxf>
      <border>
        <left/>
        <right/>
        <top/>
        <bottom/>
        <vertical/>
        <horizontal/>
      </border>
    </dxf>
    <dxf>
      <border>
        <left/>
        <right/>
        <top/>
        <bottom/>
      </border>
    </dxf>
    <dxf>
      <fill>
        <patternFill>
          <bgColor rgb="FF92D050"/>
        </patternFill>
      </fill>
    </dxf>
    <dxf>
      <font>
        <color theme="0"/>
      </font>
      <fill>
        <patternFill>
          <bgColor rgb="FFFF0000"/>
        </patternFill>
      </fill>
    </dxf>
    <dxf>
      <fill>
        <patternFill>
          <bgColor rgb="FFFFFF00"/>
        </patternFill>
      </fill>
    </dxf>
    <dxf>
      <fill>
        <patternFill>
          <bgColor rgb="FFFFFF00"/>
        </patternFill>
      </fill>
    </dxf>
    <dxf>
      <border>
        <left/>
        <right/>
        <top/>
        <bottom/>
        <vertical/>
        <horizontal/>
      </border>
    </dxf>
    <dxf>
      <border>
        <left/>
        <right/>
        <top/>
        <bottom/>
        <vertical/>
        <horizontal/>
      </border>
    </dxf>
    <dxf>
      <border>
        <left/>
        <right/>
        <top/>
        <bottom/>
      </border>
    </dxf>
    <dxf>
      <font>
        <color theme="0"/>
      </font>
      <fill>
        <patternFill>
          <bgColor rgb="FFFF0000"/>
        </patternFill>
      </fill>
    </dxf>
    <dxf>
      <fill>
        <patternFill>
          <bgColor rgb="FF92D050"/>
        </patternFill>
      </fill>
    </dxf>
    <dxf>
      <fill>
        <patternFill>
          <bgColor rgb="FFFFFF00"/>
        </patternFill>
      </fill>
    </dxf>
    <dxf>
      <fill>
        <patternFill>
          <bgColor rgb="FFFFFF00"/>
        </patternFill>
      </fill>
    </dxf>
    <dxf>
      <border>
        <left/>
        <right/>
        <top/>
        <bottom/>
        <vertical/>
        <horizontal/>
      </border>
    </dxf>
    <dxf>
      <border>
        <left/>
        <right/>
        <top/>
        <bottom/>
        <vertical/>
        <horizontal/>
      </border>
    </dxf>
    <dxf>
      <border>
        <left/>
        <right/>
        <top/>
        <bottom/>
      </border>
    </dxf>
    <dxf>
      <fill>
        <patternFill>
          <bgColor rgb="FFFFFF00"/>
        </patternFill>
      </fill>
    </dxf>
    <dxf>
      <font>
        <color theme="0"/>
      </font>
      <fill>
        <patternFill>
          <bgColor rgb="FFFF0000"/>
        </patternFill>
      </fill>
    </dxf>
    <dxf>
      <fill>
        <patternFill>
          <bgColor rgb="FF92D050"/>
        </patternFill>
      </fill>
    </dxf>
    <dxf>
      <fill>
        <patternFill>
          <bgColor rgb="FFFFFF00"/>
        </patternFill>
      </fill>
    </dxf>
    <dxf>
      <border>
        <left/>
        <right/>
        <top/>
        <bottom/>
        <vertical/>
        <horizontal/>
      </border>
    </dxf>
    <dxf>
      <border>
        <left/>
        <right/>
        <top/>
        <bottom/>
        <vertical/>
        <horizontal/>
      </border>
    </dxf>
    <dxf>
      <border>
        <left/>
        <right/>
        <top/>
        <bottom/>
      </border>
    </dxf>
    <dxf>
      <fill>
        <patternFill>
          <bgColor rgb="FF92D050"/>
        </patternFill>
      </fill>
    </dxf>
    <dxf>
      <font>
        <color theme="0"/>
      </font>
      <fill>
        <patternFill>
          <bgColor rgb="FFFF0000"/>
        </patternFill>
      </fill>
    </dxf>
    <dxf>
      <fill>
        <patternFill>
          <bgColor rgb="FFFFFF00"/>
        </patternFill>
      </fill>
    </dxf>
    <dxf>
      <fill>
        <patternFill>
          <bgColor rgb="FFFFFF00"/>
        </patternFill>
      </fill>
    </dxf>
    <dxf>
      <border>
        <left/>
        <right/>
        <top/>
        <bottom/>
        <vertical/>
        <horizontal/>
      </border>
    </dxf>
    <dxf>
      <border>
        <left/>
        <right/>
        <top/>
        <bottom/>
        <vertical/>
        <horizontal/>
      </border>
    </dxf>
    <dxf>
      <border>
        <left/>
        <right/>
        <top/>
        <bottom/>
      </border>
    </dxf>
    <dxf>
      <fill>
        <patternFill>
          <bgColor rgb="FF92D050"/>
        </patternFill>
      </fill>
    </dxf>
    <dxf>
      <font>
        <color theme="0"/>
      </font>
      <fill>
        <patternFill>
          <bgColor rgb="FFFF0000"/>
        </patternFill>
      </fill>
    </dxf>
    <dxf>
      <fill>
        <patternFill>
          <bgColor rgb="FFFFFF00"/>
        </patternFill>
      </fill>
    </dxf>
    <dxf>
      <fill>
        <patternFill>
          <bgColor rgb="FFFFFF00"/>
        </patternFill>
      </fill>
    </dxf>
    <dxf>
      <border>
        <left/>
        <right/>
        <top/>
        <bottom/>
        <vertical/>
        <horizontal/>
      </border>
    </dxf>
    <dxf>
      <border>
        <left/>
        <right/>
        <top/>
        <bottom/>
        <vertical/>
        <horizontal/>
      </border>
    </dxf>
    <dxf>
      <border>
        <left/>
        <right/>
        <top/>
        <bottom/>
      </border>
    </dxf>
    <dxf>
      <font>
        <color theme="0"/>
      </font>
      <fill>
        <patternFill>
          <bgColor rgb="FFFF0000"/>
        </patternFill>
      </fill>
    </dxf>
    <dxf>
      <fill>
        <patternFill>
          <bgColor rgb="FF92D050"/>
        </patternFill>
      </fill>
    </dxf>
    <dxf>
      <fill>
        <patternFill>
          <bgColor rgb="FFFFFF00"/>
        </patternFill>
      </fill>
    </dxf>
    <dxf>
      <fill>
        <patternFill>
          <bgColor rgb="FFFFFF00"/>
        </patternFill>
      </fill>
    </dxf>
    <dxf>
      <border>
        <left/>
        <right/>
        <top/>
        <bottom/>
        <vertical/>
        <horizontal/>
      </border>
    </dxf>
    <dxf>
      <border>
        <left/>
        <right/>
        <top/>
        <bottom/>
        <vertical/>
        <horizontal/>
      </border>
    </dxf>
    <dxf>
      <border>
        <left/>
        <right/>
        <top/>
        <bottom/>
      </border>
    </dxf>
    <dxf>
      <fill>
        <patternFill>
          <bgColor rgb="FFFFFF00"/>
        </patternFill>
      </fill>
    </dxf>
    <dxf>
      <font>
        <color theme="0"/>
      </font>
      <fill>
        <patternFill>
          <bgColor rgb="FFFF0000"/>
        </patternFill>
      </fill>
    </dxf>
    <dxf>
      <fill>
        <patternFill>
          <bgColor rgb="FF92D050"/>
        </patternFill>
      </fill>
    </dxf>
    <dxf>
      <fill>
        <patternFill>
          <bgColor rgb="FFFFFF00"/>
        </patternFill>
      </fill>
    </dxf>
    <dxf>
      <border>
        <left/>
        <right/>
        <top/>
        <bottom/>
        <vertical/>
        <horizontal/>
      </border>
    </dxf>
    <dxf>
      <border>
        <left/>
        <right/>
        <top/>
        <bottom/>
        <vertical/>
        <horizontal/>
      </border>
    </dxf>
    <dxf>
      <border>
        <left/>
        <right/>
        <top/>
        <bottom/>
      </border>
    </dxf>
    <dxf>
      <fill>
        <patternFill>
          <bgColor rgb="FF92D050"/>
        </patternFill>
      </fill>
    </dxf>
    <dxf>
      <font>
        <color theme="0"/>
      </font>
      <fill>
        <patternFill>
          <bgColor rgb="FFFF0000"/>
        </patternFill>
      </fill>
    </dxf>
    <dxf>
      <fill>
        <patternFill>
          <bgColor rgb="FFFFFF00"/>
        </patternFill>
      </fill>
    </dxf>
    <dxf>
      <fill>
        <patternFill>
          <bgColor rgb="FFFFFF00"/>
        </patternFill>
      </fill>
    </dxf>
    <dxf>
      <border>
        <left/>
        <right/>
        <top/>
        <bottom/>
        <vertical/>
        <horizontal/>
      </border>
    </dxf>
    <dxf>
      <border>
        <left/>
        <right/>
        <top/>
        <bottom/>
        <vertical/>
        <horizontal/>
      </border>
    </dxf>
    <dxf>
      <border>
        <left/>
        <right/>
        <top/>
        <bottom/>
      </border>
    </dxf>
    <dxf>
      <fill>
        <patternFill>
          <bgColor rgb="FFFFFF00"/>
        </patternFill>
      </fill>
    </dxf>
    <dxf>
      <font>
        <color theme="0"/>
      </font>
      <fill>
        <patternFill>
          <bgColor rgb="FFFF0000"/>
        </patternFill>
      </fill>
    </dxf>
    <dxf>
      <fill>
        <patternFill>
          <bgColor rgb="FF92D050"/>
        </patternFill>
      </fill>
    </dxf>
    <dxf>
      <fill>
        <patternFill>
          <bgColor rgb="FFFFFF00"/>
        </patternFill>
      </fill>
    </dxf>
    <dxf>
      <border>
        <left/>
        <right/>
        <top/>
        <bottom/>
        <vertical/>
        <horizontal/>
      </border>
    </dxf>
    <dxf>
      <border>
        <left/>
        <right/>
        <top/>
        <bottom/>
        <vertical/>
        <horizontal/>
      </border>
    </dxf>
    <dxf>
      <border>
        <left/>
        <right/>
        <top/>
        <bottom/>
      </border>
    </dxf>
    <dxf>
      <fill>
        <patternFill>
          <bgColor rgb="FFFFFF00"/>
        </patternFill>
      </fill>
    </dxf>
    <dxf>
      <font>
        <color theme="0"/>
      </font>
      <fill>
        <patternFill>
          <bgColor rgb="FFFF0000"/>
        </patternFill>
      </fill>
    </dxf>
    <dxf>
      <fill>
        <patternFill>
          <bgColor rgb="FF92D050"/>
        </patternFill>
      </fill>
    </dxf>
    <dxf>
      <fill>
        <patternFill>
          <bgColor rgb="FFFFFF00"/>
        </patternFill>
      </fill>
    </dxf>
    <dxf>
      <border>
        <left/>
        <right/>
        <top/>
        <bottom/>
        <vertical/>
        <horizontal/>
      </border>
    </dxf>
    <dxf>
      <border>
        <left/>
        <right/>
        <top/>
        <bottom/>
        <vertical/>
        <horizontal/>
      </border>
    </dxf>
    <dxf>
      <border>
        <left/>
        <right/>
        <top/>
        <bottom/>
      </border>
    </dxf>
    <dxf>
      <fill>
        <patternFill>
          <bgColor rgb="FF92D050"/>
        </patternFill>
      </fill>
    </dxf>
    <dxf>
      <font>
        <color theme="0"/>
      </font>
      <fill>
        <patternFill>
          <bgColor rgb="FFFF0000"/>
        </patternFill>
      </fill>
    </dxf>
    <dxf>
      <fill>
        <patternFill>
          <bgColor rgb="FFFFFF00"/>
        </patternFill>
      </fill>
    </dxf>
    <dxf>
      <fill>
        <patternFill>
          <bgColor rgb="FFFFFF00"/>
        </patternFill>
      </fill>
    </dxf>
    <dxf>
      <border>
        <left/>
        <right/>
        <top/>
        <bottom/>
        <vertical/>
        <horizontal/>
      </border>
    </dxf>
    <dxf>
      <border>
        <left/>
        <right/>
        <top/>
        <bottom/>
        <vertical/>
        <horizontal/>
      </border>
    </dxf>
    <dxf>
      <border>
        <left/>
        <right/>
        <top/>
        <bottom/>
      </border>
    </dxf>
    <dxf>
      <fill>
        <patternFill>
          <bgColor rgb="FF92D050"/>
        </patternFill>
      </fill>
    </dxf>
    <dxf>
      <font>
        <color theme="0"/>
      </font>
      <fill>
        <patternFill>
          <bgColor rgb="FFFF0000"/>
        </patternFill>
      </fill>
    </dxf>
    <dxf>
      <fill>
        <patternFill>
          <bgColor rgb="FFFFFF00"/>
        </patternFill>
      </fill>
    </dxf>
    <dxf>
      <fill>
        <patternFill>
          <bgColor rgb="FFFFFF00"/>
        </patternFill>
      </fill>
    </dxf>
    <dxf>
      <border>
        <left/>
        <right/>
        <top/>
        <bottom/>
        <vertical/>
        <horizontal/>
      </border>
    </dxf>
    <dxf>
      <border>
        <left/>
        <right/>
        <top/>
        <bottom/>
        <vertical/>
        <horizontal/>
      </border>
    </dxf>
    <dxf>
      <border>
        <left/>
        <right/>
        <top/>
        <bottom/>
      </border>
    </dxf>
    <dxf>
      <fill>
        <patternFill>
          <bgColor rgb="FFFFFF00"/>
        </patternFill>
      </fill>
    </dxf>
    <dxf>
      <fill>
        <patternFill>
          <bgColor rgb="FF92D050"/>
        </patternFill>
      </fill>
    </dxf>
    <dxf>
      <font>
        <color theme="0"/>
      </font>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3" Type="http://schemas.openxmlformats.org/officeDocument/2006/relationships/image" Target="../media/image6.emf"/><Relationship Id="rId2" Type="http://schemas.openxmlformats.org/officeDocument/2006/relationships/image" Target="../media/image5.emf"/><Relationship Id="rId1" Type="http://schemas.openxmlformats.org/officeDocument/2006/relationships/image" Target="../media/image4.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27</xdr:col>
      <xdr:colOff>139700</xdr:colOff>
      <xdr:row>0</xdr:row>
      <xdr:rowOff>76200</xdr:rowOff>
    </xdr:from>
    <xdr:to>
      <xdr:col>27</xdr:col>
      <xdr:colOff>1587500</xdr:colOff>
      <xdr:row>0</xdr:row>
      <xdr:rowOff>368300</xdr:rowOff>
    </xdr:to>
    <xdr:sp macro="" textlink="">
      <xdr:nvSpPr>
        <xdr:cNvPr id="13313" name="CommandButton1" hidden="1">
          <a:extLst>
            <a:ext uri="{63B3BB69-23CF-44E3-9099-C40C66FF867C}">
              <a14:compatExt xmlns:a14="http://schemas.microsoft.com/office/drawing/2010/main" spid="_x0000_s13313"/>
            </a:ext>
            <a:ext uri="{FF2B5EF4-FFF2-40B4-BE49-F238E27FC236}">
              <a16:creationId xmlns:a16="http://schemas.microsoft.com/office/drawing/2014/main" id="{00000000-0008-0000-0000-0000013400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27</xdr:col>
      <xdr:colOff>1765300</xdr:colOff>
      <xdr:row>0</xdr:row>
      <xdr:rowOff>76200</xdr:rowOff>
    </xdr:from>
    <xdr:to>
      <xdr:col>28</xdr:col>
      <xdr:colOff>25400</xdr:colOff>
      <xdr:row>0</xdr:row>
      <xdr:rowOff>368300</xdr:rowOff>
    </xdr:to>
    <xdr:sp macro="" textlink="">
      <xdr:nvSpPr>
        <xdr:cNvPr id="13314" name="SpellCheck_Sheet" hidden="1">
          <a:extLst>
            <a:ext uri="{63B3BB69-23CF-44E3-9099-C40C66FF867C}">
              <a14:compatExt xmlns:a14="http://schemas.microsoft.com/office/drawing/2010/main" spid="_x0000_s13314"/>
            </a:ext>
            <a:ext uri="{FF2B5EF4-FFF2-40B4-BE49-F238E27FC236}">
              <a16:creationId xmlns:a16="http://schemas.microsoft.com/office/drawing/2014/main" id="{00000000-0008-0000-0000-0000023400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27</xdr:col>
      <xdr:colOff>139700</xdr:colOff>
      <xdr:row>0</xdr:row>
      <xdr:rowOff>76200</xdr:rowOff>
    </xdr:from>
    <xdr:to>
      <xdr:col>27</xdr:col>
      <xdr:colOff>1587500</xdr:colOff>
      <xdr:row>0</xdr:row>
      <xdr:rowOff>368300</xdr:rowOff>
    </xdr:to>
    <xdr:pic>
      <xdr:nvPicPr>
        <xdr:cNvPr id="2" name="CommandButton1">
          <a:extLst>
            <a:ext uri="{FF2B5EF4-FFF2-40B4-BE49-F238E27FC236}">
              <a16:creationId xmlns:a16="http://schemas.microsoft.com/office/drawing/2014/main" id="{34FA275F-E4ED-D82B-E428-5AA7829C9C8A}"/>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15400" y="76200"/>
          <a:ext cx="1447800" cy="2921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27</xdr:col>
      <xdr:colOff>1765300</xdr:colOff>
      <xdr:row>0</xdr:row>
      <xdr:rowOff>76200</xdr:rowOff>
    </xdr:from>
    <xdr:to>
      <xdr:col>28</xdr:col>
      <xdr:colOff>25400</xdr:colOff>
      <xdr:row>0</xdr:row>
      <xdr:rowOff>368300</xdr:rowOff>
    </xdr:to>
    <xdr:pic>
      <xdr:nvPicPr>
        <xdr:cNvPr id="3" name="SpellCheck_Sheet">
          <a:extLst>
            <a:ext uri="{FF2B5EF4-FFF2-40B4-BE49-F238E27FC236}">
              <a16:creationId xmlns:a16="http://schemas.microsoft.com/office/drawing/2014/main" id="{CC50C581-E868-4EF0-2896-7E45943E15A5}"/>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41000" y="76200"/>
          <a:ext cx="1701800" cy="2921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22</xdr:col>
      <xdr:colOff>101600</xdr:colOff>
      <xdr:row>0</xdr:row>
      <xdr:rowOff>50800</xdr:rowOff>
    </xdr:from>
    <xdr:to>
      <xdr:col>22</xdr:col>
      <xdr:colOff>1739900</xdr:colOff>
      <xdr:row>0</xdr:row>
      <xdr:rowOff>419100</xdr:rowOff>
    </xdr:to>
    <xdr:sp macro="" textlink="">
      <xdr:nvSpPr>
        <xdr:cNvPr id="3073" name="CommandButton1" hidden="1">
          <a:extLst>
            <a:ext uri="{63B3BB69-23CF-44E3-9099-C40C66FF867C}">
              <a14:compatExt xmlns:a14="http://schemas.microsoft.com/office/drawing/2010/main" spid="_x0000_s3073"/>
            </a:ext>
            <a:ext uri="{FF2B5EF4-FFF2-40B4-BE49-F238E27FC236}">
              <a16:creationId xmlns:a16="http://schemas.microsoft.com/office/drawing/2014/main" id="{00000000-0008-0000-0100-0000010C00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9</xdr:col>
      <xdr:colOff>254000</xdr:colOff>
      <xdr:row>19</xdr:row>
      <xdr:rowOff>12700</xdr:rowOff>
    </xdr:from>
    <xdr:to>
      <xdr:col>11</xdr:col>
      <xdr:colOff>0</xdr:colOff>
      <xdr:row>19</xdr:row>
      <xdr:rowOff>304800</xdr:rowOff>
    </xdr:to>
    <xdr:sp macro="" textlink="">
      <xdr:nvSpPr>
        <xdr:cNvPr id="3083" name="PIV_Loft_Section_Zero" hidden="1">
          <a:extLst>
            <a:ext uri="{63B3BB69-23CF-44E3-9099-C40C66FF867C}">
              <a14:compatExt xmlns:a14="http://schemas.microsoft.com/office/drawing/2010/main" spid="_x0000_s3083"/>
            </a:ext>
            <a:ext uri="{FF2B5EF4-FFF2-40B4-BE49-F238E27FC236}">
              <a16:creationId xmlns:a16="http://schemas.microsoft.com/office/drawing/2014/main" id="{00000000-0008-0000-0100-00000B0C00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9</xdr:col>
      <xdr:colOff>241300</xdr:colOff>
      <xdr:row>26</xdr:row>
      <xdr:rowOff>12700</xdr:rowOff>
    </xdr:from>
    <xdr:to>
      <xdr:col>10</xdr:col>
      <xdr:colOff>800100</xdr:colOff>
      <xdr:row>26</xdr:row>
      <xdr:rowOff>304800</xdr:rowOff>
    </xdr:to>
    <xdr:sp macro="" textlink="">
      <xdr:nvSpPr>
        <xdr:cNvPr id="3084" name="PIV_Wall_Mounted_Section_Zero" hidden="1">
          <a:extLst>
            <a:ext uri="{63B3BB69-23CF-44E3-9099-C40C66FF867C}">
              <a14:compatExt xmlns:a14="http://schemas.microsoft.com/office/drawing/2010/main" spid="_x0000_s3084"/>
            </a:ext>
            <a:ext uri="{FF2B5EF4-FFF2-40B4-BE49-F238E27FC236}">
              <a16:creationId xmlns:a16="http://schemas.microsoft.com/office/drawing/2014/main" id="{00000000-0008-0000-0100-00000C0C00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9</xdr:col>
      <xdr:colOff>228600</xdr:colOff>
      <xdr:row>60</xdr:row>
      <xdr:rowOff>12700</xdr:rowOff>
    </xdr:from>
    <xdr:to>
      <xdr:col>10</xdr:col>
      <xdr:colOff>800100</xdr:colOff>
      <xdr:row>60</xdr:row>
      <xdr:rowOff>304800</xdr:rowOff>
    </xdr:to>
    <xdr:sp macro="" textlink="">
      <xdr:nvSpPr>
        <xdr:cNvPr id="3085" name="Joinery_Section_Zero" hidden="1">
          <a:extLst>
            <a:ext uri="{63B3BB69-23CF-44E3-9099-C40C66FF867C}">
              <a14:compatExt xmlns:a14="http://schemas.microsoft.com/office/drawing/2010/main" spid="_x0000_s3085"/>
            </a:ext>
            <a:ext uri="{FF2B5EF4-FFF2-40B4-BE49-F238E27FC236}">
              <a16:creationId xmlns:a16="http://schemas.microsoft.com/office/drawing/2014/main" id="{00000000-0008-0000-0100-00000D0C00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9</xdr:col>
      <xdr:colOff>241300</xdr:colOff>
      <xdr:row>68</xdr:row>
      <xdr:rowOff>12700</xdr:rowOff>
    </xdr:from>
    <xdr:to>
      <xdr:col>10</xdr:col>
      <xdr:colOff>800100</xdr:colOff>
      <xdr:row>68</xdr:row>
      <xdr:rowOff>304800</xdr:rowOff>
    </xdr:to>
    <xdr:sp macro="" textlink="">
      <xdr:nvSpPr>
        <xdr:cNvPr id="3086" name="Loft_Hatch_Existing_Section_Zero" hidden="1">
          <a:extLst>
            <a:ext uri="{63B3BB69-23CF-44E3-9099-C40C66FF867C}">
              <a14:compatExt xmlns:a14="http://schemas.microsoft.com/office/drawing/2010/main" spid="_x0000_s3086"/>
            </a:ext>
            <a:ext uri="{FF2B5EF4-FFF2-40B4-BE49-F238E27FC236}">
              <a16:creationId xmlns:a16="http://schemas.microsoft.com/office/drawing/2014/main" id="{00000000-0008-0000-0100-00000E0C00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9</xdr:col>
      <xdr:colOff>241300</xdr:colOff>
      <xdr:row>64</xdr:row>
      <xdr:rowOff>25400</xdr:rowOff>
    </xdr:from>
    <xdr:to>
      <xdr:col>11</xdr:col>
      <xdr:colOff>0</xdr:colOff>
      <xdr:row>64</xdr:row>
      <xdr:rowOff>317500</xdr:rowOff>
    </xdr:to>
    <xdr:sp macro="" textlink="">
      <xdr:nvSpPr>
        <xdr:cNvPr id="3087" name="Loft_Hatch_New_Section_Zero" hidden="1">
          <a:extLst>
            <a:ext uri="{63B3BB69-23CF-44E3-9099-C40C66FF867C}">
              <a14:compatExt xmlns:a14="http://schemas.microsoft.com/office/drawing/2010/main" spid="_x0000_s3087"/>
            </a:ext>
            <a:ext uri="{FF2B5EF4-FFF2-40B4-BE49-F238E27FC236}">
              <a16:creationId xmlns:a16="http://schemas.microsoft.com/office/drawing/2014/main" id="{00000000-0008-0000-0100-00000F0C00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9</xdr:col>
      <xdr:colOff>241300</xdr:colOff>
      <xdr:row>80</xdr:row>
      <xdr:rowOff>0</xdr:rowOff>
    </xdr:from>
    <xdr:to>
      <xdr:col>10</xdr:col>
      <xdr:colOff>800100</xdr:colOff>
      <xdr:row>80</xdr:row>
      <xdr:rowOff>292100</xdr:rowOff>
    </xdr:to>
    <xdr:sp macro="" textlink="">
      <xdr:nvSpPr>
        <xdr:cNvPr id="3088" name="Plastering_Section_Zero" hidden="1">
          <a:extLst>
            <a:ext uri="{63B3BB69-23CF-44E3-9099-C40C66FF867C}">
              <a14:compatExt xmlns:a14="http://schemas.microsoft.com/office/drawing/2010/main" spid="_x0000_s3088"/>
            </a:ext>
            <a:ext uri="{FF2B5EF4-FFF2-40B4-BE49-F238E27FC236}">
              <a16:creationId xmlns:a16="http://schemas.microsoft.com/office/drawing/2014/main" id="{00000000-0008-0000-0100-0000100C00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9</xdr:col>
      <xdr:colOff>254000</xdr:colOff>
      <xdr:row>80</xdr:row>
      <xdr:rowOff>0</xdr:rowOff>
    </xdr:from>
    <xdr:to>
      <xdr:col>11</xdr:col>
      <xdr:colOff>0</xdr:colOff>
      <xdr:row>80</xdr:row>
      <xdr:rowOff>292100</xdr:rowOff>
    </xdr:to>
    <xdr:sp macro="" textlink="">
      <xdr:nvSpPr>
        <xdr:cNvPr id="3089" name="Floor_Joists_Section_Zero" hidden="1">
          <a:extLst>
            <a:ext uri="{63B3BB69-23CF-44E3-9099-C40C66FF867C}">
              <a14:compatExt xmlns:a14="http://schemas.microsoft.com/office/drawing/2010/main" spid="_x0000_s3089"/>
            </a:ext>
            <a:ext uri="{FF2B5EF4-FFF2-40B4-BE49-F238E27FC236}">
              <a16:creationId xmlns:a16="http://schemas.microsoft.com/office/drawing/2014/main" id="{00000000-0008-0000-0100-0000110C00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9</xdr:col>
      <xdr:colOff>254000</xdr:colOff>
      <xdr:row>80</xdr:row>
      <xdr:rowOff>0</xdr:rowOff>
    </xdr:from>
    <xdr:to>
      <xdr:col>11</xdr:col>
      <xdr:colOff>0</xdr:colOff>
      <xdr:row>80</xdr:row>
      <xdr:rowOff>292100</xdr:rowOff>
    </xdr:to>
    <xdr:sp macro="" textlink="">
      <xdr:nvSpPr>
        <xdr:cNvPr id="3090" name="Floor_Deck_Section_Zero" hidden="1">
          <a:extLst>
            <a:ext uri="{63B3BB69-23CF-44E3-9099-C40C66FF867C}">
              <a14:compatExt xmlns:a14="http://schemas.microsoft.com/office/drawing/2010/main" spid="_x0000_s3090"/>
            </a:ext>
            <a:ext uri="{FF2B5EF4-FFF2-40B4-BE49-F238E27FC236}">
              <a16:creationId xmlns:a16="http://schemas.microsoft.com/office/drawing/2014/main" id="{00000000-0008-0000-0100-0000120C00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9</xdr:col>
      <xdr:colOff>241300</xdr:colOff>
      <xdr:row>80</xdr:row>
      <xdr:rowOff>12700</xdr:rowOff>
    </xdr:from>
    <xdr:to>
      <xdr:col>11</xdr:col>
      <xdr:colOff>0</xdr:colOff>
      <xdr:row>80</xdr:row>
      <xdr:rowOff>304800</xdr:rowOff>
    </xdr:to>
    <xdr:sp macro="" textlink="">
      <xdr:nvSpPr>
        <xdr:cNvPr id="3091" name="Airbricks_Section_Zero" hidden="1">
          <a:extLst>
            <a:ext uri="{63B3BB69-23CF-44E3-9099-C40C66FF867C}">
              <a14:compatExt xmlns:a14="http://schemas.microsoft.com/office/drawing/2010/main" spid="_x0000_s3091"/>
            </a:ext>
            <a:ext uri="{FF2B5EF4-FFF2-40B4-BE49-F238E27FC236}">
              <a16:creationId xmlns:a16="http://schemas.microsoft.com/office/drawing/2014/main" id="{00000000-0008-0000-0100-0000130C00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9</xdr:col>
      <xdr:colOff>241300</xdr:colOff>
      <xdr:row>86</xdr:row>
      <xdr:rowOff>0</xdr:rowOff>
    </xdr:from>
    <xdr:to>
      <xdr:col>11</xdr:col>
      <xdr:colOff>0</xdr:colOff>
      <xdr:row>86</xdr:row>
      <xdr:rowOff>292100</xdr:rowOff>
    </xdr:to>
    <xdr:sp macro="" textlink="">
      <xdr:nvSpPr>
        <xdr:cNvPr id="3092" name="Spray_Treatments_Section_Zero" hidden="1">
          <a:extLst>
            <a:ext uri="{63B3BB69-23CF-44E3-9099-C40C66FF867C}">
              <a14:compatExt xmlns:a14="http://schemas.microsoft.com/office/drawing/2010/main" spid="_x0000_s3092"/>
            </a:ext>
            <a:ext uri="{FF2B5EF4-FFF2-40B4-BE49-F238E27FC236}">
              <a16:creationId xmlns:a16="http://schemas.microsoft.com/office/drawing/2014/main" id="{00000000-0008-0000-0100-0000140C00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9</xdr:col>
      <xdr:colOff>241300</xdr:colOff>
      <xdr:row>86</xdr:row>
      <xdr:rowOff>0</xdr:rowOff>
    </xdr:from>
    <xdr:to>
      <xdr:col>10</xdr:col>
      <xdr:colOff>800100</xdr:colOff>
      <xdr:row>86</xdr:row>
      <xdr:rowOff>292100</xdr:rowOff>
    </xdr:to>
    <xdr:sp macro="" textlink="">
      <xdr:nvSpPr>
        <xdr:cNvPr id="3093" name="Drains_Section_Zero" hidden="1">
          <a:extLst>
            <a:ext uri="{63B3BB69-23CF-44E3-9099-C40C66FF867C}">
              <a14:compatExt xmlns:a14="http://schemas.microsoft.com/office/drawing/2010/main" spid="_x0000_s3093"/>
            </a:ext>
            <a:ext uri="{FF2B5EF4-FFF2-40B4-BE49-F238E27FC236}">
              <a16:creationId xmlns:a16="http://schemas.microsoft.com/office/drawing/2014/main" id="{00000000-0008-0000-0100-0000150C00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9</xdr:col>
      <xdr:colOff>241300</xdr:colOff>
      <xdr:row>86</xdr:row>
      <xdr:rowOff>0</xdr:rowOff>
    </xdr:from>
    <xdr:to>
      <xdr:col>10</xdr:col>
      <xdr:colOff>800100</xdr:colOff>
      <xdr:row>86</xdr:row>
      <xdr:rowOff>292100</xdr:rowOff>
    </xdr:to>
    <xdr:sp macro="" textlink="">
      <xdr:nvSpPr>
        <xdr:cNvPr id="3094" name="Ancillaries_Section_Zero" hidden="1">
          <a:extLst>
            <a:ext uri="{63B3BB69-23CF-44E3-9099-C40C66FF867C}">
              <a14:compatExt xmlns:a14="http://schemas.microsoft.com/office/drawing/2010/main" spid="_x0000_s3094"/>
            </a:ext>
            <a:ext uri="{FF2B5EF4-FFF2-40B4-BE49-F238E27FC236}">
              <a16:creationId xmlns:a16="http://schemas.microsoft.com/office/drawing/2014/main" id="{00000000-0008-0000-0100-0000160C00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9</xdr:col>
      <xdr:colOff>241300</xdr:colOff>
      <xdr:row>86</xdr:row>
      <xdr:rowOff>12700</xdr:rowOff>
    </xdr:from>
    <xdr:to>
      <xdr:col>10</xdr:col>
      <xdr:colOff>800100</xdr:colOff>
      <xdr:row>86</xdr:row>
      <xdr:rowOff>304800</xdr:rowOff>
    </xdr:to>
    <xdr:sp macro="" textlink="">
      <xdr:nvSpPr>
        <xdr:cNvPr id="3095" name="Skip_Hire_Section_Zero" hidden="1">
          <a:extLst>
            <a:ext uri="{63B3BB69-23CF-44E3-9099-C40C66FF867C}">
              <a14:compatExt xmlns:a14="http://schemas.microsoft.com/office/drawing/2010/main" spid="_x0000_s3095"/>
            </a:ext>
            <a:ext uri="{FF2B5EF4-FFF2-40B4-BE49-F238E27FC236}">
              <a16:creationId xmlns:a16="http://schemas.microsoft.com/office/drawing/2014/main" id="{00000000-0008-0000-0100-0000170C00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9</xdr:col>
      <xdr:colOff>241300</xdr:colOff>
      <xdr:row>43</xdr:row>
      <xdr:rowOff>25400</xdr:rowOff>
    </xdr:from>
    <xdr:to>
      <xdr:col>10</xdr:col>
      <xdr:colOff>800100</xdr:colOff>
      <xdr:row>44</xdr:row>
      <xdr:rowOff>0</xdr:rowOff>
    </xdr:to>
    <xdr:sp macro="" textlink="">
      <xdr:nvSpPr>
        <xdr:cNvPr id="3096" name="Trickle_Boost_Fan_Section_Zero" hidden="1">
          <a:extLst>
            <a:ext uri="{63B3BB69-23CF-44E3-9099-C40C66FF867C}">
              <a14:compatExt xmlns:a14="http://schemas.microsoft.com/office/drawing/2010/main" spid="_x0000_s3096"/>
            </a:ext>
            <a:ext uri="{FF2B5EF4-FFF2-40B4-BE49-F238E27FC236}">
              <a16:creationId xmlns:a16="http://schemas.microsoft.com/office/drawing/2014/main" id="{00000000-0008-0000-0100-0000180C00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9</xdr:col>
      <xdr:colOff>241300</xdr:colOff>
      <xdr:row>50</xdr:row>
      <xdr:rowOff>25400</xdr:rowOff>
    </xdr:from>
    <xdr:to>
      <xdr:col>10</xdr:col>
      <xdr:colOff>800100</xdr:colOff>
      <xdr:row>51</xdr:row>
      <xdr:rowOff>0</xdr:rowOff>
    </xdr:to>
    <xdr:sp macro="" textlink="">
      <xdr:nvSpPr>
        <xdr:cNvPr id="3097" name="Dryaire_Passive_Vent_Section" hidden="1">
          <a:extLst>
            <a:ext uri="{63B3BB69-23CF-44E3-9099-C40C66FF867C}">
              <a14:compatExt xmlns:a14="http://schemas.microsoft.com/office/drawing/2010/main" spid="_x0000_s3097"/>
            </a:ext>
            <a:ext uri="{FF2B5EF4-FFF2-40B4-BE49-F238E27FC236}">
              <a16:creationId xmlns:a16="http://schemas.microsoft.com/office/drawing/2014/main" id="{00000000-0008-0000-0100-0000190C00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9</xdr:col>
      <xdr:colOff>241300</xdr:colOff>
      <xdr:row>55</xdr:row>
      <xdr:rowOff>12700</xdr:rowOff>
    </xdr:from>
    <xdr:to>
      <xdr:col>10</xdr:col>
      <xdr:colOff>800100</xdr:colOff>
      <xdr:row>55</xdr:row>
      <xdr:rowOff>304800</xdr:rowOff>
    </xdr:to>
    <xdr:sp macro="" textlink="">
      <xdr:nvSpPr>
        <xdr:cNvPr id="3098" name="Dryaire_CVent_Section_Zero" hidden="1">
          <a:extLst>
            <a:ext uri="{63B3BB69-23CF-44E3-9099-C40C66FF867C}">
              <a14:compatExt xmlns:a14="http://schemas.microsoft.com/office/drawing/2010/main" spid="_x0000_s3098"/>
            </a:ext>
            <a:ext uri="{FF2B5EF4-FFF2-40B4-BE49-F238E27FC236}">
              <a16:creationId xmlns:a16="http://schemas.microsoft.com/office/drawing/2014/main" id="{00000000-0008-0000-0100-00001A0C00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9</xdr:col>
      <xdr:colOff>241300</xdr:colOff>
      <xdr:row>72</xdr:row>
      <xdr:rowOff>12700</xdr:rowOff>
    </xdr:from>
    <xdr:to>
      <xdr:col>10</xdr:col>
      <xdr:colOff>800100</xdr:colOff>
      <xdr:row>72</xdr:row>
      <xdr:rowOff>304800</xdr:rowOff>
    </xdr:to>
    <xdr:sp macro="" textlink="">
      <xdr:nvSpPr>
        <xdr:cNvPr id="3099" name="Mould_Treatments_Section_Zero" hidden="1">
          <a:extLst>
            <a:ext uri="{63B3BB69-23CF-44E3-9099-C40C66FF867C}">
              <a14:compatExt xmlns:a14="http://schemas.microsoft.com/office/drawing/2010/main" spid="_x0000_s3099"/>
            </a:ext>
            <a:ext uri="{FF2B5EF4-FFF2-40B4-BE49-F238E27FC236}">
              <a16:creationId xmlns:a16="http://schemas.microsoft.com/office/drawing/2014/main" id="{00000000-0008-0000-0100-00001B0C00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9</xdr:col>
      <xdr:colOff>228600</xdr:colOff>
      <xdr:row>76</xdr:row>
      <xdr:rowOff>25400</xdr:rowOff>
    </xdr:from>
    <xdr:to>
      <xdr:col>10</xdr:col>
      <xdr:colOff>787400</xdr:colOff>
      <xdr:row>77</xdr:row>
      <xdr:rowOff>0</xdr:rowOff>
    </xdr:to>
    <xdr:sp macro="" textlink="">
      <xdr:nvSpPr>
        <xdr:cNvPr id="3100" name="Asbestos_Testing_Section_Zero" hidden="1">
          <a:extLst>
            <a:ext uri="{63B3BB69-23CF-44E3-9099-C40C66FF867C}">
              <a14:compatExt xmlns:a14="http://schemas.microsoft.com/office/drawing/2010/main" spid="_x0000_s3100"/>
            </a:ext>
            <a:ext uri="{FF2B5EF4-FFF2-40B4-BE49-F238E27FC236}">
              <a16:creationId xmlns:a16="http://schemas.microsoft.com/office/drawing/2014/main" id="{00000000-0008-0000-0100-00001C0C00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22</xdr:col>
      <xdr:colOff>101600</xdr:colOff>
      <xdr:row>0</xdr:row>
      <xdr:rowOff>50800</xdr:rowOff>
    </xdr:from>
    <xdr:to>
      <xdr:col>22</xdr:col>
      <xdr:colOff>1739900</xdr:colOff>
      <xdr:row>0</xdr:row>
      <xdr:rowOff>419100</xdr:rowOff>
    </xdr:to>
    <xdr:pic>
      <xdr:nvPicPr>
        <xdr:cNvPr id="2" name="CommandButton1">
          <a:extLst>
            <a:ext uri="{FF2B5EF4-FFF2-40B4-BE49-F238E27FC236}">
              <a16:creationId xmlns:a16="http://schemas.microsoft.com/office/drawing/2014/main" id="{3C4FE5C0-CA58-F6BF-2E36-F9E5FCC8EA5C}"/>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074900" y="50800"/>
          <a:ext cx="1638300" cy="3683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9</xdr:col>
      <xdr:colOff>254000</xdr:colOff>
      <xdr:row>19</xdr:row>
      <xdr:rowOff>12700</xdr:rowOff>
    </xdr:from>
    <xdr:to>
      <xdr:col>11</xdr:col>
      <xdr:colOff>0</xdr:colOff>
      <xdr:row>19</xdr:row>
      <xdr:rowOff>304800</xdr:rowOff>
    </xdr:to>
    <xdr:pic>
      <xdr:nvPicPr>
        <xdr:cNvPr id="3" name="PIV_Loft_Section_Zero">
          <a:extLst>
            <a:ext uri="{FF2B5EF4-FFF2-40B4-BE49-F238E27FC236}">
              <a16:creationId xmlns:a16="http://schemas.microsoft.com/office/drawing/2014/main" id="{C347F1BE-04BA-1951-EE9A-9467C422A1F5}"/>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73800" y="1257300"/>
          <a:ext cx="1066800" cy="2921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9</xdr:col>
      <xdr:colOff>241300</xdr:colOff>
      <xdr:row>26</xdr:row>
      <xdr:rowOff>12700</xdr:rowOff>
    </xdr:from>
    <xdr:to>
      <xdr:col>10</xdr:col>
      <xdr:colOff>800100</xdr:colOff>
      <xdr:row>26</xdr:row>
      <xdr:rowOff>304800</xdr:rowOff>
    </xdr:to>
    <xdr:pic>
      <xdr:nvPicPr>
        <xdr:cNvPr id="4" name="PIV_Wall_Mounted_Section_Zero">
          <a:extLst>
            <a:ext uri="{FF2B5EF4-FFF2-40B4-BE49-F238E27FC236}">
              <a16:creationId xmlns:a16="http://schemas.microsoft.com/office/drawing/2014/main" id="{9C7B5664-7839-52F6-8534-6B5ECB4E1965}"/>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61100" y="2603500"/>
          <a:ext cx="952500" cy="2921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9</xdr:col>
      <xdr:colOff>228600</xdr:colOff>
      <xdr:row>60</xdr:row>
      <xdr:rowOff>12700</xdr:rowOff>
    </xdr:from>
    <xdr:to>
      <xdr:col>10</xdr:col>
      <xdr:colOff>800100</xdr:colOff>
      <xdr:row>60</xdr:row>
      <xdr:rowOff>304800</xdr:rowOff>
    </xdr:to>
    <xdr:pic>
      <xdr:nvPicPr>
        <xdr:cNvPr id="5" name="Joinery_Section_Zero">
          <a:extLst>
            <a:ext uri="{FF2B5EF4-FFF2-40B4-BE49-F238E27FC236}">
              <a16:creationId xmlns:a16="http://schemas.microsoft.com/office/drawing/2014/main" id="{B053AFDE-902C-D81A-5844-4EB6F8F0FE83}"/>
            </a:ext>
          </a:extLst>
        </xdr:cNvPr>
        <xdr:cNvPicPr preferRelativeResize="0">
          <a:picLocks noChangeArrowheads="1" noChangeShapeType="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48400" y="9359900"/>
          <a:ext cx="965200" cy="2921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9</xdr:col>
      <xdr:colOff>241300</xdr:colOff>
      <xdr:row>68</xdr:row>
      <xdr:rowOff>12700</xdr:rowOff>
    </xdr:from>
    <xdr:to>
      <xdr:col>10</xdr:col>
      <xdr:colOff>800100</xdr:colOff>
      <xdr:row>68</xdr:row>
      <xdr:rowOff>304800</xdr:rowOff>
    </xdr:to>
    <xdr:pic>
      <xdr:nvPicPr>
        <xdr:cNvPr id="6" name="Loft_Hatch_Existing_Section_Zero">
          <a:extLst>
            <a:ext uri="{FF2B5EF4-FFF2-40B4-BE49-F238E27FC236}">
              <a16:creationId xmlns:a16="http://schemas.microsoft.com/office/drawing/2014/main" id="{4E82A3D9-0744-992D-526D-A937BD86B3F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61100" y="11493500"/>
          <a:ext cx="952500" cy="2921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9</xdr:col>
      <xdr:colOff>241300</xdr:colOff>
      <xdr:row>64</xdr:row>
      <xdr:rowOff>25400</xdr:rowOff>
    </xdr:from>
    <xdr:to>
      <xdr:col>11</xdr:col>
      <xdr:colOff>0</xdr:colOff>
      <xdr:row>64</xdr:row>
      <xdr:rowOff>317500</xdr:rowOff>
    </xdr:to>
    <xdr:pic>
      <xdr:nvPicPr>
        <xdr:cNvPr id="7" name="Loft_Hatch_New_Section_Zero">
          <a:extLst>
            <a:ext uri="{FF2B5EF4-FFF2-40B4-BE49-F238E27FC236}">
              <a16:creationId xmlns:a16="http://schemas.microsoft.com/office/drawing/2014/main" id="{5E7ED155-4C9C-4C19-4DB7-A474035AF0A4}"/>
            </a:ext>
          </a:extLst>
        </xdr:cNvPr>
        <xdr:cNvPicPr preferRelativeResize="0">
          <a:picLocks noChangeArrowheads="1" noChangeShapeType="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61100" y="10287000"/>
          <a:ext cx="1079500" cy="2921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9</xdr:col>
      <xdr:colOff>241300</xdr:colOff>
      <xdr:row>80</xdr:row>
      <xdr:rowOff>0</xdr:rowOff>
    </xdr:from>
    <xdr:to>
      <xdr:col>10</xdr:col>
      <xdr:colOff>800100</xdr:colOff>
      <xdr:row>80</xdr:row>
      <xdr:rowOff>292100</xdr:rowOff>
    </xdr:to>
    <xdr:pic>
      <xdr:nvPicPr>
        <xdr:cNvPr id="8" name="Plastering_Section_Zero">
          <a:extLst>
            <a:ext uri="{FF2B5EF4-FFF2-40B4-BE49-F238E27FC236}">
              <a16:creationId xmlns:a16="http://schemas.microsoft.com/office/drawing/2014/main" id="{CAAE4882-8DE3-42D0-28E9-B574BE30C7CE}"/>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61100" y="14452600"/>
          <a:ext cx="952500" cy="2921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9</xdr:col>
      <xdr:colOff>254000</xdr:colOff>
      <xdr:row>80</xdr:row>
      <xdr:rowOff>0</xdr:rowOff>
    </xdr:from>
    <xdr:to>
      <xdr:col>11</xdr:col>
      <xdr:colOff>0</xdr:colOff>
      <xdr:row>80</xdr:row>
      <xdr:rowOff>292100</xdr:rowOff>
    </xdr:to>
    <xdr:pic>
      <xdr:nvPicPr>
        <xdr:cNvPr id="9" name="Floor_Joists_Section_Zero">
          <a:extLst>
            <a:ext uri="{FF2B5EF4-FFF2-40B4-BE49-F238E27FC236}">
              <a16:creationId xmlns:a16="http://schemas.microsoft.com/office/drawing/2014/main" id="{25FC3D6B-4731-4052-1D37-9CDD0E400CC1}"/>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73800" y="14452600"/>
          <a:ext cx="1066800" cy="2921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9</xdr:col>
      <xdr:colOff>254000</xdr:colOff>
      <xdr:row>80</xdr:row>
      <xdr:rowOff>0</xdr:rowOff>
    </xdr:from>
    <xdr:to>
      <xdr:col>11</xdr:col>
      <xdr:colOff>0</xdr:colOff>
      <xdr:row>80</xdr:row>
      <xdr:rowOff>292100</xdr:rowOff>
    </xdr:to>
    <xdr:pic>
      <xdr:nvPicPr>
        <xdr:cNvPr id="10" name="Floor_Deck_Section_Zero">
          <a:extLst>
            <a:ext uri="{FF2B5EF4-FFF2-40B4-BE49-F238E27FC236}">
              <a16:creationId xmlns:a16="http://schemas.microsoft.com/office/drawing/2014/main" id="{6FF3FFF0-5D16-2C37-9D3D-B3D2BAE46278}"/>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73800" y="14452600"/>
          <a:ext cx="1066800" cy="2921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9</xdr:col>
      <xdr:colOff>241300</xdr:colOff>
      <xdr:row>80</xdr:row>
      <xdr:rowOff>12700</xdr:rowOff>
    </xdr:from>
    <xdr:to>
      <xdr:col>11</xdr:col>
      <xdr:colOff>0</xdr:colOff>
      <xdr:row>80</xdr:row>
      <xdr:rowOff>304800</xdr:rowOff>
    </xdr:to>
    <xdr:pic>
      <xdr:nvPicPr>
        <xdr:cNvPr id="11" name="Airbricks_Section_Zero">
          <a:extLst>
            <a:ext uri="{FF2B5EF4-FFF2-40B4-BE49-F238E27FC236}">
              <a16:creationId xmlns:a16="http://schemas.microsoft.com/office/drawing/2014/main" id="{344B83BD-9ABD-CF31-4129-EF9CC1D0DA06}"/>
            </a:ext>
          </a:extLst>
        </xdr:cNvPr>
        <xdr:cNvPicPr preferRelativeResize="0">
          <a:picLocks noChangeArrowheads="1" noChangeShapeType="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61100" y="14465300"/>
          <a:ext cx="1079500" cy="2921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9</xdr:col>
      <xdr:colOff>241300</xdr:colOff>
      <xdr:row>86</xdr:row>
      <xdr:rowOff>0</xdr:rowOff>
    </xdr:from>
    <xdr:to>
      <xdr:col>11</xdr:col>
      <xdr:colOff>0</xdr:colOff>
      <xdr:row>86</xdr:row>
      <xdr:rowOff>292100</xdr:rowOff>
    </xdr:to>
    <xdr:pic>
      <xdr:nvPicPr>
        <xdr:cNvPr id="12" name="Spray_Treatments_Section_Zero">
          <a:extLst>
            <a:ext uri="{FF2B5EF4-FFF2-40B4-BE49-F238E27FC236}">
              <a16:creationId xmlns:a16="http://schemas.microsoft.com/office/drawing/2014/main" id="{9106258D-1CAA-B372-D5A6-D0EEA1087ABB}"/>
            </a:ext>
          </a:extLst>
        </xdr:cNvPr>
        <xdr:cNvPicPr preferRelativeResize="0">
          <a:picLocks noChangeArrowheads="1" noChangeShapeType="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61100" y="15646400"/>
          <a:ext cx="1079500" cy="2921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9</xdr:col>
      <xdr:colOff>241300</xdr:colOff>
      <xdr:row>86</xdr:row>
      <xdr:rowOff>0</xdr:rowOff>
    </xdr:from>
    <xdr:to>
      <xdr:col>10</xdr:col>
      <xdr:colOff>800100</xdr:colOff>
      <xdr:row>86</xdr:row>
      <xdr:rowOff>292100</xdr:rowOff>
    </xdr:to>
    <xdr:pic>
      <xdr:nvPicPr>
        <xdr:cNvPr id="13" name="Drains_Section_Zero">
          <a:extLst>
            <a:ext uri="{FF2B5EF4-FFF2-40B4-BE49-F238E27FC236}">
              <a16:creationId xmlns:a16="http://schemas.microsoft.com/office/drawing/2014/main" id="{369717BA-8117-0476-E714-B91FB5A1924B}"/>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61100" y="15646400"/>
          <a:ext cx="952500" cy="2921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9</xdr:col>
      <xdr:colOff>241300</xdr:colOff>
      <xdr:row>86</xdr:row>
      <xdr:rowOff>0</xdr:rowOff>
    </xdr:from>
    <xdr:to>
      <xdr:col>10</xdr:col>
      <xdr:colOff>800100</xdr:colOff>
      <xdr:row>86</xdr:row>
      <xdr:rowOff>292100</xdr:rowOff>
    </xdr:to>
    <xdr:pic>
      <xdr:nvPicPr>
        <xdr:cNvPr id="14" name="Ancillaries_Section_Zero">
          <a:extLst>
            <a:ext uri="{FF2B5EF4-FFF2-40B4-BE49-F238E27FC236}">
              <a16:creationId xmlns:a16="http://schemas.microsoft.com/office/drawing/2014/main" id="{A2CE3288-AE21-800C-48BA-487D936D00F2}"/>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61100" y="15646400"/>
          <a:ext cx="952500" cy="2921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9</xdr:col>
      <xdr:colOff>241300</xdr:colOff>
      <xdr:row>86</xdr:row>
      <xdr:rowOff>12700</xdr:rowOff>
    </xdr:from>
    <xdr:to>
      <xdr:col>10</xdr:col>
      <xdr:colOff>800100</xdr:colOff>
      <xdr:row>86</xdr:row>
      <xdr:rowOff>304800</xdr:rowOff>
    </xdr:to>
    <xdr:pic>
      <xdr:nvPicPr>
        <xdr:cNvPr id="15" name="Skip_Hire_Section_Zero">
          <a:extLst>
            <a:ext uri="{FF2B5EF4-FFF2-40B4-BE49-F238E27FC236}">
              <a16:creationId xmlns:a16="http://schemas.microsoft.com/office/drawing/2014/main" id="{B92F5932-35CB-5EA1-D360-2CD5C80108A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61100" y="15659100"/>
          <a:ext cx="952500" cy="2921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9</xdr:col>
      <xdr:colOff>241300</xdr:colOff>
      <xdr:row>43</xdr:row>
      <xdr:rowOff>25400</xdr:rowOff>
    </xdr:from>
    <xdr:to>
      <xdr:col>10</xdr:col>
      <xdr:colOff>800100</xdr:colOff>
      <xdr:row>44</xdr:row>
      <xdr:rowOff>0</xdr:rowOff>
    </xdr:to>
    <xdr:pic>
      <xdr:nvPicPr>
        <xdr:cNvPr id="16" name="Trickle_Boost_Fan_Section_Zero">
          <a:extLst>
            <a:ext uri="{FF2B5EF4-FFF2-40B4-BE49-F238E27FC236}">
              <a16:creationId xmlns:a16="http://schemas.microsoft.com/office/drawing/2014/main" id="{F85A8EE7-AA82-F23E-26A1-1FA21B7353B7}"/>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61100" y="5867400"/>
          <a:ext cx="952500" cy="2921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9</xdr:col>
      <xdr:colOff>241300</xdr:colOff>
      <xdr:row>50</xdr:row>
      <xdr:rowOff>25400</xdr:rowOff>
    </xdr:from>
    <xdr:to>
      <xdr:col>10</xdr:col>
      <xdr:colOff>800100</xdr:colOff>
      <xdr:row>51</xdr:row>
      <xdr:rowOff>0</xdr:rowOff>
    </xdr:to>
    <xdr:pic>
      <xdr:nvPicPr>
        <xdr:cNvPr id="17" name="Dryaire_Passive_Vent_Section">
          <a:extLst>
            <a:ext uri="{FF2B5EF4-FFF2-40B4-BE49-F238E27FC236}">
              <a16:creationId xmlns:a16="http://schemas.microsoft.com/office/drawing/2014/main" id="{ACB28828-8EA8-C77E-8072-91DD58F5287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61100" y="7213600"/>
          <a:ext cx="952500" cy="2921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9</xdr:col>
      <xdr:colOff>241300</xdr:colOff>
      <xdr:row>55</xdr:row>
      <xdr:rowOff>12700</xdr:rowOff>
    </xdr:from>
    <xdr:to>
      <xdr:col>10</xdr:col>
      <xdr:colOff>800100</xdr:colOff>
      <xdr:row>55</xdr:row>
      <xdr:rowOff>304800</xdr:rowOff>
    </xdr:to>
    <xdr:pic>
      <xdr:nvPicPr>
        <xdr:cNvPr id="18" name="Dryaire_CVent_Section_Zero">
          <a:extLst>
            <a:ext uri="{FF2B5EF4-FFF2-40B4-BE49-F238E27FC236}">
              <a16:creationId xmlns:a16="http://schemas.microsoft.com/office/drawing/2014/main" id="{27A50A42-1AD5-C40B-2F58-9ADD0D29EE87}"/>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61100" y="8280400"/>
          <a:ext cx="952500" cy="2921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9</xdr:col>
      <xdr:colOff>241300</xdr:colOff>
      <xdr:row>72</xdr:row>
      <xdr:rowOff>12700</xdr:rowOff>
    </xdr:from>
    <xdr:to>
      <xdr:col>10</xdr:col>
      <xdr:colOff>800100</xdr:colOff>
      <xdr:row>72</xdr:row>
      <xdr:rowOff>304800</xdr:rowOff>
    </xdr:to>
    <xdr:pic>
      <xdr:nvPicPr>
        <xdr:cNvPr id="19" name="Mould_Treatments_Section_Zero">
          <a:extLst>
            <a:ext uri="{FF2B5EF4-FFF2-40B4-BE49-F238E27FC236}">
              <a16:creationId xmlns:a16="http://schemas.microsoft.com/office/drawing/2014/main" id="{4C893C45-1808-3481-1605-41DFBC1428AD}"/>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61100" y="12484100"/>
          <a:ext cx="952500" cy="2921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9</xdr:col>
      <xdr:colOff>228600</xdr:colOff>
      <xdr:row>76</xdr:row>
      <xdr:rowOff>25400</xdr:rowOff>
    </xdr:from>
    <xdr:to>
      <xdr:col>10</xdr:col>
      <xdr:colOff>787400</xdr:colOff>
      <xdr:row>77</xdr:row>
      <xdr:rowOff>0</xdr:rowOff>
    </xdr:to>
    <xdr:pic>
      <xdr:nvPicPr>
        <xdr:cNvPr id="20" name="Asbestos_Testing_Section_Zero">
          <a:extLst>
            <a:ext uri="{FF2B5EF4-FFF2-40B4-BE49-F238E27FC236}">
              <a16:creationId xmlns:a16="http://schemas.microsoft.com/office/drawing/2014/main" id="{67A145DE-C0F1-AB1D-EDB7-93D0BA146351}"/>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48400" y="13487400"/>
          <a:ext cx="952500" cy="2921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47625</xdr:colOff>
      <xdr:row>74</xdr:row>
      <xdr:rowOff>381001</xdr:rowOff>
    </xdr:from>
    <xdr:to>
      <xdr:col>12</xdr:col>
      <xdr:colOff>0</xdr:colOff>
      <xdr:row>78</xdr:row>
      <xdr:rowOff>47626</xdr:rowOff>
    </xdr:to>
    <xdr:sp macro="" textlink="">
      <xdr:nvSpPr>
        <xdr:cNvPr id="2" name="Callout: Left Arrow 1">
          <a:extLst>
            <a:ext uri="{FF2B5EF4-FFF2-40B4-BE49-F238E27FC236}">
              <a16:creationId xmlns:a16="http://schemas.microsoft.com/office/drawing/2014/main" id="{D39CA137-E90C-41E5-B572-80486D004201}"/>
            </a:ext>
          </a:extLst>
        </xdr:cNvPr>
        <xdr:cNvSpPr/>
      </xdr:nvSpPr>
      <xdr:spPr>
        <a:xfrm>
          <a:off x="11296650" y="23660101"/>
          <a:ext cx="2390775" cy="666750"/>
        </a:xfrm>
        <a:prstGeom prst="leftArrowCallou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1">
              <a:solidFill>
                <a:sysClr val="windowText" lastClr="000000"/>
              </a:solidFill>
            </a:rPr>
            <a:t>Copy and paste</a:t>
          </a:r>
          <a:r>
            <a:rPr lang="en-GB" sz="1100" b="1" baseline="0">
              <a:solidFill>
                <a:sysClr val="windowText" lastClr="000000"/>
              </a:solidFill>
            </a:rPr>
            <a:t> this into the email subject.</a:t>
          </a:r>
          <a:endParaRPr lang="en-GB" sz="1100" b="1">
            <a:solidFill>
              <a:sysClr val="windowText" lastClr="000000"/>
            </a:solidFill>
          </a:endParaRPr>
        </a:p>
      </xdr:txBody>
    </xdr:sp>
    <xdr:clientData/>
  </xdr:twoCellAnchor>
  <xdr:twoCellAnchor>
    <xdr:from>
      <xdr:col>8</xdr:col>
      <xdr:colOff>85725</xdr:colOff>
      <xdr:row>82</xdr:row>
      <xdr:rowOff>133350</xdr:rowOff>
    </xdr:from>
    <xdr:to>
      <xdr:col>12</xdr:col>
      <xdr:colOff>0</xdr:colOff>
      <xdr:row>86</xdr:row>
      <xdr:rowOff>85725</xdr:rowOff>
    </xdr:to>
    <xdr:sp macro="" textlink="">
      <xdr:nvSpPr>
        <xdr:cNvPr id="3" name="Callout: Left Arrow 2">
          <a:extLst>
            <a:ext uri="{FF2B5EF4-FFF2-40B4-BE49-F238E27FC236}">
              <a16:creationId xmlns:a16="http://schemas.microsoft.com/office/drawing/2014/main" id="{B0B766AA-6413-487B-89BA-1363E66D8BA8}"/>
            </a:ext>
          </a:extLst>
        </xdr:cNvPr>
        <xdr:cNvSpPr/>
      </xdr:nvSpPr>
      <xdr:spPr>
        <a:xfrm>
          <a:off x="11334750" y="25365075"/>
          <a:ext cx="2352675" cy="714375"/>
        </a:xfrm>
        <a:prstGeom prst="leftArrowCallou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1">
              <a:solidFill>
                <a:sysClr val="windowText" lastClr="000000"/>
              </a:solidFill>
            </a:rPr>
            <a:t>Copy and paste</a:t>
          </a:r>
          <a:r>
            <a:rPr lang="en-GB" sz="1100" b="1" baseline="0">
              <a:solidFill>
                <a:sysClr val="windowText" lastClr="000000"/>
              </a:solidFill>
            </a:rPr>
            <a:t> this whole section into the email body.</a:t>
          </a:r>
          <a:endParaRPr lang="en-GB" sz="1100" b="1">
            <a:solidFill>
              <a:sysClr val="windowText" lastClr="000000"/>
            </a:solidFill>
          </a:endParaRPr>
        </a:p>
      </xdr:txBody>
    </xdr:sp>
    <xdr:clientData/>
  </xdr:twoCellAnchor>
  <xdr:twoCellAnchor>
    <xdr:from>
      <xdr:col>6</xdr:col>
      <xdr:colOff>47625</xdr:colOff>
      <xdr:row>101</xdr:row>
      <xdr:rowOff>381001</xdr:rowOff>
    </xdr:from>
    <xdr:to>
      <xdr:col>10</xdr:col>
      <xdr:colOff>0</xdr:colOff>
      <xdr:row>105</xdr:row>
      <xdr:rowOff>47626</xdr:rowOff>
    </xdr:to>
    <xdr:sp macro="" textlink="">
      <xdr:nvSpPr>
        <xdr:cNvPr id="4" name="Callout: Left Arrow 3">
          <a:extLst>
            <a:ext uri="{FF2B5EF4-FFF2-40B4-BE49-F238E27FC236}">
              <a16:creationId xmlns:a16="http://schemas.microsoft.com/office/drawing/2014/main" id="{168CD20E-501A-4522-87E4-4345EE9B9E55}"/>
            </a:ext>
          </a:extLst>
        </xdr:cNvPr>
        <xdr:cNvSpPr/>
      </xdr:nvSpPr>
      <xdr:spPr>
        <a:xfrm>
          <a:off x="10906125" y="20478751"/>
          <a:ext cx="2800350" cy="619125"/>
        </a:xfrm>
        <a:prstGeom prst="leftArrowCallou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1">
              <a:solidFill>
                <a:sysClr val="windowText" lastClr="000000"/>
              </a:solidFill>
            </a:rPr>
            <a:t>Copy and paste</a:t>
          </a:r>
          <a:r>
            <a:rPr lang="en-GB" sz="1100" b="1" baseline="0">
              <a:solidFill>
                <a:sysClr val="windowText" lastClr="000000"/>
              </a:solidFill>
            </a:rPr>
            <a:t> this into the email subject.</a:t>
          </a:r>
          <a:endParaRPr lang="en-GB" sz="1100" b="1">
            <a:solidFill>
              <a:sysClr val="windowText" lastClr="000000"/>
            </a:solidFill>
          </a:endParaRPr>
        </a:p>
      </xdr:txBody>
    </xdr:sp>
    <xdr:clientData/>
  </xdr:twoCellAnchor>
  <xdr:twoCellAnchor>
    <xdr:from>
      <xdr:col>6</xdr:col>
      <xdr:colOff>85725</xdr:colOff>
      <xdr:row>109</xdr:row>
      <xdr:rowOff>133350</xdr:rowOff>
    </xdr:from>
    <xdr:to>
      <xdr:col>10</xdr:col>
      <xdr:colOff>0</xdr:colOff>
      <xdr:row>113</xdr:row>
      <xdr:rowOff>85725</xdr:rowOff>
    </xdr:to>
    <xdr:sp macro="" textlink="">
      <xdr:nvSpPr>
        <xdr:cNvPr id="5" name="Callout: Left Arrow 4">
          <a:extLst>
            <a:ext uri="{FF2B5EF4-FFF2-40B4-BE49-F238E27FC236}">
              <a16:creationId xmlns:a16="http://schemas.microsoft.com/office/drawing/2014/main" id="{9F27E452-EFEF-4C41-9022-E8546EC25C8E}"/>
            </a:ext>
          </a:extLst>
        </xdr:cNvPr>
        <xdr:cNvSpPr/>
      </xdr:nvSpPr>
      <xdr:spPr>
        <a:xfrm>
          <a:off x="10944225" y="21945600"/>
          <a:ext cx="2762250" cy="714375"/>
        </a:xfrm>
        <a:prstGeom prst="leftArrowCallou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1">
              <a:solidFill>
                <a:sysClr val="windowText" lastClr="000000"/>
              </a:solidFill>
            </a:rPr>
            <a:t>Copy and paste</a:t>
          </a:r>
          <a:r>
            <a:rPr lang="en-GB" sz="1100" b="1" baseline="0">
              <a:solidFill>
                <a:sysClr val="windowText" lastClr="000000"/>
              </a:solidFill>
            </a:rPr>
            <a:t> this whole section into the email body.</a:t>
          </a:r>
          <a:endParaRPr lang="en-GB" sz="1100" b="1">
            <a:solidFill>
              <a:sysClr val="windowText" lastClr="000000"/>
            </a:solidFill>
          </a:endParaRPr>
        </a:p>
      </xdr:txBody>
    </xdr:sp>
    <xdr:clientData/>
  </xdr:twoCellAnchor>
  <xdr:twoCellAnchor>
    <xdr:from>
      <xdr:col>5</xdr:col>
      <xdr:colOff>333375</xdr:colOff>
      <xdr:row>1</xdr:row>
      <xdr:rowOff>57150</xdr:rowOff>
    </xdr:from>
    <xdr:to>
      <xdr:col>7</xdr:col>
      <xdr:colOff>238125</xdr:colOff>
      <xdr:row>8</xdr:row>
      <xdr:rowOff>76200</xdr:rowOff>
    </xdr:to>
    <xdr:sp macro="" textlink="">
      <xdr:nvSpPr>
        <xdr:cNvPr id="6" name="Arrow: Down 5">
          <a:extLst>
            <a:ext uri="{FF2B5EF4-FFF2-40B4-BE49-F238E27FC236}">
              <a16:creationId xmlns:a16="http://schemas.microsoft.com/office/drawing/2014/main" id="{641AE4E9-F589-4BF2-9254-5D2BE1AA7953}"/>
            </a:ext>
          </a:extLst>
        </xdr:cNvPr>
        <xdr:cNvSpPr/>
      </xdr:nvSpPr>
      <xdr:spPr>
        <a:xfrm>
          <a:off x="10601325" y="180975"/>
          <a:ext cx="1514475" cy="1743075"/>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1" kern="1200"/>
            <a:t>Not part of print area</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northeastdampspecialists.sharepoint.com/sites/TyneTees/Shared%20Documents/Tyne%20Tees/Contractor%20Foreman%20Documents/1.Blank%20Work%20Sheet/1.Customer-Details-For-Linked-Documents.xlsm" TargetMode="External"/><Relationship Id="rId1" Type="http://schemas.openxmlformats.org/officeDocument/2006/relationships/externalLinkPath" Target="https://northeastdampspecialists.sharepoint.com/sites/TyneTees/Shared%20Documents/Tyne%20Tees/Tyne%20Tees%202025/4.%20Accepted%20works/PRONE455DN/1.Customer-Details-For-Linked-Documents.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etails"/>
      <sheetName val="Project Folder Process"/>
    </sheetNames>
    <sheetDataSet>
      <sheetData sheetId="0">
        <row r="4">
          <cell r="C4" t="str">
            <v>PRONE455DN</v>
          </cell>
        </row>
        <row r="7">
          <cell r="B7" t="str">
            <v>Client Name</v>
          </cell>
          <cell r="C7" t="str">
            <v>Finest Properties</v>
          </cell>
        </row>
        <row r="8">
          <cell r="B8" t="str">
            <v>First Line of site address</v>
          </cell>
          <cell r="C8" t="str">
            <v xml:space="preserve">Clive House </v>
          </cell>
        </row>
        <row r="9">
          <cell r="B9" t="str">
            <v>Town / City</v>
          </cell>
          <cell r="C9" t="str">
            <v>Appletree Lane</v>
          </cell>
        </row>
        <row r="10">
          <cell r="B10" t="str">
            <v>County</v>
          </cell>
          <cell r="C10" t="str">
            <v>Corbridge</v>
          </cell>
        </row>
        <row r="11">
          <cell r="B11" t="str">
            <v>Site Post Code</v>
          </cell>
          <cell r="C11" t="str">
            <v>NE45 5DN</v>
          </cell>
        </row>
        <row r="12">
          <cell r="C12">
            <v>23</v>
          </cell>
        </row>
        <row r="16">
          <cell r="C16" t="str">
            <v>Steven Robinson</v>
          </cell>
        </row>
      </sheetData>
      <sheetData sheetId="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tyneteesdampproofing.co.uk/piv-video/" TargetMode="External"/><Relationship Id="rId1" Type="http://schemas.openxmlformats.org/officeDocument/2006/relationships/hyperlink" Target="https://support.microsoft.com/en-gb/office/insert-move-or-delete-page-breaks-in-a-worksheet-ad3dc726-beec-4a4c-861f-ed640612bdc2" TargetMode="Externa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4.bin"/><Relationship Id="rId1" Type="http://schemas.openxmlformats.org/officeDocument/2006/relationships/hyperlink" Target="https://www.tyneteesdampproofing.co.uk/terms-and-conditions/"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2273F-6D79-443D-B20E-983597231E88}">
  <sheetPr codeName="Sheet6" filterMode="1">
    <tabColor rgb="FFFF0000"/>
    <pageSetUpPr fitToPage="1"/>
  </sheetPr>
  <dimension ref="A1:AG339"/>
  <sheetViews>
    <sheetView tabSelected="1" view="pageBreakPreview" zoomScale="120" zoomScaleNormal="100" zoomScaleSheetLayoutView="120" workbookViewId="0">
      <pane xSplit="3" ySplit="4" topLeftCell="D5" activePane="bottomRight" state="frozen"/>
      <selection activeCell="C25" sqref="C25"/>
      <selection pane="topRight" activeCell="C25" sqref="C25"/>
      <selection pane="bottomLeft" activeCell="C25" sqref="C25"/>
      <selection pane="bottomRight" activeCell="Q25" sqref="Q25:Z25"/>
    </sheetView>
  </sheetViews>
  <sheetFormatPr baseColWidth="10" defaultColWidth="9.33203125" defaultRowHeight="14" outlineLevelCol="1" x14ac:dyDescent="0.2"/>
  <cols>
    <col min="1" max="1" width="2.6640625" style="200" customWidth="1"/>
    <col min="2" max="2" width="10.6640625" style="200" customWidth="1"/>
    <col min="3" max="3" width="2.6640625" style="201" customWidth="1"/>
    <col min="4" max="5" width="3.6640625" style="200" customWidth="1"/>
    <col min="6" max="6" width="4.5" style="200" customWidth="1"/>
    <col min="7" max="7" width="5.33203125" style="200" customWidth="1"/>
    <col min="8" max="8" width="5.5" style="200" customWidth="1"/>
    <col min="9" max="9" width="3.6640625" style="200" customWidth="1"/>
    <col min="10" max="10" width="4.33203125" style="200" customWidth="1"/>
    <col min="11" max="15" width="3.6640625" style="200" customWidth="1"/>
    <col min="16" max="16" width="1.5" style="200" customWidth="1"/>
    <col min="17" max="18" width="3.6640625" style="200" customWidth="1"/>
    <col min="19" max="19" width="4.5" style="200" customWidth="1"/>
    <col min="20" max="24" width="3.6640625" style="200" customWidth="1"/>
    <col min="25" max="25" width="10.5" style="200" customWidth="1"/>
    <col min="26" max="26" width="4.5" style="200" customWidth="1"/>
    <col min="27" max="27" width="3.5" style="200" customWidth="1"/>
    <col min="28" max="28" width="45.1640625" style="203" customWidth="1"/>
    <col min="29" max="29" width="3.6640625" style="200" customWidth="1"/>
    <col min="30" max="30" width="37.33203125" style="198" customWidth="1" outlineLevel="1"/>
    <col min="31" max="31" width="16.33203125" style="218" customWidth="1" outlineLevel="1"/>
    <col min="32" max="32" width="13.5" style="218" customWidth="1" outlineLevel="1"/>
    <col min="33" max="33" width="17.5" style="218" customWidth="1" outlineLevel="1"/>
    <col min="34" max="16384" width="9.33203125" style="200"/>
  </cols>
  <sheetData>
    <row r="1" spans="1:33" ht="35.25" customHeight="1" thickBot="1" x14ac:dyDescent="0.2">
      <c r="D1" s="343" t="s">
        <v>64</v>
      </c>
      <c r="E1" s="344"/>
      <c r="F1" s="344"/>
      <c r="G1" s="344"/>
      <c r="H1" s="344"/>
      <c r="I1" s="344"/>
      <c r="J1" s="345" t="str">
        <f>IF(SUM(AF:AF)=0,"SHEET NOT YET STARTED",IF(SUM(AG:AG)&gt;0,"SHEET NOT COMPLETE","SHEET COMPLETE"))</f>
        <v>SHEET COMPLETE</v>
      </c>
      <c r="K1" s="346"/>
      <c r="L1" s="346"/>
      <c r="M1" s="346"/>
      <c r="N1" s="346"/>
      <c r="O1" s="346"/>
      <c r="P1" s="346"/>
      <c r="Q1" s="346"/>
      <c r="R1" s="346"/>
      <c r="S1" s="346"/>
      <c r="T1" s="346"/>
      <c r="U1" s="346"/>
      <c r="V1" s="346"/>
      <c r="W1" s="346"/>
      <c r="X1" s="346"/>
      <c r="Y1" s="346"/>
      <c r="Z1" s="347"/>
      <c r="AB1" s="224"/>
      <c r="AC1" s="232"/>
      <c r="AD1" s="207"/>
      <c r="AE1" s="197"/>
      <c r="AF1" s="197"/>
      <c r="AG1" s="197"/>
    </row>
    <row r="2" spans="1:33" ht="7.5" customHeight="1" x14ac:dyDescent="0.15">
      <c r="AD2" s="207"/>
      <c r="AE2" s="197"/>
      <c r="AF2" s="197"/>
      <c r="AG2" s="197"/>
    </row>
    <row r="3" spans="1:33" ht="27" customHeight="1" x14ac:dyDescent="0.15">
      <c r="A3" s="197"/>
      <c r="B3" s="211"/>
      <c r="C3" s="199"/>
      <c r="D3" s="348" t="s">
        <v>124</v>
      </c>
      <c r="E3" s="348"/>
      <c r="F3" s="348"/>
      <c r="G3" s="348"/>
      <c r="H3" s="348"/>
      <c r="I3" s="348"/>
      <c r="J3" s="348"/>
      <c r="K3" s="348"/>
      <c r="L3" s="348"/>
      <c r="M3" s="348"/>
      <c r="N3" s="348"/>
      <c r="O3" s="348"/>
      <c r="P3" s="348"/>
      <c r="Q3" s="348"/>
      <c r="R3" s="348"/>
      <c r="S3" s="348"/>
      <c r="T3" s="348"/>
      <c r="U3" s="348"/>
      <c r="V3" s="348"/>
      <c r="W3" s="348"/>
      <c r="X3" s="348"/>
      <c r="Y3" s="348"/>
      <c r="Z3" s="348"/>
      <c r="AB3" s="214" t="s">
        <v>133</v>
      </c>
      <c r="AD3" s="226" t="s">
        <v>127</v>
      </c>
      <c r="AE3" s="215" t="s">
        <v>76</v>
      </c>
      <c r="AF3" s="216" t="s">
        <v>77</v>
      </c>
      <c r="AG3" s="216" t="s">
        <v>78</v>
      </c>
    </row>
    <row r="4" spans="1:33" ht="13.5" customHeight="1" thickBot="1" x14ac:dyDescent="0.2">
      <c r="A4" s="212" t="str">
        <f>IF(AG4=1,"X","")</f>
        <v/>
      </c>
      <c r="B4" s="213">
        <v>1</v>
      </c>
      <c r="D4" s="349"/>
      <c r="E4" s="349"/>
      <c r="F4" s="349"/>
      <c r="G4" s="349"/>
      <c r="H4" s="349"/>
      <c r="I4" s="349"/>
      <c r="J4" s="349"/>
      <c r="K4" s="349"/>
      <c r="L4" s="349"/>
      <c r="M4" s="349"/>
      <c r="N4" s="349"/>
      <c r="O4" s="349"/>
      <c r="P4" s="349"/>
      <c r="Q4" s="349"/>
      <c r="R4" s="349"/>
      <c r="S4" s="349"/>
      <c r="T4" s="349"/>
      <c r="U4" s="349"/>
      <c r="V4" s="349"/>
      <c r="W4" s="349"/>
      <c r="X4" s="349"/>
      <c r="Y4" s="349"/>
      <c r="Z4" s="349"/>
      <c r="AD4" s="221" t="s">
        <v>129</v>
      </c>
      <c r="AE4" s="197"/>
      <c r="AF4" s="64"/>
      <c r="AG4" s="64"/>
    </row>
    <row r="5" spans="1:33" ht="5" customHeight="1" x14ac:dyDescent="0.15">
      <c r="A5" s="212" t="str">
        <f t="shared" ref="A5:A66" si="0">IF(AG5=1,"X","")</f>
        <v/>
      </c>
      <c r="B5" s="213">
        <v>1</v>
      </c>
      <c r="D5" s="350"/>
      <c r="E5" s="350"/>
      <c r="F5" s="350"/>
      <c r="G5" s="350"/>
      <c r="H5" s="350"/>
      <c r="I5" s="350"/>
      <c r="J5" s="350"/>
      <c r="K5" s="350"/>
      <c r="L5" s="350"/>
      <c r="M5" s="350"/>
      <c r="N5" s="350"/>
      <c r="O5" s="350"/>
      <c r="P5" s="350"/>
      <c r="Q5" s="350"/>
      <c r="R5" s="350"/>
      <c r="S5" s="350"/>
      <c r="T5" s="350"/>
      <c r="U5" s="350"/>
      <c r="V5" s="350"/>
      <c r="W5" s="350"/>
      <c r="X5" s="350"/>
      <c r="Y5" s="350"/>
      <c r="Z5" s="350"/>
      <c r="AD5" s="221" t="s">
        <v>129</v>
      </c>
      <c r="AE5" s="197"/>
      <c r="AF5" s="64"/>
      <c r="AG5" s="64"/>
    </row>
    <row r="6" spans="1:33" ht="18.75" customHeight="1" x14ac:dyDescent="0.15">
      <c r="A6" s="212" t="str">
        <f t="shared" si="0"/>
        <v/>
      </c>
      <c r="B6" s="213">
        <v>1</v>
      </c>
      <c r="D6" s="351" t="s">
        <v>176</v>
      </c>
      <c r="E6" s="351"/>
      <c r="F6" s="351"/>
      <c r="G6" s="351"/>
      <c r="H6" s="351"/>
      <c r="I6" s="351"/>
      <c r="J6" s="351"/>
      <c r="K6" s="351"/>
      <c r="L6" s="351"/>
      <c r="M6" s="351"/>
      <c r="N6" s="351"/>
      <c r="O6" s="351"/>
      <c r="P6" s="351"/>
      <c r="Q6" s="351"/>
      <c r="R6" s="351"/>
      <c r="S6" s="351"/>
      <c r="T6" s="351"/>
      <c r="U6" s="351"/>
      <c r="V6" s="351"/>
      <c r="W6" s="351"/>
      <c r="X6" s="351"/>
      <c r="Y6" s="351"/>
      <c r="Z6" s="351"/>
      <c r="AB6" s="225" t="s">
        <v>155</v>
      </c>
      <c r="AD6" s="221" t="s">
        <v>129</v>
      </c>
      <c r="AE6" s="197"/>
      <c r="AF6" s="64"/>
      <c r="AG6" s="64"/>
    </row>
    <row r="7" spans="1:33" ht="5" customHeight="1" x14ac:dyDescent="0.15">
      <c r="A7" s="212" t="str">
        <f t="shared" si="0"/>
        <v/>
      </c>
      <c r="B7" s="213">
        <v>1</v>
      </c>
      <c r="D7" s="354"/>
      <c r="E7" s="354"/>
      <c r="F7" s="354"/>
      <c r="G7" s="354"/>
      <c r="H7" s="354"/>
      <c r="I7" s="354"/>
      <c r="J7" s="354"/>
      <c r="K7" s="354"/>
      <c r="L7" s="354"/>
      <c r="M7" s="354"/>
      <c r="N7" s="354"/>
      <c r="O7" s="354"/>
      <c r="P7" s="354"/>
      <c r="Q7" s="354"/>
      <c r="R7" s="354"/>
      <c r="S7" s="354"/>
      <c r="T7" s="354"/>
      <c r="U7" s="354"/>
      <c r="V7" s="354"/>
      <c r="W7" s="354"/>
      <c r="X7" s="354"/>
      <c r="Y7" s="354"/>
      <c r="Z7" s="354"/>
      <c r="AD7" s="221" t="s">
        <v>129</v>
      </c>
      <c r="AE7" s="197"/>
      <c r="AF7" s="64"/>
      <c r="AG7" s="64"/>
    </row>
    <row r="8" spans="1:33" ht="15" x14ac:dyDescent="0.15">
      <c r="A8" s="212" t="str">
        <f>IF(AG8=1,"X","")</f>
        <v/>
      </c>
      <c r="B8" s="213">
        <v>1</v>
      </c>
      <c r="D8" s="354" t="str">
        <f>Costing!E7</f>
        <v>Finest Properties</v>
      </c>
      <c r="E8" s="354"/>
      <c r="F8" s="354"/>
      <c r="G8" s="354"/>
      <c r="H8" s="354"/>
      <c r="I8" s="354"/>
      <c r="J8" s="354"/>
      <c r="K8" s="354"/>
      <c r="L8" s="354"/>
      <c r="M8" s="354"/>
      <c r="N8" s="354"/>
      <c r="O8" s="354"/>
      <c r="P8" s="354"/>
      <c r="Q8" s="354"/>
      <c r="R8" s="354"/>
      <c r="S8" s="354"/>
      <c r="T8" s="354"/>
      <c r="U8" s="354"/>
      <c r="V8" s="354"/>
      <c r="W8" s="354"/>
      <c r="X8" s="354"/>
      <c r="Y8" s="354"/>
      <c r="Z8" s="354"/>
      <c r="AB8" s="225" t="s">
        <v>157</v>
      </c>
      <c r="AD8" s="221" t="s">
        <v>129</v>
      </c>
      <c r="AE8" s="197"/>
      <c r="AF8" s="213">
        <f>IF(D8&lt;&gt;"",1,0)</f>
        <v>1</v>
      </c>
      <c r="AG8" s="213">
        <f>IF(AND(SUM(AF:AF)&gt;0,OR(D8="",D8=0)),1,0)</f>
        <v>0</v>
      </c>
    </row>
    <row r="9" spans="1:33" ht="15" x14ac:dyDescent="0.15">
      <c r="A9" s="212" t="str">
        <f t="shared" si="0"/>
        <v/>
      </c>
      <c r="B9" s="213">
        <v>1</v>
      </c>
      <c r="D9" s="354" t="str">
        <f>Costing!E8</f>
        <v xml:space="preserve">Clive House </v>
      </c>
      <c r="E9" s="354"/>
      <c r="F9" s="354"/>
      <c r="G9" s="354"/>
      <c r="H9" s="354"/>
      <c r="I9" s="354"/>
      <c r="J9" s="354"/>
      <c r="K9" s="354"/>
      <c r="L9" s="354"/>
      <c r="M9" s="354"/>
      <c r="N9" s="354"/>
      <c r="O9" s="354"/>
      <c r="P9" s="354"/>
      <c r="Q9" s="354"/>
      <c r="R9" s="354"/>
      <c r="S9" s="354"/>
      <c r="T9" s="354"/>
      <c r="U9" s="354"/>
      <c r="V9" s="354"/>
      <c r="W9" s="354"/>
      <c r="X9" s="354"/>
      <c r="Y9" s="354"/>
      <c r="Z9" s="354"/>
      <c r="AB9" s="225" t="s">
        <v>157</v>
      </c>
      <c r="AD9" s="221" t="s">
        <v>129</v>
      </c>
      <c r="AE9" s="197"/>
      <c r="AF9" s="213">
        <f>IF(D9&lt;&gt;"",1,0)</f>
        <v>1</v>
      </c>
      <c r="AG9" s="213">
        <f>IF(AND(SUM(AF:AF)&gt;0,OR(D9="",D9=0)),1,0)</f>
        <v>0</v>
      </c>
    </row>
    <row r="10" spans="1:33" ht="15" x14ac:dyDescent="0.15">
      <c r="A10" s="212" t="str">
        <f t="shared" si="0"/>
        <v/>
      </c>
      <c r="B10" s="213">
        <v>1</v>
      </c>
      <c r="D10" s="354" t="str">
        <f>Costing!E9</f>
        <v>Appletree Lane</v>
      </c>
      <c r="E10" s="354"/>
      <c r="F10" s="354"/>
      <c r="G10" s="354"/>
      <c r="H10" s="354"/>
      <c r="I10" s="354"/>
      <c r="J10" s="354"/>
      <c r="K10" s="354"/>
      <c r="L10" s="354"/>
      <c r="M10" s="354"/>
      <c r="N10" s="354"/>
      <c r="O10" s="354"/>
      <c r="P10" s="354"/>
      <c r="Q10" s="354"/>
      <c r="R10" s="354"/>
      <c r="S10" s="354"/>
      <c r="T10" s="354"/>
      <c r="U10" s="354"/>
      <c r="V10" s="354"/>
      <c r="W10" s="354"/>
      <c r="X10" s="354"/>
      <c r="Y10" s="354"/>
      <c r="Z10" s="354"/>
      <c r="AB10" s="225" t="s">
        <v>157</v>
      </c>
      <c r="AD10" s="221" t="s">
        <v>129</v>
      </c>
      <c r="AE10" s="197"/>
      <c r="AF10" s="213">
        <f t="shared" ref="AF10:AF11" si="1">IF(D10&lt;&gt;"",1,0)</f>
        <v>1</v>
      </c>
      <c r="AG10" s="213">
        <f>IF(AND(SUM(AF:AF)&gt;0,OR(D10="",D10=0)),1,0)</f>
        <v>0</v>
      </c>
    </row>
    <row r="11" spans="1:33" ht="15" x14ac:dyDescent="0.15">
      <c r="A11" s="212" t="str">
        <f t="shared" si="0"/>
        <v/>
      </c>
      <c r="B11" s="213">
        <v>1</v>
      </c>
      <c r="D11" s="354" t="str">
        <f>Costing!E10</f>
        <v>Corbridge</v>
      </c>
      <c r="E11" s="354"/>
      <c r="F11" s="354"/>
      <c r="G11" s="354"/>
      <c r="H11" s="354"/>
      <c r="I11" s="354"/>
      <c r="J11" s="354"/>
      <c r="K11" s="354"/>
      <c r="L11" s="354"/>
      <c r="M11" s="354"/>
      <c r="N11" s="354"/>
      <c r="O11" s="354"/>
      <c r="P11" s="354"/>
      <c r="Q11" s="354"/>
      <c r="R11" s="354"/>
      <c r="S11" s="354"/>
      <c r="T11" s="354"/>
      <c r="U11" s="354"/>
      <c r="V11" s="354"/>
      <c r="W11" s="354"/>
      <c r="X11" s="354"/>
      <c r="Y11" s="354"/>
      <c r="Z11" s="354"/>
      <c r="AB11" s="225" t="s">
        <v>157</v>
      </c>
      <c r="AD11" s="221" t="s">
        <v>129</v>
      </c>
      <c r="AE11" s="197"/>
      <c r="AF11" s="213">
        <f t="shared" si="1"/>
        <v>1</v>
      </c>
      <c r="AG11" s="213">
        <f>IF(AND(SUM(AF:AF)&gt;0,OR(D11="",D11=0)),1,0)</f>
        <v>0</v>
      </c>
    </row>
    <row r="12" spans="1:33" ht="15" x14ac:dyDescent="0.15">
      <c r="A12" s="212" t="str">
        <f t="shared" si="0"/>
        <v/>
      </c>
      <c r="B12" s="213">
        <v>1</v>
      </c>
      <c r="D12" s="354" t="str">
        <f>Costing!E11</f>
        <v>NE45 5DN</v>
      </c>
      <c r="E12" s="354"/>
      <c r="F12" s="354"/>
      <c r="G12" s="354"/>
      <c r="H12" s="354"/>
      <c r="I12" s="354"/>
      <c r="J12" s="354"/>
      <c r="K12" s="354"/>
      <c r="L12" s="354"/>
      <c r="M12" s="354"/>
      <c r="N12" s="354"/>
      <c r="O12" s="354"/>
      <c r="P12" s="354"/>
      <c r="Q12" s="354"/>
      <c r="R12" s="354"/>
      <c r="S12" s="354"/>
      <c r="T12" s="354"/>
      <c r="U12" s="354"/>
      <c r="V12" s="354"/>
      <c r="W12" s="354"/>
      <c r="X12" s="354"/>
      <c r="Y12" s="354"/>
      <c r="Z12" s="354"/>
      <c r="AB12" s="225" t="s">
        <v>157</v>
      </c>
      <c r="AD12" s="221" t="s">
        <v>129</v>
      </c>
      <c r="AE12" s="197"/>
      <c r="AF12" s="213">
        <f>IF(D12&lt;&gt;"",1,0)</f>
        <v>1</v>
      </c>
      <c r="AG12" s="213">
        <f>IF(AND(SUM(AF:AF)&gt;0,OR(D12="",D12=0)),1,0)</f>
        <v>0</v>
      </c>
    </row>
    <row r="13" spans="1:33" ht="15" x14ac:dyDescent="0.15">
      <c r="A13" s="212" t="str">
        <f>IF(AG13=1,"X","")</f>
        <v/>
      </c>
      <c r="B13" s="213">
        <v>1</v>
      </c>
      <c r="D13" s="354" t="s">
        <v>175</v>
      </c>
      <c r="E13" s="354"/>
      <c r="F13" s="354"/>
      <c r="G13" s="354"/>
      <c r="H13" s="354"/>
      <c r="I13" s="354" t="str">
        <f>Costing!E4</f>
        <v>PRONE455DN</v>
      </c>
      <c r="J13" s="354"/>
      <c r="K13" s="354"/>
      <c r="L13" s="354"/>
      <c r="M13" s="354"/>
      <c r="N13" s="354"/>
      <c r="O13" s="354"/>
      <c r="P13" s="354"/>
      <c r="Q13" s="354"/>
      <c r="R13" s="354"/>
      <c r="S13" s="354"/>
      <c r="T13" s="354"/>
      <c r="U13" s="354"/>
      <c r="V13" s="354"/>
      <c r="W13" s="354"/>
      <c r="X13" s="354"/>
      <c r="Y13" s="354"/>
      <c r="Z13" s="354"/>
      <c r="AB13" s="225" t="s">
        <v>157</v>
      </c>
      <c r="AD13" s="221" t="s">
        <v>129</v>
      </c>
      <c r="AE13" s="197"/>
      <c r="AF13" s="213">
        <f>IF(I13&lt;&gt;"",1,0)</f>
        <v>1</v>
      </c>
      <c r="AG13" s="213">
        <f>IF(AND(SUM(AF:AF)&gt;0,OR(I13="",I13=0)),1,0)</f>
        <v>0</v>
      </c>
    </row>
    <row r="14" spans="1:33" ht="5" customHeight="1" x14ac:dyDescent="0.15">
      <c r="A14" s="212" t="str">
        <f t="shared" si="0"/>
        <v/>
      </c>
      <c r="B14" s="213">
        <v>1</v>
      </c>
      <c r="D14" s="355"/>
      <c r="E14" s="355"/>
      <c r="F14" s="355"/>
      <c r="G14" s="355"/>
      <c r="H14" s="355"/>
      <c r="I14" s="355"/>
      <c r="J14" s="355"/>
      <c r="K14" s="355"/>
      <c r="L14" s="355"/>
      <c r="M14" s="355"/>
      <c r="N14" s="355"/>
      <c r="O14" s="355"/>
      <c r="P14" s="355"/>
      <c r="Q14" s="355"/>
      <c r="R14" s="355"/>
      <c r="S14" s="355"/>
      <c r="T14" s="355"/>
      <c r="U14" s="355"/>
      <c r="V14" s="355"/>
      <c r="W14" s="355"/>
      <c r="X14" s="355"/>
      <c r="Y14" s="355"/>
      <c r="Z14" s="355"/>
      <c r="AD14" s="221" t="s">
        <v>129</v>
      </c>
      <c r="AE14" s="197"/>
      <c r="AF14" s="64"/>
      <c r="AG14" s="64"/>
    </row>
    <row r="15" spans="1:33" ht="5" customHeight="1" x14ac:dyDescent="0.15">
      <c r="A15" s="212" t="str">
        <f t="shared" si="0"/>
        <v/>
      </c>
      <c r="B15" s="213">
        <v>1</v>
      </c>
      <c r="D15" s="358"/>
      <c r="E15" s="358"/>
      <c r="F15" s="358"/>
      <c r="G15" s="358"/>
      <c r="H15" s="358"/>
      <c r="I15" s="358"/>
      <c r="J15" s="358"/>
      <c r="K15" s="358"/>
      <c r="L15" s="358"/>
      <c r="M15" s="358"/>
      <c r="N15" s="358"/>
      <c r="O15" s="358"/>
      <c r="P15" s="358"/>
      <c r="Q15" s="358"/>
      <c r="R15" s="358"/>
      <c r="S15" s="358"/>
      <c r="T15" s="358"/>
      <c r="U15" s="358"/>
      <c r="V15" s="358"/>
      <c r="W15" s="358"/>
      <c r="X15" s="358"/>
      <c r="Y15" s="358"/>
      <c r="Z15" s="358"/>
      <c r="AD15" s="221" t="s">
        <v>129</v>
      </c>
      <c r="AE15" s="197"/>
      <c r="AF15" s="64"/>
      <c r="AG15" s="64"/>
    </row>
    <row r="16" spans="1:33" ht="18.75" customHeight="1" x14ac:dyDescent="0.15">
      <c r="A16" s="212" t="str">
        <f t="shared" si="0"/>
        <v/>
      </c>
      <c r="B16" s="213">
        <v>1</v>
      </c>
      <c r="D16" s="356" t="s">
        <v>174</v>
      </c>
      <c r="E16" s="356"/>
      <c r="F16" s="356"/>
      <c r="G16" s="356"/>
      <c r="H16" s="356"/>
      <c r="I16" s="356"/>
      <c r="J16" s="356"/>
      <c r="K16" s="356"/>
      <c r="L16" s="356"/>
      <c r="M16" s="356"/>
      <c r="N16" s="356"/>
      <c r="O16" s="356"/>
      <c r="P16" s="356"/>
      <c r="Q16" s="356"/>
      <c r="R16" s="356"/>
      <c r="S16" s="356"/>
      <c r="T16" s="356"/>
      <c r="U16" s="356"/>
      <c r="V16" s="356"/>
      <c r="W16" s="356"/>
      <c r="X16" s="356"/>
      <c r="Y16" s="356"/>
      <c r="Z16" s="356"/>
      <c r="AB16" s="225" t="s">
        <v>155</v>
      </c>
      <c r="AD16" s="221" t="s">
        <v>129</v>
      </c>
      <c r="AE16" s="197"/>
      <c r="AF16" s="64"/>
      <c r="AG16" s="64"/>
    </row>
    <row r="17" spans="1:33" ht="16" x14ac:dyDescent="0.2">
      <c r="A17" s="212" t="str">
        <f t="shared" si="0"/>
        <v/>
      </c>
      <c r="B17" s="213">
        <v>1</v>
      </c>
      <c r="D17" s="352" t="s">
        <v>186</v>
      </c>
      <c r="E17" s="352"/>
      <c r="F17" s="352"/>
      <c r="G17" s="352"/>
      <c r="H17" s="352"/>
      <c r="I17" s="352"/>
      <c r="J17" s="352"/>
      <c r="K17" s="353">
        <v>45982</v>
      </c>
      <c r="L17" s="353"/>
      <c r="M17" s="353"/>
      <c r="N17" s="353"/>
      <c r="O17" s="353"/>
      <c r="P17" s="353"/>
      <c r="Q17" s="353"/>
      <c r="R17" s="353"/>
      <c r="S17" s="353"/>
      <c r="T17" s="353"/>
      <c r="U17" s="353"/>
      <c r="V17" s="353"/>
      <c r="W17" s="353"/>
      <c r="X17" s="353"/>
      <c r="Y17" s="353"/>
      <c r="Z17" s="353"/>
      <c r="AB17" s="214" t="s">
        <v>126</v>
      </c>
      <c r="AD17" s="221" t="s">
        <v>129</v>
      </c>
      <c r="AE17" s="217"/>
      <c r="AF17" s="213">
        <f>IF(K17&lt;&gt;"",1,0)</f>
        <v>1</v>
      </c>
      <c r="AG17" s="213">
        <f>IF(AND(SUM(AF:AF)&gt;0,K17=""),1,0)</f>
        <v>0</v>
      </c>
    </row>
    <row r="18" spans="1:33" ht="16" x14ac:dyDescent="0.2">
      <c r="A18" s="212" t="str">
        <f t="shared" si="0"/>
        <v/>
      </c>
      <c r="B18" s="213">
        <v>1</v>
      </c>
      <c r="D18" s="352" t="s">
        <v>125</v>
      </c>
      <c r="E18" s="352"/>
      <c r="F18" s="352"/>
      <c r="G18" s="352"/>
      <c r="H18" s="352"/>
      <c r="I18" s="352"/>
      <c r="J18" s="352"/>
      <c r="K18" s="353" t="s">
        <v>415</v>
      </c>
      <c r="L18" s="353"/>
      <c r="M18" s="353"/>
      <c r="N18" s="353"/>
      <c r="O18" s="353"/>
      <c r="P18" s="353"/>
      <c r="Q18" s="353"/>
      <c r="R18" s="353"/>
      <c r="S18" s="353"/>
      <c r="T18" s="353"/>
      <c r="U18" s="353"/>
      <c r="V18" s="353"/>
      <c r="W18" s="353"/>
      <c r="X18" s="353"/>
      <c r="Y18" s="353"/>
      <c r="Z18" s="353"/>
      <c r="AB18" s="214" t="s">
        <v>126</v>
      </c>
      <c r="AD18" s="221" t="s">
        <v>129</v>
      </c>
      <c r="AE18" s="217"/>
      <c r="AF18" s="213">
        <f>IF(K18&lt;&gt;"",1,0)</f>
        <v>1</v>
      </c>
      <c r="AG18" s="213">
        <f>IF(AND(SUM(AF:AF)&gt;0,K18=""),1,0)</f>
        <v>0</v>
      </c>
    </row>
    <row r="19" spans="1:33" ht="16" x14ac:dyDescent="0.2">
      <c r="A19" s="212" t="str">
        <f t="shared" si="0"/>
        <v/>
      </c>
      <c r="B19" s="213">
        <v>1</v>
      </c>
      <c r="D19" s="352" t="s">
        <v>128</v>
      </c>
      <c r="E19" s="352"/>
      <c r="F19" s="352"/>
      <c r="G19" s="352"/>
      <c r="H19" s="352"/>
      <c r="I19" s="352"/>
      <c r="J19" s="352"/>
      <c r="K19" s="241">
        <v>3</v>
      </c>
      <c r="L19" s="242" t="s">
        <v>156</v>
      </c>
      <c r="M19" s="243"/>
      <c r="N19" s="243"/>
      <c r="O19" s="243"/>
      <c r="P19" s="243"/>
      <c r="Q19" s="243"/>
      <c r="R19" s="243"/>
      <c r="S19" s="243"/>
      <c r="T19" s="243"/>
      <c r="U19" s="243"/>
      <c r="V19" s="243"/>
      <c r="W19" s="243"/>
      <c r="X19" s="243"/>
      <c r="Y19" s="243"/>
      <c r="Z19" s="243"/>
      <c r="AB19" s="214" t="s">
        <v>126</v>
      </c>
      <c r="AD19" s="221" t="s">
        <v>129</v>
      </c>
      <c r="AE19" s="217"/>
      <c r="AF19" s="213">
        <f>IF(K19&lt;&gt;"",1,0)</f>
        <v>1</v>
      </c>
      <c r="AG19" s="213">
        <f>IF(AND(SUM(AF:AF)&gt;0,K19=""),1,0)</f>
        <v>0</v>
      </c>
    </row>
    <row r="20" spans="1:33" ht="31" customHeight="1" x14ac:dyDescent="0.15">
      <c r="A20" s="212" t="str">
        <f t="shared" si="0"/>
        <v/>
      </c>
      <c r="B20" s="213">
        <v>1</v>
      </c>
      <c r="D20" s="356" t="s">
        <v>134</v>
      </c>
      <c r="E20" s="356"/>
      <c r="F20" s="356"/>
      <c r="G20" s="356"/>
      <c r="H20" s="356"/>
      <c r="I20" s="356"/>
      <c r="J20" s="356"/>
      <c r="K20" s="356"/>
      <c r="L20" s="356"/>
      <c r="M20" s="356"/>
      <c r="N20" s="356"/>
      <c r="O20" s="356"/>
      <c r="P20" s="356"/>
      <c r="Q20" s="356"/>
      <c r="R20" s="356"/>
      <c r="S20" s="356"/>
      <c r="T20" s="356"/>
      <c r="U20" s="356"/>
      <c r="V20" s="356"/>
      <c r="W20" s="356"/>
      <c r="X20" s="356"/>
      <c r="Y20" s="356"/>
      <c r="Z20" s="356"/>
      <c r="AB20" s="225" t="s">
        <v>155</v>
      </c>
      <c r="AD20" s="221" t="s">
        <v>129</v>
      </c>
      <c r="AE20" s="217"/>
      <c r="AF20" s="64"/>
      <c r="AG20" s="64"/>
    </row>
    <row r="21" spans="1:33" ht="21" hidden="1" customHeight="1" x14ac:dyDescent="0.2">
      <c r="A21" s="212" t="str">
        <f t="shared" si="0"/>
        <v/>
      </c>
      <c r="B21" s="213">
        <v>0</v>
      </c>
      <c r="D21" s="357" t="s">
        <v>144</v>
      </c>
      <c r="E21" s="357"/>
      <c r="F21" s="357"/>
      <c r="G21" s="357"/>
      <c r="H21" s="357"/>
      <c r="I21" s="357"/>
      <c r="J21" s="357"/>
      <c r="K21" s="357"/>
      <c r="L21" s="357"/>
      <c r="M21" s="357"/>
      <c r="N21" s="357"/>
      <c r="O21" s="357"/>
      <c r="P21" s="357"/>
      <c r="Q21" s="357"/>
      <c r="R21" s="357"/>
      <c r="S21" s="357"/>
      <c r="T21" s="357"/>
      <c r="U21" s="357"/>
      <c r="V21" s="357"/>
      <c r="W21" s="357"/>
      <c r="X21" s="357"/>
      <c r="Y21" s="357"/>
      <c r="Z21" s="357"/>
      <c r="AB21" s="225" t="s">
        <v>158</v>
      </c>
      <c r="AD21" s="221" t="s">
        <v>143</v>
      </c>
      <c r="AE21" s="118"/>
      <c r="AF21" s="64"/>
      <c r="AG21" s="64"/>
    </row>
    <row r="22" spans="1:33" ht="15.75" hidden="1" customHeight="1" x14ac:dyDescent="0.2">
      <c r="A22" s="212"/>
      <c r="B22" s="213">
        <v>0</v>
      </c>
      <c r="D22" s="336" t="s">
        <v>148</v>
      </c>
      <c r="E22" s="336"/>
      <c r="F22" s="336"/>
      <c r="G22" s="336"/>
      <c r="H22" s="336"/>
      <c r="I22" s="336"/>
      <c r="J22" s="336"/>
      <c r="K22" s="336"/>
      <c r="L22" s="336"/>
      <c r="M22" s="336"/>
      <c r="N22" s="336"/>
      <c r="O22" s="336"/>
      <c r="P22" s="336"/>
      <c r="Q22" s="336"/>
      <c r="R22" s="336"/>
      <c r="S22" s="336"/>
      <c r="T22" s="336"/>
      <c r="U22" s="336"/>
      <c r="V22" s="336"/>
      <c r="W22" s="336"/>
      <c r="X22" s="336"/>
      <c r="Y22" s="336"/>
      <c r="Z22" s="336"/>
      <c r="AB22" s="225" t="s">
        <v>158</v>
      </c>
      <c r="AD22" s="221" t="s">
        <v>143</v>
      </c>
      <c r="AE22" s="118"/>
      <c r="AF22" s="64"/>
      <c r="AG22" s="64"/>
    </row>
    <row r="23" spans="1:33" ht="8.5" customHeight="1" x14ac:dyDescent="0.15">
      <c r="A23" s="212" t="str">
        <f>IF(AG23=1,"X","")</f>
        <v/>
      </c>
      <c r="B23" s="213">
        <f>IF(OR(D24="Show",Q24="Show"),1,0)</f>
        <v>1</v>
      </c>
      <c r="D23" s="335"/>
      <c r="E23" s="335"/>
      <c r="F23" s="335"/>
      <c r="G23" s="335"/>
      <c r="H23" s="335"/>
      <c r="I23" s="335"/>
      <c r="J23" s="335"/>
      <c r="K23" s="335"/>
      <c r="L23" s="335"/>
      <c r="M23" s="335"/>
      <c r="N23" s="335"/>
      <c r="O23" s="335"/>
      <c r="P23" s="335"/>
      <c r="Q23" s="335"/>
      <c r="R23" s="335"/>
      <c r="S23" s="335"/>
      <c r="T23" s="335"/>
      <c r="U23" s="335"/>
      <c r="V23" s="335"/>
      <c r="W23" s="335"/>
      <c r="X23" s="335"/>
      <c r="Y23" s="335"/>
      <c r="Z23" s="335"/>
      <c r="AD23" s="221" t="s">
        <v>129</v>
      </c>
      <c r="AE23" s="197"/>
      <c r="AF23" s="64"/>
      <c r="AG23" s="64"/>
    </row>
    <row r="24" spans="1:33" ht="18" hidden="1" customHeight="1" x14ac:dyDescent="0.2">
      <c r="A24" s="212" t="str">
        <f t="shared" ref="A24:A27" si="2">IF(AG24=1,"X","")</f>
        <v/>
      </c>
      <c r="B24" s="238">
        <v>0</v>
      </c>
      <c r="D24" s="337" t="s">
        <v>258</v>
      </c>
      <c r="E24" s="337"/>
      <c r="F24" s="337"/>
      <c r="G24" s="337"/>
      <c r="H24" s="337"/>
      <c r="I24" s="337"/>
      <c r="J24" s="337"/>
      <c r="K24" s="337"/>
      <c r="L24" s="337"/>
      <c r="M24" s="337"/>
      <c r="N24" s="337"/>
      <c r="O24" s="223"/>
      <c r="P24" s="223"/>
      <c r="Q24" s="337" t="s">
        <v>258</v>
      </c>
      <c r="R24" s="337"/>
      <c r="S24" s="337"/>
      <c r="T24" s="337"/>
      <c r="U24" s="337"/>
      <c r="V24" s="337"/>
      <c r="W24" s="337"/>
      <c r="X24" s="337"/>
      <c r="Y24" s="337"/>
      <c r="Z24" s="337"/>
      <c r="AA24" s="208"/>
      <c r="AB24" s="214" t="s">
        <v>147</v>
      </c>
      <c r="AD24" s="219" t="s">
        <v>130</v>
      </c>
      <c r="AE24" s="118"/>
      <c r="AF24" s="213">
        <f>IF(OR(D24="Show",D24="",Q24="Show",Q24=""),1,0)</f>
        <v>1</v>
      </c>
      <c r="AG24" s="213">
        <f>IF(AND(SUM(AF:AF)&gt;0,OR(D24="",Q24="")),1,0)</f>
        <v>0</v>
      </c>
    </row>
    <row r="25" spans="1:33" ht="197.25" customHeight="1" x14ac:dyDescent="0.2">
      <c r="A25" s="212" t="str">
        <f t="shared" si="2"/>
        <v/>
      </c>
      <c r="B25" s="213">
        <f>B23</f>
        <v>1</v>
      </c>
      <c r="D25" s="337"/>
      <c r="E25" s="337"/>
      <c r="F25" s="337"/>
      <c r="G25" s="337"/>
      <c r="H25" s="337"/>
      <c r="I25" s="337"/>
      <c r="J25" s="337"/>
      <c r="K25" s="337"/>
      <c r="L25" s="337"/>
      <c r="M25" s="337"/>
      <c r="N25" s="337"/>
      <c r="O25" s="223"/>
      <c r="P25" s="223"/>
      <c r="Q25" s="337"/>
      <c r="R25" s="337"/>
      <c r="S25" s="337"/>
      <c r="T25" s="337"/>
      <c r="U25" s="337"/>
      <c r="V25" s="337"/>
      <c r="W25" s="337"/>
      <c r="X25" s="337"/>
      <c r="Y25" s="337"/>
      <c r="Z25" s="337"/>
      <c r="AA25" s="208"/>
      <c r="AB25" s="214" t="s">
        <v>146</v>
      </c>
      <c r="AD25" s="219" t="s">
        <v>130</v>
      </c>
      <c r="AE25" s="217"/>
      <c r="AF25" s="64"/>
      <c r="AG25" s="64"/>
    </row>
    <row r="26" spans="1:33" ht="18" customHeight="1" x14ac:dyDescent="0.2">
      <c r="A26" s="212" t="str">
        <f t="shared" si="2"/>
        <v/>
      </c>
      <c r="B26" s="213">
        <f>B25</f>
        <v>1</v>
      </c>
      <c r="D26" s="360" t="s">
        <v>259</v>
      </c>
      <c r="E26" s="360"/>
      <c r="F26" s="360"/>
      <c r="G26" s="360"/>
      <c r="H26" s="360"/>
      <c r="I26" s="360"/>
      <c r="J26" s="360"/>
      <c r="K26" s="360"/>
      <c r="L26" s="360"/>
      <c r="M26" s="360"/>
      <c r="N26" s="360"/>
      <c r="O26" s="223"/>
      <c r="P26" s="223"/>
      <c r="Q26" s="360" t="s">
        <v>419</v>
      </c>
      <c r="R26" s="360"/>
      <c r="S26" s="360"/>
      <c r="T26" s="360"/>
      <c r="U26" s="360"/>
      <c r="V26" s="360"/>
      <c r="W26" s="360"/>
      <c r="X26" s="360"/>
      <c r="Y26" s="360"/>
      <c r="Z26" s="360"/>
      <c r="AA26" s="208"/>
      <c r="AB26" s="214" t="s">
        <v>145</v>
      </c>
      <c r="AD26" s="219" t="s">
        <v>130</v>
      </c>
      <c r="AE26" s="217"/>
      <c r="AF26" s="213">
        <f>IF(OR(D24="Show",D24="",Q24="Show",Q24=""),1,0)</f>
        <v>1</v>
      </c>
      <c r="AG26" s="213">
        <f>IF(AND(SUM(AF:AF)&gt;0,OR(AND(D24="Show",D26=""),AND(Q24="Show",Q26=""))),1,0)</f>
        <v>0</v>
      </c>
    </row>
    <row r="27" spans="1:33" ht="6.75" customHeight="1" x14ac:dyDescent="0.15">
      <c r="A27" s="212" t="str">
        <f t="shared" si="2"/>
        <v/>
      </c>
      <c r="B27" s="213">
        <f>B26</f>
        <v>1</v>
      </c>
      <c r="D27" s="335"/>
      <c r="E27" s="335"/>
      <c r="F27" s="335"/>
      <c r="G27" s="335"/>
      <c r="H27" s="335"/>
      <c r="I27" s="335"/>
      <c r="J27" s="335"/>
      <c r="K27" s="335"/>
      <c r="L27" s="335"/>
      <c r="M27" s="335"/>
      <c r="N27" s="335"/>
      <c r="O27" s="335"/>
      <c r="P27" s="335"/>
      <c r="Q27" s="335"/>
      <c r="R27" s="335"/>
      <c r="S27" s="335"/>
      <c r="T27" s="335"/>
      <c r="U27" s="335"/>
      <c r="V27" s="335"/>
      <c r="W27" s="335"/>
      <c r="X27" s="335"/>
      <c r="Y27" s="335"/>
      <c r="Z27" s="335"/>
      <c r="AA27" s="208"/>
      <c r="AD27" s="221" t="s">
        <v>129</v>
      </c>
      <c r="AE27" s="197"/>
      <c r="AF27" s="64"/>
      <c r="AG27" s="64"/>
    </row>
    <row r="28" spans="1:33" ht="15.75" hidden="1" customHeight="1" x14ac:dyDescent="0.2">
      <c r="A28" s="212"/>
      <c r="B28" s="213">
        <v>0</v>
      </c>
      <c r="D28" s="336" t="s">
        <v>149</v>
      </c>
      <c r="E28" s="336"/>
      <c r="F28" s="336"/>
      <c r="G28" s="336"/>
      <c r="H28" s="336"/>
      <c r="I28" s="336"/>
      <c r="J28" s="336"/>
      <c r="K28" s="336"/>
      <c r="L28" s="336"/>
      <c r="M28" s="336"/>
      <c r="N28" s="336"/>
      <c r="O28" s="336"/>
      <c r="P28" s="336"/>
      <c r="Q28" s="336"/>
      <c r="R28" s="336"/>
      <c r="S28" s="336"/>
      <c r="T28" s="336"/>
      <c r="U28" s="336"/>
      <c r="V28" s="336"/>
      <c r="W28" s="336"/>
      <c r="X28" s="336"/>
      <c r="Y28" s="336"/>
      <c r="Z28" s="336"/>
      <c r="AB28" s="225" t="s">
        <v>158</v>
      </c>
      <c r="AD28" s="221" t="s">
        <v>143</v>
      </c>
      <c r="AE28" s="118"/>
      <c r="AF28" s="64"/>
      <c r="AG28" s="64"/>
    </row>
    <row r="29" spans="1:33" ht="15.75" hidden="1" customHeight="1" x14ac:dyDescent="0.2">
      <c r="A29" s="212"/>
      <c r="B29" s="213">
        <v>0</v>
      </c>
      <c r="D29" s="336" t="s">
        <v>148</v>
      </c>
      <c r="E29" s="336"/>
      <c r="F29" s="336"/>
      <c r="G29" s="336"/>
      <c r="H29" s="336"/>
      <c r="I29" s="336"/>
      <c r="J29" s="336"/>
      <c r="K29" s="336"/>
      <c r="L29" s="336"/>
      <c r="M29" s="336"/>
      <c r="N29" s="336"/>
      <c r="O29" s="336"/>
      <c r="P29" s="336"/>
      <c r="Q29" s="336"/>
      <c r="R29" s="336"/>
      <c r="S29" s="336"/>
      <c r="T29" s="336"/>
      <c r="U29" s="336"/>
      <c r="V29" s="336"/>
      <c r="W29" s="336"/>
      <c r="X29" s="336"/>
      <c r="Y29" s="336"/>
      <c r="Z29" s="336"/>
      <c r="AB29" s="225" t="s">
        <v>158</v>
      </c>
      <c r="AD29" s="221" t="s">
        <v>143</v>
      </c>
      <c r="AE29" s="118"/>
      <c r="AF29" s="64"/>
      <c r="AG29" s="64"/>
    </row>
    <row r="30" spans="1:33" ht="8.25" hidden="1" customHeight="1" x14ac:dyDescent="0.15">
      <c r="A30" s="212" t="str">
        <f>IF(AG30=1,"X","")</f>
        <v/>
      </c>
      <c r="B30" s="213">
        <f>IF(OR(D31="Show",Q31="Show"),1,0)</f>
        <v>1</v>
      </c>
      <c r="D30" s="335"/>
      <c r="E30" s="335"/>
      <c r="F30" s="335"/>
      <c r="G30" s="335"/>
      <c r="H30" s="335"/>
      <c r="I30" s="335"/>
      <c r="J30" s="335"/>
      <c r="K30" s="335"/>
      <c r="L30" s="335"/>
      <c r="M30" s="335"/>
      <c r="N30" s="335"/>
      <c r="O30" s="335"/>
      <c r="P30" s="335"/>
      <c r="Q30" s="335"/>
      <c r="R30" s="335"/>
      <c r="S30" s="335"/>
      <c r="T30" s="335"/>
      <c r="U30" s="335"/>
      <c r="V30" s="335"/>
      <c r="W30" s="335"/>
      <c r="X30" s="335"/>
      <c r="Y30" s="335"/>
      <c r="Z30" s="335"/>
      <c r="AD30" s="221" t="s">
        <v>129</v>
      </c>
      <c r="AE30" s="197"/>
      <c r="AF30" s="64"/>
      <c r="AG30" s="64"/>
    </row>
    <row r="31" spans="1:33" ht="18" hidden="1" customHeight="1" x14ac:dyDescent="0.2">
      <c r="A31" s="212" t="str">
        <f t="shared" ref="A31:A34" si="3">IF(AG31=1,"X","")</f>
        <v/>
      </c>
      <c r="B31" s="238">
        <v>0</v>
      </c>
      <c r="D31" s="337" t="s">
        <v>258</v>
      </c>
      <c r="E31" s="337"/>
      <c r="F31" s="337"/>
      <c r="G31" s="337"/>
      <c r="H31" s="337"/>
      <c r="I31" s="337"/>
      <c r="J31" s="337"/>
      <c r="K31" s="337"/>
      <c r="L31" s="337"/>
      <c r="M31" s="337"/>
      <c r="N31" s="337"/>
      <c r="O31" s="223"/>
      <c r="P31" s="223"/>
      <c r="Q31" s="337" t="s">
        <v>154</v>
      </c>
      <c r="R31" s="337"/>
      <c r="S31" s="337"/>
      <c r="T31" s="337"/>
      <c r="U31" s="337"/>
      <c r="V31" s="337"/>
      <c r="W31" s="337"/>
      <c r="X31" s="337"/>
      <c r="Y31" s="337"/>
      <c r="Z31" s="337"/>
      <c r="AA31" s="208"/>
      <c r="AB31" s="214" t="s">
        <v>147</v>
      </c>
      <c r="AD31" s="219" t="s">
        <v>130</v>
      </c>
      <c r="AE31" s="118"/>
      <c r="AF31" s="213">
        <f>IF(OR(D31="Show",D31="",Q31="Show",Q31=""),1,0)</f>
        <v>1</v>
      </c>
      <c r="AG31" s="213">
        <f>IF(AND(SUM(AF:AF)&gt;0,OR(D31="",Q31="")),1,0)</f>
        <v>0</v>
      </c>
    </row>
    <row r="32" spans="1:33" ht="197.25" customHeight="1" x14ac:dyDescent="0.2">
      <c r="A32" s="212" t="str">
        <f t="shared" si="3"/>
        <v/>
      </c>
      <c r="B32" s="213">
        <f>B30</f>
        <v>1</v>
      </c>
      <c r="D32" s="337"/>
      <c r="E32" s="337"/>
      <c r="F32" s="337"/>
      <c r="G32" s="337"/>
      <c r="H32" s="337"/>
      <c r="I32" s="337"/>
      <c r="J32" s="337"/>
      <c r="K32" s="337"/>
      <c r="L32" s="337"/>
      <c r="M32" s="337"/>
      <c r="N32" s="337"/>
      <c r="O32" s="223"/>
      <c r="P32" s="223"/>
      <c r="Q32" s="337"/>
      <c r="R32" s="337"/>
      <c r="S32" s="337"/>
      <c r="T32" s="337"/>
      <c r="U32" s="337"/>
      <c r="V32" s="337"/>
      <c r="W32" s="337"/>
      <c r="X32" s="337"/>
      <c r="Y32" s="337"/>
      <c r="Z32" s="337"/>
      <c r="AA32" s="208"/>
      <c r="AB32" s="214" t="s">
        <v>146</v>
      </c>
      <c r="AD32" s="219" t="s">
        <v>130</v>
      </c>
      <c r="AE32" s="217"/>
      <c r="AF32" s="64"/>
      <c r="AG32" s="64"/>
    </row>
    <row r="33" spans="1:33" ht="12.75" customHeight="1" x14ac:dyDescent="0.2">
      <c r="A33" s="212" t="str">
        <f t="shared" si="3"/>
        <v/>
      </c>
      <c r="B33" s="213">
        <f>B32</f>
        <v>1</v>
      </c>
      <c r="D33" s="360" t="s">
        <v>427</v>
      </c>
      <c r="E33" s="360"/>
      <c r="F33" s="360"/>
      <c r="G33" s="360"/>
      <c r="H33" s="360"/>
      <c r="I33" s="360"/>
      <c r="J33" s="360"/>
      <c r="K33" s="360"/>
      <c r="L33" s="360"/>
      <c r="M33" s="360"/>
      <c r="N33" s="360"/>
      <c r="O33" s="223"/>
      <c r="P33" s="223"/>
      <c r="Q33" s="360"/>
      <c r="R33" s="360"/>
      <c r="S33" s="360"/>
      <c r="T33" s="360"/>
      <c r="U33" s="360"/>
      <c r="V33" s="360"/>
      <c r="W33" s="360"/>
      <c r="X33" s="360"/>
      <c r="Y33" s="360"/>
      <c r="Z33" s="360"/>
      <c r="AA33" s="208"/>
      <c r="AB33" s="214" t="s">
        <v>145</v>
      </c>
      <c r="AD33" s="219" t="s">
        <v>130</v>
      </c>
      <c r="AE33" s="217"/>
      <c r="AF33" s="213">
        <f>IF(OR(D31="Show",D31="",Q31="Show",Q31=""),1,0)</f>
        <v>1</v>
      </c>
      <c r="AG33" s="213">
        <f>IF(AND(SUM(AF:AF)&gt;0,OR(AND(D31="Show",D33=""),AND(Q31="Show",Q33=""))),1,0)</f>
        <v>0</v>
      </c>
    </row>
    <row r="34" spans="1:33" ht="8.25" hidden="1" customHeight="1" x14ac:dyDescent="0.15">
      <c r="A34" s="212" t="str">
        <f t="shared" si="3"/>
        <v/>
      </c>
      <c r="B34" s="213">
        <f>B33</f>
        <v>1</v>
      </c>
      <c r="D34" s="335"/>
      <c r="E34" s="335"/>
      <c r="F34" s="335"/>
      <c r="G34" s="335"/>
      <c r="H34" s="335"/>
      <c r="I34" s="335"/>
      <c r="J34" s="335"/>
      <c r="K34" s="335"/>
      <c r="L34" s="335"/>
      <c r="M34" s="335"/>
      <c r="N34" s="335"/>
      <c r="O34" s="335"/>
      <c r="P34" s="335"/>
      <c r="Q34" s="335"/>
      <c r="R34" s="335"/>
      <c r="S34" s="335"/>
      <c r="T34" s="335"/>
      <c r="U34" s="335"/>
      <c r="V34" s="335"/>
      <c r="W34" s="335"/>
      <c r="X34" s="335"/>
      <c r="Y34" s="335"/>
      <c r="Z34" s="335"/>
      <c r="AA34" s="208"/>
      <c r="AD34" s="221" t="s">
        <v>129</v>
      </c>
      <c r="AE34" s="197"/>
      <c r="AF34" s="64"/>
      <c r="AG34" s="64"/>
    </row>
    <row r="35" spans="1:33" ht="15.75" hidden="1" customHeight="1" x14ac:dyDescent="0.2">
      <c r="A35" s="212"/>
      <c r="B35" s="213">
        <v>0</v>
      </c>
      <c r="D35" s="336" t="s">
        <v>149</v>
      </c>
      <c r="E35" s="336"/>
      <c r="F35" s="336"/>
      <c r="G35" s="336"/>
      <c r="H35" s="336"/>
      <c r="I35" s="336"/>
      <c r="J35" s="336"/>
      <c r="K35" s="336"/>
      <c r="L35" s="336"/>
      <c r="M35" s="336"/>
      <c r="N35" s="336"/>
      <c r="O35" s="336"/>
      <c r="P35" s="336"/>
      <c r="Q35" s="336"/>
      <c r="R35" s="336"/>
      <c r="S35" s="336"/>
      <c r="T35" s="336"/>
      <c r="U35" s="336"/>
      <c r="V35" s="336"/>
      <c r="W35" s="336"/>
      <c r="X35" s="336"/>
      <c r="Y35" s="336"/>
      <c r="Z35" s="336"/>
      <c r="AB35" s="225" t="s">
        <v>158</v>
      </c>
      <c r="AD35" s="221" t="s">
        <v>143</v>
      </c>
      <c r="AE35" s="118"/>
      <c r="AF35" s="64"/>
      <c r="AG35" s="64"/>
    </row>
    <row r="36" spans="1:33" ht="15" customHeight="1" x14ac:dyDescent="0.2">
      <c r="A36" s="212" t="str">
        <f t="shared" si="0"/>
        <v/>
      </c>
      <c r="B36" s="213">
        <v>1</v>
      </c>
      <c r="D36" s="352" t="s">
        <v>113</v>
      </c>
      <c r="E36" s="352"/>
      <c r="F36" s="352"/>
      <c r="G36" s="352"/>
      <c r="H36" s="352"/>
      <c r="I36" s="352"/>
      <c r="J36" s="352"/>
      <c r="K36" s="352"/>
      <c r="L36" s="352"/>
      <c r="M36" s="359" t="s">
        <v>416</v>
      </c>
      <c r="N36" s="359"/>
      <c r="O36" s="359"/>
      <c r="P36" s="359"/>
      <c r="Q36" s="359"/>
      <c r="R36" s="359"/>
      <c r="S36" s="359"/>
      <c r="T36" s="359"/>
      <c r="U36" s="359"/>
      <c r="V36" s="359"/>
      <c r="W36" s="359"/>
      <c r="X36" s="359"/>
      <c r="Y36" s="359"/>
      <c r="Z36" s="359"/>
      <c r="AB36" s="214" t="s">
        <v>126</v>
      </c>
      <c r="AD36" s="221" t="s">
        <v>129</v>
      </c>
      <c r="AE36" s="217"/>
      <c r="AF36" s="213">
        <f>IF(M36&lt;&gt;"",1,0)</f>
        <v>1</v>
      </c>
      <c r="AG36" s="213">
        <f>IF(AND(SUM(AF:AF)&gt;0,M36=""),1,0)</f>
        <v>0</v>
      </c>
    </row>
    <row r="37" spans="1:33" ht="16" x14ac:dyDescent="0.2">
      <c r="A37" s="212" t="str">
        <f t="shared" si="0"/>
        <v/>
      </c>
      <c r="B37" s="213">
        <v>1</v>
      </c>
      <c r="D37" s="352" t="s">
        <v>114</v>
      </c>
      <c r="E37" s="352"/>
      <c r="F37" s="352"/>
      <c r="G37" s="352"/>
      <c r="H37" s="352"/>
      <c r="I37" s="352"/>
      <c r="J37" s="352"/>
      <c r="K37" s="352"/>
      <c r="L37" s="352"/>
      <c r="M37" s="359" t="s">
        <v>417</v>
      </c>
      <c r="N37" s="359"/>
      <c r="O37" s="359"/>
      <c r="P37" s="359"/>
      <c r="Q37" s="359"/>
      <c r="R37" s="359"/>
      <c r="S37" s="359"/>
      <c r="T37" s="359"/>
      <c r="U37" s="359"/>
      <c r="V37" s="359"/>
      <c r="W37" s="359"/>
      <c r="X37" s="359"/>
      <c r="Y37" s="359"/>
      <c r="Z37" s="359"/>
      <c r="AB37" s="214" t="s">
        <v>126</v>
      </c>
      <c r="AD37" s="221" t="s">
        <v>129</v>
      </c>
      <c r="AE37" s="217"/>
      <c r="AF37" s="213">
        <f>IF(M37&lt;&gt;"",1,0)</f>
        <v>1</v>
      </c>
      <c r="AG37" s="213">
        <f>IF(AND(SUM(AF:AF)&gt;0,M37=""),1,0)</f>
        <v>0</v>
      </c>
    </row>
    <row r="38" spans="1:33" ht="16" x14ac:dyDescent="0.2">
      <c r="A38" s="212" t="str">
        <f t="shared" si="0"/>
        <v/>
      </c>
      <c r="B38" s="213">
        <v>1</v>
      </c>
      <c r="D38" s="352" t="s">
        <v>115</v>
      </c>
      <c r="E38" s="352"/>
      <c r="F38" s="352"/>
      <c r="G38" s="352"/>
      <c r="H38" s="352"/>
      <c r="I38" s="352"/>
      <c r="J38" s="352"/>
      <c r="K38" s="352"/>
      <c r="L38" s="352"/>
      <c r="M38" s="359" t="s">
        <v>418</v>
      </c>
      <c r="N38" s="359"/>
      <c r="O38" s="359"/>
      <c r="P38" s="359"/>
      <c r="Q38" s="359"/>
      <c r="R38" s="359"/>
      <c r="S38" s="359"/>
      <c r="T38" s="359"/>
      <c r="U38" s="359"/>
      <c r="V38" s="359"/>
      <c r="W38" s="359"/>
      <c r="X38" s="359"/>
      <c r="Y38" s="359"/>
      <c r="Z38" s="359"/>
      <c r="AB38" s="214" t="s">
        <v>126</v>
      </c>
      <c r="AD38" s="221" t="s">
        <v>129</v>
      </c>
      <c r="AE38" s="217"/>
      <c r="AF38" s="213">
        <f>IF(M38&lt;&gt;"",1,0)</f>
        <v>1</v>
      </c>
      <c r="AG38" s="213">
        <f>IF(AND(SUM(AF:AF)&gt;0,M38=""),1,0)</f>
        <v>0</v>
      </c>
    </row>
    <row r="39" spans="1:33" ht="31" customHeight="1" x14ac:dyDescent="0.15">
      <c r="A39" s="212" t="str">
        <f t="shared" si="0"/>
        <v/>
      </c>
      <c r="B39" s="213">
        <v>1</v>
      </c>
      <c r="D39" s="356" t="s">
        <v>135</v>
      </c>
      <c r="E39" s="356"/>
      <c r="F39" s="356"/>
      <c r="G39" s="356"/>
      <c r="H39" s="356"/>
      <c r="I39" s="356"/>
      <c r="J39" s="356"/>
      <c r="K39" s="356"/>
      <c r="L39" s="356"/>
      <c r="M39" s="356"/>
      <c r="N39" s="356"/>
      <c r="O39" s="356"/>
      <c r="P39" s="356"/>
      <c r="Q39" s="356"/>
      <c r="R39" s="356"/>
      <c r="S39" s="356"/>
      <c r="T39" s="356"/>
      <c r="U39" s="356"/>
      <c r="V39" s="356"/>
      <c r="W39" s="356"/>
      <c r="X39" s="356"/>
      <c r="Y39" s="356"/>
      <c r="Z39" s="356"/>
      <c r="AB39" s="225" t="s">
        <v>155</v>
      </c>
      <c r="AD39" s="221" t="s">
        <v>129</v>
      </c>
      <c r="AE39" s="217"/>
      <c r="AF39" s="64"/>
      <c r="AG39" s="64"/>
    </row>
    <row r="40" spans="1:33" ht="34.5" customHeight="1" x14ac:dyDescent="0.2">
      <c r="A40" s="212" t="str">
        <f t="shared" si="0"/>
        <v/>
      </c>
      <c r="B40" s="213">
        <v>1</v>
      </c>
      <c r="D40" s="339" t="s">
        <v>239</v>
      </c>
      <c r="E40" s="339"/>
      <c r="F40" s="339"/>
      <c r="G40" s="339"/>
      <c r="H40" s="339"/>
      <c r="I40" s="339"/>
      <c r="J40" s="339"/>
      <c r="K40" s="339"/>
      <c r="L40" s="339"/>
      <c r="M40" s="339"/>
      <c r="N40" s="339"/>
      <c r="O40" s="339"/>
      <c r="P40" s="339"/>
      <c r="Q40" s="339"/>
      <c r="R40" s="339"/>
      <c r="S40" s="339"/>
      <c r="T40" s="339"/>
      <c r="U40" s="339"/>
      <c r="V40" s="339"/>
      <c r="W40" s="339"/>
      <c r="X40" s="339"/>
      <c r="Y40" s="339"/>
      <c r="Z40" s="339"/>
      <c r="AA40" s="204"/>
      <c r="AB40" s="225" t="s">
        <v>155</v>
      </c>
      <c r="AD40" s="221" t="s">
        <v>129</v>
      </c>
      <c r="AE40" s="217"/>
      <c r="AF40" s="64"/>
      <c r="AG40" s="64"/>
    </row>
    <row r="41" spans="1:33" ht="29.25" customHeight="1" x14ac:dyDescent="0.2">
      <c r="A41" s="212" t="str">
        <f t="shared" si="0"/>
        <v/>
      </c>
      <c r="B41" s="213">
        <v>1</v>
      </c>
      <c r="D41" s="339" t="s">
        <v>183</v>
      </c>
      <c r="E41" s="339"/>
      <c r="F41" s="339"/>
      <c r="G41" s="339"/>
      <c r="H41" s="339"/>
      <c r="I41" s="339"/>
      <c r="J41" s="339"/>
      <c r="K41" s="339"/>
      <c r="L41" s="339"/>
      <c r="M41" s="339"/>
      <c r="N41" s="339"/>
      <c r="O41" s="339"/>
      <c r="P41" s="339"/>
      <c r="Q41" s="339"/>
      <c r="R41" s="339"/>
      <c r="S41" s="339"/>
      <c r="T41" s="339"/>
      <c r="U41" s="339"/>
      <c r="V41" s="339"/>
      <c r="W41" s="339"/>
      <c r="X41" s="339"/>
      <c r="Y41" s="339"/>
      <c r="Z41" s="339"/>
      <c r="AA41" s="204"/>
      <c r="AB41" s="225" t="s">
        <v>155</v>
      </c>
      <c r="AD41" s="221" t="s">
        <v>129</v>
      </c>
      <c r="AE41" s="217"/>
      <c r="AF41" s="64"/>
      <c r="AG41" s="64"/>
    </row>
    <row r="42" spans="1:33" ht="31" customHeight="1" x14ac:dyDescent="0.15">
      <c r="A42" s="212" t="str">
        <f t="shared" si="0"/>
        <v/>
      </c>
      <c r="B42" s="213">
        <v>1</v>
      </c>
      <c r="D42" s="356" t="s">
        <v>136</v>
      </c>
      <c r="E42" s="356"/>
      <c r="F42" s="356"/>
      <c r="G42" s="356"/>
      <c r="H42" s="356"/>
      <c r="I42" s="356"/>
      <c r="J42" s="356"/>
      <c r="K42" s="356"/>
      <c r="L42" s="356"/>
      <c r="M42" s="356"/>
      <c r="N42" s="356"/>
      <c r="O42" s="356"/>
      <c r="P42" s="356"/>
      <c r="Q42" s="356"/>
      <c r="R42" s="356"/>
      <c r="S42" s="356"/>
      <c r="T42" s="356"/>
      <c r="U42" s="356"/>
      <c r="V42" s="356"/>
      <c r="W42" s="356"/>
      <c r="X42" s="356"/>
      <c r="Y42" s="356"/>
      <c r="Z42" s="356"/>
      <c r="AB42" s="225" t="s">
        <v>155</v>
      </c>
      <c r="AD42" s="221" t="s">
        <v>129</v>
      </c>
      <c r="AE42" s="217"/>
      <c r="AF42" s="64"/>
      <c r="AG42" s="64"/>
    </row>
    <row r="43" spans="1:33" ht="30.75" customHeight="1" x14ac:dyDescent="0.2">
      <c r="A43" s="212" t="str">
        <f t="shared" si="0"/>
        <v/>
      </c>
      <c r="B43" s="213">
        <v>1</v>
      </c>
      <c r="D43" s="339" t="s">
        <v>116</v>
      </c>
      <c r="E43" s="339"/>
      <c r="F43" s="339"/>
      <c r="G43" s="339"/>
      <c r="H43" s="339"/>
      <c r="I43" s="339"/>
      <c r="J43" s="339"/>
      <c r="K43" s="339"/>
      <c r="L43" s="339"/>
      <c r="M43" s="339"/>
      <c r="N43" s="339"/>
      <c r="O43" s="339"/>
      <c r="P43" s="339"/>
      <c r="Q43" s="339"/>
      <c r="R43" s="339"/>
      <c r="S43" s="339"/>
      <c r="T43" s="339"/>
      <c r="U43" s="339"/>
      <c r="V43" s="339"/>
      <c r="W43" s="339"/>
      <c r="X43" s="339"/>
      <c r="Y43" s="339"/>
      <c r="Z43" s="339"/>
      <c r="AA43" s="204"/>
      <c r="AB43" s="225" t="s">
        <v>155</v>
      </c>
      <c r="AD43" s="221" t="s">
        <v>129</v>
      </c>
      <c r="AE43" s="217"/>
      <c r="AF43" s="64"/>
      <c r="AG43" s="64"/>
    </row>
    <row r="44" spans="1:33" ht="31" customHeight="1" x14ac:dyDescent="0.15">
      <c r="A44" s="212" t="str">
        <f t="shared" si="0"/>
        <v/>
      </c>
      <c r="B44" s="213">
        <v>1</v>
      </c>
      <c r="D44" s="356" t="s">
        <v>137</v>
      </c>
      <c r="E44" s="356"/>
      <c r="F44" s="356"/>
      <c r="G44" s="356"/>
      <c r="H44" s="356"/>
      <c r="I44" s="356"/>
      <c r="J44" s="356"/>
      <c r="K44" s="356"/>
      <c r="L44" s="356"/>
      <c r="M44" s="356"/>
      <c r="N44" s="356"/>
      <c r="O44" s="356"/>
      <c r="P44" s="356"/>
      <c r="Q44" s="356"/>
      <c r="R44" s="356"/>
      <c r="S44" s="356"/>
      <c r="T44" s="356"/>
      <c r="U44" s="356"/>
      <c r="V44" s="356"/>
      <c r="W44" s="356"/>
      <c r="X44" s="356"/>
      <c r="Y44" s="356"/>
      <c r="Z44" s="356"/>
      <c r="AB44" s="225" t="s">
        <v>155</v>
      </c>
      <c r="AD44" s="221" t="s">
        <v>129</v>
      </c>
      <c r="AE44" s="217"/>
      <c r="AF44" s="64"/>
      <c r="AG44" s="64"/>
    </row>
    <row r="45" spans="1:33" ht="37.5" customHeight="1" x14ac:dyDescent="0.2">
      <c r="A45" s="212" t="str">
        <f t="shared" si="0"/>
        <v/>
      </c>
      <c r="B45" s="213">
        <v>1</v>
      </c>
      <c r="D45" s="339" t="s">
        <v>240</v>
      </c>
      <c r="E45" s="339"/>
      <c r="F45" s="339"/>
      <c r="G45" s="339"/>
      <c r="H45" s="339"/>
      <c r="I45" s="339"/>
      <c r="J45" s="339"/>
      <c r="K45" s="339"/>
      <c r="L45" s="339"/>
      <c r="M45" s="339"/>
      <c r="N45" s="339"/>
      <c r="O45" s="339"/>
      <c r="P45" s="339"/>
      <c r="Q45" s="339"/>
      <c r="R45" s="339"/>
      <c r="S45" s="339"/>
      <c r="T45" s="339"/>
      <c r="U45" s="339"/>
      <c r="V45" s="339"/>
      <c r="W45" s="339"/>
      <c r="X45" s="339"/>
      <c r="Y45" s="339"/>
      <c r="Z45" s="339"/>
      <c r="AA45" s="204"/>
      <c r="AB45" s="225" t="s">
        <v>155</v>
      </c>
      <c r="AD45" s="221" t="s">
        <v>129</v>
      </c>
      <c r="AE45" s="217"/>
      <c r="AF45" s="64"/>
      <c r="AG45" s="64"/>
    </row>
    <row r="46" spans="1:33" ht="31" customHeight="1" x14ac:dyDescent="0.15">
      <c r="A46" s="212" t="str">
        <f t="shared" si="0"/>
        <v/>
      </c>
      <c r="B46" s="213">
        <v>1</v>
      </c>
      <c r="D46" s="356" t="s">
        <v>138</v>
      </c>
      <c r="E46" s="356"/>
      <c r="F46" s="356"/>
      <c r="G46" s="356"/>
      <c r="H46" s="356"/>
      <c r="I46" s="356"/>
      <c r="J46" s="356"/>
      <c r="K46" s="356"/>
      <c r="L46" s="356"/>
      <c r="M46" s="356"/>
      <c r="N46" s="356"/>
      <c r="O46" s="356"/>
      <c r="P46" s="356"/>
      <c r="Q46" s="356"/>
      <c r="R46" s="356"/>
      <c r="S46" s="356"/>
      <c r="T46" s="356"/>
      <c r="U46" s="356"/>
      <c r="V46" s="356"/>
      <c r="W46" s="356"/>
      <c r="X46" s="356"/>
      <c r="Y46" s="356"/>
      <c r="Z46" s="356"/>
      <c r="AB46" s="225" t="s">
        <v>155</v>
      </c>
      <c r="AD46" s="221" t="s">
        <v>129</v>
      </c>
      <c r="AE46" s="217"/>
      <c r="AF46" s="64"/>
      <c r="AG46" s="64"/>
    </row>
    <row r="47" spans="1:33" ht="31.5" customHeight="1" x14ac:dyDescent="0.2">
      <c r="A47" s="212" t="str">
        <f t="shared" si="0"/>
        <v/>
      </c>
      <c r="B47" s="213">
        <v>1</v>
      </c>
      <c r="D47" s="339" t="s">
        <v>272</v>
      </c>
      <c r="E47" s="339"/>
      <c r="F47" s="339"/>
      <c r="G47" s="339"/>
      <c r="H47" s="339"/>
      <c r="I47" s="339"/>
      <c r="J47" s="339"/>
      <c r="K47" s="339"/>
      <c r="L47" s="339"/>
      <c r="M47" s="339"/>
      <c r="N47" s="339"/>
      <c r="O47" s="339"/>
      <c r="P47" s="339"/>
      <c r="Q47" s="339"/>
      <c r="R47" s="339"/>
      <c r="S47" s="339"/>
      <c r="T47" s="339"/>
      <c r="U47" s="339"/>
      <c r="V47" s="339"/>
      <c r="W47" s="339"/>
      <c r="X47" s="339"/>
      <c r="Y47" s="339"/>
      <c r="Z47" s="339"/>
      <c r="AB47" s="225" t="s">
        <v>155</v>
      </c>
      <c r="AD47" s="221" t="s">
        <v>129</v>
      </c>
      <c r="AE47" s="217"/>
      <c r="AF47" s="64"/>
      <c r="AG47" s="64"/>
    </row>
    <row r="48" spans="1:33" ht="31" customHeight="1" x14ac:dyDescent="0.15">
      <c r="A48" s="212" t="str">
        <f t="shared" si="0"/>
        <v/>
      </c>
      <c r="B48" s="213">
        <v>1</v>
      </c>
      <c r="D48" s="356" t="s">
        <v>241</v>
      </c>
      <c r="E48" s="356"/>
      <c r="F48" s="356"/>
      <c r="G48" s="356"/>
      <c r="H48" s="356"/>
      <c r="I48" s="356"/>
      <c r="J48" s="356"/>
      <c r="K48" s="356"/>
      <c r="L48" s="356"/>
      <c r="M48" s="356"/>
      <c r="N48" s="356"/>
      <c r="O48" s="356"/>
      <c r="P48" s="356"/>
      <c r="Q48" s="356"/>
      <c r="R48" s="356"/>
      <c r="S48" s="356"/>
      <c r="T48" s="356"/>
      <c r="U48" s="356"/>
      <c r="V48" s="356"/>
      <c r="W48" s="356"/>
      <c r="X48" s="356"/>
      <c r="Y48" s="356"/>
      <c r="Z48" s="356"/>
      <c r="AA48" s="206"/>
      <c r="AB48" s="214" t="s">
        <v>132</v>
      </c>
      <c r="AD48" s="219" t="s">
        <v>130</v>
      </c>
      <c r="AE48" s="217"/>
      <c r="AF48" s="64"/>
      <c r="AG48" s="64"/>
    </row>
    <row r="49" spans="1:33" ht="18" customHeight="1" x14ac:dyDescent="0.2">
      <c r="A49" s="212" t="str">
        <f t="shared" si="0"/>
        <v/>
      </c>
      <c r="B49" s="220">
        <v>1</v>
      </c>
      <c r="D49" s="354" t="s">
        <v>242</v>
      </c>
      <c r="E49" s="355"/>
      <c r="F49" s="355"/>
      <c r="G49" s="355"/>
      <c r="H49" s="355"/>
      <c r="I49" s="355"/>
      <c r="J49" s="355"/>
      <c r="K49" s="355"/>
      <c r="L49" s="355"/>
      <c r="M49" s="355"/>
      <c r="N49" s="355"/>
      <c r="O49" s="355"/>
      <c r="P49" s="355"/>
      <c r="Q49" s="355"/>
      <c r="R49" s="355"/>
      <c r="S49" s="355"/>
      <c r="T49" s="355"/>
      <c r="U49" s="355"/>
      <c r="V49" s="355"/>
      <c r="W49" s="355"/>
      <c r="X49" s="355"/>
      <c r="Y49" s="355"/>
      <c r="Z49" s="355"/>
      <c r="AA49" s="206"/>
      <c r="AB49" s="214" t="s">
        <v>132</v>
      </c>
      <c r="AD49" s="219" t="s">
        <v>130</v>
      </c>
      <c r="AE49" s="217"/>
      <c r="AF49" s="213">
        <f t="shared" ref="AF49:AF54" si="4">IF(B49&lt;&gt;"",1,0)</f>
        <v>1</v>
      </c>
      <c r="AG49" s="213">
        <f t="shared" ref="AG49:AG54" si="5">IF(AND(SUM(AF:AF)&gt;0,B49=""),1,0)</f>
        <v>0</v>
      </c>
    </row>
    <row r="50" spans="1:33" ht="18" hidden="1" customHeight="1" x14ac:dyDescent="0.2">
      <c r="A50" s="212" t="str">
        <f t="shared" si="0"/>
        <v/>
      </c>
      <c r="B50" s="220">
        <v>0</v>
      </c>
      <c r="D50" s="244" t="s">
        <v>131</v>
      </c>
      <c r="E50" s="354" t="s">
        <v>243</v>
      </c>
      <c r="F50" s="355"/>
      <c r="G50" s="355"/>
      <c r="H50" s="355"/>
      <c r="I50" s="355"/>
      <c r="J50" s="355"/>
      <c r="K50" s="355"/>
      <c r="L50" s="355"/>
      <c r="M50" s="355"/>
      <c r="N50" s="355"/>
      <c r="O50" s="355"/>
      <c r="P50" s="355"/>
      <c r="Q50" s="355"/>
      <c r="R50" s="355"/>
      <c r="S50" s="355"/>
      <c r="T50" s="355"/>
      <c r="U50" s="355"/>
      <c r="V50" s="355"/>
      <c r="W50" s="355"/>
      <c r="X50" s="355"/>
      <c r="Y50" s="355"/>
      <c r="Z50" s="355"/>
      <c r="AB50" s="214" t="s">
        <v>132</v>
      </c>
      <c r="AD50" s="219" t="s">
        <v>130</v>
      </c>
      <c r="AE50" s="217"/>
      <c r="AF50" s="213">
        <f t="shared" si="4"/>
        <v>1</v>
      </c>
      <c r="AG50" s="213">
        <f t="shared" si="5"/>
        <v>0</v>
      </c>
    </row>
    <row r="51" spans="1:33" ht="18" customHeight="1" x14ac:dyDescent="0.2">
      <c r="A51" s="212" t="str">
        <f t="shared" si="0"/>
        <v/>
      </c>
      <c r="B51" s="220">
        <v>1</v>
      </c>
      <c r="D51" s="244" t="s">
        <v>131</v>
      </c>
      <c r="E51" s="354" t="s">
        <v>244</v>
      </c>
      <c r="F51" s="355"/>
      <c r="G51" s="355"/>
      <c r="H51" s="355"/>
      <c r="I51" s="355"/>
      <c r="J51" s="355"/>
      <c r="K51" s="355"/>
      <c r="L51" s="355"/>
      <c r="M51" s="355"/>
      <c r="N51" s="355"/>
      <c r="O51" s="355"/>
      <c r="P51" s="355"/>
      <c r="Q51" s="355"/>
      <c r="R51" s="355"/>
      <c r="S51" s="355"/>
      <c r="T51" s="355"/>
      <c r="U51" s="355"/>
      <c r="V51" s="355"/>
      <c r="W51" s="355"/>
      <c r="X51" s="355"/>
      <c r="Y51" s="355"/>
      <c r="Z51" s="355"/>
      <c r="AB51" s="214" t="s">
        <v>132</v>
      </c>
      <c r="AD51" s="219" t="s">
        <v>130</v>
      </c>
      <c r="AE51" s="217"/>
      <c r="AF51" s="213">
        <f t="shared" si="4"/>
        <v>1</v>
      </c>
      <c r="AG51" s="213">
        <f t="shared" si="5"/>
        <v>0</v>
      </c>
    </row>
    <row r="52" spans="1:33" ht="20" customHeight="1" x14ac:dyDescent="0.2">
      <c r="A52" s="212" t="str">
        <f t="shared" si="0"/>
        <v/>
      </c>
      <c r="B52" s="220">
        <v>1</v>
      </c>
      <c r="D52" s="244" t="s">
        <v>131</v>
      </c>
      <c r="E52" s="354" t="s">
        <v>245</v>
      </c>
      <c r="F52" s="355"/>
      <c r="G52" s="355"/>
      <c r="H52" s="355"/>
      <c r="I52" s="355"/>
      <c r="J52" s="355"/>
      <c r="K52" s="355"/>
      <c r="L52" s="355"/>
      <c r="M52" s="355"/>
      <c r="N52" s="355"/>
      <c r="O52" s="355"/>
      <c r="P52" s="355"/>
      <c r="Q52" s="355"/>
      <c r="R52" s="355"/>
      <c r="S52" s="355"/>
      <c r="T52" s="355"/>
      <c r="U52" s="355"/>
      <c r="V52" s="355"/>
      <c r="W52" s="355"/>
      <c r="X52" s="355"/>
      <c r="Y52" s="355"/>
      <c r="Z52" s="355"/>
      <c r="AB52" s="214" t="s">
        <v>132</v>
      </c>
      <c r="AD52" s="219" t="s">
        <v>130</v>
      </c>
      <c r="AE52" s="217"/>
      <c r="AF52" s="213">
        <f t="shared" si="4"/>
        <v>1</v>
      </c>
      <c r="AG52" s="213">
        <f t="shared" si="5"/>
        <v>0</v>
      </c>
    </row>
    <row r="53" spans="1:33" ht="20" customHeight="1" x14ac:dyDescent="0.2">
      <c r="A53" s="212" t="str">
        <f t="shared" si="0"/>
        <v/>
      </c>
      <c r="B53" s="220">
        <v>1</v>
      </c>
      <c r="D53" s="244" t="s">
        <v>131</v>
      </c>
      <c r="E53" s="354" t="s">
        <v>246</v>
      </c>
      <c r="F53" s="355"/>
      <c r="G53" s="355"/>
      <c r="H53" s="355"/>
      <c r="I53" s="355"/>
      <c r="J53" s="355"/>
      <c r="K53" s="355"/>
      <c r="L53" s="355"/>
      <c r="M53" s="355"/>
      <c r="N53" s="355"/>
      <c r="O53" s="355"/>
      <c r="P53" s="355"/>
      <c r="Q53" s="355"/>
      <c r="R53" s="355"/>
      <c r="S53" s="355"/>
      <c r="T53" s="355"/>
      <c r="U53" s="355"/>
      <c r="V53" s="355"/>
      <c r="W53" s="355"/>
      <c r="X53" s="355"/>
      <c r="Y53" s="355"/>
      <c r="Z53" s="355"/>
      <c r="AB53" s="214" t="s">
        <v>132</v>
      </c>
      <c r="AD53" s="219" t="s">
        <v>130</v>
      </c>
      <c r="AE53" s="217"/>
      <c r="AF53" s="213">
        <f t="shared" si="4"/>
        <v>1</v>
      </c>
      <c r="AG53" s="213">
        <f t="shared" si="5"/>
        <v>0</v>
      </c>
    </row>
    <row r="54" spans="1:33" ht="20" customHeight="1" x14ac:dyDescent="0.2">
      <c r="A54" s="212" t="str">
        <f t="shared" si="0"/>
        <v/>
      </c>
      <c r="B54" s="220">
        <v>1</v>
      </c>
      <c r="D54" s="244" t="s">
        <v>131</v>
      </c>
      <c r="E54" s="354" t="s">
        <v>247</v>
      </c>
      <c r="F54" s="355"/>
      <c r="G54" s="355"/>
      <c r="H54" s="355"/>
      <c r="I54" s="355"/>
      <c r="J54" s="355"/>
      <c r="K54" s="355"/>
      <c r="L54" s="355"/>
      <c r="M54" s="355"/>
      <c r="N54" s="355"/>
      <c r="O54" s="355"/>
      <c r="P54" s="355"/>
      <c r="Q54" s="355"/>
      <c r="R54" s="355"/>
      <c r="S54" s="355"/>
      <c r="T54" s="355"/>
      <c r="U54" s="355"/>
      <c r="V54" s="355"/>
      <c r="W54" s="355"/>
      <c r="X54" s="355"/>
      <c r="Y54" s="355"/>
      <c r="Z54" s="355"/>
      <c r="AB54" s="214" t="s">
        <v>132</v>
      </c>
      <c r="AD54" s="219" t="s">
        <v>130</v>
      </c>
      <c r="AE54" s="217"/>
      <c r="AF54" s="213">
        <f t="shared" si="4"/>
        <v>1</v>
      </c>
      <c r="AG54" s="213">
        <f t="shared" si="5"/>
        <v>0</v>
      </c>
    </row>
    <row r="55" spans="1:33" s="207" customFormat="1" ht="17.5" customHeight="1" x14ac:dyDescent="0.15">
      <c r="A55" s="212" t="str">
        <f t="shared" si="0"/>
        <v/>
      </c>
      <c r="B55" s="220">
        <v>1</v>
      </c>
      <c r="C55" s="209"/>
      <c r="D55" s="244" t="s">
        <v>131</v>
      </c>
      <c r="E55" s="354" t="s">
        <v>248</v>
      </c>
      <c r="F55" s="354"/>
      <c r="G55" s="354"/>
      <c r="H55" s="354"/>
      <c r="I55" s="354"/>
      <c r="J55" s="354"/>
      <c r="K55" s="354"/>
      <c r="L55" s="354"/>
      <c r="M55" s="354"/>
      <c r="N55" s="354"/>
      <c r="O55" s="354"/>
      <c r="P55" s="354"/>
      <c r="Q55" s="354"/>
      <c r="R55" s="354"/>
      <c r="S55" s="354"/>
      <c r="T55" s="354"/>
      <c r="U55" s="354"/>
      <c r="V55" s="354"/>
      <c r="W55" s="362">
        <v>95</v>
      </c>
      <c r="X55" s="362"/>
      <c r="Y55" s="248" t="s">
        <v>249</v>
      </c>
      <c r="Z55" s="248"/>
      <c r="AB55" s="214" t="s">
        <v>250</v>
      </c>
      <c r="AD55" s="219" t="s">
        <v>130</v>
      </c>
      <c r="AE55" s="197"/>
      <c r="AF55" s="213">
        <f>IF(OR(B55&lt;&gt;"",P55&lt;&gt;""),1,0)</f>
        <v>1</v>
      </c>
      <c r="AG55" s="213">
        <f>IF(AND(SUM(AF:AF)&gt;0,OR(AND(B55=1,W55=""),AND(B55="",W55=""),AND(B55="",W55&lt;&gt;""),AND(B55=0,W55&lt;&gt;""))),1,0)</f>
        <v>0</v>
      </c>
    </row>
    <row r="56" spans="1:33" s="202" customFormat="1" ht="18.5" hidden="1" customHeight="1" x14ac:dyDescent="0.2">
      <c r="A56" s="212" t="str">
        <f t="shared" si="0"/>
        <v/>
      </c>
      <c r="B56" s="213">
        <v>0</v>
      </c>
      <c r="C56" s="201"/>
      <c r="D56" s="231" t="s">
        <v>131</v>
      </c>
      <c r="E56" s="339" t="s">
        <v>184</v>
      </c>
      <c r="F56" s="339"/>
      <c r="G56" s="339"/>
      <c r="H56" s="339"/>
      <c r="I56" s="339"/>
      <c r="J56" s="339"/>
      <c r="K56" s="339"/>
      <c r="L56" s="339"/>
      <c r="M56" s="339"/>
      <c r="N56" s="339"/>
      <c r="O56" s="339"/>
      <c r="P56" s="339"/>
      <c r="Q56" s="339"/>
      <c r="R56" s="339"/>
      <c r="S56" s="339"/>
      <c r="T56" s="339"/>
      <c r="U56" s="339"/>
      <c r="V56" s="339"/>
      <c r="W56" s="339"/>
      <c r="X56" s="339"/>
      <c r="Y56" s="339"/>
      <c r="Z56" s="339"/>
      <c r="AA56" s="204"/>
      <c r="AB56" s="225" t="s">
        <v>158</v>
      </c>
      <c r="AD56" s="221" t="s">
        <v>143</v>
      </c>
      <c r="AE56" s="118"/>
      <c r="AF56" s="64"/>
      <c r="AG56" s="64"/>
    </row>
    <row r="57" spans="1:33" s="202" customFormat="1" ht="35.5" customHeight="1" x14ac:dyDescent="0.2">
      <c r="A57" s="212" t="str">
        <f t="shared" si="0"/>
        <v/>
      </c>
      <c r="B57" s="220">
        <v>1</v>
      </c>
      <c r="C57" s="201"/>
      <c r="D57" s="231" t="s">
        <v>131</v>
      </c>
      <c r="E57" s="361" t="s">
        <v>425</v>
      </c>
      <c r="F57" s="361"/>
      <c r="G57" s="361"/>
      <c r="H57" s="361"/>
      <c r="I57" s="361"/>
      <c r="J57" s="361"/>
      <c r="K57" s="361"/>
      <c r="L57" s="361"/>
      <c r="M57" s="361"/>
      <c r="N57" s="361"/>
      <c r="O57" s="361"/>
      <c r="P57" s="361"/>
      <c r="Q57" s="361"/>
      <c r="R57" s="361"/>
      <c r="S57" s="361"/>
      <c r="T57" s="361"/>
      <c r="U57" s="361"/>
      <c r="V57" s="361"/>
      <c r="W57" s="361"/>
      <c r="X57" s="361"/>
      <c r="Y57" s="361"/>
      <c r="Z57" s="361"/>
      <c r="AA57" s="205"/>
      <c r="AB57" s="214" t="s">
        <v>159</v>
      </c>
      <c r="AD57" s="219" t="s">
        <v>130</v>
      </c>
      <c r="AE57" s="217"/>
      <c r="AF57" s="213">
        <f t="shared" ref="AF57:AF59" si="6">IF(B57&lt;&gt;"",1,0)</f>
        <v>1</v>
      </c>
      <c r="AG57" s="213">
        <f>IF(AND(SUM(AF:AF)&gt;0,OR(AND(B57=1,E57=""),AND(B57="",E57=""),AND(B57="",E57&lt;&gt;""),AND(B57=0,E57&lt;&gt;""))),1,0)</f>
        <v>0</v>
      </c>
    </row>
    <row r="58" spans="1:33" s="202" customFormat="1" ht="18" customHeight="1" x14ac:dyDescent="0.2">
      <c r="A58" s="212" t="str">
        <f t="shared" si="0"/>
        <v/>
      </c>
      <c r="B58" s="220">
        <v>1</v>
      </c>
      <c r="C58" s="201"/>
      <c r="D58" s="231" t="s">
        <v>131</v>
      </c>
      <c r="E58" s="361" t="s">
        <v>420</v>
      </c>
      <c r="F58" s="361"/>
      <c r="G58" s="361"/>
      <c r="H58" s="361"/>
      <c r="I58" s="361"/>
      <c r="J58" s="361"/>
      <c r="K58" s="361"/>
      <c r="L58" s="361"/>
      <c r="M58" s="361"/>
      <c r="N58" s="361"/>
      <c r="O58" s="361"/>
      <c r="P58" s="361"/>
      <c r="Q58" s="361"/>
      <c r="R58" s="361"/>
      <c r="S58" s="361"/>
      <c r="T58" s="361"/>
      <c r="U58" s="361"/>
      <c r="V58" s="361"/>
      <c r="W58" s="361"/>
      <c r="X58" s="361"/>
      <c r="Y58" s="361"/>
      <c r="Z58" s="361"/>
      <c r="AA58" s="205"/>
      <c r="AB58" s="214" t="s">
        <v>159</v>
      </c>
      <c r="AD58" s="219" t="s">
        <v>130</v>
      </c>
      <c r="AE58" s="217"/>
      <c r="AF58" s="213">
        <f t="shared" si="6"/>
        <v>1</v>
      </c>
      <c r="AG58" s="213">
        <f>IF(AND(SUM(AF:AF)&gt;0,OR(AND(B58=1,E58=""),AND(B58="",E58=""),AND(B58="",E58&lt;&gt;""),AND(B58=0,E58&lt;&gt;""))),1,0)</f>
        <v>0</v>
      </c>
    </row>
    <row r="59" spans="1:33" s="202" customFormat="1" ht="18" hidden="1" customHeight="1" x14ac:dyDescent="0.2">
      <c r="A59" s="212" t="str">
        <f t="shared" si="0"/>
        <v/>
      </c>
      <c r="B59" s="220">
        <v>0</v>
      </c>
      <c r="C59" s="201"/>
      <c r="D59" s="231" t="s">
        <v>131</v>
      </c>
      <c r="E59" s="361"/>
      <c r="F59" s="361"/>
      <c r="G59" s="361"/>
      <c r="H59" s="361"/>
      <c r="I59" s="361"/>
      <c r="J59" s="361"/>
      <c r="K59" s="361"/>
      <c r="L59" s="361"/>
      <c r="M59" s="361"/>
      <c r="N59" s="361"/>
      <c r="O59" s="361"/>
      <c r="P59" s="361"/>
      <c r="Q59" s="361"/>
      <c r="R59" s="361"/>
      <c r="S59" s="361"/>
      <c r="T59" s="361"/>
      <c r="U59" s="361"/>
      <c r="V59" s="361"/>
      <c r="W59" s="361"/>
      <c r="X59" s="361"/>
      <c r="Y59" s="361"/>
      <c r="Z59" s="361"/>
      <c r="AA59" s="205"/>
      <c r="AB59" s="214" t="s">
        <v>159</v>
      </c>
      <c r="AD59" s="219" t="s">
        <v>130</v>
      </c>
      <c r="AE59" s="217"/>
      <c r="AF59" s="213">
        <f t="shared" si="6"/>
        <v>1</v>
      </c>
      <c r="AG59" s="213">
        <f>IF(AND(SUM(AF:AF)&gt;0,OR(AND(B59=1,E59=""),AND(B59="",E59=""),AND(B59="",E59&lt;&gt;""),AND(B59=0,E59&lt;&gt;""))),1,0)</f>
        <v>0</v>
      </c>
    </row>
    <row r="60" spans="1:33" ht="21" hidden="1" customHeight="1" x14ac:dyDescent="0.2">
      <c r="A60" s="212" t="str">
        <f t="shared" si="0"/>
        <v/>
      </c>
      <c r="B60" s="213">
        <v>0</v>
      </c>
      <c r="D60" s="357" t="s">
        <v>144</v>
      </c>
      <c r="E60" s="357"/>
      <c r="F60" s="357"/>
      <c r="G60" s="357"/>
      <c r="H60" s="357"/>
      <c r="I60" s="357"/>
      <c r="J60" s="357"/>
      <c r="K60" s="357"/>
      <c r="L60" s="357"/>
      <c r="M60" s="357"/>
      <c r="N60" s="357"/>
      <c r="O60" s="357"/>
      <c r="P60" s="357"/>
      <c r="Q60" s="357"/>
      <c r="R60" s="357"/>
      <c r="S60" s="357"/>
      <c r="T60" s="357"/>
      <c r="U60" s="357"/>
      <c r="V60" s="357"/>
      <c r="W60" s="357"/>
      <c r="X60" s="357"/>
      <c r="Y60" s="357"/>
      <c r="Z60" s="357"/>
      <c r="AB60" s="225" t="s">
        <v>158</v>
      </c>
      <c r="AD60" s="221" t="s">
        <v>143</v>
      </c>
      <c r="AE60" s="118"/>
      <c r="AF60" s="64"/>
      <c r="AG60" s="64"/>
    </row>
    <row r="61" spans="1:33" ht="15.75" hidden="1" customHeight="1" x14ac:dyDescent="0.2">
      <c r="A61" s="212"/>
      <c r="B61" s="213">
        <v>0</v>
      </c>
      <c r="D61" s="336" t="s">
        <v>148</v>
      </c>
      <c r="E61" s="336"/>
      <c r="F61" s="336"/>
      <c r="G61" s="336"/>
      <c r="H61" s="336"/>
      <c r="I61" s="336"/>
      <c r="J61" s="336"/>
      <c r="K61" s="336"/>
      <c r="L61" s="336"/>
      <c r="M61" s="336"/>
      <c r="N61" s="336"/>
      <c r="O61" s="336"/>
      <c r="P61" s="336"/>
      <c r="Q61" s="336"/>
      <c r="R61" s="336"/>
      <c r="S61" s="336"/>
      <c r="T61" s="336"/>
      <c r="U61" s="336"/>
      <c r="V61" s="336"/>
      <c r="W61" s="336"/>
      <c r="X61" s="336"/>
      <c r="Y61" s="336"/>
      <c r="Z61" s="336"/>
      <c r="AB61" s="225" t="s">
        <v>158</v>
      </c>
      <c r="AD61" s="221" t="s">
        <v>143</v>
      </c>
      <c r="AE61" s="118"/>
      <c r="AF61" s="64"/>
      <c r="AG61" s="64"/>
    </row>
    <row r="62" spans="1:33" ht="8.5" customHeight="1" x14ac:dyDescent="0.15">
      <c r="A62" s="212" t="str">
        <f>IF(AG62=1,"X","")</f>
        <v/>
      </c>
      <c r="B62" s="213">
        <f>IF(OR(D63="Show",Q63="Show"),1,0)</f>
        <v>1</v>
      </c>
      <c r="D62" s="335"/>
      <c r="E62" s="335"/>
      <c r="F62" s="335"/>
      <c r="G62" s="335"/>
      <c r="H62" s="335"/>
      <c r="I62" s="335"/>
      <c r="J62" s="335"/>
      <c r="K62" s="335"/>
      <c r="L62" s="335"/>
      <c r="M62" s="335"/>
      <c r="N62" s="335"/>
      <c r="O62" s="335"/>
      <c r="P62" s="335"/>
      <c r="Q62" s="335"/>
      <c r="R62" s="335"/>
      <c r="S62" s="335"/>
      <c r="T62" s="335"/>
      <c r="U62" s="335"/>
      <c r="V62" s="335"/>
      <c r="W62" s="335"/>
      <c r="X62" s="335"/>
      <c r="Y62" s="335"/>
      <c r="Z62" s="335"/>
      <c r="AD62" s="221" t="s">
        <v>129</v>
      </c>
      <c r="AE62" s="197"/>
      <c r="AF62" s="64"/>
      <c r="AG62" s="64"/>
    </row>
    <row r="63" spans="1:33" ht="18" hidden="1" customHeight="1" x14ac:dyDescent="0.2">
      <c r="A63" s="212" t="str">
        <f t="shared" ref="A63:A64" si="7">IF(AG63=1,"X","")</f>
        <v/>
      </c>
      <c r="B63" s="238">
        <v>0</v>
      </c>
      <c r="D63" s="337" t="s">
        <v>258</v>
      </c>
      <c r="E63" s="337"/>
      <c r="F63" s="337"/>
      <c r="G63" s="337"/>
      <c r="H63" s="337"/>
      <c r="I63" s="337"/>
      <c r="J63" s="337"/>
      <c r="K63" s="337"/>
      <c r="L63" s="337"/>
      <c r="M63" s="337"/>
      <c r="N63" s="337"/>
      <c r="O63" s="223"/>
      <c r="P63" s="223"/>
      <c r="Q63" s="337" t="s">
        <v>258</v>
      </c>
      <c r="R63" s="337"/>
      <c r="S63" s="337"/>
      <c r="T63" s="337"/>
      <c r="U63" s="337"/>
      <c r="V63" s="337"/>
      <c r="W63" s="337"/>
      <c r="X63" s="337"/>
      <c r="Y63" s="337"/>
      <c r="Z63" s="337"/>
      <c r="AA63" s="208"/>
      <c r="AB63" s="214" t="s">
        <v>147</v>
      </c>
      <c r="AD63" s="219" t="s">
        <v>130</v>
      </c>
      <c r="AE63" s="118"/>
      <c r="AF63" s="213">
        <f>IF(OR(D63="Show",D63="",Q63="Show",Q63=""),1,0)</f>
        <v>1</v>
      </c>
      <c r="AG63" s="213">
        <f>IF(AND(SUM(AF:AF)&gt;0,OR(D63="",Q63="")),1,0)</f>
        <v>0</v>
      </c>
    </row>
    <row r="64" spans="1:33" ht="197.25" customHeight="1" x14ac:dyDescent="0.2">
      <c r="A64" s="212" t="str">
        <f t="shared" si="7"/>
        <v/>
      </c>
      <c r="B64" s="213">
        <f>B62</f>
        <v>1</v>
      </c>
      <c r="D64" s="337"/>
      <c r="E64" s="337"/>
      <c r="F64" s="337"/>
      <c r="G64" s="337"/>
      <c r="H64" s="337"/>
      <c r="I64" s="337"/>
      <c r="J64" s="337"/>
      <c r="K64" s="337"/>
      <c r="L64" s="337"/>
      <c r="M64" s="337"/>
      <c r="N64" s="337"/>
      <c r="O64" s="223"/>
      <c r="P64" s="223"/>
      <c r="Q64" s="337"/>
      <c r="R64" s="337"/>
      <c r="S64" s="337"/>
      <c r="T64" s="337"/>
      <c r="U64" s="337"/>
      <c r="V64" s="337"/>
      <c r="W64" s="337"/>
      <c r="X64" s="337"/>
      <c r="Y64" s="337"/>
      <c r="Z64" s="337"/>
      <c r="AA64" s="208"/>
      <c r="AB64" s="214" t="s">
        <v>146</v>
      </c>
      <c r="AD64" s="219" t="s">
        <v>130</v>
      </c>
      <c r="AE64" s="217"/>
      <c r="AF64" s="64"/>
      <c r="AG64" s="64"/>
    </row>
    <row r="65" spans="1:33" ht="18" customHeight="1" x14ac:dyDescent="0.2">
      <c r="A65" s="212" t="str">
        <f t="shared" si="0"/>
        <v/>
      </c>
      <c r="B65" s="213">
        <f>B64</f>
        <v>1</v>
      </c>
      <c r="D65" s="360" t="s">
        <v>421</v>
      </c>
      <c r="E65" s="360"/>
      <c r="F65" s="360"/>
      <c r="G65" s="360"/>
      <c r="H65" s="360"/>
      <c r="I65" s="360"/>
      <c r="J65" s="360"/>
      <c r="K65" s="360"/>
      <c r="L65" s="360"/>
      <c r="M65" s="360"/>
      <c r="N65" s="360"/>
      <c r="O65" s="223"/>
      <c r="P65" s="223"/>
      <c r="Q65" s="360" t="s">
        <v>421</v>
      </c>
      <c r="R65" s="360"/>
      <c r="S65" s="360"/>
      <c r="T65" s="360"/>
      <c r="U65" s="360"/>
      <c r="V65" s="360"/>
      <c r="W65" s="360"/>
      <c r="X65" s="360"/>
      <c r="Y65" s="360"/>
      <c r="Z65" s="360"/>
      <c r="AA65" s="208"/>
      <c r="AB65" s="214" t="s">
        <v>145</v>
      </c>
      <c r="AD65" s="219" t="s">
        <v>130</v>
      </c>
      <c r="AE65" s="217"/>
      <c r="AF65" s="213">
        <f>IF(OR(D63="Show",D63="",Q63="Show",Q63=""),1,0)</f>
        <v>1</v>
      </c>
      <c r="AG65" s="213">
        <f>IF(AND(SUM(AF:AF)&gt;0,OR(AND(D63="Show",D65=""),AND(Q63="Show",Q65=""))),1,0)</f>
        <v>0</v>
      </c>
    </row>
    <row r="66" spans="1:33" ht="8.5" customHeight="1" x14ac:dyDescent="0.15">
      <c r="A66" s="212" t="str">
        <f t="shared" si="0"/>
        <v/>
      </c>
      <c r="B66" s="213">
        <f>B65</f>
        <v>1</v>
      </c>
      <c r="D66" s="335"/>
      <c r="E66" s="335"/>
      <c r="F66" s="335"/>
      <c r="G66" s="335"/>
      <c r="H66" s="335"/>
      <c r="I66" s="335"/>
      <c r="J66" s="335"/>
      <c r="K66" s="335"/>
      <c r="L66" s="335"/>
      <c r="M66" s="335"/>
      <c r="N66" s="335"/>
      <c r="O66" s="335"/>
      <c r="P66" s="335"/>
      <c r="Q66" s="335"/>
      <c r="R66" s="335"/>
      <c r="S66" s="335"/>
      <c r="T66" s="335"/>
      <c r="U66" s="335"/>
      <c r="V66" s="335"/>
      <c r="W66" s="335"/>
      <c r="X66" s="335"/>
      <c r="Y66" s="335"/>
      <c r="Z66" s="335"/>
      <c r="AA66" s="208"/>
      <c r="AD66" s="221" t="s">
        <v>129</v>
      </c>
      <c r="AE66" s="197"/>
      <c r="AF66" s="64"/>
      <c r="AG66" s="64"/>
    </row>
    <row r="67" spans="1:33" ht="15.75" hidden="1" customHeight="1" x14ac:dyDescent="0.2">
      <c r="A67" s="212"/>
      <c r="B67" s="213">
        <v>0</v>
      </c>
      <c r="D67" s="336" t="s">
        <v>149</v>
      </c>
      <c r="E67" s="336"/>
      <c r="F67" s="336"/>
      <c r="G67" s="336"/>
      <c r="H67" s="336"/>
      <c r="I67" s="336"/>
      <c r="J67" s="336"/>
      <c r="K67" s="336"/>
      <c r="L67" s="336"/>
      <c r="M67" s="336"/>
      <c r="N67" s="336"/>
      <c r="O67" s="336"/>
      <c r="P67" s="336"/>
      <c r="Q67" s="336"/>
      <c r="R67" s="336"/>
      <c r="S67" s="336"/>
      <c r="T67" s="336"/>
      <c r="U67" s="336"/>
      <c r="V67" s="336"/>
      <c r="W67" s="336"/>
      <c r="X67" s="336"/>
      <c r="Y67" s="336"/>
      <c r="Z67" s="336"/>
      <c r="AB67" s="225" t="s">
        <v>158</v>
      </c>
      <c r="AD67" s="221" t="s">
        <v>143</v>
      </c>
      <c r="AE67" s="118"/>
      <c r="AF67" s="64"/>
      <c r="AG67" s="64"/>
    </row>
    <row r="68" spans="1:33" ht="15.75" hidden="1" customHeight="1" x14ac:dyDescent="0.2">
      <c r="A68" s="212"/>
      <c r="B68" s="213">
        <v>0</v>
      </c>
      <c r="D68" s="336" t="s">
        <v>150</v>
      </c>
      <c r="E68" s="336"/>
      <c r="F68" s="336"/>
      <c r="G68" s="336"/>
      <c r="H68" s="336"/>
      <c r="I68" s="336"/>
      <c r="J68" s="336"/>
      <c r="K68" s="336"/>
      <c r="L68" s="336"/>
      <c r="M68" s="336"/>
      <c r="N68" s="336"/>
      <c r="O68" s="336"/>
      <c r="P68" s="336"/>
      <c r="Q68" s="336"/>
      <c r="R68" s="336"/>
      <c r="S68" s="336"/>
      <c r="T68" s="336"/>
      <c r="U68" s="336"/>
      <c r="V68" s="336"/>
      <c r="W68" s="336"/>
      <c r="X68" s="336"/>
      <c r="Y68" s="336"/>
      <c r="Z68" s="336"/>
      <c r="AB68" s="225" t="s">
        <v>158</v>
      </c>
      <c r="AD68" s="221" t="s">
        <v>143</v>
      </c>
      <c r="AE68" s="118"/>
      <c r="AF68" s="64"/>
      <c r="AG68" s="64"/>
    </row>
    <row r="69" spans="1:33" ht="8.5" customHeight="1" x14ac:dyDescent="0.15">
      <c r="A69" s="212" t="str">
        <f>IF(AG69=1,"X","")</f>
        <v/>
      </c>
      <c r="B69" s="213">
        <f>IF(OR(D70="Show",Q70="Show"),1,0)</f>
        <v>1</v>
      </c>
      <c r="D69" s="335"/>
      <c r="E69" s="335"/>
      <c r="F69" s="335"/>
      <c r="G69" s="335"/>
      <c r="H69" s="335"/>
      <c r="I69" s="335"/>
      <c r="J69" s="335"/>
      <c r="K69" s="335"/>
      <c r="L69" s="335"/>
      <c r="M69" s="335"/>
      <c r="N69" s="335"/>
      <c r="O69" s="335"/>
      <c r="P69" s="335"/>
      <c r="Q69" s="335"/>
      <c r="R69" s="335"/>
      <c r="S69" s="335"/>
      <c r="T69" s="335"/>
      <c r="U69" s="335"/>
      <c r="V69" s="335"/>
      <c r="W69" s="335"/>
      <c r="X69" s="335"/>
      <c r="Y69" s="335"/>
      <c r="Z69" s="335"/>
      <c r="AD69" s="221" t="s">
        <v>129</v>
      </c>
      <c r="AE69" s="197"/>
      <c r="AF69" s="64"/>
      <c r="AG69" s="64"/>
    </row>
    <row r="70" spans="1:33" ht="18" hidden="1" customHeight="1" x14ac:dyDescent="0.2">
      <c r="A70" s="212" t="str">
        <f t="shared" ref="A70:A73" si="8">IF(AG70=1,"X","")</f>
        <v/>
      </c>
      <c r="B70" s="238">
        <v>0</v>
      </c>
      <c r="D70" s="337" t="s">
        <v>258</v>
      </c>
      <c r="E70" s="337"/>
      <c r="F70" s="337"/>
      <c r="G70" s="337"/>
      <c r="H70" s="337"/>
      <c r="I70" s="337"/>
      <c r="J70" s="337"/>
      <c r="K70" s="337"/>
      <c r="L70" s="337"/>
      <c r="M70" s="337"/>
      <c r="N70" s="337"/>
      <c r="O70" s="223"/>
      <c r="P70" s="223"/>
      <c r="Q70" s="337" t="s">
        <v>258</v>
      </c>
      <c r="R70" s="337"/>
      <c r="S70" s="337"/>
      <c r="T70" s="337"/>
      <c r="U70" s="337"/>
      <c r="V70" s="337"/>
      <c r="W70" s="337"/>
      <c r="X70" s="337"/>
      <c r="Y70" s="337"/>
      <c r="Z70" s="337"/>
      <c r="AA70" s="208"/>
      <c r="AB70" s="214" t="s">
        <v>147</v>
      </c>
      <c r="AD70" s="219" t="s">
        <v>130</v>
      </c>
      <c r="AE70" s="118"/>
      <c r="AF70" s="213">
        <f>IF(OR(D70="Show",D70="",Q70="Show",Q70=""),1,0)</f>
        <v>1</v>
      </c>
      <c r="AG70" s="213">
        <f>IF(AND(SUM(AF:AF)&gt;0,OR(D70="",Q70="")),1,0)</f>
        <v>0</v>
      </c>
    </row>
    <row r="71" spans="1:33" ht="197.25" customHeight="1" x14ac:dyDescent="0.2">
      <c r="A71" s="212" t="str">
        <f t="shared" si="8"/>
        <v/>
      </c>
      <c r="B71" s="213">
        <f>B69</f>
        <v>1</v>
      </c>
      <c r="D71" s="337"/>
      <c r="E71" s="337"/>
      <c r="F71" s="337"/>
      <c r="G71" s="337"/>
      <c r="H71" s="337"/>
      <c r="I71" s="337"/>
      <c r="J71" s="337"/>
      <c r="K71" s="337"/>
      <c r="L71" s="337"/>
      <c r="M71" s="337"/>
      <c r="N71" s="337"/>
      <c r="O71" s="223"/>
      <c r="P71" s="223"/>
      <c r="Q71" s="337"/>
      <c r="R71" s="337"/>
      <c r="S71" s="337"/>
      <c r="T71" s="337"/>
      <c r="U71" s="337"/>
      <c r="V71" s="337"/>
      <c r="W71" s="337"/>
      <c r="X71" s="337"/>
      <c r="Y71" s="337"/>
      <c r="Z71" s="337"/>
      <c r="AA71" s="208"/>
      <c r="AB71" s="214" t="s">
        <v>146</v>
      </c>
      <c r="AD71" s="219" t="s">
        <v>130</v>
      </c>
      <c r="AE71" s="217"/>
      <c r="AF71" s="64"/>
      <c r="AG71" s="64"/>
    </row>
    <row r="72" spans="1:33" ht="18" customHeight="1" x14ac:dyDescent="0.2">
      <c r="A72" s="212" t="str">
        <f t="shared" si="8"/>
        <v/>
      </c>
      <c r="B72" s="213">
        <f>B71</f>
        <v>1</v>
      </c>
      <c r="D72" s="360" t="s">
        <v>422</v>
      </c>
      <c r="E72" s="360"/>
      <c r="F72" s="360"/>
      <c r="G72" s="360"/>
      <c r="H72" s="360"/>
      <c r="I72" s="360"/>
      <c r="J72" s="360"/>
      <c r="K72" s="360"/>
      <c r="L72" s="360"/>
      <c r="M72" s="360"/>
      <c r="N72" s="360"/>
      <c r="O72" s="223"/>
      <c r="P72" s="223"/>
      <c r="Q72" s="360" t="s">
        <v>424</v>
      </c>
      <c r="R72" s="360"/>
      <c r="S72" s="360"/>
      <c r="T72" s="360"/>
      <c r="U72" s="360"/>
      <c r="V72" s="360"/>
      <c r="W72" s="360"/>
      <c r="X72" s="360"/>
      <c r="Y72" s="360"/>
      <c r="Z72" s="360"/>
      <c r="AA72" s="208"/>
      <c r="AB72" s="214" t="s">
        <v>145</v>
      </c>
      <c r="AD72" s="219" t="s">
        <v>130</v>
      </c>
      <c r="AE72" s="217"/>
      <c r="AF72" s="213">
        <f>IF(OR(D70="Show",D70="",Q70="Show",Q70=""),1,0)</f>
        <v>1</v>
      </c>
      <c r="AG72" s="213">
        <f>IF(AND(SUM(AF:AF)&gt;0,OR(AND(D70="Show",D72=""),AND(Q70="Show",Q72=""))),1,0)</f>
        <v>0</v>
      </c>
    </row>
    <row r="73" spans="1:33" ht="8.5" customHeight="1" x14ac:dyDescent="0.15">
      <c r="A73" s="212" t="str">
        <f t="shared" si="8"/>
        <v/>
      </c>
      <c r="B73" s="213">
        <f>B72</f>
        <v>1</v>
      </c>
      <c r="D73" s="335"/>
      <c r="E73" s="335"/>
      <c r="F73" s="335"/>
      <c r="G73" s="335"/>
      <c r="H73" s="335"/>
      <c r="I73" s="335"/>
      <c r="J73" s="335"/>
      <c r="K73" s="335"/>
      <c r="L73" s="335"/>
      <c r="M73" s="335"/>
      <c r="N73" s="335"/>
      <c r="O73" s="335"/>
      <c r="P73" s="335"/>
      <c r="Q73" s="335"/>
      <c r="R73" s="335"/>
      <c r="S73" s="335"/>
      <c r="T73" s="335"/>
      <c r="U73" s="335"/>
      <c r="V73" s="335"/>
      <c r="W73" s="335"/>
      <c r="X73" s="335"/>
      <c r="Y73" s="335"/>
      <c r="Z73" s="335"/>
      <c r="AA73" s="208"/>
      <c r="AD73" s="221" t="s">
        <v>129</v>
      </c>
      <c r="AE73" s="197"/>
      <c r="AF73" s="64"/>
      <c r="AG73" s="64"/>
    </row>
    <row r="74" spans="1:33" ht="15.75" hidden="1" customHeight="1" x14ac:dyDescent="0.2">
      <c r="A74" s="212"/>
      <c r="B74" s="213">
        <v>0</v>
      </c>
      <c r="D74" s="336" t="s">
        <v>152</v>
      </c>
      <c r="E74" s="336"/>
      <c r="F74" s="336"/>
      <c r="G74" s="336"/>
      <c r="H74" s="336"/>
      <c r="I74" s="336"/>
      <c r="J74" s="336"/>
      <c r="K74" s="336"/>
      <c r="L74" s="336"/>
      <c r="M74" s="336"/>
      <c r="N74" s="336"/>
      <c r="O74" s="336"/>
      <c r="P74" s="336"/>
      <c r="Q74" s="336"/>
      <c r="R74" s="336"/>
      <c r="S74" s="336"/>
      <c r="T74" s="336"/>
      <c r="U74" s="336"/>
      <c r="V74" s="336"/>
      <c r="W74" s="336"/>
      <c r="X74" s="336"/>
      <c r="Y74" s="336"/>
      <c r="Z74" s="336"/>
      <c r="AB74" s="225" t="s">
        <v>158</v>
      </c>
      <c r="AD74" s="221" t="s">
        <v>143</v>
      </c>
      <c r="AE74" s="118"/>
      <c r="AF74" s="64"/>
      <c r="AG74" s="64"/>
    </row>
    <row r="75" spans="1:33" ht="15.75" hidden="1" customHeight="1" x14ac:dyDescent="0.2">
      <c r="A75" s="212"/>
      <c r="B75" s="213">
        <v>0</v>
      </c>
      <c r="D75" s="336" t="s">
        <v>153</v>
      </c>
      <c r="E75" s="336"/>
      <c r="F75" s="336"/>
      <c r="G75" s="336"/>
      <c r="H75" s="336"/>
      <c r="I75" s="336"/>
      <c r="J75" s="336"/>
      <c r="K75" s="336"/>
      <c r="L75" s="336"/>
      <c r="M75" s="336"/>
      <c r="N75" s="336"/>
      <c r="O75" s="336"/>
      <c r="P75" s="336"/>
      <c r="Q75" s="336"/>
      <c r="R75" s="336"/>
      <c r="S75" s="336"/>
      <c r="T75" s="336"/>
      <c r="U75" s="336"/>
      <c r="V75" s="336"/>
      <c r="W75" s="336"/>
      <c r="X75" s="336"/>
      <c r="Y75" s="336"/>
      <c r="Z75" s="336"/>
      <c r="AB75" s="225" t="s">
        <v>158</v>
      </c>
      <c r="AD75" s="221" t="s">
        <v>143</v>
      </c>
      <c r="AE75" s="118"/>
      <c r="AF75" s="64"/>
      <c r="AG75" s="64"/>
    </row>
    <row r="76" spans="1:33" ht="8.5" hidden="1" customHeight="1" x14ac:dyDescent="0.15">
      <c r="A76" s="212" t="str">
        <f>IF(AG76=1,"X","")</f>
        <v/>
      </c>
      <c r="B76" s="213">
        <f>IF(OR(D77="Show",Q77="Show"),1,0)</f>
        <v>0</v>
      </c>
      <c r="D76" s="335"/>
      <c r="E76" s="335"/>
      <c r="F76" s="335"/>
      <c r="G76" s="335"/>
      <c r="H76" s="335"/>
      <c r="I76" s="335"/>
      <c r="J76" s="335"/>
      <c r="K76" s="335"/>
      <c r="L76" s="335"/>
      <c r="M76" s="335"/>
      <c r="N76" s="335"/>
      <c r="O76" s="335"/>
      <c r="P76" s="335"/>
      <c r="Q76" s="335"/>
      <c r="R76" s="335"/>
      <c r="S76" s="335"/>
      <c r="T76" s="335"/>
      <c r="U76" s="335"/>
      <c r="V76" s="335"/>
      <c r="W76" s="335"/>
      <c r="X76" s="335"/>
      <c r="Y76" s="335"/>
      <c r="Z76" s="335"/>
      <c r="AD76" s="221" t="s">
        <v>129</v>
      </c>
      <c r="AE76" s="197"/>
      <c r="AF76" s="64"/>
      <c r="AG76" s="64"/>
    </row>
    <row r="77" spans="1:33" ht="18" hidden="1" customHeight="1" x14ac:dyDescent="0.2">
      <c r="A77" s="212" t="str">
        <f t="shared" ref="A77:A80" si="9">IF(AG77=1,"X","")</f>
        <v/>
      </c>
      <c r="B77" s="238">
        <v>0</v>
      </c>
      <c r="D77" s="337" t="s">
        <v>154</v>
      </c>
      <c r="E77" s="337"/>
      <c r="F77" s="337"/>
      <c r="G77" s="337"/>
      <c r="H77" s="337"/>
      <c r="I77" s="337"/>
      <c r="J77" s="337"/>
      <c r="K77" s="337"/>
      <c r="L77" s="337"/>
      <c r="M77" s="337"/>
      <c r="N77" s="337"/>
      <c r="O77" s="223"/>
      <c r="P77" s="223"/>
      <c r="Q77" s="337" t="s">
        <v>154</v>
      </c>
      <c r="R77" s="337"/>
      <c r="S77" s="337"/>
      <c r="T77" s="337"/>
      <c r="U77" s="337"/>
      <c r="V77" s="337"/>
      <c r="W77" s="337"/>
      <c r="X77" s="337"/>
      <c r="Y77" s="337"/>
      <c r="Z77" s="337"/>
      <c r="AA77" s="208"/>
      <c r="AB77" s="214" t="s">
        <v>147</v>
      </c>
      <c r="AD77" s="219" t="s">
        <v>130</v>
      </c>
      <c r="AE77" s="118"/>
      <c r="AF77" s="213">
        <f>IF(OR(D77="Show",D77="",Q77="Show",Q77=""),1,0)</f>
        <v>0</v>
      </c>
      <c r="AG77" s="213">
        <f>IF(AND(SUM(AF:AF)&gt;0,OR(D77="",Q77="")),1,0)</f>
        <v>0</v>
      </c>
    </row>
    <row r="78" spans="1:33" ht="197.25" hidden="1" customHeight="1" x14ac:dyDescent="0.2">
      <c r="A78" s="212" t="str">
        <f t="shared" si="9"/>
        <v/>
      </c>
      <c r="B78" s="213">
        <f>B76</f>
        <v>0</v>
      </c>
      <c r="D78" s="337"/>
      <c r="E78" s="337"/>
      <c r="F78" s="337"/>
      <c r="G78" s="337"/>
      <c r="H78" s="337"/>
      <c r="I78" s="337"/>
      <c r="J78" s="337"/>
      <c r="K78" s="337"/>
      <c r="L78" s="337"/>
      <c r="M78" s="337"/>
      <c r="N78" s="337"/>
      <c r="O78" s="223"/>
      <c r="P78" s="223"/>
      <c r="Q78" s="337"/>
      <c r="R78" s="337"/>
      <c r="S78" s="337"/>
      <c r="T78" s="337"/>
      <c r="U78" s="337"/>
      <c r="V78" s="337"/>
      <c r="W78" s="337"/>
      <c r="X78" s="337"/>
      <c r="Y78" s="337"/>
      <c r="Z78" s="337"/>
      <c r="AA78" s="208"/>
      <c r="AB78" s="214" t="s">
        <v>146</v>
      </c>
      <c r="AD78" s="219" t="s">
        <v>130</v>
      </c>
      <c r="AE78" s="217"/>
      <c r="AF78" s="64"/>
      <c r="AG78" s="64"/>
    </row>
    <row r="79" spans="1:33" ht="18" hidden="1" customHeight="1" x14ac:dyDescent="0.2">
      <c r="A79" s="212" t="str">
        <f t="shared" si="9"/>
        <v/>
      </c>
      <c r="B79" s="213">
        <f>B78</f>
        <v>0</v>
      </c>
      <c r="D79" s="360"/>
      <c r="E79" s="360"/>
      <c r="F79" s="360"/>
      <c r="G79" s="360"/>
      <c r="H79" s="360"/>
      <c r="I79" s="360"/>
      <c r="J79" s="360"/>
      <c r="K79" s="360"/>
      <c r="L79" s="360"/>
      <c r="M79" s="360"/>
      <c r="N79" s="360"/>
      <c r="O79" s="223"/>
      <c r="P79" s="223"/>
      <c r="Q79" s="360"/>
      <c r="R79" s="360"/>
      <c r="S79" s="360"/>
      <c r="T79" s="360"/>
      <c r="U79" s="360"/>
      <c r="V79" s="360"/>
      <c r="W79" s="360"/>
      <c r="X79" s="360"/>
      <c r="Y79" s="360"/>
      <c r="Z79" s="360"/>
      <c r="AA79" s="208"/>
      <c r="AB79" s="214" t="s">
        <v>145</v>
      </c>
      <c r="AD79" s="219" t="s">
        <v>130</v>
      </c>
      <c r="AE79" s="217"/>
      <c r="AF79" s="213">
        <f>IF(OR(D77="Show",D77="",Q77="Show",Q77=""),1,0)</f>
        <v>0</v>
      </c>
      <c r="AG79" s="213">
        <f>IF(AND(SUM(AF:AF)&gt;0,OR(AND(D77="Show",D79=""),AND(Q77="Show",Q79=""))),1,0)</f>
        <v>0</v>
      </c>
    </row>
    <row r="80" spans="1:33" ht="8.5" hidden="1" customHeight="1" x14ac:dyDescent="0.15">
      <c r="A80" s="212" t="str">
        <f t="shared" si="9"/>
        <v/>
      </c>
      <c r="B80" s="213">
        <f>B79</f>
        <v>0</v>
      </c>
      <c r="D80" s="335"/>
      <c r="E80" s="335"/>
      <c r="F80" s="335"/>
      <c r="G80" s="335"/>
      <c r="H80" s="335"/>
      <c r="I80" s="335"/>
      <c r="J80" s="335"/>
      <c r="K80" s="335"/>
      <c r="L80" s="335"/>
      <c r="M80" s="335"/>
      <c r="N80" s="335"/>
      <c r="O80" s="335"/>
      <c r="P80" s="335"/>
      <c r="Q80" s="335"/>
      <c r="R80" s="335"/>
      <c r="S80" s="335"/>
      <c r="T80" s="335"/>
      <c r="U80" s="335"/>
      <c r="V80" s="335"/>
      <c r="W80" s="335"/>
      <c r="X80" s="335"/>
      <c r="Y80" s="335"/>
      <c r="Z80" s="335"/>
      <c r="AA80" s="208"/>
      <c r="AD80" s="221" t="s">
        <v>129</v>
      </c>
      <c r="AE80" s="197"/>
      <c r="AF80" s="64"/>
      <c r="AG80" s="64"/>
    </row>
    <row r="81" spans="1:33" ht="15.75" hidden="1" customHeight="1" x14ac:dyDescent="0.2">
      <c r="A81" s="212"/>
      <c r="B81" s="213">
        <v>0</v>
      </c>
      <c r="D81" s="336" t="s">
        <v>151</v>
      </c>
      <c r="E81" s="336"/>
      <c r="F81" s="336"/>
      <c r="G81" s="336"/>
      <c r="H81" s="336"/>
      <c r="I81" s="336"/>
      <c r="J81" s="336"/>
      <c r="K81" s="336"/>
      <c r="L81" s="336"/>
      <c r="M81" s="336"/>
      <c r="N81" s="336"/>
      <c r="O81" s="336"/>
      <c r="P81" s="336"/>
      <c r="Q81" s="336"/>
      <c r="R81" s="336"/>
      <c r="S81" s="336"/>
      <c r="T81" s="336"/>
      <c r="U81" s="336"/>
      <c r="V81" s="336"/>
      <c r="W81" s="336"/>
      <c r="X81" s="336"/>
      <c r="Y81" s="336"/>
      <c r="Z81" s="336"/>
      <c r="AB81" s="225" t="s">
        <v>158</v>
      </c>
      <c r="AD81" s="221" t="s">
        <v>143</v>
      </c>
      <c r="AE81" s="118"/>
      <c r="AF81" s="64"/>
      <c r="AG81" s="64"/>
    </row>
    <row r="82" spans="1:33" ht="5" customHeight="1" x14ac:dyDescent="0.15">
      <c r="A82" s="212" t="str">
        <f t="shared" ref="A82:A278" si="10">IF(AG82=1,"X","")</f>
        <v/>
      </c>
      <c r="B82" s="213">
        <v>1</v>
      </c>
      <c r="D82" s="354"/>
      <c r="E82" s="354"/>
      <c r="F82" s="354"/>
      <c r="G82" s="354"/>
      <c r="H82" s="354"/>
      <c r="I82" s="354"/>
      <c r="J82" s="354"/>
      <c r="K82" s="354"/>
      <c r="L82" s="354"/>
      <c r="M82" s="354"/>
      <c r="N82" s="354"/>
      <c r="O82" s="354"/>
      <c r="P82" s="354"/>
      <c r="Q82" s="354"/>
      <c r="R82" s="354"/>
      <c r="S82" s="354"/>
      <c r="T82" s="354"/>
      <c r="U82" s="354"/>
      <c r="V82" s="354"/>
      <c r="W82" s="354"/>
      <c r="X82" s="354"/>
      <c r="Y82" s="354"/>
      <c r="Z82" s="354"/>
      <c r="AD82" s="221" t="s">
        <v>129</v>
      </c>
      <c r="AE82" s="197"/>
      <c r="AF82" s="64"/>
      <c r="AG82" s="64"/>
    </row>
    <row r="83" spans="1:33" ht="31" customHeight="1" x14ac:dyDescent="0.15">
      <c r="A83" s="212" t="str">
        <f t="shared" si="10"/>
        <v/>
      </c>
      <c r="B83" s="213">
        <v>1</v>
      </c>
      <c r="D83" s="356" t="s">
        <v>251</v>
      </c>
      <c r="E83" s="356"/>
      <c r="F83" s="356"/>
      <c r="G83" s="356"/>
      <c r="H83" s="356"/>
      <c r="I83" s="356"/>
      <c r="J83" s="356"/>
      <c r="K83" s="356"/>
      <c r="L83" s="356"/>
      <c r="M83" s="356"/>
      <c r="N83" s="356"/>
      <c r="O83" s="356"/>
      <c r="P83" s="356"/>
      <c r="Q83" s="356"/>
      <c r="R83" s="356"/>
      <c r="S83" s="356"/>
      <c r="T83" s="356"/>
      <c r="U83" s="356"/>
      <c r="V83" s="356"/>
      <c r="W83" s="356"/>
      <c r="X83" s="356"/>
      <c r="Y83" s="356"/>
      <c r="Z83" s="356"/>
      <c r="AA83" s="206"/>
      <c r="AB83" s="214" t="s">
        <v>132</v>
      </c>
      <c r="AD83" s="219" t="s">
        <v>130</v>
      </c>
      <c r="AE83" s="217"/>
      <c r="AF83" s="64"/>
      <c r="AG83" s="64"/>
    </row>
    <row r="84" spans="1:33" ht="18" hidden="1" customHeight="1" x14ac:dyDescent="0.2">
      <c r="A84" s="212" t="str">
        <f t="shared" si="10"/>
        <v/>
      </c>
      <c r="B84" s="220">
        <v>0</v>
      </c>
      <c r="D84" s="244" t="s">
        <v>131</v>
      </c>
      <c r="E84" s="354" t="s">
        <v>252</v>
      </c>
      <c r="F84" s="355"/>
      <c r="G84" s="355"/>
      <c r="H84" s="355"/>
      <c r="I84" s="355"/>
      <c r="J84" s="355"/>
      <c r="K84" s="355"/>
      <c r="L84" s="355"/>
      <c r="M84" s="355"/>
      <c r="N84" s="355"/>
      <c r="O84" s="355"/>
      <c r="P84" s="355"/>
      <c r="Q84" s="355"/>
      <c r="R84" s="355"/>
      <c r="S84" s="355"/>
      <c r="T84" s="355"/>
      <c r="U84" s="355"/>
      <c r="V84" s="355"/>
      <c r="W84" s="355"/>
      <c r="X84" s="355"/>
      <c r="Y84" s="355"/>
      <c r="Z84" s="355"/>
      <c r="AB84" s="214" t="s">
        <v>132</v>
      </c>
      <c r="AD84" s="219" t="s">
        <v>130</v>
      </c>
      <c r="AE84" s="217"/>
      <c r="AF84" s="213">
        <f t="shared" ref="AF84:AF86" si="11">IF(B84&lt;&gt;"",1,0)</f>
        <v>1</v>
      </c>
      <c r="AG84" s="213">
        <f>IF(AND(SUM(AF:AF)&gt;0,B84=""),1,0)</f>
        <v>0</v>
      </c>
    </row>
    <row r="85" spans="1:33" ht="18" hidden="1" customHeight="1" x14ac:dyDescent="0.2">
      <c r="A85" s="212" t="str">
        <f t="shared" si="10"/>
        <v/>
      </c>
      <c r="B85" s="220">
        <v>0</v>
      </c>
      <c r="D85" s="244" t="s">
        <v>131</v>
      </c>
      <c r="E85" s="354" t="s">
        <v>253</v>
      </c>
      <c r="F85" s="355"/>
      <c r="G85" s="355"/>
      <c r="H85" s="355"/>
      <c r="I85" s="355"/>
      <c r="J85" s="355"/>
      <c r="K85" s="355"/>
      <c r="L85" s="355"/>
      <c r="M85" s="355"/>
      <c r="N85" s="355"/>
      <c r="O85" s="355"/>
      <c r="P85" s="355"/>
      <c r="Q85" s="355"/>
      <c r="R85" s="355"/>
      <c r="S85" s="355"/>
      <c r="T85" s="355"/>
      <c r="U85" s="355"/>
      <c r="V85" s="355"/>
      <c r="W85" s="355"/>
      <c r="X85" s="355"/>
      <c r="Y85" s="355"/>
      <c r="Z85" s="355"/>
      <c r="AB85" s="214" t="s">
        <v>132</v>
      </c>
      <c r="AD85" s="219" t="s">
        <v>130</v>
      </c>
      <c r="AE85" s="217"/>
      <c r="AF85" s="213">
        <f t="shared" si="11"/>
        <v>1</v>
      </c>
      <c r="AG85" s="213">
        <f>IF(AND(SUM(AF:AF)&gt;0,B85=""),1,0)</f>
        <v>0</v>
      </c>
    </row>
    <row r="86" spans="1:33" ht="20" hidden="1" customHeight="1" x14ac:dyDescent="0.2">
      <c r="A86" s="212" t="str">
        <f t="shared" si="10"/>
        <v/>
      </c>
      <c r="B86" s="220">
        <v>0</v>
      </c>
      <c r="D86" s="244" t="s">
        <v>131</v>
      </c>
      <c r="E86" s="354" t="s">
        <v>254</v>
      </c>
      <c r="F86" s="355"/>
      <c r="G86" s="355"/>
      <c r="H86" s="355"/>
      <c r="I86" s="355"/>
      <c r="J86" s="355"/>
      <c r="K86" s="355"/>
      <c r="L86" s="355"/>
      <c r="M86" s="355"/>
      <c r="N86" s="355"/>
      <c r="O86" s="355"/>
      <c r="P86" s="355"/>
      <c r="Q86" s="355"/>
      <c r="R86" s="355"/>
      <c r="S86" s="355"/>
      <c r="T86" s="355"/>
      <c r="U86" s="355"/>
      <c r="V86" s="355"/>
      <c r="W86" s="355"/>
      <c r="X86" s="355"/>
      <c r="Y86" s="355"/>
      <c r="Z86" s="355"/>
      <c r="AB86" s="214" t="s">
        <v>132</v>
      </c>
      <c r="AD86" s="219" t="s">
        <v>130</v>
      </c>
      <c r="AE86" s="217"/>
      <c r="AF86" s="213">
        <f t="shared" si="11"/>
        <v>1</v>
      </c>
      <c r="AG86" s="213">
        <f>IF(AND(SUM(AF:AF)&gt;0,B86=""),1,0)</f>
        <v>0</v>
      </c>
    </row>
    <row r="87" spans="1:33" s="202" customFormat="1" ht="18.5" hidden="1" customHeight="1" x14ac:dyDescent="0.2">
      <c r="A87" s="212" t="str">
        <f t="shared" si="10"/>
        <v/>
      </c>
      <c r="B87" s="213">
        <v>0</v>
      </c>
      <c r="C87" s="201"/>
      <c r="D87" s="231" t="s">
        <v>131</v>
      </c>
      <c r="E87" s="339" t="s">
        <v>184</v>
      </c>
      <c r="F87" s="339"/>
      <c r="G87" s="339"/>
      <c r="H87" s="339"/>
      <c r="I87" s="339"/>
      <c r="J87" s="339"/>
      <c r="K87" s="339"/>
      <c r="L87" s="339"/>
      <c r="M87" s="339"/>
      <c r="N87" s="339"/>
      <c r="O87" s="339"/>
      <c r="P87" s="339"/>
      <c r="Q87" s="339"/>
      <c r="R87" s="339"/>
      <c r="S87" s="339"/>
      <c r="T87" s="339"/>
      <c r="U87" s="339"/>
      <c r="V87" s="339"/>
      <c r="W87" s="339"/>
      <c r="X87" s="339"/>
      <c r="Y87" s="339"/>
      <c r="Z87" s="339"/>
      <c r="AA87" s="204"/>
      <c r="AB87" s="225" t="s">
        <v>158</v>
      </c>
      <c r="AD87" s="221" t="s">
        <v>143</v>
      </c>
      <c r="AE87" s="118"/>
      <c r="AF87" s="64"/>
      <c r="AG87" s="64"/>
    </row>
    <row r="88" spans="1:33" s="202" customFormat="1" ht="32" customHeight="1" x14ac:dyDescent="0.2">
      <c r="A88" s="212" t="str">
        <f t="shared" si="10"/>
        <v/>
      </c>
      <c r="B88" s="220">
        <v>1</v>
      </c>
      <c r="C88" s="201"/>
      <c r="D88" s="231" t="s">
        <v>131</v>
      </c>
      <c r="E88" s="361" t="s">
        <v>426</v>
      </c>
      <c r="F88" s="361"/>
      <c r="G88" s="361"/>
      <c r="H88" s="361"/>
      <c r="I88" s="361"/>
      <c r="J88" s="361"/>
      <c r="K88" s="361"/>
      <c r="L88" s="361"/>
      <c r="M88" s="361"/>
      <c r="N88" s="361"/>
      <c r="O88" s="361"/>
      <c r="P88" s="361"/>
      <c r="Q88" s="361"/>
      <c r="R88" s="361"/>
      <c r="S88" s="361"/>
      <c r="T88" s="361"/>
      <c r="U88" s="361"/>
      <c r="V88" s="361"/>
      <c r="W88" s="361"/>
      <c r="X88" s="361"/>
      <c r="Y88" s="361"/>
      <c r="Z88" s="361"/>
      <c r="AA88" s="205"/>
      <c r="AB88" s="214" t="s">
        <v>159</v>
      </c>
      <c r="AD88" s="219" t="s">
        <v>130</v>
      </c>
      <c r="AE88" s="217"/>
      <c r="AF88" s="213">
        <f t="shared" ref="AF88:AF179" si="12">IF(B88&lt;&gt;"",1,0)</f>
        <v>1</v>
      </c>
      <c r="AG88" s="213">
        <f>IF(AND(SUM(AF:AF)&gt;0,OR(AND(B88=1,E88=""),AND(B88="",E88=""),AND(B88="",E88&lt;&gt;""),AND(B88=0,E88&lt;&gt;""))),1,0)</f>
        <v>0</v>
      </c>
    </row>
    <row r="89" spans="1:33" s="202" customFormat="1" ht="28.5" customHeight="1" x14ac:dyDescent="0.2">
      <c r="A89" s="212" t="str">
        <f t="shared" si="10"/>
        <v/>
      </c>
      <c r="B89" s="220">
        <v>1</v>
      </c>
      <c r="C89" s="201"/>
      <c r="D89" s="231" t="s">
        <v>131</v>
      </c>
      <c r="E89" s="361" t="s">
        <v>430</v>
      </c>
      <c r="F89" s="361"/>
      <c r="G89" s="361"/>
      <c r="H89" s="361"/>
      <c r="I89" s="361"/>
      <c r="J89" s="361"/>
      <c r="K89" s="361"/>
      <c r="L89" s="361"/>
      <c r="M89" s="361"/>
      <c r="N89" s="361"/>
      <c r="O89" s="361"/>
      <c r="P89" s="361"/>
      <c r="Q89" s="361"/>
      <c r="R89" s="361"/>
      <c r="S89" s="361"/>
      <c r="T89" s="361"/>
      <c r="U89" s="361"/>
      <c r="V89" s="361"/>
      <c r="W89" s="361"/>
      <c r="X89" s="361"/>
      <c r="Y89" s="361"/>
      <c r="Z89" s="361"/>
      <c r="AA89" s="205"/>
      <c r="AB89" s="214" t="s">
        <v>159</v>
      </c>
      <c r="AD89" s="219" t="s">
        <v>130</v>
      </c>
      <c r="AE89" s="217"/>
      <c r="AF89" s="213">
        <f t="shared" si="12"/>
        <v>1</v>
      </c>
      <c r="AG89" s="213">
        <f>IF(AND(SUM(AF:AF)&gt;0,OR(AND(B89=1,E89=""),AND(B89="",E89=""),AND(B89="",E89&lt;&gt;""),AND(B89=0,E89&lt;&gt;""))),1,0)</f>
        <v>0</v>
      </c>
    </row>
    <row r="90" spans="1:33" s="202" customFormat="1" ht="46.5" customHeight="1" x14ac:dyDescent="0.2">
      <c r="A90" s="212" t="str">
        <f t="shared" si="10"/>
        <v/>
      </c>
      <c r="B90" s="220">
        <v>1</v>
      </c>
      <c r="C90" s="201"/>
      <c r="D90" s="231" t="s">
        <v>131</v>
      </c>
      <c r="E90" s="361" t="s">
        <v>431</v>
      </c>
      <c r="F90" s="361"/>
      <c r="G90" s="361"/>
      <c r="H90" s="361"/>
      <c r="I90" s="361"/>
      <c r="J90" s="361"/>
      <c r="K90" s="361"/>
      <c r="L90" s="361"/>
      <c r="M90" s="361"/>
      <c r="N90" s="361"/>
      <c r="O90" s="361"/>
      <c r="P90" s="361"/>
      <c r="Q90" s="361"/>
      <c r="R90" s="361"/>
      <c r="S90" s="361"/>
      <c r="T90" s="361"/>
      <c r="U90" s="361"/>
      <c r="V90" s="361"/>
      <c r="W90" s="361"/>
      <c r="X90" s="361"/>
      <c r="Y90" s="361"/>
      <c r="Z90" s="361"/>
      <c r="AA90" s="205"/>
      <c r="AB90" s="214" t="s">
        <v>159</v>
      </c>
      <c r="AD90" s="219" t="s">
        <v>130</v>
      </c>
      <c r="AE90" s="217"/>
      <c r="AF90" s="213">
        <f t="shared" si="12"/>
        <v>1</v>
      </c>
      <c r="AG90" s="213">
        <f>IF(AND(SUM(AF:AF)&gt;0,OR(AND(B90=1,E90=""),AND(B90="",E90=""),AND(B90="",E90&lt;&gt;""),AND(B90=0,E90&lt;&gt;""))),1,0)</f>
        <v>0</v>
      </c>
    </row>
    <row r="91" spans="1:33" ht="31" hidden="1" customHeight="1" x14ac:dyDescent="0.15">
      <c r="A91" s="212" t="str">
        <f t="shared" ref="A91:A98" si="13">IF(AG91=1,"X","")</f>
        <v/>
      </c>
      <c r="B91" s="220">
        <v>0</v>
      </c>
      <c r="D91" s="356" t="s">
        <v>187</v>
      </c>
      <c r="E91" s="356"/>
      <c r="F91" s="356"/>
      <c r="G91" s="356"/>
      <c r="H91" s="356"/>
      <c r="I91" s="356"/>
      <c r="J91" s="356"/>
      <c r="K91" s="356"/>
      <c r="L91" s="356"/>
      <c r="M91" s="356"/>
      <c r="N91" s="356"/>
      <c r="O91" s="356"/>
      <c r="P91" s="356"/>
      <c r="Q91" s="356"/>
      <c r="R91" s="356"/>
      <c r="S91" s="356"/>
      <c r="T91" s="356"/>
      <c r="U91" s="356"/>
      <c r="V91" s="356"/>
      <c r="W91" s="356"/>
      <c r="X91" s="356"/>
      <c r="Y91" s="356"/>
      <c r="Z91" s="356"/>
      <c r="AB91" s="214" t="s">
        <v>132</v>
      </c>
      <c r="AD91" s="219" t="s">
        <v>130</v>
      </c>
      <c r="AE91" s="197"/>
      <c r="AF91" s="213">
        <f>IF(B91&lt;&gt;"",1,0)</f>
        <v>1</v>
      </c>
      <c r="AG91" s="213">
        <f>IF(AND(SUM(AF:AF)&gt;0,B91=""),1,0)</f>
        <v>0</v>
      </c>
    </row>
    <row r="92" spans="1:33" ht="18" hidden="1" customHeight="1" x14ac:dyDescent="0.2">
      <c r="A92" s="212" t="str">
        <f t="shared" si="13"/>
        <v/>
      </c>
      <c r="B92" s="220">
        <v>0</v>
      </c>
      <c r="D92" s="352" t="s">
        <v>338</v>
      </c>
      <c r="E92" s="352"/>
      <c r="F92" s="352"/>
      <c r="G92" s="352"/>
      <c r="H92" s="352"/>
      <c r="I92" s="352"/>
      <c r="J92" s="352"/>
      <c r="K92" s="352"/>
      <c r="L92" s="352"/>
      <c r="M92" s="352"/>
      <c r="N92" s="352"/>
      <c r="O92" s="352"/>
      <c r="P92" s="352"/>
      <c r="Q92" s="352"/>
      <c r="R92" s="352"/>
      <c r="S92" s="352"/>
      <c r="T92" s="352"/>
      <c r="U92" s="352"/>
      <c r="V92" s="352"/>
      <c r="W92" s="352"/>
      <c r="X92" s="352"/>
      <c r="Y92" s="352"/>
      <c r="Z92" s="352"/>
      <c r="AB92" s="214" t="s">
        <v>132</v>
      </c>
      <c r="AD92" s="219" t="s">
        <v>130</v>
      </c>
      <c r="AE92" s="217"/>
      <c r="AF92" s="213">
        <f>IF(B92&lt;&gt;"",1,0)</f>
        <v>1</v>
      </c>
      <c r="AG92" s="213">
        <f>IF(AND(SUM(AF:AF)&gt;0,B92=""),1,0)</f>
        <v>0</v>
      </c>
    </row>
    <row r="93" spans="1:33" s="202" customFormat="1" ht="33" hidden="1" customHeight="1" x14ac:dyDescent="0.2">
      <c r="A93" s="212" t="str">
        <f t="shared" si="13"/>
        <v/>
      </c>
      <c r="B93" s="220">
        <v>0</v>
      </c>
      <c r="C93" s="201"/>
      <c r="D93" s="339" t="s">
        <v>339</v>
      </c>
      <c r="E93" s="339"/>
      <c r="F93" s="339"/>
      <c r="G93" s="339"/>
      <c r="H93" s="339"/>
      <c r="I93" s="339"/>
      <c r="J93" s="339"/>
      <c r="K93" s="339"/>
      <c r="L93" s="339"/>
      <c r="M93" s="339"/>
      <c r="N93" s="339"/>
      <c r="O93" s="339"/>
      <c r="P93" s="339"/>
      <c r="Q93" s="339"/>
      <c r="R93" s="339"/>
      <c r="S93" s="339"/>
      <c r="T93" s="339"/>
      <c r="U93" s="339"/>
      <c r="V93" s="339"/>
      <c r="W93" s="339"/>
      <c r="X93" s="339"/>
      <c r="Y93" s="339"/>
      <c r="Z93" s="339"/>
      <c r="AB93" s="214" t="s">
        <v>132</v>
      </c>
      <c r="AD93" s="219" t="s">
        <v>130</v>
      </c>
      <c r="AE93" s="217"/>
      <c r="AF93" s="213">
        <f>IF(B93&lt;&gt;"",1,0)</f>
        <v>1</v>
      </c>
      <c r="AG93" s="213">
        <f>IF(AND(SUM(AF:AF)&gt;0,B93=""),1,0)</f>
        <v>0</v>
      </c>
    </row>
    <row r="94" spans="1:33" s="202" customFormat="1" ht="18.5" hidden="1" customHeight="1" x14ac:dyDescent="0.2">
      <c r="A94" s="212" t="str">
        <f t="shared" si="13"/>
        <v/>
      </c>
      <c r="B94" s="213">
        <v>0</v>
      </c>
      <c r="C94" s="201"/>
      <c r="D94" s="231" t="s">
        <v>131</v>
      </c>
      <c r="E94" s="339" t="s">
        <v>340</v>
      </c>
      <c r="F94" s="339"/>
      <c r="G94" s="339"/>
      <c r="H94" s="339"/>
      <c r="I94" s="339"/>
      <c r="J94" s="339"/>
      <c r="K94" s="339"/>
      <c r="L94" s="339"/>
      <c r="M94" s="339"/>
      <c r="N94" s="339"/>
      <c r="O94" s="339"/>
      <c r="P94" s="339"/>
      <c r="Q94" s="339"/>
      <c r="R94" s="339"/>
      <c r="S94" s="339"/>
      <c r="T94" s="339"/>
      <c r="U94" s="339"/>
      <c r="V94" s="339"/>
      <c r="W94" s="339"/>
      <c r="X94" s="339"/>
      <c r="Y94" s="339"/>
      <c r="Z94" s="339"/>
      <c r="AA94" s="204"/>
      <c r="AB94" s="225" t="s">
        <v>158</v>
      </c>
      <c r="AD94" s="221" t="s">
        <v>143</v>
      </c>
      <c r="AE94" s="118"/>
      <c r="AF94" s="64"/>
      <c r="AG94" s="64"/>
    </row>
    <row r="95" spans="1:33" s="202" customFormat="1" ht="18" hidden="1" customHeight="1" x14ac:dyDescent="0.2">
      <c r="A95" s="212" t="str">
        <f t="shared" si="13"/>
        <v/>
      </c>
      <c r="B95" s="220">
        <v>0</v>
      </c>
      <c r="C95" s="201"/>
      <c r="D95" s="231" t="s">
        <v>131</v>
      </c>
      <c r="E95" s="361"/>
      <c r="F95" s="361"/>
      <c r="G95" s="361"/>
      <c r="H95" s="361"/>
      <c r="I95" s="361"/>
      <c r="J95" s="361"/>
      <c r="K95" s="361"/>
      <c r="L95" s="361"/>
      <c r="M95" s="361"/>
      <c r="N95" s="361"/>
      <c r="O95" s="361"/>
      <c r="P95" s="361"/>
      <c r="Q95" s="361"/>
      <c r="R95" s="361"/>
      <c r="S95" s="361"/>
      <c r="T95" s="361"/>
      <c r="U95" s="361"/>
      <c r="V95" s="361"/>
      <c r="W95" s="361"/>
      <c r="X95" s="361"/>
      <c r="Y95" s="361"/>
      <c r="Z95" s="361"/>
      <c r="AA95" s="205"/>
      <c r="AB95" s="214" t="s">
        <v>159</v>
      </c>
      <c r="AD95" s="219" t="s">
        <v>130</v>
      </c>
      <c r="AE95" s="217"/>
      <c r="AF95" s="213">
        <f>IF(B95&lt;&gt;"",1,0)</f>
        <v>1</v>
      </c>
      <c r="AG95" s="213">
        <f>IF(AND(SUM(AF:AF)&gt;0,OR(AND(B95=1,E95=""),AND(B95="",E95=""),AND(B95="",E95&lt;&gt;""),AND(B95=0,E95&lt;&gt;""))),1,0)</f>
        <v>0</v>
      </c>
    </row>
    <row r="96" spans="1:33" s="202" customFormat="1" ht="18" hidden="1" customHeight="1" x14ac:dyDescent="0.2">
      <c r="A96" s="212" t="str">
        <f t="shared" si="13"/>
        <v/>
      </c>
      <c r="B96" s="220">
        <v>0</v>
      </c>
      <c r="C96" s="201"/>
      <c r="D96" s="231" t="s">
        <v>131</v>
      </c>
      <c r="E96" s="361"/>
      <c r="F96" s="361"/>
      <c r="G96" s="361"/>
      <c r="H96" s="361"/>
      <c r="I96" s="361"/>
      <c r="J96" s="361"/>
      <c r="K96" s="361"/>
      <c r="L96" s="361"/>
      <c r="M96" s="361"/>
      <c r="N96" s="361"/>
      <c r="O96" s="361"/>
      <c r="P96" s="361"/>
      <c r="Q96" s="361"/>
      <c r="R96" s="361"/>
      <c r="S96" s="361"/>
      <c r="T96" s="361"/>
      <c r="U96" s="361"/>
      <c r="V96" s="361"/>
      <c r="W96" s="361"/>
      <c r="X96" s="361"/>
      <c r="Y96" s="361"/>
      <c r="Z96" s="361"/>
      <c r="AA96" s="205"/>
      <c r="AB96" s="214" t="s">
        <v>159</v>
      </c>
      <c r="AD96" s="219" t="s">
        <v>130</v>
      </c>
      <c r="AE96" s="217"/>
      <c r="AF96" s="213">
        <f>IF(B96&lt;&gt;"",1,0)</f>
        <v>1</v>
      </c>
      <c r="AG96" s="213">
        <f>IF(AND(SUM(AF:AF)&gt;0,OR(AND(B96=1,E96=""),AND(B96="",E96=""),AND(B96="",E96&lt;&gt;""),AND(B96=0,E96&lt;&gt;""))),1,0)</f>
        <v>0</v>
      </c>
    </row>
    <row r="97" spans="1:33" s="202" customFormat="1" ht="18" hidden="1" customHeight="1" x14ac:dyDescent="0.2">
      <c r="A97" s="212" t="str">
        <f t="shared" si="13"/>
        <v/>
      </c>
      <c r="B97" s="220">
        <v>0</v>
      </c>
      <c r="C97" s="201"/>
      <c r="D97" s="231" t="s">
        <v>131</v>
      </c>
      <c r="E97" s="361"/>
      <c r="F97" s="361"/>
      <c r="G97" s="361"/>
      <c r="H97" s="361"/>
      <c r="I97" s="361"/>
      <c r="J97" s="361"/>
      <c r="K97" s="361"/>
      <c r="L97" s="361"/>
      <c r="M97" s="361"/>
      <c r="N97" s="361"/>
      <c r="O97" s="361"/>
      <c r="P97" s="361"/>
      <c r="Q97" s="361"/>
      <c r="R97" s="361"/>
      <c r="S97" s="361"/>
      <c r="T97" s="361"/>
      <c r="U97" s="361"/>
      <c r="V97" s="361"/>
      <c r="W97" s="361"/>
      <c r="X97" s="361"/>
      <c r="Y97" s="361"/>
      <c r="Z97" s="361"/>
      <c r="AA97" s="205"/>
      <c r="AB97" s="214" t="s">
        <v>159</v>
      </c>
      <c r="AD97" s="219" t="s">
        <v>130</v>
      </c>
      <c r="AE97" s="217"/>
      <c r="AF97" s="213">
        <f>IF(B97&lt;&gt;"",1,0)</f>
        <v>1</v>
      </c>
      <c r="AG97" s="213">
        <f>IF(AND(SUM(AF:AF)&gt;0,OR(AND(B97=1,E97=""),AND(B97="",E97=""),AND(B97="",E97&lt;&gt;""),AND(B97=0,E97&lt;&gt;""))),1,0)</f>
        <v>0</v>
      </c>
    </row>
    <row r="98" spans="1:33" ht="21" hidden="1" customHeight="1" x14ac:dyDescent="0.2">
      <c r="A98" s="212" t="str">
        <f t="shared" si="13"/>
        <v/>
      </c>
      <c r="B98" s="213">
        <v>0</v>
      </c>
      <c r="D98" s="375" t="s">
        <v>144</v>
      </c>
      <c r="E98" s="375"/>
      <c r="F98" s="375"/>
      <c r="G98" s="375"/>
      <c r="H98" s="375"/>
      <c r="I98" s="375"/>
      <c r="J98" s="375"/>
      <c r="K98" s="375"/>
      <c r="L98" s="375"/>
      <c r="M98" s="375"/>
      <c r="N98" s="375"/>
      <c r="O98" s="375"/>
      <c r="P98" s="375"/>
      <c r="Q98" s="375"/>
      <c r="R98" s="375"/>
      <c r="S98" s="375"/>
      <c r="T98" s="375"/>
      <c r="U98" s="375"/>
      <c r="V98" s="375"/>
      <c r="W98" s="375"/>
      <c r="X98" s="375"/>
      <c r="Y98" s="375"/>
      <c r="Z98" s="375"/>
      <c r="AB98" s="225" t="s">
        <v>158</v>
      </c>
      <c r="AD98" s="221" t="s">
        <v>143</v>
      </c>
      <c r="AE98" s="118"/>
      <c r="AF98" s="64"/>
      <c r="AG98" s="64"/>
    </row>
    <row r="99" spans="1:33" ht="15.75" hidden="1" customHeight="1" x14ac:dyDescent="0.2">
      <c r="A99" s="212"/>
      <c r="B99" s="213">
        <v>0</v>
      </c>
      <c r="D99" s="336" t="s">
        <v>148</v>
      </c>
      <c r="E99" s="336"/>
      <c r="F99" s="336"/>
      <c r="G99" s="336"/>
      <c r="H99" s="336"/>
      <c r="I99" s="336"/>
      <c r="J99" s="336"/>
      <c r="K99" s="336"/>
      <c r="L99" s="336"/>
      <c r="M99" s="336"/>
      <c r="N99" s="336"/>
      <c r="O99" s="336"/>
      <c r="P99" s="336"/>
      <c r="Q99" s="336"/>
      <c r="R99" s="336"/>
      <c r="S99" s="336"/>
      <c r="T99" s="336"/>
      <c r="U99" s="336"/>
      <c r="V99" s="336"/>
      <c r="W99" s="336"/>
      <c r="X99" s="336"/>
      <c r="Y99" s="336"/>
      <c r="Z99" s="336"/>
      <c r="AB99" s="225" t="s">
        <v>158</v>
      </c>
      <c r="AD99" s="221" t="s">
        <v>143</v>
      </c>
      <c r="AE99" s="118"/>
      <c r="AF99" s="64"/>
      <c r="AG99" s="64"/>
    </row>
    <row r="100" spans="1:33" ht="8.5" customHeight="1" x14ac:dyDescent="0.15">
      <c r="A100" s="212" t="str">
        <f>IF(AG100=1,"X","")</f>
        <v/>
      </c>
      <c r="B100" s="213">
        <f>IF(OR(D101="Show",Q101="Show"),1,0)</f>
        <v>1</v>
      </c>
      <c r="D100" s="335"/>
      <c r="E100" s="335"/>
      <c r="F100" s="335"/>
      <c r="G100" s="335"/>
      <c r="H100" s="335"/>
      <c r="I100" s="335"/>
      <c r="J100" s="335"/>
      <c r="K100" s="335"/>
      <c r="L100" s="335"/>
      <c r="M100" s="335"/>
      <c r="N100" s="335"/>
      <c r="O100" s="335"/>
      <c r="P100" s="335"/>
      <c r="Q100" s="335"/>
      <c r="R100" s="335"/>
      <c r="S100" s="335"/>
      <c r="T100" s="335"/>
      <c r="U100" s="335"/>
      <c r="V100" s="335"/>
      <c r="W100" s="335"/>
      <c r="X100" s="335"/>
      <c r="Y100" s="335"/>
      <c r="Z100" s="335"/>
      <c r="AD100" s="221" t="s">
        <v>129</v>
      </c>
      <c r="AE100" s="197"/>
      <c r="AF100" s="64"/>
      <c r="AG100" s="64"/>
    </row>
    <row r="101" spans="1:33" ht="18" hidden="1" customHeight="1" x14ac:dyDescent="0.2">
      <c r="A101" s="212" t="str">
        <f>IF(AG101=1,"X","")</f>
        <v/>
      </c>
      <c r="B101" s="213">
        <v>0</v>
      </c>
      <c r="D101" s="337" t="s">
        <v>258</v>
      </c>
      <c r="E101" s="337"/>
      <c r="F101" s="337"/>
      <c r="G101" s="337"/>
      <c r="H101" s="337"/>
      <c r="I101" s="337"/>
      <c r="J101" s="337"/>
      <c r="K101" s="337"/>
      <c r="L101" s="337"/>
      <c r="M101" s="337"/>
      <c r="N101" s="337"/>
      <c r="O101" s="223"/>
      <c r="P101" s="223"/>
      <c r="Q101" s="337" t="s">
        <v>258</v>
      </c>
      <c r="R101" s="337"/>
      <c r="S101" s="337"/>
      <c r="T101" s="337"/>
      <c r="U101" s="337"/>
      <c r="V101" s="337"/>
      <c r="W101" s="337"/>
      <c r="X101" s="337"/>
      <c r="Y101" s="337"/>
      <c r="Z101" s="337"/>
      <c r="AA101" s="208"/>
      <c r="AB101" s="214" t="s">
        <v>147</v>
      </c>
      <c r="AD101" s="219" t="s">
        <v>130</v>
      </c>
      <c r="AE101" s="118"/>
      <c r="AF101" s="213">
        <f>IF(OR(D101="Show",D101="",Q101="Show",Q101=""),1,0)</f>
        <v>1</v>
      </c>
      <c r="AG101" s="213">
        <f>IF(AND(SUM(AF:AF)&gt;0,OR(D101="",Q101="")),1,0)</f>
        <v>0</v>
      </c>
    </row>
    <row r="102" spans="1:33" ht="197.25" customHeight="1" x14ac:dyDescent="0.2">
      <c r="A102" s="212" t="str">
        <f>IF(AG102=1,"X","")</f>
        <v/>
      </c>
      <c r="B102" s="213">
        <f>B100</f>
        <v>1</v>
      </c>
      <c r="D102" s="337"/>
      <c r="E102" s="337"/>
      <c r="F102" s="337"/>
      <c r="G102" s="337"/>
      <c r="H102" s="337"/>
      <c r="I102" s="337"/>
      <c r="J102" s="337"/>
      <c r="K102" s="337"/>
      <c r="L102" s="337"/>
      <c r="M102" s="337"/>
      <c r="N102" s="337"/>
      <c r="O102" s="223"/>
      <c r="P102" s="223"/>
      <c r="Q102" s="337"/>
      <c r="R102" s="337"/>
      <c r="S102" s="337"/>
      <c r="T102" s="337"/>
      <c r="U102" s="337"/>
      <c r="V102" s="337"/>
      <c r="W102" s="337"/>
      <c r="X102" s="337"/>
      <c r="Y102" s="337"/>
      <c r="Z102" s="337"/>
      <c r="AA102" s="208"/>
      <c r="AB102" s="214" t="s">
        <v>146</v>
      </c>
      <c r="AD102" s="219" t="s">
        <v>130</v>
      </c>
      <c r="AE102" s="217"/>
      <c r="AF102" s="64"/>
      <c r="AG102" s="64"/>
    </row>
    <row r="103" spans="1:33" ht="18" customHeight="1" x14ac:dyDescent="0.2">
      <c r="A103" s="212" t="str">
        <f>IF(AG103=1,"X","")</f>
        <v/>
      </c>
      <c r="B103" s="213">
        <f>B102</f>
        <v>1</v>
      </c>
      <c r="D103" s="338" t="s">
        <v>423</v>
      </c>
      <c r="E103" s="338"/>
      <c r="F103" s="338"/>
      <c r="G103" s="338"/>
      <c r="H103" s="338"/>
      <c r="I103" s="338"/>
      <c r="J103" s="338"/>
      <c r="K103" s="338"/>
      <c r="L103" s="338"/>
      <c r="M103" s="338"/>
      <c r="N103" s="338"/>
      <c r="O103" s="223"/>
      <c r="P103" s="223"/>
      <c r="Q103" s="338" t="s">
        <v>423</v>
      </c>
      <c r="R103" s="338"/>
      <c r="S103" s="338"/>
      <c r="T103" s="338"/>
      <c r="U103" s="338"/>
      <c r="V103" s="338"/>
      <c r="W103" s="338"/>
      <c r="X103" s="338"/>
      <c r="Y103" s="338"/>
      <c r="Z103" s="338"/>
      <c r="AA103" s="208"/>
      <c r="AB103" s="214" t="s">
        <v>145</v>
      </c>
      <c r="AD103" s="219" t="s">
        <v>130</v>
      </c>
      <c r="AE103" s="217"/>
      <c r="AF103" s="213">
        <f>IF(OR(D101="Show",D101="",Q101="Show",Q101=""),1,0)</f>
        <v>1</v>
      </c>
      <c r="AG103" s="213">
        <f>IF(AND(SUM(AF:AF)&gt;0,OR(AND(D101="Show",D103=""),AND(Q101="Show",Q103=""))),1,0)</f>
        <v>0</v>
      </c>
    </row>
    <row r="104" spans="1:33" ht="8.5" customHeight="1" x14ac:dyDescent="0.15">
      <c r="A104" s="212" t="str">
        <f>IF(AG104=1,"X","")</f>
        <v/>
      </c>
      <c r="B104" s="213">
        <f>B103</f>
        <v>1</v>
      </c>
      <c r="D104" s="335"/>
      <c r="E104" s="335"/>
      <c r="F104" s="335"/>
      <c r="G104" s="335"/>
      <c r="H104" s="335"/>
      <c r="I104" s="335"/>
      <c r="J104" s="335"/>
      <c r="K104" s="335"/>
      <c r="L104" s="335"/>
      <c r="M104" s="335"/>
      <c r="N104" s="335"/>
      <c r="O104" s="335"/>
      <c r="P104" s="335"/>
      <c r="Q104" s="335"/>
      <c r="R104" s="335"/>
      <c r="S104" s="335"/>
      <c r="T104" s="335"/>
      <c r="U104" s="335"/>
      <c r="V104" s="335"/>
      <c r="W104" s="335"/>
      <c r="X104" s="335"/>
      <c r="Y104" s="335"/>
      <c r="Z104" s="335"/>
      <c r="AA104" s="208"/>
      <c r="AD104" s="221" t="s">
        <v>129</v>
      </c>
      <c r="AE104" s="197"/>
      <c r="AF104" s="64"/>
      <c r="AG104" s="64"/>
    </row>
    <row r="105" spans="1:33" ht="15.75" hidden="1" customHeight="1" x14ac:dyDescent="0.2">
      <c r="A105" s="212"/>
      <c r="B105" s="213">
        <v>0</v>
      </c>
      <c r="D105" s="336" t="s">
        <v>149</v>
      </c>
      <c r="E105" s="336"/>
      <c r="F105" s="336"/>
      <c r="G105" s="336"/>
      <c r="H105" s="336"/>
      <c r="I105" s="336"/>
      <c r="J105" s="336"/>
      <c r="K105" s="336"/>
      <c r="L105" s="336"/>
      <c r="M105" s="336"/>
      <c r="N105" s="336"/>
      <c r="O105" s="336"/>
      <c r="P105" s="336"/>
      <c r="Q105" s="336"/>
      <c r="R105" s="336"/>
      <c r="S105" s="336"/>
      <c r="T105" s="336"/>
      <c r="U105" s="336"/>
      <c r="V105" s="336"/>
      <c r="W105" s="336"/>
      <c r="X105" s="336"/>
      <c r="Y105" s="336"/>
      <c r="Z105" s="336"/>
      <c r="AB105" s="225" t="s">
        <v>158</v>
      </c>
      <c r="AD105" s="221" t="s">
        <v>143</v>
      </c>
      <c r="AE105" s="118"/>
      <c r="AF105" s="64"/>
      <c r="AG105" s="64"/>
    </row>
    <row r="106" spans="1:33" ht="15.75" hidden="1" customHeight="1" x14ac:dyDescent="0.2">
      <c r="A106" s="212"/>
      <c r="B106" s="213">
        <v>0</v>
      </c>
      <c r="D106" s="336" t="s">
        <v>150</v>
      </c>
      <c r="E106" s="336"/>
      <c r="F106" s="336"/>
      <c r="G106" s="336"/>
      <c r="H106" s="336"/>
      <c r="I106" s="336"/>
      <c r="J106" s="336"/>
      <c r="K106" s="336"/>
      <c r="L106" s="336"/>
      <c r="M106" s="336"/>
      <c r="N106" s="336"/>
      <c r="O106" s="336"/>
      <c r="P106" s="336"/>
      <c r="Q106" s="336"/>
      <c r="R106" s="336"/>
      <c r="S106" s="336"/>
      <c r="T106" s="336"/>
      <c r="U106" s="336"/>
      <c r="V106" s="336"/>
      <c r="W106" s="336"/>
      <c r="X106" s="336"/>
      <c r="Y106" s="336"/>
      <c r="Z106" s="336"/>
      <c r="AB106" s="225" t="s">
        <v>158</v>
      </c>
      <c r="AD106" s="221" t="s">
        <v>143</v>
      </c>
      <c r="AE106" s="118"/>
      <c r="AF106" s="64"/>
      <c r="AG106" s="64"/>
    </row>
    <row r="107" spans="1:33" ht="8.5" customHeight="1" x14ac:dyDescent="0.15">
      <c r="A107" s="212" t="str">
        <f>IF(AG107=1,"X","")</f>
        <v/>
      </c>
      <c r="B107" s="213">
        <f>IF(OR(D108="Show",Q108="Show"),1,0)</f>
        <v>1</v>
      </c>
      <c r="D107" s="335"/>
      <c r="E107" s="335"/>
      <c r="F107" s="335"/>
      <c r="G107" s="335"/>
      <c r="H107" s="335"/>
      <c r="I107" s="335"/>
      <c r="J107" s="335"/>
      <c r="K107" s="335"/>
      <c r="L107" s="335"/>
      <c r="M107" s="335"/>
      <c r="N107" s="335"/>
      <c r="O107" s="335"/>
      <c r="P107" s="335"/>
      <c r="Q107" s="335"/>
      <c r="R107" s="335"/>
      <c r="S107" s="335"/>
      <c r="T107" s="335"/>
      <c r="U107" s="335"/>
      <c r="V107" s="335"/>
      <c r="W107" s="335"/>
      <c r="X107" s="335"/>
      <c r="Y107" s="335"/>
      <c r="Z107" s="335"/>
      <c r="AD107" s="221" t="s">
        <v>129</v>
      </c>
      <c r="AE107" s="197"/>
      <c r="AF107" s="64"/>
      <c r="AG107" s="64"/>
    </row>
    <row r="108" spans="1:33" ht="18" hidden="1" customHeight="1" x14ac:dyDescent="0.2">
      <c r="A108" s="212" t="str">
        <f>IF(AG108=1,"X","")</f>
        <v/>
      </c>
      <c r="B108" s="213">
        <v>0</v>
      </c>
      <c r="D108" s="337" t="s">
        <v>258</v>
      </c>
      <c r="E108" s="337"/>
      <c r="F108" s="337"/>
      <c r="G108" s="337"/>
      <c r="H108" s="337"/>
      <c r="I108" s="337"/>
      <c r="J108" s="337"/>
      <c r="K108" s="337"/>
      <c r="L108" s="337"/>
      <c r="M108" s="337"/>
      <c r="N108" s="337"/>
      <c r="O108" s="223"/>
      <c r="P108" s="223"/>
      <c r="Q108" s="337" t="s">
        <v>258</v>
      </c>
      <c r="R108" s="337"/>
      <c r="S108" s="337"/>
      <c r="T108" s="337"/>
      <c r="U108" s="337"/>
      <c r="V108" s="337"/>
      <c r="W108" s="337"/>
      <c r="X108" s="337"/>
      <c r="Y108" s="337"/>
      <c r="Z108" s="337"/>
      <c r="AA108" s="208"/>
      <c r="AB108" s="214" t="s">
        <v>147</v>
      </c>
      <c r="AD108" s="219" t="s">
        <v>130</v>
      </c>
      <c r="AE108" s="118"/>
      <c r="AF108" s="213">
        <f>IF(OR(D108="Show",D108="",Q108="Show",Q108=""),1,0)</f>
        <v>1</v>
      </c>
      <c r="AG108" s="213">
        <f>IF(AND(SUM(AF:AF)&gt;0,OR(D108="",Q108="")),1,0)</f>
        <v>0</v>
      </c>
    </row>
    <row r="109" spans="1:33" ht="197.25" customHeight="1" x14ac:dyDescent="0.2">
      <c r="A109" s="212" t="str">
        <f>IF(AG109=1,"X","")</f>
        <v/>
      </c>
      <c r="B109" s="213">
        <f>B107</f>
        <v>1</v>
      </c>
      <c r="D109" s="337"/>
      <c r="E109" s="337"/>
      <c r="F109" s="337"/>
      <c r="G109" s="337"/>
      <c r="H109" s="337"/>
      <c r="I109" s="337"/>
      <c r="J109" s="337"/>
      <c r="K109" s="337"/>
      <c r="L109" s="337"/>
      <c r="M109" s="337"/>
      <c r="N109" s="337"/>
      <c r="O109" s="223"/>
      <c r="P109" s="223"/>
      <c r="Q109" s="337"/>
      <c r="R109" s="337"/>
      <c r="S109" s="337"/>
      <c r="T109" s="337"/>
      <c r="U109" s="337"/>
      <c r="V109" s="337"/>
      <c r="W109" s="337"/>
      <c r="X109" s="337"/>
      <c r="Y109" s="337"/>
      <c r="Z109" s="337"/>
      <c r="AA109" s="208"/>
      <c r="AB109" s="214" t="s">
        <v>146</v>
      </c>
      <c r="AD109" s="219" t="s">
        <v>130</v>
      </c>
      <c r="AE109" s="217"/>
      <c r="AF109" s="64"/>
      <c r="AG109" s="64"/>
    </row>
    <row r="110" spans="1:33" ht="18" customHeight="1" x14ac:dyDescent="0.2">
      <c r="A110" s="212" t="str">
        <f>IF(AG110=1,"X","")</f>
        <v/>
      </c>
      <c r="B110" s="213">
        <f>B109</f>
        <v>1</v>
      </c>
      <c r="D110" s="338" t="s">
        <v>423</v>
      </c>
      <c r="E110" s="338"/>
      <c r="F110" s="338"/>
      <c r="G110" s="338"/>
      <c r="H110" s="338"/>
      <c r="I110" s="338"/>
      <c r="J110" s="338"/>
      <c r="K110" s="338"/>
      <c r="L110" s="338"/>
      <c r="M110" s="338"/>
      <c r="N110" s="338"/>
      <c r="O110" s="223"/>
      <c r="P110" s="223"/>
      <c r="Q110" s="338" t="s">
        <v>423</v>
      </c>
      <c r="R110" s="338"/>
      <c r="S110" s="338"/>
      <c r="T110" s="338"/>
      <c r="U110" s="338"/>
      <c r="V110" s="338"/>
      <c r="W110" s="338"/>
      <c r="X110" s="338"/>
      <c r="Y110" s="338"/>
      <c r="Z110" s="338"/>
      <c r="AA110" s="208"/>
      <c r="AB110" s="214" t="s">
        <v>145</v>
      </c>
      <c r="AD110" s="219" t="s">
        <v>130</v>
      </c>
      <c r="AE110" s="217"/>
      <c r="AF110" s="213">
        <f>IF(OR(D108="Show",D108="",Q108="Show",Q108=""),1,0)</f>
        <v>1</v>
      </c>
      <c r="AG110" s="213">
        <f>IF(AND(SUM(AF:AF)&gt;0,OR(AND(D108="Show",D110=""),AND(Q108="Show",Q110=""))),1,0)</f>
        <v>0</v>
      </c>
    </row>
    <row r="111" spans="1:33" ht="8.5" customHeight="1" x14ac:dyDescent="0.15">
      <c r="A111" s="212" t="str">
        <f>IF(AG111=1,"X","")</f>
        <v/>
      </c>
      <c r="B111" s="213">
        <f>B110</f>
        <v>1</v>
      </c>
      <c r="D111" s="335"/>
      <c r="E111" s="335"/>
      <c r="F111" s="335"/>
      <c r="G111" s="335"/>
      <c r="H111" s="335"/>
      <c r="I111" s="335"/>
      <c r="J111" s="335"/>
      <c r="K111" s="335"/>
      <c r="L111" s="335"/>
      <c r="M111" s="335"/>
      <c r="N111" s="335"/>
      <c r="O111" s="335"/>
      <c r="P111" s="335"/>
      <c r="Q111" s="335"/>
      <c r="R111" s="335"/>
      <c r="S111" s="335"/>
      <c r="T111" s="335"/>
      <c r="U111" s="335"/>
      <c r="V111" s="335"/>
      <c r="W111" s="335"/>
      <c r="X111" s="335"/>
      <c r="Y111" s="335"/>
      <c r="Z111" s="335"/>
      <c r="AA111" s="208"/>
      <c r="AD111" s="221" t="s">
        <v>129</v>
      </c>
      <c r="AE111" s="197"/>
      <c r="AF111" s="64"/>
      <c r="AG111" s="64"/>
    </row>
    <row r="112" spans="1:33" ht="15.75" hidden="1" customHeight="1" x14ac:dyDescent="0.2">
      <c r="A112" s="212"/>
      <c r="B112" s="213">
        <v>0</v>
      </c>
      <c r="D112" s="336" t="s">
        <v>152</v>
      </c>
      <c r="E112" s="336"/>
      <c r="F112" s="336"/>
      <c r="G112" s="336"/>
      <c r="H112" s="336"/>
      <c r="I112" s="336"/>
      <c r="J112" s="336"/>
      <c r="K112" s="336"/>
      <c r="L112" s="336"/>
      <c r="M112" s="336"/>
      <c r="N112" s="336"/>
      <c r="O112" s="336"/>
      <c r="P112" s="336"/>
      <c r="Q112" s="336"/>
      <c r="R112" s="336"/>
      <c r="S112" s="336"/>
      <c r="T112" s="336"/>
      <c r="U112" s="336"/>
      <c r="V112" s="336"/>
      <c r="W112" s="336"/>
      <c r="X112" s="336"/>
      <c r="Y112" s="336"/>
      <c r="Z112" s="336"/>
      <c r="AB112" s="225" t="s">
        <v>158</v>
      </c>
      <c r="AD112" s="221" t="s">
        <v>143</v>
      </c>
      <c r="AE112" s="118"/>
      <c r="AF112" s="64"/>
      <c r="AG112" s="64"/>
    </row>
    <row r="113" spans="1:33" ht="15.75" hidden="1" customHeight="1" x14ac:dyDescent="0.2">
      <c r="A113" s="212"/>
      <c r="B113" s="213">
        <v>0</v>
      </c>
      <c r="D113" s="336" t="s">
        <v>153</v>
      </c>
      <c r="E113" s="336"/>
      <c r="F113" s="336"/>
      <c r="G113" s="336"/>
      <c r="H113" s="336"/>
      <c r="I113" s="336"/>
      <c r="J113" s="336"/>
      <c r="K113" s="336"/>
      <c r="L113" s="336"/>
      <c r="M113" s="336"/>
      <c r="N113" s="336"/>
      <c r="O113" s="336"/>
      <c r="P113" s="336"/>
      <c r="Q113" s="336"/>
      <c r="R113" s="336"/>
      <c r="S113" s="336"/>
      <c r="T113" s="336"/>
      <c r="U113" s="336"/>
      <c r="V113" s="336"/>
      <c r="W113" s="336"/>
      <c r="X113" s="336"/>
      <c r="Y113" s="336"/>
      <c r="Z113" s="336"/>
      <c r="AB113" s="225" t="s">
        <v>158</v>
      </c>
      <c r="AD113" s="221" t="s">
        <v>143</v>
      </c>
      <c r="AE113" s="118"/>
      <c r="AF113" s="64"/>
      <c r="AG113" s="64"/>
    </row>
    <row r="114" spans="1:33" ht="8.5" customHeight="1" x14ac:dyDescent="0.15">
      <c r="A114" s="212" t="str">
        <f>IF(AG114=1,"X","")</f>
        <v/>
      </c>
      <c r="B114" s="213">
        <f>IF(OR(D115="Show",Q115="Show"),1,0)</f>
        <v>1</v>
      </c>
      <c r="D114" s="335"/>
      <c r="E114" s="335"/>
      <c r="F114" s="335"/>
      <c r="G114" s="335"/>
      <c r="H114" s="335"/>
      <c r="I114" s="335"/>
      <c r="J114" s="335"/>
      <c r="K114" s="335"/>
      <c r="L114" s="335"/>
      <c r="M114" s="335"/>
      <c r="N114" s="335"/>
      <c r="O114" s="335"/>
      <c r="P114" s="335"/>
      <c r="Q114" s="335"/>
      <c r="R114" s="335"/>
      <c r="S114" s="335"/>
      <c r="T114" s="335"/>
      <c r="U114" s="335"/>
      <c r="V114" s="335"/>
      <c r="W114" s="335"/>
      <c r="X114" s="335"/>
      <c r="Y114" s="335"/>
      <c r="Z114" s="335"/>
      <c r="AD114" s="221" t="s">
        <v>129</v>
      </c>
      <c r="AE114" s="197"/>
      <c r="AF114" s="64"/>
      <c r="AG114" s="64"/>
    </row>
    <row r="115" spans="1:33" ht="18" hidden="1" customHeight="1" x14ac:dyDescent="0.2">
      <c r="A115" s="212" t="str">
        <f>IF(AG115=1,"X","")</f>
        <v/>
      </c>
      <c r="B115" s="213">
        <v>0</v>
      </c>
      <c r="D115" s="337" t="s">
        <v>258</v>
      </c>
      <c r="E115" s="337"/>
      <c r="F115" s="337"/>
      <c r="G115" s="337"/>
      <c r="H115" s="337"/>
      <c r="I115" s="337"/>
      <c r="J115" s="337"/>
      <c r="K115" s="337"/>
      <c r="L115" s="337"/>
      <c r="M115" s="337"/>
      <c r="N115" s="337"/>
      <c r="O115" s="223"/>
      <c r="P115" s="223"/>
      <c r="Q115" s="337" t="s">
        <v>258</v>
      </c>
      <c r="R115" s="337"/>
      <c r="S115" s="337"/>
      <c r="T115" s="337"/>
      <c r="U115" s="337"/>
      <c r="V115" s="337"/>
      <c r="W115" s="337"/>
      <c r="X115" s="337"/>
      <c r="Y115" s="337"/>
      <c r="Z115" s="337"/>
      <c r="AA115" s="208"/>
      <c r="AB115" s="214" t="s">
        <v>147</v>
      </c>
      <c r="AD115" s="219" t="s">
        <v>130</v>
      </c>
      <c r="AE115" s="118"/>
      <c r="AF115" s="213">
        <f>IF(OR(D115="Show",D115="",Q115="Show",Q115=""),1,0)</f>
        <v>1</v>
      </c>
      <c r="AG115" s="213">
        <f>IF(AND(SUM(AF:AF)&gt;0,OR(D115="",Q115="")),1,0)</f>
        <v>0</v>
      </c>
    </row>
    <row r="116" spans="1:33" ht="197.25" customHeight="1" x14ac:dyDescent="0.2">
      <c r="A116" s="212" t="str">
        <f>IF(AG116=1,"X","")</f>
        <v/>
      </c>
      <c r="B116" s="213">
        <f>B114</f>
        <v>1</v>
      </c>
      <c r="D116" s="337"/>
      <c r="E116" s="337"/>
      <c r="F116" s="337"/>
      <c r="G116" s="337"/>
      <c r="H116" s="337"/>
      <c r="I116" s="337"/>
      <c r="J116" s="337"/>
      <c r="K116" s="337"/>
      <c r="L116" s="337"/>
      <c r="M116" s="337"/>
      <c r="N116" s="337"/>
      <c r="O116" s="223"/>
      <c r="P116" s="223"/>
      <c r="Q116" s="337"/>
      <c r="R116" s="337"/>
      <c r="S116" s="337"/>
      <c r="T116" s="337"/>
      <c r="U116" s="337"/>
      <c r="V116" s="337"/>
      <c r="W116" s="337"/>
      <c r="X116" s="337"/>
      <c r="Y116" s="337"/>
      <c r="Z116" s="337"/>
      <c r="AA116" s="208"/>
      <c r="AB116" s="214" t="s">
        <v>146</v>
      </c>
      <c r="AD116" s="219" t="s">
        <v>130</v>
      </c>
      <c r="AE116" s="217"/>
      <c r="AF116" s="64"/>
      <c r="AG116" s="64"/>
    </row>
    <row r="117" spans="1:33" ht="18" customHeight="1" x14ac:dyDescent="0.2">
      <c r="A117" s="212" t="str">
        <f>IF(AG117=1,"X","")</f>
        <v/>
      </c>
      <c r="B117" s="213">
        <f>B116</f>
        <v>1</v>
      </c>
      <c r="D117" s="338" t="s">
        <v>423</v>
      </c>
      <c r="E117" s="338"/>
      <c r="F117" s="338"/>
      <c r="G117" s="338"/>
      <c r="H117" s="338"/>
      <c r="I117" s="338"/>
      <c r="J117" s="338"/>
      <c r="K117" s="338"/>
      <c r="L117" s="338"/>
      <c r="M117" s="338"/>
      <c r="N117" s="338"/>
      <c r="O117" s="223"/>
      <c r="P117" s="223"/>
      <c r="Q117" s="338" t="s">
        <v>423</v>
      </c>
      <c r="R117" s="338"/>
      <c r="S117" s="338"/>
      <c r="T117" s="338"/>
      <c r="U117" s="338"/>
      <c r="V117" s="338"/>
      <c r="W117" s="338"/>
      <c r="X117" s="338"/>
      <c r="Y117" s="338"/>
      <c r="Z117" s="338"/>
      <c r="AA117" s="208"/>
      <c r="AB117" s="214" t="s">
        <v>145</v>
      </c>
      <c r="AD117" s="219" t="s">
        <v>130</v>
      </c>
      <c r="AE117" s="217"/>
      <c r="AF117" s="213">
        <f>IF(OR(D115="Show",D115="",Q115="Show",Q115=""),1,0)</f>
        <v>1</v>
      </c>
      <c r="AG117" s="213">
        <f>IF(AND(SUM(AF:AF)&gt;0,OR(AND(D115="Show",D117=""),AND(Q115="Show",Q117=""))),1,0)</f>
        <v>0</v>
      </c>
    </row>
    <row r="118" spans="1:33" ht="8.5" customHeight="1" x14ac:dyDescent="0.15">
      <c r="A118" s="212" t="str">
        <f>IF(AG118=1,"X","")</f>
        <v/>
      </c>
      <c r="B118" s="213">
        <f>B117</f>
        <v>1</v>
      </c>
      <c r="D118" s="335"/>
      <c r="E118" s="335"/>
      <c r="F118" s="335"/>
      <c r="G118" s="335"/>
      <c r="H118" s="335"/>
      <c r="I118" s="335"/>
      <c r="J118" s="335"/>
      <c r="K118" s="335"/>
      <c r="L118" s="335"/>
      <c r="M118" s="335"/>
      <c r="N118" s="335"/>
      <c r="O118" s="335"/>
      <c r="P118" s="335"/>
      <c r="Q118" s="335"/>
      <c r="R118" s="335"/>
      <c r="S118" s="335"/>
      <c r="T118" s="335"/>
      <c r="U118" s="335"/>
      <c r="V118" s="335"/>
      <c r="W118" s="335"/>
      <c r="X118" s="335"/>
      <c r="Y118" s="335"/>
      <c r="Z118" s="335"/>
      <c r="AA118" s="208"/>
      <c r="AD118" s="221" t="s">
        <v>129</v>
      </c>
      <c r="AE118" s="197"/>
      <c r="AF118" s="64"/>
      <c r="AG118" s="64"/>
    </row>
    <row r="119" spans="1:33" ht="15.75" hidden="1" customHeight="1" x14ac:dyDescent="0.2">
      <c r="A119" s="212"/>
      <c r="B119" s="213">
        <v>0</v>
      </c>
      <c r="D119" s="336" t="s">
        <v>151</v>
      </c>
      <c r="E119" s="336"/>
      <c r="F119" s="336"/>
      <c r="G119" s="336"/>
      <c r="H119" s="336"/>
      <c r="I119" s="336"/>
      <c r="J119" s="336"/>
      <c r="K119" s="336"/>
      <c r="L119" s="336"/>
      <c r="M119" s="336"/>
      <c r="N119" s="336"/>
      <c r="O119" s="336"/>
      <c r="P119" s="336"/>
      <c r="Q119" s="336"/>
      <c r="R119" s="336"/>
      <c r="S119" s="336"/>
      <c r="T119" s="336"/>
      <c r="U119" s="336"/>
      <c r="V119" s="336"/>
      <c r="W119" s="336"/>
      <c r="X119" s="336"/>
      <c r="Y119" s="336"/>
      <c r="Z119" s="336"/>
      <c r="AB119" s="225" t="s">
        <v>158</v>
      </c>
      <c r="AD119" s="221" t="s">
        <v>143</v>
      </c>
      <c r="AE119" s="118"/>
      <c r="AF119" s="64"/>
      <c r="AG119" s="64"/>
    </row>
    <row r="120" spans="1:33" ht="15.75" hidden="1" customHeight="1" x14ac:dyDescent="0.2">
      <c r="A120" s="212"/>
      <c r="B120" s="213">
        <v>0</v>
      </c>
      <c r="D120" s="336" t="s">
        <v>148</v>
      </c>
      <c r="E120" s="336"/>
      <c r="F120" s="336"/>
      <c r="G120" s="336"/>
      <c r="H120" s="336"/>
      <c r="I120" s="336"/>
      <c r="J120" s="336"/>
      <c r="K120" s="336"/>
      <c r="L120" s="336"/>
      <c r="M120" s="336"/>
      <c r="N120" s="336"/>
      <c r="O120" s="336"/>
      <c r="P120" s="336"/>
      <c r="Q120" s="336"/>
      <c r="R120" s="336"/>
      <c r="S120" s="336"/>
      <c r="T120" s="336"/>
      <c r="U120" s="336"/>
      <c r="V120" s="336"/>
      <c r="W120" s="336"/>
      <c r="X120" s="336"/>
      <c r="Y120" s="336"/>
      <c r="Z120" s="336"/>
      <c r="AB120" s="225" t="s">
        <v>158</v>
      </c>
      <c r="AD120" s="221" t="s">
        <v>143</v>
      </c>
      <c r="AE120" s="118"/>
      <c r="AF120" s="64"/>
      <c r="AG120" s="64"/>
    </row>
    <row r="121" spans="1:33" ht="8.5" customHeight="1" x14ac:dyDescent="0.15">
      <c r="A121" s="212" t="str">
        <f>IF(AG121=1,"X","")</f>
        <v/>
      </c>
      <c r="B121" s="213">
        <f>IF(OR(D122="Show",Q122="Show"),1,0)</f>
        <v>1</v>
      </c>
      <c r="D121" s="335"/>
      <c r="E121" s="335"/>
      <c r="F121" s="335"/>
      <c r="G121" s="335"/>
      <c r="H121" s="335"/>
      <c r="I121" s="335"/>
      <c r="J121" s="335"/>
      <c r="K121" s="335"/>
      <c r="L121" s="335"/>
      <c r="M121" s="335"/>
      <c r="N121" s="335"/>
      <c r="O121" s="335"/>
      <c r="P121" s="335"/>
      <c r="Q121" s="335"/>
      <c r="R121" s="335"/>
      <c r="S121" s="335"/>
      <c r="T121" s="335"/>
      <c r="U121" s="335"/>
      <c r="V121" s="335"/>
      <c r="W121" s="335"/>
      <c r="X121" s="335"/>
      <c r="Y121" s="335"/>
      <c r="Z121" s="335"/>
      <c r="AD121" s="221" t="s">
        <v>129</v>
      </c>
      <c r="AE121" s="197"/>
      <c r="AF121" s="64"/>
      <c r="AG121" s="64"/>
    </row>
    <row r="122" spans="1:33" ht="18" hidden="1" customHeight="1" x14ac:dyDescent="0.2">
      <c r="A122" s="212" t="str">
        <f>IF(AG122=1,"X","")</f>
        <v/>
      </c>
      <c r="B122" s="213">
        <v>0</v>
      </c>
      <c r="D122" s="337" t="s">
        <v>258</v>
      </c>
      <c r="E122" s="337"/>
      <c r="F122" s="337"/>
      <c r="G122" s="337"/>
      <c r="H122" s="337"/>
      <c r="I122" s="337"/>
      <c r="J122" s="337"/>
      <c r="K122" s="337"/>
      <c r="L122" s="337"/>
      <c r="M122" s="337"/>
      <c r="N122" s="337"/>
      <c r="O122" s="223"/>
      <c r="P122" s="223"/>
      <c r="Q122" s="337" t="s">
        <v>258</v>
      </c>
      <c r="R122" s="337"/>
      <c r="S122" s="337"/>
      <c r="T122" s="337"/>
      <c r="U122" s="337"/>
      <c r="V122" s="337"/>
      <c r="W122" s="337"/>
      <c r="X122" s="337"/>
      <c r="Y122" s="337"/>
      <c r="Z122" s="337"/>
      <c r="AA122" s="208"/>
      <c r="AB122" s="214" t="s">
        <v>147</v>
      </c>
      <c r="AD122" s="219" t="s">
        <v>130</v>
      </c>
      <c r="AE122" s="118"/>
      <c r="AF122" s="213">
        <f>IF(OR(D122="Show",D122="",Q122="Show",Q122=""),1,0)</f>
        <v>1</v>
      </c>
      <c r="AG122" s="213">
        <f>IF(AND(SUM(AF:AF)&gt;0,OR(D122="",Q122="")),1,0)</f>
        <v>0</v>
      </c>
    </row>
    <row r="123" spans="1:33" ht="197.25" customHeight="1" x14ac:dyDescent="0.2">
      <c r="A123" s="212" t="str">
        <f>IF(AG123=1,"X","")</f>
        <v/>
      </c>
      <c r="B123" s="213">
        <f>B121</f>
        <v>1</v>
      </c>
      <c r="D123" s="337"/>
      <c r="E123" s="337"/>
      <c r="F123" s="337"/>
      <c r="G123" s="337"/>
      <c r="H123" s="337"/>
      <c r="I123" s="337"/>
      <c r="J123" s="337"/>
      <c r="K123" s="337"/>
      <c r="L123" s="337"/>
      <c r="M123" s="337"/>
      <c r="N123" s="337"/>
      <c r="O123" s="223"/>
      <c r="P123" s="223"/>
      <c r="Q123" s="337"/>
      <c r="R123" s="337"/>
      <c r="S123" s="337"/>
      <c r="T123" s="337"/>
      <c r="U123" s="337"/>
      <c r="V123" s="337"/>
      <c r="W123" s="337"/>
      <c r="X123" s="337"/>
      <c r="Y123" s="337"/>
      <c r="Z123" s="337"/>
      <c r="AA123" s="208"/>
      <c r="AB123" s="214" t="s">
        <v>146</v>
      </c>
      <c r="AD123" s="219" t="s">
        <v>130</v>
      </c>
      <c r="AE123" s="217"/>
      <c r="AF123" s="64"/>
      <c r="AG123" s="64"/>
    </row>
    <row r="124" spans="1:33" ht="26.25" customHeight="1" x14ac:dyDescent="0.2">
      <c r="A124" s="212" t="str">
        <f>IF(AG124=1,"X","")</f>
        <v/>
      </c>
      <c r="B124" s="213">
        <f>B123</f>
        <v>1</v>
      </c>
      <c r="D124" s="338" t="s">
        <v>428</v>
      </c>
      <c r="E124" s="338"/>
      <c r="F124" s="338"/>
      <c r="G124" s="338"/>
      <c r="H124" s="338"/>
      <c r="I124" s="338"/>
      <c r="J124" s="338"/>
      <c r="K124" s="338"/>
      <c r="L124" s="338"/>
      <c r="M124" s="338"/>
      <c r="N124" s="338"/>
      <c r="O124" s="223"/>
      <c r="P124" s="223"/>
      <c r="Q124" s="338" t="s">
        <v>428</v>
      </c>
      <c r="R124" s="338"/>
      <c r="S124" s="338"/>
      <c r="T124" s="338"/>
      <c r="U124" s="338"/>
      <c r="V124" s="338"/>
      <c r="W124" s="338"/>
      <c r="X124" s="338"/>
      <c r="Y124" s="338"/>
      <c r="Z124" s="338"/>
      <c r="AA124" s="208"/>
      <c r="AB124" s="214" t="s">
        <v>145</v>
      </c>
      <c r="AD124" s="219" t="s">
        <v>130</v>
      </c>
      <c r="AE124" s="217"/>
      <c r="AF124" s="213">
        <f>IF(OR(D122="Show",D122="",Q122="Show",Q122=""),1,0)</f>
        <v>1</v>
      </c>
      <c r="AG124" s="213">
        <f>IF(AND(SUM(AF:AF)&gt;0,OR(AND(D122="Show",D124=""),AND(Q122="Show",Q124=""))),1,0)</f>
        <v>0</v>
      </c>
    </row>
    <row r="125" spans="1:33" ht="8.5" customHeight="1" x14ac:dyDescent="0.15">
      <c r="A125" s="212" t="str">
        <f>IF(AG125=1,"X","")</f>
        <v/>
      </c>
      <c r="B125" s="213">
        <f>B124</f>
        <v>1</v>
      </c>
      <c r="D125" s="335"/>
      <c r="E125" s="335"/>
      <c r="F125" s="335"/>
      <c r="G125" s="335"/>
      <c r="H125" s="335"/>
      <c r="I125" s="335"/>
      <c r="J125" s="335"/>
      <c r="K125" s="335"/>
      <c r="L125" s="335"/>
      <c r="M125" s="335"/>
      <c r="N125" s="335"/>
      <c r="O125" s="335"/>
      <c r="P125" s="335"/>
      <c r="Q125" s="335"/>
      <c r="R125" s="335"/>
      <c r="S125" s="335"/>
      <c r="T125" s="335"/>
      <c r="U125" s="335"/>
      <c r="V125" s="335"/>
      <c r="W125" s="335"/>
      <c r="X125" s="335"/>
      <c r="Y125" s="335"/>
      <c r="Z125" s="335"/>
      <c r="AA125" s="208"/>
      <c r="AD125" s="221" t="s">
        <v>129</v>
      </c>
      <c r="AE125" s="197"/>
      <c r="AF125" s="64"/>
      <c r="AG125" s="64"/>
    </row>
    <row r="126" spans="1:33" ht="15.75" hidden="1" customHeight="1" x14ac:dyDescent="0.2">
      <c r="A126" s="212"/>
      <c r="B126" s="213">
        <v>0</v>
      </c>
      <c r="D126" s="336" t="s">
        <v>149</v>
      </c>
      <c r="E126" s="336"/>
      <c r="F126" s="336"/>
      <c r="G126" s="336"/>
      <c r="H126" s="336"/>
      <c r="I126" s="336"/>
      <c r="J126" s="336"/>
      <c r="K126" s="336"/>
      <c r="L126" s="336"/>
      <c r="M126" s="336"/>
      <c r="N126" s="336"/>
      <c r="O126" s="336"/>
      <c r="P126" s="336"/>
      <c r="Q126" s="336"/>
      <c r="R126" s="336"/>
      <c r="S126" s="336"/>
      <c r="T126" s="336"/>
      <c r="U126" s="336"/>
      <c r="V126" s="336"/>
      <c r="W126" s="336"/>
      <c r="X126" s="336"/>
      <c r="Y126" s="336"/>
      <c r="Z126" s="336"/>
      <c r="AB126" s="225" t="s">
        <v>158</v>
      </c>
      <c r="AD126" s="221" t="s">
        <v>143</v>
      </c>
      <c r="AE126" s="118"/>
      <c r="AF126" s="64"/>
      <c r="AG126" s="64"/>
    </row>
    <row r="127" spans="1:33" ht="15.75" hidden="1" customHeight="1" x14ac:dyDescent="0.2">
      <c r="A127" s="212"/>
      <c r="B127" s="213">
        <v>0</v>
      </c>
      <c r="D127" s="336" t="s">
        <v>150</v>
      </c>
      <c r="E127" s="336"/>
      <c r="F127" s="336"/>
      <c r="G127" s="336"/>
      <c r="H127" s="336"/>
      <c r="I127" s="336"/>
      <c r="J127" s="336"/>
      <c r="K127" s="336"/>
      <c r="L127" s="336"/>
      <c r="M127" s="336"/>
      <c r="N127" s="336"/>
      <c r="O127" s="336"/>
      <c r="P127" s="336"/>
      <c r="Q127" s="336"/>
      <c r="R127" s="336"/>
      <c r="S127" s="336"/>
      <c r="T127" s="336"/>
      <c r="U127" s="336"/>
      <c r="V127" s="336"/>
      <c r="W127" s="336"/>
      <c r="X127" s="336"/>
      <c r="Y127" s="336"/>
      <c r="Z127" s="336"/>
      <c r="AB127" s="225" t="s">
        <v>158</v>
      </c>
      <c r="AD127" s="221" t="s">
        <v>143</v>
      </c>
      <c r="AE127" s="118"/>
      <c r="AF127" s="64"/>
      <c r="AG127" s="64"/>
    </row>
    <row r="128" spans="1:33" ht="8.5" customHeight="1" x14ac:dyDescent="0.15">
      <c r="A128" s="212" t="str">
        <f>IF(AG128=1,"X","")</f>
        <v/>
      </c>
      <c r="B128" s="213">
        <f>IF(OR(D129="Show",Q129="Show"),1,0)</f>
        <v>1</v>
      </c>
      <c r="D128" s="335"/>
      <c r="E128" s="335"/>
      <c r="F128" s="335"/>
      <c r="G128" s="335"/>
      <c r="H128" s="335"/>
      <c r="I128" s="335"/>
      <c r="J128" s="335"/>
      <c r="K128" s="335"/>
      <c r="L128" s="335"/>
      <c r="M128" s="335"/>
      <c r="N128" s="335"/>
      <c r="O128" s="335"/>
      <c r="P128" s="335"/>
      <c r="Q128" s="335"/>
      <c r="R128" s="335"/>
      <c r="S128" s="335"/>
      <c r="T128" s="335"/>
      <c r="U128" s="335"/>
      <c r="V128" s="335"/>
      <c r="W128" s="335"/>
      <c r="X128" s="335"/>
      <c r="Y128" s="335"/>
      <c r="Z128" s="335"/>
      <c r="AD128" s="221" t="s">
        <v>129</v>
      </c>
      <c r="AE128" s="197"/>
      <c r="AF128" s="64"/>
      <c r="AG128" s="64"/>
    </row>
    <row r="129" spans="1:33" ht="18" hidden="1" customHeight="1" x14ac:dyDescent="0.2">
      <c r="A129" s="212" t="str">
        <f>IF(AG129=1,"X","")</f>
        <v/>
      </c>
      <c r="B129" s="213">
        <v>0</v>
      </c>
      <c r="D129" s="337" t="s">
        <v>258</v>
      </c>
      <c r="E129" s="337"/>
      <c r="F129" s="337"/>
      <c r="G129" s="337"/>
      <c r="H129" s="337"/>
      <c r="I129" s="337"/>
      <c r="J129" s="337"/>
      <c r="K129" s="337"/>
      <c r="L129" s="337"/>
      <c r="M129" s="337"/>
      <c r="N129" s="337"/>
      <c r="O129" s="223"/>
      <c r="P129" s="223"/>
      <c r="Q129" s="337" t="s">
        <v>258</v>
      </c>
      <c r="R129" s="337"/>
      <c r="S129" s="337"/>
      <c r="T129" s="337"/>
      <c r="U129" s="337"/>
      <c r="V129" s="337"/>
      <c r="W129" s="337"/>
      <c r="X129" s="337"/>
      <c r="Y129" s="337"/>
      <c r="Z129" s="337"/>
      <c r="AA129" s="208"/>
      <c r="AB129" s="214" t="s">
        <v>147</v>
      </c>
      <c r="AD129" s="219" t="s">
        <v>130</v>
      </c>
      <c r="AE129" s="118"/>
      <c r="AF129" s="213">
        <f>IF(OR(D129="Show",D129="",Q129="Show",Q129=""),1,0)</f>
        <v>1</v>
      </c>
      <c r="AG129" s="213">
        <f>IF(AND(SUM(AF:AF)&gt;0,OR(D129="",Q129="")),1,0)</f>
        <v>0</v>
      </c>
    </row>
    <row r="130" spans="1:33" ht="197.25" customHeight="1" x14ac:dyDescent="0.2">
      <c r="A130" s="212" t="str">
        <f>IF(AG130=1,"X","")</f>
        <v/>
      </c>
      <c r="B130" s="213">
        <f>B128</f>
        <v>1</v>
      </c>
      <c r="D130" s="337"/>
      <c r="E130" s="337"/>
      <c r="F130" s="337"/>
      <c r="G130" s="337"/>
      <c r="H130" s="337"/>
      <c r="I130" s="337"/>
      <c r="J130" s="337"/>
      <c r="K130" s="337"/>
      <c r="L130" s="337"/>
      <c r="M130" s="337"/>
      <c r="N130" s="337"/>
      <c r="O130" s="223"/>
      <c r="P130" s="223"/>
      <c r="Q130" s="337"/>
      <c r="R130" s="337"/>
      <c r="S130" s="337"/>
      <c r="T130" s="337"/>
      <c r="U130" s="337"/>
      <c r="V130" s="337"/>
      <c r="W130" s="337"/>
      <c r="X130" s="337"/>
      <c r="Y130" s="337"/>
      <c r="Z130" s="337"/>
      <c r="AA130" s="208"/>
      <c r="AB130" s="214" t="s">
        <v>146</v>
      </c>
      <c r="AD130" s="219" t="s">
        <v>130</v>
      </c>
      <c r="AE130" s="217"/>
      <c r="AF130" s="64"/>
      <c r="AG130" s="64"/>
    </row>
    <row r="131" spans="1:33" ht="24" customHeight="1" x14ac:dyDescent="0.2">
      <c r="A131" s="212" t="str">
        <f>IF(AG131=1,"X","")</f>
        <v/>
      </c>
      <c r="B131" s="213">
        <f>B130</f>
        <v>1</v>
      </c>
      <c r="D131" s="338" t="s">
        <v>428</v>
      </c>
      <c r="E131" s="338"/>
      <c r="F131" s="338"/>
      <c r="G131" s="338"/>
      <c r="H131" s="338"/>
      <c r="I131" s="338"/>
      <c r="J131" s="338"/>
      <c r="K131" s="338"/>
      <c r="L131" s="338"/>
      <c r="M131" s="338"/>
      <c r="N131" s="338"/>
      <c r="O131" s="223"/>
      <c r="P131" s="223"/>
      <c r="Q131" s="338" t="s">
        <v>428</v>
      </c>
      <c r="R131" s="338"/>
      <c r="S131" s="338"/>
      <c r="T131" s="338"/>
      <c r="U131" s="338"/>
      <c r="V131" s="338"/>
      <c r="W131" s="338"/>
      <c r="X131" s="338"/>
      <c r="Y131" s="338"/>
      <c r="Z131" s="338"/>
      <c r="AA131" s="208"/>
      <c r="AB131" s="214" t="s">
        <v>145</v>
      </c>
      <c r="AD131" s="219" t="s">
        <v>130</v>
      </c>
      <c r="AE131" s="217"/>
      <c r="AF131" s="213">
        <f>IF(OR(D129="Show",D129="",Q129="Show",Q129=""),1,0)</f>
        <v>1</v>
      </c>
      <c r="AG131" s="213">
        <f>IF(AND(SUM(AF:AF)&gt;0,OR(AND(D129="Show",D131=""),AND(Q129="Show",Q131=""))),1,0)</f>
        <v>0</v>
      </c>
    </row>
    <row r="132" spans="1:33" ht="8.5" customHeight="1" x14ac:dyDescent="0.15">
      <c r="A132" s="212" t="str">
        <f>IF(AG132=1,"X","")</f>
        <v/>
      </c>
      <c r="B132" s="213">
        <f>B131</f>
        <v>1</v>
      </c>
      <c r="D132" s="335"/>
      <c r="E132" s="335"/>
      <c r="F132" s="335"/>
      <c r="G132" s="335"/>
      <c r="H132" s="335"/>
      <c r="I132" s="335"/>
      <c r="J132" s="335"/>
      <c r="K132" s="335"/>
      <c r="L132" s="335"/>
      <c r="M132" s="335"/>
      <c r="N132" s="335"/>
      <c r="O132" s="335"/>
      <c r="P132" s="335"/>
      <c r="Q132" s="335"/>
      <c r="R132" s="335"/>
      <c r="S132" s="335"/>
      <c r="T132" s="335"/>
      <c r="U132" s="335"/>
      <c r="V132" s="335"/>
      <c r="W132" s="335"/>
      <c r="X132" s="335"/>
      <c r="Y132" s="335"/>
      <c r="Z132" s="335"/>
      <c r="AA132" s="208"/>
      <c r="AD132" s="221" t="s">
        <v>129</v>
      </c>
      <c r="AE132" s="197"/>
      <c r="AF132" s="64"/>
      <c r="AG132" s="64"/>
    </row>
    <row r="133" spans="1:33" ht="15.75" hidden="1" customHeight="1" x14ac:dyDescent="0.2">
      <c r="A133" s="212"/>
      <c r="B133" s="213">
        <v>0</v>
      </c>
      <c r="D133" s="336" t="s">
        <v>152</v>
      </c>
      <c r="E133" s="336"/>
      <c r="F133" s="336"/>
      <c r="G133" s="336"/>
      <c r="H133" s="336"/>
      <c r="I133" s="336"/>
      <c r="J133" s="336"/>
      <c r="K133" s="336"/>
      <c r="L133" s="336"/>
      <c r="M133" s="336"/>
      <c r="N133" s="336"/>
      <c r="O133" s="336"/>
      <c r="P133" s="336"/>
      <c r="Q133" s="336"/>
      <c r="R133" s="336"/>
      <c r="S133" s="336"/>
      <c r="T133" s="336"/>
      <c r="U133" s="336"/>
      <c r="V133" s="336"/>
      <c r="W133" s="336"/>
      <c r="X133" s="336"/>
      <c r="Y133" s="336"/>
      <c r="Z133" s="336"/>
      <c r="AB133" s="225" t="s">
        <v>158</v>
      </c>
      <c r="AD133" s="221" t="s">
        <v>143</v>
      </c>
      <c r="AE133" s="118"/>
      <c r="AF133" s="64"/>
      <c r="AG133" s="64"/>
    </row>
    <row r="134" spans="1:33" ht="15.75" hidden="1" customHeight="1" x14ac:dyDescent="0.2">
      <c r="A134" s="212"/>
      <c r="B134" s="213">
        <v>0</v>
      </c>
      <c r="D134" s="336" t="s">
        <v>153</v>
      </c>
      <c r="E134" s="336"/>
      <c r="F134" s="336"/>
      <c r="G134" s="336"/>
      <c r="H134" s="336"/>
      <c r="I134" s="336"/>
      <c r="J134" s="336"/>
      <c r="K134" s="336"/>
      <c r="L134" s="336"/>
      <c r="M134" s="336"/>
      <c r="N134" s="336"/>
      <c r="O134" s="336"/>
      <c r="P134" s="336"/>
      <c r="Q134" s="336"/>
      <c r="R134" s="336"/>
      <c r="S134" s="336"/>
      <c r="T134" s="336"/>
      <c r="U134" s="336"/>
      <c r="V134" s="336"/>
      <c r="W134" s="336"/>
      <c r="X134" s="336"/>
      <c r="Y134" s="336"/>
      <c r="Z134" s="336"/>
      <c r="AB134" s="225" t="s">
        <v>158</v>
      </c>
      <c r="AD134" s="221" t="s">
        <v>143</v>
      </c>
      <c r="AE134" s="118"/>
      <c r="AF134" s="64"/>
      <c r="AG134" s="64"/>
    </row>
    <row r="135" spans="1:33" ht="8.5" customHeight="1" x14ac:dyDescent="0.15">
      <c r="A135" s="212" t="str">
        <f>IF(AG135=1,"X","")</f>
        <v/>
      </c>
      <c r="B135" s="213">
        <f>IF(OR(D136="Show",Q136="Show"),1,0)</f>
        <v>1</v>
      </c>
      <c r="D135" s="335"/>
      <c r="E135" s="335"/>
      <c r="F135" s="335"/>
      <c r="G135" s="335"/>
      <c r="H135" s="335"/>
      <c r="I135" s="335"/>
      <c r="J135" s="335"/>
      <c r="K135" s="335"/>
      <c r="L135" s="335"/>
      <c r="M135" s="335"/>
      <c r="N135" s="335"/>
      <c r="O135" s="335"/>
      <c r="P135" s="335"/>
      <c r="Q135" s="335"/>
      <c r="R135" s="335"/>
      <c r="S135" s="335"/>
      <c r="T135" s="335"/>
      <c r="U135" s="335"/>
      <c r="V135" s="335"/>
      <c r="W135" s="335"/>
      <c r="X135" s="335"/>
      <c r="Y135" s="335"/>
      <c r="Z135" s="335"/>
      <c r="AD135" s="221" t="s">
        <v>129</v>
      </c>
      <c r="AE135" s="197"/>
      <c r="AF135" s="64"/>
      <c r="AG135" s="64"/>
    </row>
    <row r="136" spans="1:33" ht="18" hidden="1" customHeight="1" x14ac:dyDescent="0.2">
      <c r="A136" s="212" t="str">
        <f>IF(AG136=1,"X","")</f>
        <v/>
      </c>
      <c r="B136" s="213">
        <v>0</v>
      </c>
      <c r="D136" s="337" t="s">
        <v>258</v>
      </c>
      <c r="E136" s="337"/>
      <c r="F136" s="337"/>
      <c r="G136" s="337"/>
      <c r="H136" s="337"/>
      <c r="I136" s="337"/>
      <c r="J136" s="337"/>
      <c r="K136" s="337"/>
      <c r="L136" s="337"/>
      <c r="M136" s="337"/>
      <c r="N136" s="337"/>
      <c r="O136" s="223"/>
      <c r="P136" s="223"/>
      <c r="Q136" s="337" t="s">
        <v>258</v>
      </c>
      <c r="R136" s="337"/>
      <c r="S136" s="337"/>
      <c r="T136" s="337"/>
      <c r="U136" s="337"/>
      <c r="V136" s="337"/>
      <c r="W136" s="337"/>
      <c r="X136" s="337"/>
      <c r="Y136" s="337"/>
      <c r="Z136" s="337"/>
      <c r="AA136" s="208"/>
      <c r="AB136" s="214" t="s">
        <v>147</v>
      </c>
      <c r="AD136" s="219" t="s">
        <v>130</v>
      </c>
      <c r="AE136" s="118"/>
      <c r="AF136" s="213">
        <f>IF(OR(D136="Show",D136="",Q136="Show",Q136=""),1,0)</f>
        <v>1</v>
      </c>
      <c r="AG136" s="213">
        <f>IF(AND(SUM(AF:AF)&gt;0,OR(D136="",Q136="")),1,0)</f>
        <v>0</v>
      </c>
    </row>
    <row r="137" spans="1:33" ht="197.25" customHeight="1" x14ac:dyDescent="0.2">
      <c r="A137" s="212" t="str">
        <f>IF(AG137=1,"X","")</f>
        <v/>
      </c>
      <c r="B137" s="213">
        <f>B135</f>
        <v>1</v>
      </c>
      <c r="D137" s="337"/>
      <c r="E137" s="337"/>
      <c r="F137" s="337"/>
      <c r="G137" s="337"/>
      <c r="H137" s="337"/>
      <c r="I137" s="337"/>
      <c r="J137" s="337"/>
      <c r="K137" s="337"/>
      <c r="L137" s="337"/>
      <c r="M137" s="337"/>
      <c r="N137" s="337"/>
      <c r="O137" s="223"/>
      <c r="P137" s="223"/>
      <c r="Q137" s="337"/>
      <c r="R137" s="337"/>
      <c r="S137" s="337"/>
      <c r="T137" s="337"/>
      <c r="U137" s="337"/>
      <c r="V137" s="337"/>
      <c r="W137" s="337"/>
      <c r="X137" s="337"/>
      <c r="Y137" s="337"/>
      <c r="Z137" s="337"/>
      <c r="AA137" s="208"/>
      <c r="AB137" s="214" t="s">
        <v>146</v>
      </c>
      <c r="AD137" s="219" t="s">
        <v>130</v>
      </c>
      <c r="AE137" s="217"/>
      <c r="AF137" s="64"/>
      <c r="AG137" s="64"/>
    </row>
    <row r="138" spans="1:33" ht="27" customHeight="1" x14ac:dyDescent="0.2">
      <c r="A138" s="212" t="str">
        <f>IF(AG138=1,"X","")</f>
        <v/>
      </c>
      <c r="B138" s="213">
        <f>B137</f>
        <v>1</v>
      </c>
      <c r="D138" s="338" t="s">
        <v>428</v>
      </c>
      <c r="E138" s="338"/>
      <c r="F138" s="338"/>
      <c r="G138" s="338"/>
      <c r="H138" s="338"/>
      <c r="I138" s="338"/>
      <c r="J138" s="338"/>
      <c r="K138" s="338"/>
      <c r="L138" s="338"/>
      <c r="M138" s="338"/>
      <c r="N138" s="338"/>
      <c r="O138" s="223"/>
      <c r="P138" s="223"/>
      <c r="Q138" s="338" t="s">
        <v>428</v>
      </c>
      <c r="R138" s="338"/>
      <c r="S138" s="338"/>
      <c r="T138" s="338"/>
      <c r="U138" s="338"/>
      <c r="V138" s="338"/>
      <c r="W138" s="338"/>
      <c r="X138" s="338"/>
      <c r="Y138" s="338"/>
      <c r="Z138" s="338"/>
      <c r="AA138" s="208"/>
      <c r="AB138" s="214" t="s">
        <v>145</v>
      </c>
      <c r="AD138" s="219" t="s">
        <v>130</v>
      </c>
      <c r="AE138" s="217"/>
      <c r="AF138" s="213">
        <f>IF(OR(D136="Show",D136="",Q136="Show",Q136=""),1,0)</f>
        <v>1</v>
      </c>
      <c r="AG138" s="213">
        <f>IF(AND(SUM(AF:AF)&gt;0,OR(AND(D136="Show",D138=""),AND(Q136="Show",Q138=""))),1,0)</f>
        <v>0</v>
      </c>
    </row>
    <row r="139" spans="1:33" ht="8.5" customHeight="1" x14ac:dyDescent="0.15">
      <c r="A139" s="212" t="str">
        <f>IF(AG139=1,"X","")</f>
        <v/>
      </c>
      <c r="B139" s="213">
        <f>B138</f>
        <v>1</v>
      </c>
      <c r="D139" s="335"/>
      <c r="E139" s="335"/>
      <c r="F139" s="335"/>
      <c r="G139" s="335"/>
      <c r="H139" s="335"/>
      <c r="I139" s="335"/>
      <c r="J139" s="335"/>
      <c r="K139" s="335"/>
      <c r="L139" s="335"/>
      <c r="M139" s="335"/>
      <c r="N139" s="335"/>
      <c r="O139" s="335"/>
      <c r="P139" s="335"/>
      <c r="Q139" s="335"/>
      <c r="R139" s="335"/>
      <c r="S139" s="335"/>
      <c r="T139" s="335"/>
      <c r="U139" s="335"/>
      <c r="V139" s="335"/>
      <c r="W139" s="335"/>
      <c r="X139" s="335"/>
      <c r="Y139" s="335"/>
      <c r="Z139" s="335"/>
      <c r="AA139" s="208"/>
      <c r="AD139" s="221" t="s">
        <v>129</v>
      </c>
      <c r="AE139" s="197"/>
      <c r="AF139" s="64"/>
      <c r="AG139" s="64"/>
    </row>
    <row r="140" spans="1:33" ht="15.75" hidden="1" customHeight="1" x14ac:dyDescent="0.2">
      <c r="A140" s="212"/>
      <c r="B140" s="213">
        <v>0</v>
      </c>
      <c r="D140" s="336" t="s">
        <v>151</v>
      </c>
      <c r="E140" s="336"/>
      <c r="F140" s="336"/>
      <c r="G140" s="336"/>
      <c r="H140" s="336"/>
      <c r="I140" s="336"/>
      <c r="J140" s="336"/>
      <c r="K140" s="336"/>
      <c r="L140" s="336"/>
      <c r="M140" s="336"/>
      <c r="N140" s="336"/>
      <c r="O140" s="336"/>
      <c r="P140" s="336"/>
      <c r="Q140" s="336"/>
      <c r="R140" s="336"/>
      <c r="S140" s="336"/>
      <c r="T140" s="336"/>
      <c r="U140" s="336"/>
      <c r="V140" s="336"/>
      <c r="W140" s="336"/>
      <c r="X140" s="336"/>
      <c r="Y140" s="336"/>
      <c r="Z140" s="336"/>
      <c r="AB140" s="225" t="s">
        <v>158</v>
      </c>
      <c r="AD140" s="221" t="s">
        <v>143</v>
      </c>
      <c r="AE140" s="118"/>
      <c r="AF140" s="64"/>
      <c r="AG140" s="64"/>
    </row>
    <row r="141" spans="1:33" ht="18" hidden="1" customHeight="1" x14ac:dyDescent="0.2">
      <c r="A141" s="212" t="str">
        <f t="shared" ref="A141:A150" si="14">IF(AG141=1,"X","")</f>
        <v/>
      </c>
      <c r="B141" s="220">
        <v>0</v>
      </c>
      <c r="D141" s="352" t="s">
        <v>347</v>
      </c>
      <c r="E141" s="352"/>
      <c r="F141" s="352"/>
      <c r="G141" s="352"/>
      <c r="H141" s="352"/>
      <c r="I141" s="352"/>
      <c r="J141" s="352"/>
      <c r="K141" s="352"/>
      <c r="L141" s="352"/>
      <c r="M141" s="352"/>
      <c r="N141" s="352"/>
      <c r="O141" s="352"/>
      <c r="P141" s="352"/>
      <c r="Q141" s="352"/>
      <c r="R141" s="352"/>
      <c r="S141" s="352"/>
      <c r="T141" s="352"/>
      <c r="U141" s="352"/>
      <c r="V141" s="352"/>
      <c r="W141" s="352"/>
      <c r="X141" s="352"/>
      <c r="Y141" s="352"/>
      <c r="Z141" s="352"/>
      <c r="AB141" s="214" t="s">
        <v>132</v>
      </c>
      <c r="AD141" s="219" t="s">
        <v>130</v>
      </c>
      <c r="AE141" s="217"/>
      <c r="AF141" s="213">
        <f t="shared" ref="AF141:AF146" si="15">IF(B141&lt;&gt;"",1,0)</f>
        <v>1</v>
      </c>
      <c r="AG141" s="213">
        <f>IF(AND(SUM(AF:AF)&gt;0,B141=""),1,0)</f>
        <v>0</v>
      </c>
    </row>
    <row r="142" spans="1:33" s="203" customFormat="1" ht="18" hidden="1" customHeight="1" x14ac:dyDescent="0.2">
      <c r="A142" s="212" t="str">
        <f t="shared" si="14"/>
        <v/>
      </c>
      <c r="B142" s="220">
        <v>0</v>
      </c>
      <c r="C142" s="201"/>
      <c r="D142" s="299" t="s">
        <v>131</v>
      </c>
      <c r="E142" s="379"/>
      <c r="F142" s="379"/>
      <c r="G142" s="352" t="s">
        <v>341</v>
      </c>
      <c r="H142" s="352"/>
      <c r="I142" s="352"/>
      <c r="J142" s="352"/>
      <c r="K142" s="352"/>
      <c r="L142" s="352"/>
      <c r="M142" s="352"/>
      <c r="N142" s="352"/>
      <c r="O142" s="352"/>
      <c r="P142" s="352"/>
      <c r="Q142" s="352"/>
      <c r="R142" s="352"/>
      <c r="S142" s="352"/>
      <c r="T142" s="352"/>
      <c r="U142" s="352"/>
      <c r="V142" s="352"/>
      <c r="W142" s="352"/>
      <c r="X142" s="352"/>
      <c r="Y142" s="352"/>
      <c r="Z142" s="352"/>
      <c r="AB142" s="214" t="s">
        <v>342</v>
      </c>
      <c r="AD142" s="219" t="s">
        <v>130</v>
      </c>
      <c r="AE142" s="217"/>
      <c r="AF142" s="213">
        <f t="shared" si="15"/>
        <v>1</v>
      </c>
      <c r="AG142" s="213">
        <f>IF(AND(SUM(AF:AF)&gt;0,OR(AND(B142=1,E142=""),AND(B142="",E142=""),AND(B142="",E142&lt;&gt;""),AND(B142=0,E142&lt;&gt;0))),1,0)</f>
        <v>0</v>
      </c>
    </row>
    <row r="143" spans="1:33" s="203" customFormat="1" ht="18" hidden="1" customHeight="1" x14ac:dyDescent="0.2">
      <c r="A143" s="212" t="str">
        <f t="shared" si="14"/>
        <v/>
      </c>
      <c r="B143" s="220">
        <v>0</v>
      </c>
      <c r="C143" s="201"/>
      <c r="D143" s="299" t="s">
        <v>131</v>
      </c>
      <c r="E143" s="379"/>
      <c r="F143" s="379"/>
      <c r="G143" s="352" t="s">
        <v>343</v>
      </c>
      <c r="H143" s="352"/>
      <c r="I143" s="352"/>
      <c r="J143" s="352"/>
      <c r="K143" s="352"/>
      <c r="L143" s="352"/>
      <c r="M143" s="352"/>
      <c r="N143" s="352"/>
      <c r="O143" s="352"/>
      <c r="P143" s="352"/>
      <c r="Q143" s="352"/>
      <c r="R143" s="352"/>
      <c r="S143" s="352"/>
      <c r="T143" s="352"/>
      <c r="U143" s="352"/>
      <c r="V143" s="352"/>
      <c r="W143" s="352"/>
      <c r="X143" s="352"/>
      <c r="Y143" s="352"/>
      <c r="Z143" s="352"/>
      <c r="AB143" s="214" t="s">
        <v>342</v>
      </c>
      <c r="AD143" s="219" t="s">
        <v>130</v>
      </c>
      <c r="AE143" s="217"/>
      <c r="AF143" s="213">
        <f t="shared" si="15"/>
        <v>1</v>
      </c>
      <c r="AG143" s="213">
        <f>IF(AND(SUM(AF:AF)&gt;0,OR(AND(B143=1,E143=""),AND(B143="",E143=""),AND(B143="",E143&lt;&gt;""),AND(B143=0,E143&lt;&gt;0))),1,0)</f>
        <v>0</v>
      </c>
    </row>
    <row r="144" spans="1:33" s="203" customFormat="1" ht="18" hidden="1" customHeight="1" x14ac:dyDescent="0.2">
      <c r="A144" s="212" t="str">
        <f t="shared" si="14"/>
        <v/>
      </c>
      <c r="B144" s="220">
        <v>0</v>
      </c>
      <c r="C144" s="201"/>
      <c r="D144" s="299" t="s">
        <v>131</v>
      </c>
      <c r="E144" s="378"/>
      <c r="F144" s="378"/>
      <c r="G144" s="352" t="s">
        <v>344</v>
      </c>
      <c r="H144" s="352"/>
      <c r="I144" s="352"/>
      <c r="J144" s="352"/>
      <c r="K144" s="352"/>
      <c r="L144" s="352"/>
      <c r="M144" s="352"/>
      <c r="N144" s="352"/>
      <c r="O144" s="352"/>
      <c r="P144" s="352"/>
      <c r="Q144" s="352"/>
      <c r="R144" s="352"/>
      <c r="S144" s="352"/>
      <c r="T144" s="352"/>
      <c r="U144" s="352"/>
      <c r="V144" s="352"/>
      <c r="W144" s="352"/>
      <c r="X144" s="352"/>
      <c r="Y144" s="352"/>
      <c r="Z144" s="352"/>
      <c r="AB144" s="214" t="s">
        <v>342</v>
      </c>
      <c r="AD144" s="219" t="s">
        <v>130</v>
      </c>
      <c r="AE144" s="217"/>
      <c r="AF144" s="213">
        <f t="shared" si="15"/>
        <v>1</v>
      </c>
      <c r="AG144" s="213">
        <f>IF(AND(SUM(AF:AF)&gt;0,OR(AND(B144=1,E144=""),AND(B144="",E144=""),AND(B144="",E144&lt;&gt;""),AND(B144=0,E144&lt;&gt;0))),1,0)</f>
        <v>0</v>
      </c>
    </row>
    <row r="145" spans="1:33" s="203" customFormat="1" ht="18" hidden="1" customHeight="1" x14ac:dyDescent="0.2">
      <c r="A145" s="212" t="str">
        <f t="shared" si="14"/>
        <v/>
      </c>
      <c r="B145" s="220">
        <v>0</v>
      </c>
      <c r="C145" s="201"/>
      <c r="D145" s="299" t="s">
        <v>131</v>
      </c>
      <c r="E145" s="378"/>
      <c r="F145" s="378"/>
      <c r="G145" s="352" t="s">
        <v>345</v>
      </c>
      <c r="H145" s="352"/>
      <c r="I145" s="352"/>
      <c r="J145" s="352"/>
      <c r="K145" s="352"/>
      <c r="L145" s="352"/>
      <c r="M145" s="352"/>
      <c r="N145" s="352"/>
      <c r="O145" s="352"/>
      <c r="P145" s="352"/>
      <c r="Q145" s="352"/>
      <c r="R145" s="352"/>
      <c r="S145" s="352"/>
      <c r="T145" s="352"/>
      <c r="U145" s="352"/>
      <c r="V145" s="352"/>
      <c r="W145" s="352"/>
      <c r="X145" s="352"/>
      <c r="Y145" s="352"/>
      <c r="Z145" s="352"/>
      <c r="AB145" s="214" t="s">
        <v>342</v>
      </c>
      <c r="AD145" s="219" t="s">
        <v>130</v>
      </c>
      <c r="AE145" s="217"/>
      <c r="AF145" s="213">
        <f t="shared" si="15"/>
        <v>1</v>
      </c>
      <c r="AG145" s="213">
        <f>IF(AND(SUM(AF:AF)&gt;0,OR(AND(B145=1,E145=""),AND(B145="",E145=""),AND(B145="",E145&lt;&gt;""),AND(B145=0,E145&lt;&gt;0))),1,0)</f>
        <v>0</v>
      </c>
    </row>
    <row r="146" spans="1:33" s="203" customFormat="1" ht="18" hidden="1" customHeight="1" x14ac:dyDescent="0.2">
      <c r="A146" s="212" t="str">
        <f t="shared" si="14"/>
        <v/>
      </c>
      <c r="B146" s="220">
        <v>0</v>
      </c>
      <c r="C146" s="201"/>
      <c r="D146" s="299" t="s">
        <v>131</v>
      </c>
      <c r="E146" s="378"/>
      <c r="F146" s="378"/>
      <c r="G146" s="352" t="s">
        <v>346</v>
      </c>
      <c r="H146" s="352"/>
      <c r="I146" s="352"/>
      <c r="J146" s="352"/>
      <c r="K146" s="352"/>
      <c r="L146" s="352"/>
      <c r="M146" s="352"/>
      <c r="N146" s="352"/>
      <c r="O146" s="352"/>
      <c r="P146" s="352"/>
      <c r="Q146" s="352"/>
      <c r="R146" s="352"/>
      <c r="S146" s="352"/>
      <c r="T146" s="352"/>
      <c r="U146" s="352"/>
      <c r="V146" s="352"/>
      <c r="W146" s="352"/>
      <c r="X146" s="352"/>
      <c r="Y146" s="352"/>
      <c r="Z146" s="352"/>
      <c r="AB146" s="214" t="s">
        <v>342</v>
      </c>
      <c r="AD146" s="219" t="s">
        <v>130</v>
      </c>
      <c r="AE146" s="217"/>
      <c r="AF146" s="213">
        <f t="shared" si="15"/>
        <v>1</v>
      </c>
      <c r="AG146" s="213">
        <f>IF(AND(SUM(AF:AF)&gt;0,OR(AND(B146=1,E146=""),AND(B146="",E146=""),AND(B146="",E146&lt;&gt;""),AND(B146=0,E146&lt;&gt;0))),1,0)</f>
        <v>0</v>
      </c>
    </row>
    <row r="147" spans="1:33" ht="33.75" hidden="1" customHeight="1" x14ac:dyDescent="0.2">
      <c r="A147" s="212" t="str">
        <f t="shared" si="14"/>
        <v/>
      </c>
      <c r="B147" s="220">
        <v>0</v>
      </c>
      <c r="D147" s="376" t="s">
        <v>350</v>
      </c>
      <c r="E147" s="376"/>
      <c r="F147" s="376"/>
      <c r="G147" s="376"/>
      <c r="H147" s="376"/>
      <c r="I147" s="376"/>
      <c r="J147" s="376"/>
      <c r="K147" s="376"/>
      <c r="L147" s="376"/>
      <c r="M147" s="376"/>
      <c r="N147" s="376"/>
      <c r="O147" s="376"/>
      <c r="P147" s="376"/>
      <c r="Q147" s="376"/>
      <c r="R147" s="376"/>
      <c r="S147" s="376"/>
      <c r="T147" s="376"/>
      <c r="U147" s="376"/>
      <c r="V147" s="376"/>
      <c r="W147" s="376"/>
      <c r="X147" s="376"/>
      <c r="Y147" s="376"/>
      <c r="Z147" s="376"/>
      <c r="AB147" s="225" t="s">
        <v>348</v>
      </c>
      <c r="AD147" s="219" t="s">
        <v>130</v>
      </c>
      <c r="AE147" s="217"/>
      <c r="AF147" s="64"/>
      <c r="AG147" s="64"/>
    </row>
    <row r="148" spans="1:33" ht="27.5" hidden="1" customHeight="1" x14ac:dyDescent="0.2">
      <c r="A148" s="212" t="str">
        <f t="shared" si="14"/>
        <v/>
      </c>
      <c r="B148" s="220">
        <v>0</v>
      </c>
      <c r="D148" s="376" t="s">
        <v>349</v>
      </c>
      <c r="E148" s="376"/>
      <c r="F148" s="376"/>
      <c r="G148" s="376"/>
      <c r="H148" s="376"/>
      <c r="I148" s="376"/>
      <c r="J148" s="376"/>
      <c r="K148" s="376"/>
      <c r="L148" s="376"/>
      <c r="M148" s="376"/>
      <c r="N148" s="376"/>
      <c r="O148" s="376"/>
      <c r="P148" s="376"/>
      <c r="Q148" s="376"/>
      <c r="R148" s="376"/>
      <c r="S148" s="376"/>
      <c r="T148" s="376"/>
      <c r="U148" s="376"/>
      <c r="V148" s="376"/>
      <c r="W148" s="376"/>
      <c r="X148" s="376"/>
      <c r="Y148" s="376"/>
      <c r="Z148" s="376"/>
      <c r="AB148" s="225" t="s">
        <v>348</v>
      </c>
      <c r="AD148" s="219" t="s">
        <v>130</v>
      </c>
      <c r="AE148" s="217"/>
      <c r="AF148" s="64"/>
      <c r="AG148" s="64"/>
    </row>
    <row r="149" spans="1:33" ht="33" hidden="1" customHeight="1" x14ac:dyDescent="0.2">
      <c r="A149" s="212" t="str">
        <f t="shared" si="14"/>
        <v/>
      </c>
      <c r="B149" s="220">
        <v>0</v>
      </c>
      <c r="D149" s="377" t="s">
        <v>351</v>
      </c>
      <c r="E149" s="377"/>
      <c r="F149" s="377"/>
      <c r="G149" s="377"/>
      <c r="H149" s="377"/>
      <c r="I149" s="377"/>
      <c r="J149" s="377"/>
      <c r="K149" s="377"/>
      <c r="L149" s="377"/>
      <c r="M149" s="377"/>
      <c r="N149" s="377"/>
      <c r="O149" s="377"/>
      <c r="P149" s="377"/>
      <c r="Q149" s="377"/>
      <c r="R149" s="377"/>
      <c r="S149" s="377"/>
      <c r="T149" s="377"/>
      <c r="U149" s="377"/>
      <c r="V149" s="377"/>
      <c r="W149" s="377"/>
      <c r="X149" s="377"/>
      <c r="Y149" s="377"/>
      <c r="Z149" s="377"/>
      <c r="AB149" s="214" t="s">
        <v>132</v>
      </c>
      <c r="AD149" s="219" t="s">
        <v>130</v>
      </c>
      <c r="AE149" s="217"/>
      <c r="AF149" s="213">
        <f>IF(B149&lt;&gt;"",1,0)</f>
        <v>1</v>
      </c>
      <c r="AG149" s="213">
        <f>IF(AND(SUM(AF:AF)&gt;0,B149=""),1,0)</f>
        <v>0</v>
      </c>
    </row>
    <row r="150" spans="1:33" ht="33" hidden="1" customHeight="1" x14ac:dyDescent="0.2">
      <c r="A150" s="212" t="str">
        <f t="shared" si="14"/>
        <v/>
      </c>
      <c r="B150" s="220">
        <v>0</v>
      </c>
      <c r="D150" s="377" t="s">
        <v>352</v>
      </c>
      <c r="E150" s="377"/>
      <c r="F150" s="377"/>
      <c r="G150" s="377"/>
      <c r="H150" s="377"/>
      <c r="I150" s="377"/>
      <c r="J150" s="377"/>
      <c r="K150" s="377"/>
      <c r="L150" s="377"/>
      <c r="M150" s="377"/>
      <c r="N150" s="377"/>
      <c r="O150" s="377"/>
      <c r="P150" s="377"/>
      <c r="Q150" s="377"/>
      <c r="R150" s="377"/>
      <c r="S150" s="377"/>
      <c r="T150" s="377"/>
      <c r="U150" s="377"/>
      <c r="V150" s="377"/>
      <c r="W150" s="377"/>
      <c r="X150" s="377"/>
      <c r="Y150" s="377"/>
      <c r="Z150" s="377"/>
      <c r="AB150" s="214" t="s">
        <v>132</v>
      </c>
      <c r="AD150" s="219" t="s">
        <v>130</v>
      </c>
      <c r="AE150" s="217"/>
      <c r="AF150" s="213">
        <f>IF(B150&lt;&gt;"",1,0)</f>
        <v>1</v>
      </c>
      <c r="AG150" s="213">
        <f>IF(AND(SUM(AF:AF)&gt;0,B150=""),1,0)</f>
        <v>0</v>
      </c>
    </row>
    <row r="151" spans="1:33" ht="21" customHeight="1" x14ac:dyDescent="0.15">
      <c r="A151" s="212" t="str">
        <f t="shared" si="10"/>
        <v/>
      </c>
      <c r="B151" s="213">
        <v>1</v>
      </c>
      <c r="D151" s="363" t="s">
        <v>117</v>
      </c>
      <c r="E151" s="363"/>
      <c r="F151" s="363"/>
      <c r="G151" s="363"/>
      <c r="H151" s="363"/>
      <c r="I151" s="363"/>
      <c r="J151" s="363"/>
      <c r="K151" s="363"/>
      <c r="L151" s="363"/>
      <c r="M151" s="363"/>
      <c r="N151" s="363"/>
      <c r="O151" s="363"/>
      <c r="P151" s="363"/>
      <c r="Q151" s="363"/>
      <c r="R151" s="363"/>
      <c r="S151" s="363"/>
      <c r="T151" s="363"/>
      <c r="U151" s="363"/>
      <c r="V151" s="363"/>
      <c r="W151" s="363"/>
      <c r="X151" s="363"/>
      <c r="Y151" s="363"/>
      <c r="Z151" s="245"/>
      <c r="AA151" s="210"/>
      <c r="AB151" s="214" t="s">
        <v>132</v>
      </c>
      <c r="AD151" s="219" t="s">
        <v>130</v>
      </c>
      <c r="AE151" s="197"/>
      <c r="AF151" s="64"/>
      <c r="AG151" s="64"/>
    </row>
    <row r="152" spans="1:33" ht="21" customHeight="1" x14ac:dyDescent="0.2">
      <c r="A152" s="212" t="str">
        <f t="shared" si="10"/>
        <v/>
      </c>
      <c r="B152" s="220">
        <v>1</v>
      </c>
      <c r="D152" s="339" t="s">
        <v>190</v>
      </c>
      <c r="E152" s="339"/>
      <c r="F152" s="339"/>
      <c r="G152" s="339"/>
      <c r="H152" s="339"/>
      <c r="I152" s="339"/>
      <c r="J152" s="339"/>
      <c r="K152" s="339"/>
      <c r="L152" s="339"/>
      <c r="M152" s="339"/>
      <c r="N152" s="339"/>
      <c r="O152" s="339"/>
      <c r="P152" s="339"/>
      <c r="Q152" s="339"/>
      <c r="R152" s="339"/>
      <c r="S152" s="339"/>
      <c r="T152" s="339"/>
      <c r="U152" s="339"/>
      <c r="V152" s="339"/>
      <c r="W152" s="339"/>
      <c r="X152" s="339"/>
      <c r="Y152" s="339"/>
      <c r="Z152" s="339"/>
      <c r="AB152" s="214" t="s">
        <v>142</v>
      </c>
      <c r="AD152" s="219" t="s">
        <v>130</v>
      </c>
      <c r="AE152" s="217"/>
      <c r="AF152" s="213">
        <f t="shared" si="12"/>
        <v>1</v>
      </c>
      <c r="AG152" s="213">
        <f>IF(AND(SUM(AF:AF)&gt;0,B152=""),1,0)</f>
        <v>0</v>
      </c>
    </row>
    <row r="153" spans="1:33" ht="48.75" customHeight="1" x14ac:dyDescent="0.2">
      <c r="A153" s="212" t="str">
        <f t="shared" si="10"/>
        <v/>
      </c>
      <c r="B153" s="220">
        <v>1</v>
      </c>
      <c r="D153" s="231" t="s">
        <v>131</v>
      </c>
      <c r="E153" s="339" t="s">
        <v>255</v>
      </c>
      <c r="F153" s="339"/>
      <c r="G153" s="339"/>
      <c r="H153" s="339"/>
      <c r="I153" s="339"/>
      <c r="J153" s="339"/>
      <c r="K153" s="339"/>
      <c r="L153" s="339"/>
      <c r="M153" s="339"/>
      <c r="N153" s="339"/>
      <c r="O153" s="339"/>
      <c r="P153" s="339"/>
      <c r="Q153" s="339"/>
      <c r="R153" s="339"/>
      <c r="S153" s="339"/>
      <c r="T153" s="339"/>
      <c r="U153" s="339"/>
      <c r="V153" s="339"/>
      <c r="W153" s="339"/>
      <c r="X153" s="339"/>
      <c r="Y153" s="339"/>
      <c r="Z153" s="339"/>
      <c r="AB153" s="214" t="s">
        <v>132</v>
      </c>
      <c r="AD153" s="219" t="s">
        <v>130</v>
      </c>
      <c r="AE153" s="217"/>
      <c r="AF153" s="213">
        <f t="shared" si="12"/>
        <v>1</v>
      </c>
      <c r="AG153" s="213">
        <f>IF(AND(SUM(AF:AF)&gt;0,B153=""),1,0)</f>
        <v>0</v>
      </c>
    </row>
    <row r="154" spans="1:33" ht="21.5" customHeight="1" x14ac:dyDescent="0.2">
      <c r="A154" s="212" t="str">
        <f t="shared" si="10"/>
        <v/>
      </c>
      <c r="B154" s="220">
        <v>1</v>
      </c>
      <c r="D154" s="339" t="s">
        <v>260</v>
      </c>
      <c r="E154" s="339"/>
      <c r="F154" s="339"/>
      <c r="G154" s="339"/>
      <c r="H154" s="339"/>
      <c r="I154" s="339"/>
      <c r="J154" s="339"/>
      <c r="K154" s="339"/>
      <c r="L154" s="339"/>
      <c r="M154" s="339"/>
      <c r="N154" s="339"/>
      <c r="O154" s="339"/>
      <c r="P154" s="339"/>
      <c r="Q154" s="339"/>
      <c r="R154" s="339"/>
      <c r="S154" s="339"/>
      <c r="T154" s="339"/>
      <c r="U154" s="339"/>
      <c r="V154" s="339"/>
      <c r="W154" s="339"/>
      <c r="X154" s="339"/>
      <c r="Y154" s="339"/>
      <c r="Z154" s="339"/>
      <c r="AB154" s="214" t="s">
        <v>132</v>
      </c>
      <c r="AD154" s="219" t="s">
        <v>130</v>
      </c>
      <c r="AE154" s="217"/>
      <c r="AF154" s="213">
        <f t="shared" si="12"/>
        <v>1</v>
      </c>
      <c r="AG154" s="213">
        <f>IF(AND(SUM(AF:AF)&gt;0,B154=""),1,0)</f>
        <v>0</v>
      </c>
    </row>
    <row r="155" spans="1:33" ht="22.25" customHeight="1" x14ac:dyDescent="0.2">
      <c r="A155" s="212" t="str">
        <f t="shared" ref="A155:A156" si="16">IF(AG155=1,"X","")</f>
        <v/>
      </c>
      <c r="B155" s="220">
        <v>1</v>
      </c>
      <c r="D155" s="231" t="s">
        <v>131</v>
      </c>
      <c r="E155" s="339" t="s">
        <v>262</v>
      </c>
      <c r="F155" s="339"/>
      <c r="G155" s="339"/>
      <c r="H155" s="339"/>
      <c r="I155" s="239">
        <v>1</v>
      </c>
      <c r="J155" s="339" t="s">
        <v>283</v>
      </c>
      <c r="K155" s="339"/>
      <c r="L155" s="339"/>
      <c r="M155" s="339"/>
      <c r="N155" s="339"/>
      <c r="O155" s="339"/>
      <c r="P155" s="339"/>
      <c r="Q155" s="339"/>
      <c r="R155" s="339"/>
      <c r="S155" s="339"/>
      <c r="T155" s="339"/>
      <c r="U155" s="339"/>
      <c r="V155" s="339"/>
      <c r="W155" s="339"/>
      <c r="X155" s="339"/>
      <c r="Y155" s="339"/>
      <c r="Z155" s="339"/>
      <c r="AB155" s="214" t="s">
        <v>132</v>
      </c>
      <c r="AD155" s="219" t="s">
        <v>130</v>
      </c>
      <c r="AE155" s="217"/>
      <c r="AF155" s="213">
        <f t="shared" ref="AF155" si="17">IF(B155&lt;&gt;"",1,0)</f>
        <v>1</v>
      </c>
      <c r="AG155" s="213">
        <f>IF(AND(SUM(AF:AF)&gt;0,OR(AND(B155=1,I155=""),AND(B155="",I155=""),AND(B155="",I155&lt;&gt;""),AND(B155=0,I155&lt;&gt;""))),1,0)</f>
        <v>0</v>
      </c>
    </row>
    <row r="156" spans="1:33" ht="21.5" customHeight="1" x14ac:dyDescent="0.2">
      <c r="A156" s="212" t="str">
        <f t="shared" si="16"/>
        <v/>
      </c>
      <c r="B156" s="213">
        <f>B155</f>
        <v>1</v>
      </c>
      <c r="D156" s="340" t="s">
        <v>131</v>
      </c>
      <c r="E156" s="340"/>
      <c r="F156" s="341" t="s">
        <v>432</v>
      </c>
      <c r="G156" s="342"/>
      <c r="H156" s="342"/>
      <c r="I156" s="342"/>
      <c r="J156" s="342"/>
      <c r="K156" s="342"/>
      <c r="L156" s="342"/>
      <c r="M156" s="342"/>
      <c r="N156" s="342"/>
      <c r="O156" s="342"/>
      <c r="P156" s="342"/>
      <c r="Q156" s="342"/>
      <c r="R156" s="342"/>
      <c r="S156" s="342"/>
      <c r="T156" s="342"/>
      <c r="U156" s="342"/>
      <c r="V156" s="342"/>
      <c r="W156" s="342"/>
      <c r="X156" s="342"/>
      <c r="Y156" s="342"/>
      <c r="Z156" s="342"/>
      <c r="AB156" s="214" t="s">
        <v>132</v>
      </c>
      <c r="AD156" s="219" t="s">
        <v>130</v>
      </c>
      <c r="AE156" s="217"/>
      <c r="AF156" s="213">
        <f>IF(B156&lt;&gt;0,1,0)</f>
        <v>1</v>
      </c>
      <c r="AG156" s="213">
        <f>IF(AND(SUM(AF:AF)&gt;0,OR(AND(B156=1,F156=""),AND(B156="",F156=""),AND(B156="",F156&lt;&gt;""),AND(B156=0,F156&lt;&gt;""))),1,0)</f>
        <v>0</v>
      </c>
    </row>
    <row r="157" spans="1:33" ht="22.25" hidden="1" customHeight="1" x14ac:dyDescent="0.2">
      <c r="A157" s="212" t="str">
        <f t="shared" ref="A157:A158" si="18">IF(AG157=1,"X","")</f>
        <v/>
      </c>
      <c r="B157" s="220">
        <v>0</v>
      </c>
      <c r="D157" s="231" t="s">
        <v>131</v>
      </c>
      <c r="E157" s="339" t="s">
        <v>262</v>
      </c>
      <c r="F157" s="339"/>
      <c r="G157" s="339"/>
      <c r="H157" s="339"/>
      <c r="I157" s="239"/>
      <c r="J157" s="339" t="s">
        <v>284</v>
      </c>
      <c r="K157" s="339"/>
      <c r="L157" s="339"/>
      <c r="M157" s="339"/>
      <c r="N157" s="339"/>
      <c r="O157" s="339"/>
      <c r="P157" s="339"/>
      <c r="Q157" s="339"/>
      <c r="R157" s="339"/>
      <c r="S157" s="339"/>
      <c r="T157" s="339"/>
      <c r="U157" s="339"/>
      <c r="V157" s="339"/>
      <c r="W157" s="339"/>
      <c r="X157" s="339"/>
      <c r="Y157" s="339"/>
      <c r="Z157" s="339"/>
      <c r="AB157" s="214" t="s">
        <v>132</v>
      </c>
      <c r="AD157" s="219" t="s">
        <v>130</v>
      </c>
      <c r="AE157" s="217"/>
      <c r="AF157" s="213">
        <f t="shared" ref="AF157:AF159" si="19">IF(B157&lt;&gt;"",1,0)</f>
        <v>1</v>
      </c>
      <c r="AG157" s="213">
        <f>IF(AND(SUM(AF:AF)&gt;0,OR(AND(B157=1,I157=""),AND(B157="",I157=""),AND(B157="",I157&lt;&gt;""),AND(B157=0,I157&lt;&gt;""))),1,0)</f>
        <v>0</v>
      </c>
    </row>
    <row r="158" spans="1:33" ht="21.5" hidden="1" customHeight="1" x14ac:dyDescent="0.2">
      <c r="A158" s="212" t="str">
        <f t="shared" si="18"/>
        <v/>
      </c>
      <c r="B158" s="213">
        <f>B157</f>
        <v>0</v>
      </c>
      <c r="D158" s="340" t="s">
        <v>131</v>
      </c>
      <c r="E158" s="340"/>
      <c r="F158" s="341"/>
      <c r="G158" s="342"/>
      <c r="H158" s="342"/>
      <c r="I158" s="342"/>
      <c r="J158" s="342"/>
      <c r="K158" s="342"/>
      <c r="L158" s="342"/>
      <c r="M158" s="342"/>
      <c r="N158" s="342"/>
      <c r="O158" s="342"/>
      <c r="P158" s="342"/>
      <c r="Q158" s="342"/>
      <c r="R158" s="342"/>
      <c r="S158" s="342"/>
      <c r="T158" s="342"/>
      <c r="U158" s="342"/>
      <c r="V158" s="342"/>
      <c r="W158" s="342"/>
      <c r="X158" s="342"/>
      <c r="Y158" s="342"/>
      <c r="Z158" s="342"/>
      <c r="AB158" s="214" t="s">
        <v>132</v>
      </c>
      <c r="AD158" s="219" t="s">
        <v>130</v>
      </c>
      <c r="AE158" s="217"/>
      <c r="AF158" s="213">
        <f>IF(B158&lt;&gt;0,1,0)</f>
        <v>0</v>
      </c>
      <c r="AG158" s="213">
        <f>IF(AND(SUM(AF:AF)&gt;0,OR(AND(B158=1,F158=""),AND(B158="",F158=""),AND(B158="",F158&lt;&gt;""),AND(B158=0,F158&lt;&gt;""))),1,0)</f>
        <v>0</v>
      </c>
    </row>
    <row r="159" spans="1:33" ht="21.5" hidden="1" customHeight="1" x14ac:dyDescent="0.2">
      <c r="A159" s="212" t="str">
        <f t="shared" si="10"/>
        <v/>
      </c>
      <c r="B159" s="220">
        <v>0</v>
      </c>
      <c r="D159" s="231" t="s">
        <v>131</v>
      </c>
      <c r="E159" s="339" t="s">
        <v>262</v>
      </c>
      <c r="F159" s="339"/>
      <c r="G159" s="339"/>
      <c r="H159" s="339"/>
      <c r="I159" s="239"/>
      <c r="J159" s="339" t="s">
        <v>263</v>
      </c>
      <c r="K159" s="339"/>
      <c r="L159" s="339"/>
      <c r="M159" s="339"/>
      <c r="N159" s="339"/>
      <c r="O159" s="339"/>
      <c r="P159" s="339"/>
      <c r="Q159" s="339"/>
      <c r="R159" s="339"/>
      <c r="S159" s="339"/>
      <c r="T159" s="339"/>
      <c r="U159" s="339"/>
      <c r="V159" s="339"/>
      <c r="W159" s="339"/>
      <c r="X159" s="339"/>
      <c r="Y159" s="339"/>
      <c r="Z159" s="339"/>
      <c r="AB159" s="214" t="s">
        <v>132</v>
      </c>
      <c r="AD159" s="219" t="s">
        <v>130</v>
      </c>
      <c r="AE159" s="217"/>
      <c r="AF159" s="213">
        <f t="shared" si="19"/>
        <v>1</v>
      </c>
      <c r="AG159" s="213">
        <f>IF(AND(SUM(AF:AF)&gt;0,OR(AND(B159=1,I159=""),AND(B159="",I159=""),AND(B159="",I159&lt;&gt;""),AND(B159=0,I159&lt;&gt;""))),1,0)</f>
        <v>0</v>
      </c>
    </row>
    <row r="160" spans="1:33" ht="21.5" hidden="1" customHeight="1" x14ac:dyDescent="0.2">
      <c r="A160" s="212" t="str">
        <f t="shared" ref="A160:A161" si="20">IF(AG160=1,"X","")</f>
        <v/>
      </c>
      <c r="B160" s="213">
        <f>B159</f>
        <v>0</v>
      </c>
      <c r="D160" s="340" t="s">
        <v>131</v>
      </c>
      <c r="E160" s="340"/>
      <c r="F160" s="341"/>
      <c r="G160" s="342"/>
      <c r="H160" s="342"/>
      <c r="I160" s="342"/>
      <c r="J160" s="342"/>
      <c r="K160" s="342"/>
      <c r="L160" s="342"/>
      <c r="M160" s="342"/>
      <c r="N160" s="342"/>
      <c r="O160" s="342"/>
      <c r="P160" s="342"/>
      <c r="Q160" s="342"/>
      <c r="R160" s="342"/>
      <c r="S160" s="342"/>
      <c r="T160" s="342"/>
      <c r="U160" s="342"/>
      <c r="V160" s="342"/>
      <c r="W160" s="342"/>
      <c r="X160" s="342"/>
      <c r="Y160" s="342"/>
      <c r="Z160" s="342"/>
      <c r="AB160" s="214" t="s">
        <v>132</v>
      </c>
      <c r="AD160" s="219" t="s">
        <v>130</v>
      </c>
      <c r="AE160" s="217"/>
      <c r="AF160" s="213">
        <f>IF(B160&lt;&gt;0,1,0)</f>
        <v>0</v>
      </c>
      <c r="AG160" s="213">
        <f>IF(AND(SUM(AF:AF)&gt;0,OR(AND(B160=1,F160=""),AND(B160="",F160=""),AND(B160="",F160&lt;&gt;""),AND(B160=0,F160&lt;&gt;""))),1,0)</f>
        <v>0</v>
      </c>
    </row>
    <row r="161" spans="1:33" ht="21.5" customHeight="1" x14ac:dyDescent="0.2">
      <c r="A161" s="212" t="str">
        <f t="shared" si="20"/>
        <v/>
      </c>
      <c r="B161" s="220">
        <v>1</v>
      </c>
      <c r="D161" s="231" t="s">
        <v>131</v>
      </c>
      <c r="E161" s="339" t="s">
        <v>262</v>
      </c>
      <c r="F161" s="339"/>
      <c r="G161" s="339"/>
      <c r="H161" s="339"/>
      <c r="I161" s="239">
        <v>5</v>
      </c>
      <c r="J161" s="339" t="s">
        <v>264</v>
      </c>
      <c r="K161" s="339"/>
      <c r="L161" s="339"/>
      <c r="M161" s="339"/>
      <c r="N161" s="339"/>
      <c r="O161" s="339"/>
      <c r="P161" s="339"/>
      <c r="Q161" s="339"/>
      <c r="R161" s="339"/>
      <c r="S161" s="339"/>
      <c r="T161" s="339"/>
      <c r="U161" s="339"/>
      <c r="V161" s="339"/>
      <c r="W161" s="339"/>
      <c r="X161" s="339"/>
      <c r="Y161" s="339"/>
      <c r="Z161" s="339"/>
      <c r="AB161" s="214" t="s">
        <v>132</v>
      </c>
      <c r="AD161" s="219" t="s">
        <v>130</v>
      </c>
      <c r="AE161" s="217"/>
      <c r="AF161" s="213">
        <f t="shared" ref="AF161" si="21">IF(B161&lt;&gt;"",1,0)</f>
        <v>1</v>
      </c>
      <c r="AG161" s="213">
        <f>IF(AND(SUM(AF:AF)&gt;0,OR(AND(B161=1,I161=""),AND(B161="",I161=""),AND(B161="",I161&lt;&gt;""),AND(B161=0,I161&lt;&gt;""))),1,0)</f>
        <v>0</v>
      </c>
    </row>
    <row r="162" spans="1:33" ht="21.5" customHeight="1" x14ac:dyDescent="0.2">
      <c r="A162" s="212" t="str">
        <f t="shared" ref="A162" si="22">IF(AG162=1,"X","")</f>
        <v/>
      </c>
      <c r="B162" s="213">
        <f>B161</f>
        <v>1</v>
      </c>
      <c r="D162" s="340" t="s">
        <v>131</v>
      </c>
      <c r="E162" s="340"/>
      <c r="F162" s="341" t="s">
        <v>433</v>
      </c>
      <c r="G162" s="342"/>
      <c r="H162" s="342"/>
      <c r="I162" s="342"/>
      <c r="J162" s="342"/>
      <c r="K162" s="342"/>
      <c r="L162" s="342"/>
      <c r="M162" s="342"/>
      <c r="N162" s="342"/>
      <c r="O162" s="342"/>
      <c r="P162" s="342"/>
      <c r="Q162" s="342"/>
      <c r="R162" s="342"/>
      <c r="S162" s="342"/>
      <c r="T162" s="342"/>
      <c r="U162" s="342"/>
      <c r="V162" s="342"/>
      <c r="W162" s="342"/>
      <c r="X162" s="342"/>
      <c r="Y162" s="342"/>
      <c r="Z162" s="342"/>
      <c r="AB162" s="214" t="s">
        <v>132</v>
      </c>
      <c r="AD162" s="219" t="s">
        <v>130</v>
      </c>
      <c r="AE162" s="217"/>
      <c r="AF162" s="213">
        <f>IF(B162&lt;&gt;0,1,0)</f>
        <v>1</v>
      </c>
      <c r="AG162" s="213">
        <f>IF(AND(SUM(AF:AF)&gt;0,OR(AND(B162=1,F162=""),AND(B162="",F162=""),AND(B162="",F162&lt;&gt;""),AND(B162=0,F162&lt;&gt;""))),1,0)</f>
        <v>0</v>
      </c>
    </row>
    <row r="163" spans="1:33" ht="21.5" hidden="1" customHeight="1" x14ac:dyDescent="0.2">
      <c r="A163" s="212" t="str">
        <f t="shared" ref="A163:A166" si="23">IF(AG163=1,"X","")</f>
        <v/>
      </c>
      <c r="B163" s="220">
        <v>0</v>
      </c>
      <c r="D163" s="231" t="s">
        <v>131</v>
      </c>
      <c r="E163" s="339" t="s">
        <v>262</v>
      </c>
      <c r="F163" s="339"/>
      <c r="G163" s="339"/>
      <c r="H163" s="339"/>
      <c r="I163" s="239"/>
      <c r="J163" s="339" t="s">
        <v>265</v>
      </c>
      <c r="K163" s="339"/>
      <c r="L163" s="339"/>
      <c r="M163" s="339"/>
      <c r="N163" s="339"/>
      <c r="O163" s="339"/>
      <c r="P163" s="339"/>
      <c r="Q163" s="339"/>
      <c r="R163" s="339"/>
      <c r="S163" s="339"/>
      <c r="T163" s="339"/>
      <c r="U163" s="339"/>
      <c r="V163" s="339"/>
      <c r="W163" s="339"/>
      <c r="X163" s="339"/>
      <c r="Y163" s="339"/>
      <c r="Z163" s="339"/>
      <c r="AB163" s="214" t="s">
        <v>132</v>
      </c>
      <c r="AD163" s="219" t="s">
        <v>130</v>
      </c>
      <c r="AE163" s="217"/>
      <c r="AF163" s="213">
        <f t="shared" ref="AF163:AF165" si="24">IF(B163&lt;&gt;"",1,0)</f>
        <v>1</v>
      </c>
      <c r="AG163" s="213">
        <f>IF(AND(SUM(AF:AF)&gt;0,OR(AND(B163=1,I163=""),AND(B163="",I163=""),AND(B163="",I163&lt;&gt;""),AND(B163=0,I163&lt;&gt;""))),1,0)</f>
        <v>0</v>
      </c>
    </row>
    <row r="164" spans="1:33" ht="21.5" hidden="1" customHeight="1" x14ac:dyDescent="0.2">
      <c r="A164" s="212" t="str">
        <f t="shared" si="23"/>
        <v/>
      </c>
      <c r="B164" s="213">
        <f>B163</f>
        <v>0</v>
      </c>
      <c r="D164" s="340" t="s">
        <v>131</v>
      </c>
      <c r="E164" s="340"/>
      <c r="F164" s="341"/>
      <c r="G164" s="342"/>
      <c r="H164" s="342"/>
      <c r="I164" s="342"/>
      <c r="J164" s="342"/>
      <c r="K164" s="342"/>
      <c r="L164" s="342"/>
      <c r="M164" s="342"/>
      <c r="N164" s="342"/>
      <c r="O164" s="342"/>
      <c r="P164" s="342"/>
      <c r="Q164" s="342"/>
      <c r="R164" s="342"/>
      <c r="S164" s="342"/>
      <c r="T164" s="342"/>
      <c r="U164" s="342"/>
      <c r="V164" s="342"/>
      <c r="W164" s="342"/>
      <c r="X164" s="342"/>
      <c r="Y164" s="342"/>
      <c r="Z164" s="342"/>
      <c r="AB164" s="214" t="s">
        <v>132</v>
      </c>
      <c r="AD164" s="219" t="s">
        <v>130</v>
      </c>
      <c r="AE164" s="217"/>
      <c r="AF164" s="213">
        <f>IF(B164&lt;&gt;0,1,0)</f>
        <v>0</v>
      </c>
      <c r="AG164" s="213">
        <f>IF(AND(SUM(AF:AF)&gt;0,OR(AND(B164=1,F164=""),AND(B164="",F164=""),AND(B164="",F164&lt;&gt;""),AND(B164=0,F164&lt;&gt;""))),1,0)</f>
        <v>0</v>
      </c>
    </row>
    <row r="165" spans="1:33" ht="21.5" hidden="1" customHeight="1" x14ac:dyDescent="0.2">
      <c r="A165" s="212" t="str">
        <f t="shared" si="23"/>
        <v/>
      </c>
      <c r="B165" s="220">
        <v>0</v>
      </c>
      <c r="D165" s="231" t="s">
        <v>131</v>
      </c>
      <c r="E165" s="339" t="s">
        <v>262</v>
      </c>
      <c r="F165" s="339"/>
      <c r="G165" s="339"/>
      <c r="H165" s="339"/>
      <c r="I165" s="239"/>
      <c r="J165" s="339" t="s">
        <v>266</v>
      </c>
      <c r="K165" s="339"/>
      <c r="L165" s="339"/>
      <c r="M165" s="339"/>
      <c r="N165" s="339"/>
      <c r="O165" s="339"/>
      <c r="P165" s="339"/>
      <c r="Q165" s="339"/>
      <c r="R165" s="339"/>
      <c r="S165" s="339"/>
      <c r="T165" s="339"/>
      <c r="U165" s="339"/>
      <c r="V165" s="339"/>
      <c r="W165" s="339"/>
      <c r="X165" s="339"/>
      <c r="Y165" s="339"/>
      <c r="Z165" s="339"/>
      <c r="AB165" s="214" t="s">
        <v>132</v>
      </c>
      <c r="AD165" s="219" t="s">
        <v>130</v>
      </c>
      <c r="AE165" s="217"/>
      <c r="AF165" s="213">
        <f t="shared" si="24"/>
        <v>1</v>
      </c>
      <c r="AG165" s="213">
        <f>IF(AND(SUM(AF:AF)&gt;0,OR(AND(B165=1,I165=""),AND(B165="",I165=""),AND(B165="",I165&lt;&gt;""),AND(B165=0,I165&lt;&gt;""))),1,0)</f>
        <v>0</v>
      </c>
    </row>
    <row r="166" spans="1:33" ht="21.5" hidden="1" customHeight="1" x14ac:dyDescent="0.2">
      <c r="A166" s="212" t="str">
        <f t="shared" si="23"/>
        <v/>
      </c>
      <c r="B166" s="213">
        <f>B165</f>
        <v>0</v>
      </c>
      <c r="D166" s="340" t="s">
        <v>131</v>
      </c>
      <c r="E166" s="340"/>
      <c r="F166" s="342"/>
      <c r="G166" s="342"/>
      <c r="H166" s="342"/>
      <c r="I166" s="342"/>
      <c r="J166" s="342"/>
      <c r="K166" s="342"/>
      <c r="L166" s="342"/>
      <c r="M166" s="342"/>
      <c r="N166" s="342"/>
      <c r="O166" s="342"/>
      <c r="P166" s="342"/>
      <c r="Q166" s="342"/>
      <c r="R166" s="342"/>
      <c r="S166" s="342"/>
      <c r="T166" s="342"/>
      <c r="U166" s="342"/>
      <c r="V166" s="342"/>
      <c r="W166" s="342"/>
      <c r="X166" s="342"/>
      <c r="Y166" s="342"/>
      <c r="Z166" s="342"/>
      <c r="AB166" s="214" t="s">
        <v>132</v>
      </c>
      <c r="AD166" s="219" t="s">
        <v>130</v>
      </c>
      <c r="AE166" s="217"/>
      <c r="AF166" s="213">
        <f>IF(B166&lt;&gt;0,1,0)</f>
        <v>0</v>
      </c>
      <c r="AG166" s="213">
        <f>IF(AND(SUM(AF:AF)&gt;0,OR(AND(B166=1,F166=""),AND(B166="",F166=""),AND(B166="",F166&lt;&gt;""),AND(B166=0,F166&lt;&gt;""))),1,0)</f>
        <v>0</v>
      </c>
    </row>
    <row r="167" spans="1:33" ht="31.5" customHeight="1" x14ac:dyDescent="0.2">
      <c r="A167" s="212" t="str">
        <f>IF(AG167=1,"X","")</f>
        <v/>
      </c>
      <c r="B167" s="213">
        <f>IF(SUM(B155:B166)&gt;0,1,0)</f>
        <v>1</v>
      </c>
      <c r="D167" s="231" t="s">
        <v>131</v>
      </c>
      <c r="E167" s="339" t="s">
        <v>294</v>
      </c>
      <c r="F167" s="339"/>
      <c r="G167" s="339"/>
      <c r="H167" s="339"/>
      <c r="I167" s="339"/>
      <c r="J167" s="339"/>
      <c r="K167" s="339"/>
      <c r="L167" s="339"/>
      <c r="M167" s="339"/>
      <c r="N167" s="339"/>
      <c r="O167" s="339"/>
      <c r="P167" s="339"/>
      <c r="Q167" s="339"/>
      <c r="R167" s="339"/>
      <c r="S167" s="339"/>
      <c r="T167" s="339"/>
      <c r="U167" s="339"/>
      <c r="V167" s="339"/>
      <c r="W167" s="339"/>
      <c r="X167" s="339"/>
      <c r="Y167" s="339"/>
      <c r="Z167" s="339"/>
      <c r="AB167" s="214" t="s">
        <v>132</v>
      </c>
      <c r="AD167" s="219" t="s">
        <v>130</v>
      </c>
      <c r="AE167" s="217"/>
      <c r="AF167" s="213">
        <f>IF(B167&lt;&gt;0,1,0)</f>
        <v>1</v>
      </c>
      <c r="AG167" s="213">
        <f>IF(AND(SUM(AF:AF)&gt;0,B167=""),1,0)</f>
        <v>0</v>
      </c>
    </row>
    <row r="168" spans="1:33" ht="22.25" hidden="1" customHeight="1" x14ac:dyDescent="0.2">
      <c r="A168" s="212" t="str">
        <f t="shared" si="10"/>
        <v/>
      </c>
      <c r="B168" s="220">
        <v>0</v>
      </c>
      <c r="D168" s="231" t="s">
        <v>131</v>
      </c>
      <c r="E168" s="339" t="s">
        <v>261</v>
      </c>
      <c r="F168" s="339"/>
      <c r="G168" s="339"/>
      <c r="H168" s="240"/>
      <c r="I168" s="339" t="s">
        <v>273</v>
      </c>
      <c r="J168" s="339"/>
      <c r="K168" s="339"/>
      <c r="L168" s="339"/>
      <c r="M168" s="339"/>
      <c r="N168" s="339"/>
      <c r="O168" s="339"/>
      <c r="P168" s="339"/>
      <c r="Q168" s="339"/>
      <c r="R168" s="339"/>
      <c r="S168" s="339"/>
      <c r="T168" s="339"/>
      <c r="U168" s="339"/>
      <c r="V168" s="339"/>
      <c r="W168" s="339"/>
      <c r="X168" s="339"/>
      <c r="Y168" s="339"/>
      <c r="Z168" s="339"/>
      <c r="AB168" s="214" t="s">
        <v>132</v>
      </c>
      <c r="AD168" s="219" t="s">
        <v>130</v>
      </c>
      <c r="AE168" s="217"/>
      <c r="AF168" s="213">
        <f t="shared" ref="AF168" si="25">IF(B168&lt;&gt;"",1,0)</f>
        <v>1</v>
      </c>
      <c r="AG168" s="213">
        <f>IF(AND(SUM(AF:AF)&gt;0,OR(AND(B168=1,H168=""),AND(B168="",H168=""),AND(B168="",H168&lt;&gt;""),AND(B168=0,H168&lt;&gt;""))),1,0)</f>
        <v>0</v>
      </c>
    </row>
    <row r="169" spans="1:33" ht="22.25" hidden="1" customHeight="1" x14ac:dyDescent="0.2">
      <c r="A169" s="212" t="str">
        <f t="shared" si="10"/>
        <v/>
      </c>
      <c r="B169" s="220">
        <v>0</v>
      </c>
      <c r="D169" s="231" t="s">
        <v>131</v>
      </c>
      <c r="E169" s="339" t="s">
        <v>267</v>
      </c>
      <c r="F169" s="339"/>
      <c r="G169" s="339"/>
      <c r="H169" s="339"/>
      <c r="I169" s="240"/>
      <c r="J169" s="339" t="s">
        <v>274</v>
      </c>
      <c r="K169" s="339"/>
      <c r="L169" s="339"/>
      <c r="M169" s="339"/>
      <c r="N169" s="339"/>
      <c r="O169" s="339"/>
      <c r="P169" s="339"/>
      <c r="Q169" s="339"/>
      <c r="R169" s="339"/>
      <c r="S169" s="339"/>
      <c r="T169" s="339"/>
      <c r="U169" s="339"/>
      <c r="V169" s="339"/>
      <c r="W169" s="339"/>
      <c r="X169" s="339"/>
      <c r="Y169" s="339"/>
      <c r="Z169" s="339"/>
      <c r="AB169" s="214" t="s">
        <v>132</v>
      </c>
      <c r="AD169" s="219" t="s">
        <v>130</v>
      </c>
      <c r="AE169" s="217"/>
      <c r="AF169" s="213">
        <f t="shared" si="12"/>
        <v>1</v>
      </c>
      <c r="AG169" s="213">
        <f>IF(AND(SUM(AF:AF)&gt;0,OR(AND(B169=1,I169=""),AND(B169="",I169=""),AND(B169="",I169&lt;&gt;""),AND(B169=0,I169&lt;&gt;""))),1,0)</f>
        <v>0</v>
      </c>
    </row>
    <row r="170" spans="1:33" ht="21.5" hidden="1" customHeight="1" x14ac:dyDescent="0.2">
      <c r="A170" s="212" t="str">
        <f t="shared" si="10"/>
        <v/>
      </c>
      <c r="B170" s="220">
        <v>0</v>
      </c>
      <c r="D170" s="231" t="s">
        <v>131</v>
      </c>
      <c r="E170" s="339" t="s">
        <v>267</v>
      </c>
      <c r="F170" s="339"/>
      <c r="G170" s="339"/>
      <c r="H170" s="339"/>
      <c r="I170" s="240"/>
      <c r="J170" s="339" t="s">
        <v>354</v>
      </c>
      <c r="K170" s="339"/>
      <c r="L170" s="339"/>
      <c r="M170" s="339"/>
      <c r="N170" s="339"/>
      <c r="O170" s="339"/>
      <c r="P170" s="339"/>
      <c r="Q170" s="339"/>
      <c r="R170" s="339"/>
      <c r="S170" s="339"/>
      <c r="T170" s="339"/>
      <c r="U170" s="339"/>
      <c r="V170" s="339"/>
      <c r="W170" s="339"/>
      <c r="X170" s="339"/>
      <c r="Y170" s="339"/>
      <c r="Z170" s="339"/>
      <c r="AB170" s="214" t="s">
        <v>132</v>
      </c>
      <c r="AD170" s="219" t="s">
        <v>130</v>
      </c>
      <c r="AE170" s="217"/>
      <c r="AF170" s="213">
        <f t="shared" si="12"/>
        <v>1</v>
      </c>
      <c r="AG170" s="213">
        <f>IF(AND(SUM(AF:AF)&gt;0,OR(AND(B170=1,I170=""),AND(B170="",I170=""),AND(B170="",I170&lt;&gt;""),AND(B170=0,I170&lt;&gt;""))),1,0)</f>
        <v>0</v>
      </c>
    </row>
    <row r="171" spans="1:33" s="302" customFormat="1" ht="17.75" hidden="1" customHeight="1" x14ac:dyDescent="0.15">
      <c r="A171" s="212" t="str">
        <f t="shared" si="10"/>
        <v/>
      </c>
      <c r="B171" s="220">
        <v>0</v>
      </c>
      <c r="C171" s="301"/>
      <c r="D171" s="231" t="s">
        <v>131</v>
      </c>
      <c r="E171" s="300" t="s">
        <v>359</v>
      </c>
      <c r="F171" s="303"/>
      <c r="G171" s="243" t="s">
        <v>360</v>
      </c>
      <c r="H171" s="243"/>
      <c r="I171" s="243"/>
      <c r="J171" s="243"/>
      <c r="K171" s="243"/>
      <c r="L171" s="243"/>
      <c r="M171" s="243"/>
      <c r="N171" s="243"/>
      <c r="O171" s="243"/>
      <c r="P171" s="243"/>
      <c r="Q171" s="243"/>
      <c r="R171" s="243"/>
      <c r="S171" s="243"/>
      <c r="T171" s="243"/>
      <c r="U171" s="243"/>
      <c r="V171" s="243"/>
      <c r="W171" s="243"/>
      <c r="X171" s="243"/>
      <c r="Y171" s="243"/>
      <c r="Z171" s="243"/>
      <c r="AB171" s="214" t="s">
        <v>361</v>
      </c>
      <c r="AD171" s="219" t="s">
        <v>130</v>
      </c>
      <c r="AE171" s="217"/>
      <c r="AF171" s="213">
        <f t="shared" si="12"/>
        <v>1</v>
      </c>
      <c r="AG171" s="213">
        <f>IF(AND(SUM(AF:AF)&gt;0,OR(AND(B171=1,F171=""),AND(B171="",F171=""),AND(B171="",F171&lt;&gt;""),AND(B171=0,F171&lt;&gt;""))),1,0)</f>
        <v>0</v>
      </c>
    </row>
    <row r="172" spans="1:33" ht="21" hidden="1" customHeight="1" x14ac:dyDescent="0.2">
      <c r="A172" s="212" t="str">
        <f t="shared" ref="A172" si="26">IF(AG172=1,"X","")</f>
        <v/>
      </c>
      <c r="B172" s="220">
        <v>0</v>
      </c>
      <c r="D172" s="231" t="s">
        <v>131</v>
      </c>
      <c r="E172" s="339" t="s">
        <v>285</v>
      </c>
      <c r="F172" s="339"/>
      <c r="G172" s="339"/>
      <c r="H172" s="240"/>
      <c r="I172" s="339" t="s">
        <v>286</v>
      </c>
      <c r="J172" s="339"/>
      <c r="K172" s="339"/>
      <c r="L172" s="339"/>
      <c r="M172" s="339"/>
      <c r="N172" s="339"/>
      <c r="O172" s="339"/>
      <c r="P172" s="339"/>
      <c r="Q172" s="339"/>
      <c r="R172" s="339"/>
      <c r="S172" s="339"/>
      <c r="T172" s="339"/>
      <c r="U172" s="339"/>
      <c r="V172" s="339"/>
      <c r="W172" s="339"/>
      <c r="X172" s="339"/>
      <c r="Y172" s="339"/>
      <c r="Z172" s="339"/>
      <c r="AB172" s="214" t="s">
        <v>132</v>
      </c>
      <c r="AD172" s="219" t="s">
        <v>130</v>
      </c>
      <c r="AE172" s="217"/>
      <c r="AF172" s="213">
        <f t="shared" ref="AF172" si="27">IF(B172&lt;&gt;"",1,0)</f>
        <v>1</v>
      </c>
      <c r="AG172" s="213">
        <f>IF(AND(SUM(AF:AF)&gt;0,OR(AND(B172=1,H172=""),AND(B172="",H172=""),AND(B172="",H172&lt;&gt;""),AND(B172=0,H172&lt;&gt;""))),1,0)</f>
        <v>0</v>
      </c>
    </row>
    <row r="173" spans="1:33" ht="22.25" hidden="1" customHeight="1" x14ac:dyDescent="0.2">
      <c r="A173" s="212" t="str">
        <f t="shared" si="10"/>
        <v/>
      </c>
      <c r="B173" s="220">
        <v>0</v>
      </c>
      <c r="D173" s="231" t="s">
        <v>131</v>
      </c>
      <c r="E173" s="339" t="s">
        <v>275</v>
      </c>
      <c r="F173" s="339"/>
      <c r="G173" s="339"/>
      <c r="H173" s="339"/>
      <c r="I173" s="339"/>
      <c r="J173" s="339"/>
      <c r="K173" s="339"/>
      <c r="L173" s="339"/>
      <c r="M173" s="339"/>
      <c r="N173" s="339"/>
      <c r="O173" s="339"/>
      <c r="P173" s="339"/>
      <c r="Q173" s="339"/>
      <c r="R173" s="339"/>
      <c r="S173" s="339"/>
      <c r="T173" s="339"/>
      <c r="U173" s="339"/>
      <c r="V173" s="339"/>
      <c r="W173" s="339"/>
      <c r="X173" s="339"/>
      <c r="Y173" s="339"/>
      <c r="Z173" s="339"/>
      <c r="AB173" s="214" t="s">
        <v>132</v>
      </c>
      <c r="AD173" s="219" t="s">
        <v>130</v>
      </c>
      <c r="AE173" s="217"/>
      <c r="AF173" s="213">
        <f t="shared" si="12"/>
        <v>1</v>
      </c>
      <c r="AG173" s="213">
        <f t="shared" ref="AG173:AG179" si="28">IF(AND(SUM(AF:AF)&gt;0,B173=""),1,0)</f>
        <v>0</v>
      </c>
    </row>
    <row r="174" spans="1:33" ht="22.25" hidden="1" customHeight="1" x14ac:dyDescent="0.2">
      <c r="A174" s="212" t="str">
        <f t="shared" si="10"/>
        <v/>
      </c>
      <c r="B174" s="220">
        <v>0</v>
      </c>
      <c r="D174" s="231" t="s">
        <v>131</v>
      </c>
      <c r="E174" s="339" t="s">
        <v>276</v>
      </c>
      <c r="F174" s="339"/>
      <c r="G174" s="339"/>
      <c r="H174" s="339"/>
      <c r="I174" s="339"/>
      <c r="J174" s="339"/>
      <c r="K174" s="339"/>
      <c r="L174" s="339"/>
      <c r="M174" s="339"/>
      <c r="N174" s="339"/>
      <c r="O174" s="339"/>
      <c r="P174" s="339"/>
      <c r="Q174" s="339"/>
      <c r="R174" s="339"/>
      <c r="S174" s="339"/>
      <c r="T174" s="339"/>
      <c r="U174" s="339"/>
      <c r="V174" s="339"/>
      <c r="W174" s="339"/>
      <c r="X174" s="339"/>
      <c r="Y174" s="339"/>
      <c r="Z174" s="339"/>
      <c r="AB174" s="214" t="s">
        <v>132</v>
      </c>
      <c r="AD174" s="219" t="s">
        <v>130</v>
      </c>
      <c r="AE174" s="217"/>
      <c r="AF174" s="213">
        <f t="shared" si="12"/>
        <v>1</v>
      </c>
      <c r="AG174" s="213">
        <f t="shared" si="28"/>
        <v>0</v>
      </c>
    </row>
    <row r="175" spans="1:33" ht="22.25" hidden="1" customHeight="1" x14ac:dyDescent="0.2">
      <c r="A175" s="212" t="str">
        <f t="shared" si="10"/>
        <v/>
      </c>
      <c r="B175" s="220">
        <v>0</v>
      </c>
      <c r="D175" s="231" t="s">
        <v>131</v>
      </c>
      <c r="E175" s="339" t="s">
        <v>279</v>
      </c>
      <c r="F175" s="339"/>
      <c r="G175" s="339"/>
      <c r="H175" s="339"/>
      <c r="I175" s="339"/>
      <c r="J175" s="339"/>
      <c r="K175" s="339"/>
      <c r="L175" s="339"/>
      <c r="M175" s="339"/>
      <c r="N175" s="339"/>
      <c r="O175" s="339"/>
      <c r="P175" s="339"/>
      <c r="Q175" s="339"/>
      <c r="R175" s="339"/>
      <c r="S175" s="339"/>
      <c r="T175" s="339"/>
      <c r="U175" s="339"/>
      <c r="V175" s="339"/>
      <c r="W175" s="339"/>
      <c r="X175" s="339"/>
      <c r="Y175" s="339"/>
      <c r="Z175" s="339"/>
      <c r="AB175" s="214" t="s">
        <v>132</v>
      </c>
      <c r="AD175" s="219" t="s">
        <v>130</v>
      </c>
      <c r="AE175" s="217"/>
      <c r="AF175" s="213">
        <f t="shared" si="12"/>
        <v>1</v>
      </c>
      <c r="AG175" s="213">
        <f t="shared" si="28"/>
        <v>0</v>
      </c>
    </row>
    <row r="176" spans="1:33" ht="33" customHeight="1" x14ac:dyDescent="0.2">
      <c r="A176" s="212" t="str">
        <f t="shared" si="10"/>
        <v/>
      </c>
      <c r="B176" s="220">
        <v>1</v>
      </c>
      <c r="D176" s="231" t="s">
        <v>131</v>
      </c>
      <c r="E176" s="339" t="s">
        <v>280</v>
      </c>
      <c r="F176" s="339"/>
      <c r="G176" s="339"/>
      <c r="H176" s="339"/>
      <c r="I176" s="339"/>
      <c r="J176" s="339"/>
      <c r="K176" s="339"/>
      <c r="L176" s="339"/>
      <c r="M176" s="339"/>
      <c r="N176" s="339"/>
      <c r="O176" s="339"/>
      <c r="P176" s="339"/>
      <c r="Q176" s="339"/>
      <c r="R176" s="339"/>
      <c r="S176" s="339"/>
      <c r="T176" s="339"/>
      <c r="U176" s="339"/>
      <c r="V176" s="339"/>
      <c r="W176" s="339"/>
      <c r="X176" s="339"/>
      <c r="Y176" s="339"/>
      <c r="Z176" s="339"/>
      <c r="AB176" s="214" t="s">
        <v>132</v>
      </c>
      <c r="AD176" s="219" t="s">
        <v>130</v>
      </c>
      <c r="AE176" s="217"/>
      <c r="AF176" s="213">
        <f t="shared" si="12"/>
        <v>1</v>
      </c>
      <c r="AG176" s="213">
        <f t="shared" si="28"/>
        <v>0</v>
      </c>
    </row>
    <row r="177" spans="1:33" ht="22.25" hidden="1" customHeight="1" x14ac:dyDescent="0.2">
      <c r="A177" s="212" t="str">
        <f t="shared" si="10"/>
        <v/>
      </c>
      <c r="B177" s="220">
        <v>0</v>
      </c>
      <c r="D177" s="231" t="s">
        <v>131</v>
      </c>
      <c r="E177" s="339" t="s">
        <v>296</v>
      </c>
      <c r="F177" s="339"/>
      <c r="G177" s="339"/>
      <c r="H177" s="339"/>
      <c r="I177" s="339"/>
      <c r="J177" s="339"/>
      <c r="K177" s="339"/>
      <c r="L177" s="339"/>
      <c r="M177" s="339"/>
      <c r="N177" s="339"/>
      <c r="O177" s="339"/>
      <c r="P177" s="339"/>
      <c r="Q177" s="339"/>
      <c r="R177" s="339"/>
      <c r="S177" s="339"/>
      <c r="T177" s="339"/>
      <c r="U177" s="339"/>
      <c r="V177" s="339"/>
      <c r="W177" s="339"/>
      <c r="X177" s="339"/>
      <c r="Y177" s="339"/>
      <c r="Z177" s="339"/>
      <c r="AB177" s="214" t="s">
        <v>132</v>
      </c>
      <c r="AD177" s="219" t="s">
        <v>130</v>
      </c>
      <c r="AE177" s="217"/>
      <c r="AF177" s="213">
        <f t="shared" si="12"/>
        <v>1</v>
      </c>
      <c r="AG177" s="213">
        <f t="shared" si="28"/>
        <v>0</v>
      </c>
    </row>
    <row r="178" spans="1:33" ht="51.75" hidden="1" customHeight="1" x14ac:dyDescent="0.2">
      <c r="A178" s="212" t="str">
        <f t="shared" ref="A178" si="29">IF(AG178=1,"X","")</f>
        <v/>
      </c>
      <c r="B178" s="220">
        <v>0</v>
      </c>
      <c r="D178" s="231" t="s">
        <v>131</v>
      </c>
      <c r="E178" s="339" t="s">
        <v>281</v>
      </c>
      <c r="F178" s="339"/>
      <c r="G178" s="339"/>
      <c r="H178" s="339"/>
      <c r="I178" s="339"/>
      <c r="J178" s="339"/>
      <c r="K178" s="339"/>
      <c r="L178" s="339"/>
      <c r="M178" s="339"/>
      <c r="N178" s="339"/>
      <c r="O178" s="339"/>
      <c r="P178" s="339"/>
      <c r="Q178" s="339"/>
      <c r="R178" s="339"/>
      <c r="S178" s="339"/>
      <c r="T178" s="339"/>
      <c r="U178" s="339"/>
      <c r="V178" s="339"/>
      <c r="W178" s="339"/>
      <c r="X178" s="339"/>
      <c r="Y178" s="339"/>
      <c r="Z178" s="339"/>
      <c r="AB178" s="214" t="s">
        <v>132</v>
      </c>
      <c r="AD178" s="219" t="s">
        <v>130</v>
      </c>
      <c r="AE178" s="217"/>
      <c r="AF178" s="213">
        <f t="shared" ref="AF178" si="30">IF(B178&lt;&gt;"",1,0)</f>
        <v>1</v>
      </c>
      <c r="AG178" s="213">
        <f t="shared" si="28"/>
        <v>0</v>
      </c>
    </row>
    <row r="179" spans="1:33" ht="71.25" hidden="1" customHeight="1" x14ac:dyDescent="0.2">
      <c r="A179" s="212" t="str">
        <f t="shared" si="10"/>
        <v/>
      </c>
      <c r="B179" s="220">
        <v>0</v>
      </c>
      <c r="D179" s="231" t="s">
        <v>131</v>
      </c>
      <c r="E179" s="339" t="s">
        <v>277</v>
      </c>
      <c r="F179" s="339"/>
      <c r="G179" s="339"/>
      <c r="H179" s="339"/>
      <c r="I179" s="339"/>
      <c r="J179" s="339"/>
      <c r="K179" s="339"/>
      <c r="L179" s="339"/>
      <c r="M179" s="339"/>
      <c r="N179" s="339"/>
      <c r="O179" s="339"/>
      <c r="P179" s="339"/>
      <c r="Q179" s="339"/>
      <c r="R179" s="339"/>
      <c r="S179" s="339"/>
      <c r="T179" s="339"/>
      <c r="U179" s="339"/>
      <c r="V179" s="339"/>
      <c r="W179" s="339"/>
      <c r="X179" s="339"/>
      <c r="Y179" s="339"/>
      <c r="Z179" s="339"/>
      <c r="AB179" s="214" t="s">
        <v>132</v>
      </c>
      <c r="AD179" s="219" t="s">
        <v>130</v>
      </c>
      <c r="AE179" s="217"/>
      <c r="AF179" s="213">
        <f t="shared" si="12"/>
        <v>1</v>
      </c>
      <c r="AG179" s="213">
        <f t="shared" si="28"/>
        <v>0</v>
      </c>
    </row>
    <row r="180" spans="1:33" ht="15.75" hidden="1" customHeight="1" x14ac:dyDescent="0.2">
      <c r="A180" s="212"/>
      <c r="B180" s="213">
        <v>0</v>
      </c>
      <c r="D180" s="336" t="s">
        <v>148</v>
      </c>
      <c r="E180" s="336"/>
      <c r="F180" s="336"/>
      <c r="G180" s="336"/>
      <c r="H180" s="336"/>
      <c r="I180" s="336"/>
      <c r="J180" s="336"/>
      <c r="K180" s="336"/>
      <c r="L180" s="336"/>
      <c r="M180" s="336"/>
      <c r="N180" s="336"/>
      <c r="O180" s="336"/>
      <c r="P180" s="336"/>
      <c r="Q180" s="336"/>
      <c r="R180" s="336"/>
      <c r="S180" s="336"/>
      <c r="T180" s="336"/>
      <c r="U180" s="336"/>
      <c r="V180" s="336"/>
      <c r="W180" s="336"/>
      <c r="X180" s="336"/>
      <c r="Y180" s="336"/>
      <c r="Z180" s="336"/>
      <c r="AB180" s="225" t="s">
        <v>158</v>
      </c>
      <c r="AD180" s="221" t="s">
        <v>143</v>
      </c>
      <c r="AE180" s="118"/>
      <c r="AF180" s="64"/>
      <c r="AG180" s="64"/>
    </row>
    <row r="181" spans="1:33" ht="8.5" customHeight="1" x14ac:dyDescent="0.15">
      <c r="A181" s="212" t="str">
        <f>IF(AG181=1,"X","")</f>
        <v/>
      </c>
      <c r="B181" s="213">
        <f>IF(OR(D182="Show",Q182="Show"),1,0)</f>
        <v>1</v>
      </c>
      <c r="D181" s="335"/>
      <c r="E181" s="335"/>
      <c r="F181" s="335"/>
      <c r="G181" s="335"/>
      <c r="H181" s="335"/>
      <c r="I181" s="335"/>
      <c r="J181" s="335"/>
      <c r="K181" s="335"/>
      <c r="L181" s="335"/>
      <c r="M181" s="335"/>
      <c r="N181" s="335"/>
      <c r="O181" s="335"/>
      <c r="P181" s="335"/>
      <c r="Q181" s="335"/>
      <c r="R181" s="335"/>
      <c r="S181" s="335"/>
      <c r="T181" s="335"/>
      <c r="U181" s="335"/>
      <c r="V181" s="335"/>
      <c r="W181" s="335"/>
      <c r="X181" s="335"/>
      <c r="Y181" s="335"/>
      <c r="Z181" s="335"/>
      <c r="AD181" s="221" t="s">
        <v>129</v>
      </c>
      <c r="AE181" s="197"/>
      <c r="AF181" s="64"/>
      <c r="AG181" s="64"/>
    </row>
    <row r="182" spans="1:33" ht="18" hidden="1" customHeight="1" x14ac:dyDescent="0.2">
      <c r="A182" s="212" t="str">
        <f t="shared" ref="A182:A183" si="31">IF(AG182=1,"X","")</f>
        <v/>
      </c>
      <c r="B182" s="213">
        <v>0</v>
      </c>
      <c r="D182" s="337" t="s">
        <v>258</v>
      </c>
      <c r="E182" s="337"/>
      <c r="F182" s="337"/>
      <c r="G182" s="337"/>
      <c r="H182" s="337"/>
      <c r="I182" s="337"/>
      <c r="J182" s="337"/>
      <c r="K182" s="337"/>
      <c r="L182" s="337"/>
      <c r="M182" s="337"/>
      <c r="N182" s="337"/>
      <c r="O182" s="223"/>
      <c r="P182" s="223"/>
      <c r="Q182" s="337" t="s">
        <v>154</v>
      </c>
      <c r="R182" s="337"/>
      <c r="S182" s="337"/>
      <c r="T182" s="337"/>
      <c r="U182" s="337"/>
      <c r="V182" s="337"/>
      <c r="W182" s="337"/>
      <c r="X182" s="337"/>
      <c r="Y182" s="337"/>
      <c r="Z182" s="337"/>
      <c r="AA182" s="208"/>
      <c r="AB182" s="214" t="s">
        <v>147</v>
      </c>
      <c r="AD182" s="219" t="s">
        <v>130</v>
      </c>
      <c r="AE182" s="118"/>
      <c r="AF182" s="213">
        <f>IF(OR(D182="Show",D182="",Q182="Show",Q182=""),1,0)</f>
        <v>1</v>
      </c>
      <c r="AG182" s="213">
        <f>IF(AND(SUM(AF:AF)&gt;0,OR(D182="",Q182="")),1,0)</f>
        <v>0</v>
      </c>
    </row>
    <row r="183" spans="1:33" ht="197.25" customHeight="1" x14ac:dyDescent="0.2">
      <c r="A183" s="212" t="str">
        <f t="shared" si="31"/>
        <v/>
      </c>
      <c r="B183" s="213">
        <f>B181</f>
        <v>1</v>
      </c>
      <c r="D183" s="337"/>
      <c r="E183" s="337"/>
      <c r="F183" s="337"/>
      <c r="G183" s="337"/>
      <c r="H183" s="337"/>
      <c r="I183" s="337"/>
      <c r="J183" s="337"/>
      <c r="K183" s="337"/>
      <c r="L183" s="337"/>
      <c r="M183" s="337"/>
      <c r="N183" s="337"/>
      <c r="O183" s="223"/>
      <c r="P183" s="223"/>
      <c r="Q183" s="337"/>
      <c r="R183" s="337"/>
      <c r="S183" s="337"/>
      <c r="T183" s="337"/>
      <c r="U183" s="337"/>
      <c r="V183" s="337"/>
      <c r="W183" s="337"/>
      <c r="X183" s="337"/>
      <c r="Y183" s="337"/>
      <c r="Z183" s="337"/>
      <c r="AA183" s="208"/>
      <c r="AB183" s="214" t="s">
        <v>146</v>
      </c>
      <c r="AD183" s="219" t="s">
        <v>130</v>
      </c>
      <c r="AE183" s="217"/>
      <c r="AF183" s="64"/>
      <c r="AG183" s="64"/>
    </row>
    <row r="184" spans="1:33" ht="18" customHeight="1" x14ac:dyDescent="0.2">
      <c r="A184" s="212" t="str">
        <f>IF(AG184=1,"X","")</f>
        <v/>
      </c>
      <c r="B184" s="213">
        <f>B183</f>
        <v>1</v>
      </c>
      <c r="D184" s="338" t="s">
        <v>429</v>
      </c>
      <c r="E184" s="338"/>
      <c r="F184" s="338"/>
      <c r="G184" s="338"/>
      <c r="H184" s="338"/>
      <c r="I184" s="338"/>
      <c r="J184" s="338"/>
      <c r="K184" s="338"/>
      <c r="L184" s="338"/>
      <c r="M184" s="338"/>
      <c r="N184" s="338"/>
      <c r="O184" s="223"/>
      <c r="P184" s="223"/>
      <c r="Q184" s="338"/>
      <c r="R184" s="338"/>
      <c r="S184" s="338"/>
      <c r="T184" s="338"/>
      <c r="U184" s="338"/>
      <c r="V184" s="338"/>
      <c r="W184" s="338"/>
      <c r="X184" s="338"/>
      <c r="Y184" s="338"/>
      <c r="Z184" s="338"/>
      <c r="AA184" s="208"/>
      <c r="AB184" s="214" t="s">
        <v>145</v>
      </c>
      <c r="AD184" s="219" t="s">
        <v>130</v>
      </c>
      <c r="AE184" s="217"/>
      <c r="AF184" s="213">
        <f>IF(OR(D182="Show",D182="",Q182="Show",Q182=""),1,0)</f>
        <v>1</v>
      </c>
      <c r="AG184" s="213">
        <f>IF(AND(SUM(AF:AF)&gt;0,OR(AND(D182="Show",D184=""),AND(Q182="Show",Q184=""))),1,0)</f>
        <v>0</v>
      </c>
    </row>
    <row r="185" spans="1:33" ht="8.5" customHeight="1" x14ac:dyDescent="0.15">
      <c r="A185" s="212" t="str">
        <f>IF(AG185=1,"X","")</f>
        <v/>
      </c>
      <c r="B185" s="213">
        <f>B184</f>
        <v>1</v>
      </c>
      <c r="D185" s="335"/>
      <c r="E185" s="335"/>
      <c r="F185" s="335"/>
      <c r="G185" s="335"/>
      <c r="H185" s="335"/>
      <c r="I185" s="335"/>
      <c r="J185" s="335"/>
      <c r="K185" s="335"/>
      <c r="L185" s="335"/>
      <c r="M185" s="335"/>
      <c r="N185" s="335"/>
      <c r="O185" s="335"/>
      <c r="P185" s="335"/>
      <c r="Q185" s="335"/>
      <c r="R185" s="335"/>
      <c r="S185" s="335"/>
      <c r="T185" s="335"/>
      <c r="U185" s="335"/>
      <c r="V185" s="335"/>
      <c r="W185" s="335"/>
      <c r="X185" s="335"/>
      <c r="Y185" s="335"/>
      <c r="Z185" s="335"/>
      <c r="AA185" s="208"/>
      <c r="AD185" s="221" t="s">
        <v>129</v>
      </c>
      <c r="AE185" s="197"/>
      <c r="AF185" s="64"/>
      <c r="AG185" s="64"/>
    </row>
    <row r="186" spans="1:33" ht="15.75" hidden="1" customHeight="1" x14ac:dyDescent="0.2">
      <c r="A186" s="212"/>
      <c r="B186" s="213">
        <v>0</v>
      </c>
      <c r="D186" s="336" t="s">
        <v>149</v>
      </c>
      <c r="E186" s="336"/>
      <c r="F186" s="336"/>
      <c r="G186" s="336"/>
      <c r="H186" s="336"/>
      <c r="I186" s="336"/>
      <c r="J186" s="336"/>
      <c r="K186" s="336"/>
      <c r="L186" s="336"/>
      <c r="M186" s="336"/>
      <c r="N186" s="336"/>
      <c r="O186" s="336"/>
      <c r="P186" s="336"/>
      <c r="Q186" s="336"/>
      <c r="R186" s="336"/>
      <c r="S186" s="336"/>
      <c r="T186" s="336"/>
      <c r="U186" s="336"/>
      <c r="V186" s="336"/>
      <c r="W186" s="336"/>
      <c r="X186" s="336"/>
      <c r="Y186" s="336"/>
      <c r="Z186" s="336"/>
      <c r="AB186" s="225" t="s">
        <v>158</v>
      </c>
      <c r="AD186" s="221" t="s">
        <v>143</v>
      </c>
      <c r="AE186" s="118"/>
      <c r="AF186" s="64"/>
      <c r="AG186" s="64"/>
    </row>
    <row r="187" spans="1:33" ht="21" customHeight="1" x14ac:dyDescent="0.15">
      <c r="A187" s="212" t="str">
        <f t="shared" ref="A187:A188" si="32">IF(AG187=1,"X","")</f>
        <v/>
      </c>
      <c r="B187" s="213">
        <f>IF(SUM(B155:B159)&gt;0,1,0)</f>
        <v>1</v>
      </c>
      <c r="D187" s="363" t="s">
        <v>269</v>
      </c>
      <c r="E187" s="363"/>
      <c r="F187" s="363"/>
      <c r="G187" s="363"/>
      <c r="H187" s="363"/>
      <c r="I187" s="363"/>
      <c r="J187" s="363"/>
      <c r="K187" s="363"/>
      <c r="L187" s="363"/>
      <c r="M187" s="363"/>
      <c r="N187" s="363"/>
      <c r="O187" s="363"/>
      <c r="P187" s="363"/>
      <c r="Q187" s="363"/>
      <c r="R187" s="363"/>
      <c r="S187" s="363"/>
      <c r="T187" s="363"/>
      <c r="U187" s="363"/>
      <c r="V187" s="363"/>
      <c r="W187" s="363"/>
      <c r="X187" s="363"/>
      <c r="Y187" s="363"/>
      <c r="Z187" s="363"/>
      <c r="AB187" s="214" t="s">
        <v>271</v>
      </c>
      <c r="AD187" s="221" t="s">
        <v>129</v>
      </c>
      <c r="AE187" s="197"/>
      <c r="AF187" s="64"/>
      <c r="AG187" s="64"/>
    </row>
    <row r="188" spans="1:33" ht="21.75" customHeight="1" x14ac:dyDescent="0.15">
      <c r="A188" s="212" t="str">
        <f t="shared" si="32"/>
        <v/>
      </c>
      <c r="B188" s="213">
        <f>B187</f>
        <v>1</v>
      </c>
      <c r="D188" s="364" t="s">
        <v>270</v>
      </c>
      <c r="E188" s="364"/>
      <c r="F188" s="364"/>
      <c r="G188" s="364"/>
      <c r="H188" s="364"/>
      <c r="I188" s="364"/>
      <c r="J188" s="364"/>
      <c r="K188" s="364"/>
      <c r="L188" s="364"/>
      <c r="M188" s="364"/>
      <c r="N188" s="364"/>
      <c r="O188" s="364"/>
      <c r="P188" s="364"/>
      <c r="Q188" s="364"/>
      <c r="R188" s="364"/>
      <c r="S188" s="364"/>
      <c r="T188" s="364"/>
      <c r="U188" s="364"/>
      <c r="V188" s="364"/>
      <c r="W188" s="364"/>
      <c r="X188" s="364"/>
      <c r="Y188" s="364"/>
      <c r="Z188" s="364"/>
      <c r="AB188" s="214" t="s">
        <v>271</v>
      </c>
      <c r="AD188" s="221" t="s">
        <v>129</v>
      </c>
      <c r="AE188" s="197"/>
      <c r="AF188" s="64"/>
      <c r="AG188" s="64"/>
    </row>
    <row r="189" spans="1:33" ht="21.75" customHeight="1" x14ac:dyDescent="0.15">
      <c r="A189" s="212" t="str">
        <f>IF(AG271=1,"X","")</f>
        <v/>
      </c>
      <c r="B189" s="213">
        <f>B188</f>
        <v>1</v>
      </c>
      <c r="D189" s="365" t="s">
        <v>268</v>
      </c>
      <c r="E189" s="364"/>
      <c r="F189" s="364"/>
      <c r="G189" s="364"/>
      <c r="H189" s="364"/>
      <c r="I189" s="364"/>
      <c r="J189" s="364"/>
      <c r="K189" s="364"/>
      <c r="L189" s="364"/>
      <c r="M189" s="364"/>
      <c r="N189" s="364"/>
      <c r="O189" s="364"/>
      <c r="P189" s="364"/>
      <c r="Q189" s="364"/>
      <c r="R189" s="364"/>
      <c r="S189" s="364"/>
      <c r="T189" s="364"/>
      <c r="U189" s="364"/>
      <c r="V189" s="364"/>
      <c r="W189" s="364"/>
      <c r="X189" s="364"/>
      <c r="Y189" s="364"/>
      <c r="Z189" s="364"/>
      <c r="AB189" s="214" t="s">
        <v>271</v>
      </c>
      <c r="AD189" s="221" t="s">
        <v>129</v>
      </c>
      <c r="AE189" s="197"/>
      <c r="AF189" s="64"/>
      <c r="AG189" s="64"/>
    </row>
    <row r="190" spans="1:33" ht="21" customHeight="1" x14ac:dyDescent="0.15">
      <c r="A190" s="212" t="str">
        <f t="shared" si="10"/>
        <v/>
      </c>
      <c r="B190" s="213">
        <v>1</v>
      </c>
      <c r="D190" s="363" t="s">
        <v>256</v>
      </c>
      <c r="E190" s="363"/>
      <c r="F190" s="363"/>
      <c r="G190" s="363"/>
      <c r="H190" s="363"/>
      <c r="I190" s="363"/>
      <c r="J190" s="363"/>
      <c r="K190" s="363"/>
      <c r="L190" s="363"/>
      <c r="M190" s="363"/>
      <c r="N190" s="363"/>
      <c r="O190" s="363"/>
      <c r="P190" s="363"/>
      <c r="Q190" s="363"/>
      <c r="R190" s="363"/>
      <c r="S190" s="363"/>
      <c r="T190" s="363"/>
      <c r="U190" s="363"/>
      <c r="V190" s="363"/>
      <c r="W190" s="363"/>
      <c r="X190" s="363"/>
      <c r="Y190" s="363"/>
      <c r="Z190" s="363"/>
      <c r="AB190" s="225" t="s">
        <v>155</v>
      </c>
      <c r="AD190" s="221" t="s">
        <v>129</v>
      </c>
      <c r="AE190" s="197"/>
      <c r="AF190" s="64"/>
      <c r="AG190" s="64"/>
    </row>
    <row r="191" spans="1:33" ht="87.75" customHeight="1" x14ac:dyDescent="0.15">
      <c r="A191" s="212" t="str">
        <f t="shared" si="10"/>
        <v/>
      </c>
      <c r="B191" s="213">
        <v>1</v>
      </c>
      <c r="D191" s="364" t="s">
        <v>278</v>
      </c>
      <c r="E191" s="364"/>
      <c r="F191" s="364"/>
      <c r="G191" s="364"/>
      <c r="H191" s="364"/>
      <c r="I191" s="364"/>
      <c r="J191" s="364"/>
      <c r="K191" s="364"/>
      <c r="L191" s="364"/>
      <c r="M191" s="364"/>
      <c r="N191" s="364"/>
      <c r="O191" s="364"/>
      <c r="P191" s="364"/>
      <c r="Q191" s="364"/>
      <c r="R191" s="364"/>
      <c r="S191" s="364"/>
      <c r="T191" s="364"/>
      <c r="U191" s="364"/>
      <c r="V191" s="364"/>
      <c r="W191" s="364"/>
      <c r="X191" s="364"/>
      <c r="Y191" s="364"/>
      <c r="Z191" s="364"/>
      <c r="AB191" s="225" t="s">
        <v>155</v>
      </c>
      <c r="AD191" s="221" t="s">
        <v>129</v>
      </c>
      <c r="AE191" s="197"/>
      <c r="AF191" s="64"/>
      <c r="AG191" s="64"/>
    </row>
    <row r="192" spans="1:33" ht="31" customHeight="1" x14ac:dyDescent="0.15">
      <c r="A192" s="212" t="str">
        <f t="shared" ref="A192:A218" si="33">IF(AG192=1,"X","")</f>
        <v/>
      </c>
      <c r="B192" s="213">
        <v>1</v>
      </c>
      <c r="D192" s="356" t="s">
        <v>307</v>
      </c>
      <c r="E192" s="356"/>
      <c r="F192" s="356"/>
      <c r="G192" s="356"/>
      <c r="H192" s="356"/>
      <c r="I192" s="356"/>
      <c r="J192" s="356"/>
      <c r="K192" s="356"/>
      <c r="L192" s="356"/>
      <c r="M192" s="356"/>
      <c r="N192" s="356"/>
      <c r="O192" s="356"/>
      <c r="P192" s="356"/>
      <c r="Q192" s="356"/>
      <c r="R192" s="356"/>
      <c r="S192" s="356"/>
      <c r="T192" s="356"/>
      <c r="U192" s="356"/>
      <c r="V192" s="356"/>
      <c r="W192" s="356"/>
      <c r="X192" s="356"/>
      <c r="Y192" s="356"/>
      <c r="Z192" s="356"/>
      <c r="AB192" s="225" t="s">
        <v>155</v>
      </c>
      <c r="AD192" s="221" t="s">
        <v>129</v>
      </c>
      <c r="AE192" s="217"/>
      <c r="AF192" s="64"/>
      <c r="AG192" s="64"/>
    </row>
    <row r="193" spans="1:33" ht="31" customHeight="1" x14ac:dyDescent="0.15">
      <c r="A193" s="212" t="str">
        <f t="shared" si="33"/>
        <v/>
      </c>
      <c r="B193" s="213">
        <v>1</v>
      </c>
      <c r="D193" s="356" t="s">
        <v>308</v>
      </c>
      <c r="E193" s="356"/>
      <c r="F193" s="356"/>
      <c r="G193" s="356"/>
      <c r="H193" s="356"/>
      <c r="I193" s="356"/>
      <c r="J193" s="356"/>
      <c r="K193" s="356"/>
      <c r="L193" s="356"/>
      <c r="M193" s="356"/>
      <c r="N193" s="356"/>
      <c r="O193" s="356"/>
      <c r="P193" s="356"/>
      <c r="Q193" s="356"/>
      <c r="R193" s="356"/>
      <c r="S193" s="356"/>
      <c r="T193" s="356"/>
      <c r="U193" s="356"/>
      <c r="V193" s="356"/>
      <c r="W193" s="356"/>
      <c r="X193" s="356"/>
      <c r="Y193" s="356"/>
      <c r="Z193" s="356"/>
      <c r="AA193" s="206"/>
      <c r="AB193" s="225" t="s">
        <v>155</v>
      </c>
      <c r="AD193" s="221" t="s">
        <v>129</v>
      </c>
      <c r="AE193" s="217"/>
      <c r="AF193" s="64"/>
      <c r="AG193" s="64"/>
    </row>
    <row r="194" spans="1:33" ht="18" hidden="1" customHeight="1" x14ac:dyDescent="0.2">
      <c r="A194" s="212" t="str">
        <f t="shared" si="33"/>
        <v/>
      </c>
      <c r="B194" s="220">
        <v>0</v>
      </c>
      <c r="D194" s="355" t="s">
        <v>357</v>
      </c>
      <c r="E194" s="355"/>
      <c r="F194" s="355"/>
      <c r="G194" s="355"/>
      <c r="H194" s="355"/>
      <c r="I194" s="355"/>
      <c r="J194" s="355"/>
      <c r="K194" s="355"/>
      <c r="L194" s="355"/>
      <c r="M194" s="355"/>
      <c r="N194" s="355"/>
      <c r="O194" s="355"/>
      <c r="P194" s="355"/>
      <c r="Q194" s="355"/>
      <c r="R194" s="355"/>
      <c r="S194" s="355"/>
      <c r="T194" s="355"/>
      <c r="U194" s="355"/>
      <c r="V194" s="355"/>
      <c r="W194" s="355"/>
      <c r="X194" s="355"/>
      <c r="Y194" s="355"/>
      <c r="Z194" s="355"/>
      <c r="AA194" s="206"/>
      <c r="AB194" s="214" t="s">
        <v>132</v>
      </c>
      <c r="AD194" s="219" t="s">
        <v>130</v>
      </c>
      <c r="AE194" s="217"/>
      <c r="AF194" s="213">
        <f>IF(B194&lt;&gt;"",1,0)</f>
        <v>1</v>
      </c>
      <c r="AG194" s="213">
        <f>IF(AND(SUM(AF:AF)&gt;0,$B$198=""),1,0)</f>
        <v>0</v>
      </c>
    </row>
    <row r="195" spans="1:33" ht="18" customHeight="1" x14ac:dyDescent="0.2">
      <c r="A195" s="212" t="str">
        <f t="shared" si="33"/>
        <v/>
      </c>
      <c r="B195" s="220">
        <v>1</v>
      </c>
      <c r="D195" s="355" t="s">
        <v>309</v>
      </c>
      <c r="E195" s="355"/>
      <c r="F195" s="355"/>
      <c r="G195" s="355"/>
      <c r="H195" s="355"/>
      <c r="I195" s="355"/>
      <c r="J195" s="355"/>
      <c r="K195" s="355"/>
      <c r="L195" s="355"/>
      <c r="M195" s="355"/>
      <c r="N195" s="355"/>
      <c r="O195" s="355"/>
      <c r="P195" s="355"/>
      <c r="Q195" s="355"/>
      <c r="R195" s="355"/>
      <c r="S195" s="355"/>
      <c r="T195" s="355"/>
      <c r="U195" s="355"/>
      <c r="V195" s="355"/>
      <c r="W195" s="355"/>
      <c r="X195" s="355"/>
      <c r="Y195" s="355"/>
      <c r="Z195" s="355"/>
      <c r="AA195" s="206"/>
      <c r="AB195" s="214" t="s">
        <v>132</v>
      </c>
      <c r="AD195" s="219" t="s">
        <v>130</v>
      </c>
      <c r="AE195" s="217"/>
      <c r="AF195" s="213">
        <f>IF(B195&lt;&gt;"",1,0)</f>
        <v>1</v>
      </c>
      <c r="AG195" s="213">
        <f>IF(AND(SUM(AF:AF)&gt;0,$B$198=""),1,0)</f>
        <v>0</v>
      </c>
    </row>
    <row r="196" spans="1:33" ht="18" hidden="1" customHeight="1" x14ac:dyDescent="0.2">
      <c r="A196" s="212" t="str">
        <f t="shared" si="33"/>
        <v/>
      </c>
      <c r="B196" s="213">
        <f>IF(AND($B$194="",$B$195=""),"",IF(OR($B$194=1,$B$195=1),0,1))</f>
        <v>0</v>
      </c>
      <c r="D196" s="355" t="s">
        <v>310</v>
      </c>
      <c r="E196" s="355"/>
      <c r="F196" s="355"/>
      <c r="G196" s="355"/>
      <c r="H196" s="355"/>
      <c r="I196" s="355"/>
      <c r="J196" s="355"/>
      <c r="K196" s="355"/>
      <c r="L196" s="355"/>
      <c r="M196" s="355"/>
      <c r="N196" s="355"/>
      <c r="O196" s="355"/>
      <c r="P196" s="355"/>
      <c r="Q196" s="355"/>
      <c r="R196" s="355"/>
      <c r="S196" s="355"/>
      <c r="T196" s="355"/>
      <c r="U196" s="355"/>
      <c r="V196" s="355"/>
      <c r="W196" s="355"/>
      <c r="X196" s="355"/>
      <c r="Y196" s="355"/>
      <c r="Z196" s="355"/>
      <c r="AA196" s="206"/>
      <c r="AB196" s="225" t="s">
        <v>311</v>
      </c>
      <c r="AD196" s="219" t="s">
        <v>130</v>
      </c>
      <c r="AE196" s="217"/>
      <c r="AF196" s="213">
        <f>IF(B196&lt;&gt;"",1,0)</f>
        <v>1</v>
      </c>
      <c r="AG196" s="213">
        <f t="shared" ref="AG196:AG213" si="34">IF(AND(SUM(AF:AF)&gt;0,$B$198=0,OR(B196=FALSE,B196="")),1,0)</f>
        <v>0</v>
      </c>
    </row>
    <row r="197" spans="1:33" ht="18" hidden="1" customHeight="1" x14ac:dyDescent="0.2">
      <c r="A197" s="212" t="str">
        <f t="shared" si="33"/>
        <v/>
      </c>
      <c r="B197" s="220">
        <v>0</v>
      </c>
      <c r="D197" s="244" t="s">
        <v>131</v>
      </c>
      <c r="E197" s="355" t="s">
        <v>312</v>
      </c>
      <c r="F197" s="355"/>
      <c r="G197" s="355"/>
      <c r="H197" s="355"/>
      <c r="I197" s="355"/>
      <c r="J197" s="355"/>
      <c r="K197" s="355"/>
      <c r="L197" s="355"/>
      <c r="M197" s="355"/>
      <c r="N197" s="355"/>
      <c r="O197" s="355"/>
      <c r="P197" s="355"/>
      <c r="Q197" s="355"/>
      <c r="R197" s="355"/>
      <c r="S197" s="355"/>
      <c r="T197" s="355"/>
      <c r="U197" s="355"/>
      <c r="V197" s="355"/>
      <c r="W197" s="355"/>
      <c r="X197" s="355"/>
      <c r="Y197" s="355"/>
      <c r="Z197" s="355"/>
      <c r="AB197" s="214" t="s">
        <v>132</v>
      </c>
      <c r="AD197" s="219" t="s">
        <v>130</v>
      </c>
      <c r="AE197" s="217"/>
      <c r="AF197" s="213">
        <f t="shared" ref="AF197:AF213" si="35">IF(B197&lt;&gt;"",1,0)</f>
        <v>1</v>
      </c>
      <c r="AG197" s="213">
        <f t="shared" si="34"/>
        <v>0</v>
      </c>
    </row>
    <row r="198" spans="1:33" ht="18" hidden="1" customHeight="1" x14ac:dyDescent="0.2">
      <c r="A198" s="212" t="str">
        <f t="shared" si="33"/>
        <v/>
      </c>
      <c r="B198" s="220">
        <v>0</v>
      </c>
      <c r="D198" s="244" t="s">
        <v>131</v>
      </c>
      <c r="E198" s="355" t="s">
        <v>313</v>
      </c>
      <c r="F198" s="355"/>
      <c r="G198" s="355"/>
      <c r="H198" s="355"/>
      <c r="I198" s="355"/>
      <c r="J198" s="355"/>
      <c r="K198" s="355"/>
      <c r="L198" s="355"/>
      <c r="M198" s="355"/>
      <c r="N198" s="355"/>
      <c r="O198" s="355"/>
      <c r="P198" s="355"/>
      <c r="Q198" s="355"/>
      <c r="R198" s="355"/>
      <c r="S198" s="355"/>
      <c r="T198" s="355"/>
      <c r="U198" s="355"/>
      <c r="V198" s="355"/>
      <c r="W198" s="355"/>
      <c r="X198" s="355"/>
      <c r="Y198" s="355"/>
      <c r="Z198" s="355"/>
      <c r="AB198" s="214" t="s">
        <v>132</v>
      </c>
      <c r="AD198" s="219" t="s">
        <v>130</v>
      </c>
      <c r="AE198" s="217"/>
      <c r="AF198" s="213">
        <f t="shared" si="35"/>
        <v>1</v>
      </c>
      <c r="AG198" s="213">
        <f t="shared" si="34"/>
        <v>0</v>
      </c>
    </row>
    <row r="199" spans="1:33" ht="20" hidden="1" customHeight="1" x14ac:dyDescent="0.2">
      <c r="A199" s="212" t="str">
        <f t="shared" si="33"/>
        <v/>
      </c>
      <c r="B199" s="220">
        <v>0</v>
      </c>
      <c r="D199" s="244" t="s">
        <v>131</v>
      </c>
      <c r="E199" s="355" t="s">
        <v>314</v>
      </c>
      <c r="F199" s="355"/>
      <c r="G199" s="355"/>
      <c r="H199" s="355"/>
      <c r="I199" s="355"/>
      <c r="J199" s="355"/>
      <c r="K199" s="355"/>
      <c r="L199" s="355"/>
      <c r="M199" s="355"/>
      <c r="N199" s="355"/>
      <c r="O199" s="355"/>
      <c r="P199" s="355"/>
      <c r="Q199" s="355"/>
      <c r="R199" s="355"/>
      <c r="S199" s="355"/>
      <c r="T199" s="355"/>
      <c r="U199" s="355"/>
      <c r="V199" s="355"/>
      <c r="W199" s="355"/>
      <c r="X199" s="355"/>
      <c r="Y199" s="355"/>
      <c r="Z199" s="355"/>
      <c r="AB199" s="214" t="s">
        <v>132</v>
      </c>
      <c r="AD199" s="219" t="s">
        <v>130</v>
      </c>
      <c r="AE199" s="217"/>
      <c r="AF199" s="213">
        <f t="shared" si="35"/>
        <v>1</v>
      </c>
      <c r="AG199" s="213">
        <f t="shared" si="34"/>
        <v>0</v>
      </c>
    </row>
    <row r="200" spans="1:33" ht="20" hidden="1" customHeight="1" x14ac:dyDescent="0.2">
      <c r="A200" s="212" t="str">
        <f t="shared" si="33"/>
        <v/>
      </c>
      <c r="B200" s="220">
        <v>0</v>
      </c>
      <c r="D200" s="244" t="s">
        <v>131</v>
      </c>
      <c r="E200" s="355" t="s">
        <v>315</v>
      </c>
      <c r="F200" s="355"/>
      <c r="G200" s="355"/>
      <c r="H200" s="355"/>
      <c r="I200" s="355"/>
      <c r="J200" s="355"/>
      <c r="K200" s="355"/>
      <c r="L200" s="355"/>
      <c r="M200" s="355"/>
      <c r="N200" s="355"/>
      <c r="O200" s="355"/>
      <c r="P200" s="355"/>
      <c r="Q200" s="355"/>
      <c r="R200" s="355"/>
      <c r="S200" s="355"/>
      <c r="T200" s="355"/>
      <c r="U200" s="355"/>
      <c r="V200" s="355"/>
      <c r="W200" s="355"/>
      <c r="X200" s="355"/>
      <c r="Y200" s="355"/>
      <c r="Z200" s="355"/>
      <c r="AB200" s="214" t="s">
        <v>132</v>
      </c>
      <c r="AD200" s="219" t="s">
        <v>130</v>
      </c>
      <c r="AE200" s="217"/>
      <c r="AF200" s="213">
        <f t="shared" si="35"/>
        <v>1</v>
      </c>
      <c r="AG200" s="213">
        <f t="shared" si="34"/>
        <v>0</v>
      </c>
    </row>
    <row r="201" spans="1:33" ht="20" hidden="1" customHeight="1" x14ac:dyDescent="0.2">
      <c r="A201" s="212" t="str">
        <f t="shared" si="33"/>
        <v/>
      </c>
      <c r="B201" s="220">
        <v>0</v>
      </c>
      <c r="D201" s="244" t="s">
        <v>131</v>
      </c>
      <c r="E201" s="355" t="s">
        <v>316</v>
      </c>
      <c r="F201" s="355"/>
      <c r="G201" s="355"/>
      <c r="H201" s="355"/>
      <c r="I201" s="355"/>
      <c r="J201" s="355"/>
      <c r="K201" s="355"/>
      <c r="L201" s="355"/>
      <c r="M201" s="355"/>
      <c r="N201" s="355"/>
      <c r="O201" s="355"/>
      <c r="P201" s="355"/>
      <c r="Q201" s="355"/>
      <c r="R201" s="355"/>
      <c r="S201" s="355"/>
      <c r="T201" s="355"/>
      <c r="U201" s="355"/>
      <c r="V201" s="355"/>
      <c r="W201" s="355"/>
      <c r="X201" s="355"/>
      <c r="Y201" s="355"/>
      <c r="Z201" s="355"/>
      <c r="AB201" s="214" t="s">
        <v>132</v>
      </c>
      <c r="AD201" s="219" t="s">
        <v>130</v>
      </c>
      <c r="AE201" s="217"/>
      <c r="AF201" s="213">
        <f t="shared" si="35"/>
        <v>1</v>
      </c>
      <c r="AG201" s="213">
        <f t="shared" si="34"/>
        <v>0</v>
      </c>
    </row>
    <row r="202" spans="1:33" ht="18" hidden="1" customHeight="1" x14ac:dyDescent="0.2">
      <c r="A202" s="212" t="str">
        <f t="shared" si="33"/>
        <v/>
      </c>
      <c r="B202" s="220">
        <v>0</v>
      </c>
      <c r="D202" s="244" t="s">
        <v>131</v>
      </c>
      <c r="E202" s="355" t="s">
        <v>317</v>
      </c>
      <c r="F202" s="355"/>
      <c r="G202" s="355"/>
      <c r="H202" s="355"/>
      <c r="I202" s="355"/>
      <c r="J202" s="355"/>
      <c r="K202" s="355"/>
      <c r="L202" s="355"/>
      <c r="M202" s="355"/>
      <c r="N202" s="355"/>
      <c r="O202" s="355"/>
      <c r="P202" s="355"/>
      <c r="Q202" s="355"/>
      <c r="R202" s="355"/>
      <c r="S202" s="355"/>
      <c r="T202" s="355"/>
      <c r="U202" s="355"/>
      <c r="V202" s="355"/>
      <c r="W202" s="355"/>
      <c r="X202" s="355"/>
      <c r="Y202" s="355"/>
      <c r="Z202" s="355"/>
      <c r="AB202" s="214" t="s">
        <v>132</v>
      </c>
      <c r="AD202" s="219" t="s">
        <v>130</v>
      </c>
      <c r="AE202" s="217"/>
      <c r="AF202" s="213">
        <f t="shared" si="35"/>
        <v>1</v>
      </c>
      <c r="AG202" s="213">
        <f t="shared" si="34"/>
        <v>0</v>
      </c>
    </row>
    <row r="203" spans="1:33" ht="18" hidden="1" customHeight="1" x14ac:dyDescent="0.2">
      <c r="A203" s="212" t="str">
        <f t="shared" si="33"/>
        <v/>
      </c>
      <c r="B203" s="220">
        <v>0</v>
      </c>
      <c r="D203" s="244" t="s">
        <v>131</v>
      </c>
      <c r="E203" s="355" t="s">
        <v>318</v>
      </c>
      <c r="F203" s="355"/>
      <c r="G203" s="355"/>
      <c r="H203" s="355"/>
      <c r="I203" s="355"/>
      <c r="J203" s="355"/>
      <c r="K203" s="355"/>
      <c r="L203" s="355"/>
      <c r="M203" s="355"/>
      <c r="N203" s="355"/>
      <c r="O203" s="355"/>
      <c r="P203" s="355"/>
      <c r="Q203" s="355"/>
      <c r="R203" s="355"/>
      <c r="S203" s="355"/>
      <c r="T203" s="355"/>
      <c r="U203" s="355"/>
      <c r="V203" s="355"/>
      <c r="W203" s="355"/>
      <c r="X203" s="355"/>
      <c r="Y203" s="355"/>
      <c r="Z203" s="355"/>
      <c r="AB203" s="214" t="s">
        <v>132</v>
      </c>
      <c r="AD203" s="219" t="s">
        <v>130</v>
      </c>
      <c r="AE203" s="217"/>
      <c r="AF203" s="213">
        <f t="shared" si="35"/>
        <v>1</v>
      </c>
      <c r="AG203" s="213">
        <f t="shared" si="34"/>
        <v>0</v>
      </c>
    </row>
    <row r="204" spans="1:33" ht="18" hidden="1" customHeight="1" x14ac:dyDescent="0.2">
      <c r="A204" s="212" t="str">
        <f t="shared" si="33"/>
        <v/>
      </c>
      <c r="B204" s="220">
        <v>0</v>
      </c>
      <c r="D204" s="244" t="s">
        <v>131</v>
      </c>
      <c r="E204" s="355" t="s">
        <v>319</v>
      </c>
      <c r="F204" s="355"/>
      <c r="G204" s="355"/>
      <c r="H204" s="355"/>
      <c r="I204" s="355"/>
      <c r="J204" s="355"/>
      <c r="K204" s="355"/>
      <c r="L204" s="355"/>
      <c r="M204" s="355"/>
      <c r="N204" s="355"/>
      <c r="O204" s="355"/>
      <c r="P204" s="355"/>
      <c r="Q204" s="355"/>
      <c r="R204" s="355"/>
      <c r="S204" s="355"/>
      <c r="T204" s="355"/>
      <c r="U204" s="355"/>
      <c r="V204" s="355"/>
      <c r="W204" s="355"/>
      <c r="X204" s="355"/>
      <c r="Y204" s="355"/>
      <c r="Z204" s="355"/>
      <c r="AB204" s="214" t="s">
        <v>132</v>
      </c>
      <c r="AD204" s="219" t="s">
        <v>130</v>
      </c>
      <c r="AE204" s="217"/>
      <c r="AF204" s="213">
        <f t="shared" si="35"/>
        <v>1</v>
      </c>
      <c r="AG204" s="213">
        <f t="shared" si="34"/>
        <v>0</v>
      </c>
    </row>
    <row r="205" spans="1:33" ht="18" hidden="1" customHeight="1" x14ac:dyDescent="0.2">
      <c r="A205" s="212" t="str">
        <f t="shared" si="33"/>
        <v/>
      </c>
      <c r="B205" s="220">
        <v>0</v>
      </c>
      <c r="D205" s="244" t="s">
        <v>131</v>
      </c>
      <c r="E205" s="355" t="s">
        <v>320</v>
      </c>
      <c r="F205" s="355"/>
      <c r="G205" s="355"/>
      <c r="H205" s="355"/>
      <c r="I205" s="355"/>
      <c r="J205" s="355"/>
      <c r="K205" s="355"/>
      <c r="L205" s="355"/>
      <c r="M205" s="355"/>
      <c r="N205" s="355"/>
      <c r="O205" s="355"/>
      <c r="P205" s="355"/>
      <c r="Q205" s="355"/>
      <c r="R205" s="355"/>
      <c r="S205" s="355"/>
      <c r="T205" s="355"/>
      <c r="U205" s="355"/>
      <c r="V205" s="355"/>
      <c r="W205" s="355"/>
      <c r="X205" s="355"/>
      <c r="Y205" s="355"/>
      <c r="Z205" s="355"/>
      <c r="AB205" s="214" t="s">
        <v>132</v>
      </c>
      <c r="AD205" s="219" t="s">
        <v>130</v>
      </c>
      <c r="AE205" s="217"/>
      <c r="AF205" s="213">
        <f t="shared" si="35"/>
        <v>1</v>
      </c>
      <c r="AG205" s="213">
        <f t="shared" si="34"/>
        <v>0</v>
      </c>
    </row>
    <row r="206" spans="1:33" ht="18" hidden="1" customHeight="1" x14ac:dyDescent="0.2">
      <c r="A206" s="212" t="str">
        <f t="shared" si="33"/>
        <v/>
      </c>
      <c r="B206" s="220">
        <v>0</v>
      </c>
      <c r="D206" s="244" t="s">
        <v>131</v>
      </c>
      <c r="E206" s="355" t="s">
        <v>321</v>
      </c>
      <c r="F206" s="355"/>
      <c r="G206" s="355"/>
      <c r="H206" s="355"/>
      <c r="I206" s="355"/>
      <c r="J206" s="355"/>
      <c r="K206" s="355"/>
      <c r="L206" s="355"/>
      <c r="M206" s="355"/>
      <c r="N206" s="355"/>
      <c r="O206" s="355"/>
      <c r="P206" s="355"/>
      <c r="Q206" s="355"/>
      <c r="R206" s="355"/>
      <c r="S206" s="355"/>
      <c r="T206" s="355"/>
      <c r="U206" s="355"/>
      <c r="V206" s="355"/>
      <c r="W206" s="355"/>
      <c r="X206" s="355"/>
      <c r="Y206" s="355"/>
      <c r="Z206" s="355"/>
      <c r="AB206" s="214" t="s">
        <v>132</v>
      </c>
      <c r="AD206" s="219" t="s">
        <v>130</v>
      </c>
      <c r="AE206" s="217"/>
      <c r="AF206" s="213">
        <f t="shared" si="35"/>
        <v>1</v>
      </c>
      <c r="AG206" s="213">
        <f t="shared" si="34"/>
        <v>0</v>
      </c>
    </row>
    <row r="207" spans="1:33" ht="18" hidden="1" customHeight="1" x14ac:dyDescent="0.2">
      <c r="A207" s="212" t="str">
        <f t="shared" si="33"/>
        <v/>
      </c>
      <c r="B207" s="220">
        <v>0</v>
      </c>
      <c r="D207" s="244" t="s">
        <v>131</v>
      </c>
      <c r="E207" s="355" t="s">
        <v>322</v>
      </c>
      <c r="F207" s="355"/>
      <c r="G207" s="355"/>
      <c r="H207" s="355"/>
      <c r="I207" s="355"/>
      <c r="J207" s="355"/>
      <c r="K207" s="355"/>
      <c r="L207" s="355"/>
      <c r="M207" s="355"/>
      <c r="N207" s="355"/>
      <c r="O207" s="355"/>
      <c r="P207" s="355"/>
      <c r="Q207" s="355"/>
      <c r="R207" s="355"/>
      <c r="S207" s="355"/>
      <c r="T207" s="355"/>
      <c r="U207" s="355"/>
      <c r="V207" s="355"/>
      <c r="W207" s="355"/>
      <c r="X207" s="355"/>
      <c r="Y207" s="355"/>
      <c r="Z207" s="355"/>
      <c r="AB207" s="214" t="s">
        <v>132</v>
      </c>
      <c r="AD207" s="219" t="s">
        <v>130</v>
      </c>
      <c r="AE207" s="217"/>
      <c r="AF207" s="213">
        <f t="shared" si="35"/>
        <v>1</v>
      </c>
      <c r="AG207" s="213">
        <f t="shared" si="34"/>
        <v>0</v>
      </c>
    </row>
    <row r="208" spans="1:33" ht="18" hidden="1" customHeight="1" x14ac:dyDescent="0.2">
      <c r="A208" s="212" t="str">
        <f t="shared" si="33"/>
        <v/>
      </c>
      <c r="B208" s="220">
        <v>0</v>
      </c>
      <c r="D208" s="244" t="s">
        <v>131</v>
      </c>
      <c r="E208" s="355" t="s">
        <v>323</v>
      </c>
      <c r="F208" s="355"/>
      <c r="G208" s="355"/>
      <c r="H208" s="355"/>
      <c r="I208" s="355"/>
      <c r="J208" s="355"/>
      <c r="K208" s="355"/>
      <c r="L208" s="355"/>
      <c r="M208" s="355"/>
      <c r="N208" s="355"/>
      <c r="O208" s="355"/>
      <c r="P208" s="355"/>
      <c r="Q208" s="355"/>
      <c r="R208" s="355"/>
      <c r="S208" s="355"/>
      <c r="T208" s="355"/>
      <c r="U208" s="355"/>
      <c r="V208" s="355"/>
      <c r="W208" s="355"/>
      <c r="X208" s="355"/>
      <c r="Y208" s="355"/>
      <c r="Z208" s="355"/>
      <c r="AB208" s="214" t="s">
        <v>132</v>
      </c>
      <c r="AD208" s="219" t="s">
        <v>130</v>
      </c>
      <c r="AE208" s="217"/>
      <c r="AF208" s="213">
        <f t="shared" si="35"/>
        <v>1</v>
      </c>
      <c r="AG208" s="213">
        <f t="shared" si="34"/>
        <v>0</v>
      </c>
    </row>
    <row r="209" spans="1:33" ht="18" hidden="1" customHeight="1" x14ac:dyDescent="0.2">
      <c r="A209" s="212" t="str">
        <f t="shared" si="33"/>
        <v/>
      </c>
      <c r="B209" s="220">
        <v>0</v>
      </c>
      <c r="D209" s="244" t="s">
        <v>131</v>
      </c>
      <c r="E209" s="355" t="s">
        <v>324</v>
      </c>
      <c r="F209" s="355"/>
      <c r="G209" s="355"/>
      <c r="H209" s="355"/>
      <c r="I209" s="355"/>
      <c r="J209" s="355"/>
      <c r="K209" s="355"/>
      <c r="L209" s="355"/>
      <c r="M209" s="355"/>
      <c r="N209" s="355"/>
      <c r="O209" s="355"/>
      <c r="P209" s="355"/>
      <c r="Q209" s="355"/>
      <c r="R209" s="355"/>
      <c r="S209" s="355"/>
      <c r="T209" s="355"/>
      <c r="U209" s="355"/>
      <c r="V209" s="355"/>
      <c r="W209" s="355"/>
      <c r="X209" s="355"/>
      <c r="Y209" s="355"/>
      <c r="Z209" s="355"/>
      <c r="AB209" s="214" t="s">
        <v>132</v>
      </c>
      <c r="AD209" s="219" t="s">
        <v>130</v>
      </c>
      <c r="AE209" s="217"/>
      <c r="AF209" s="213">
        <f t="shared" si="35"/>
        <v>1</v>
      </c>
      <c r="AG209" s="213">
        <f t="shared" si="34"/>
        <v>0</v>
      </c>
    </row>
    <row r="210" spans="1:33" ht="18" hidden="1" customHeight="1" x14ac:dyDescent="0.2">
      <c r="A210" s="212" t="str">
        <f t="shared" si="33"/>
        <v/>
      </c>
      <c r="B210" s="220">
        <v>0</v>
      </c>
      <c r="D210" s="244" t="s">
        <v>131</v>
      </c>
      <c r="E210" s="355" t="s">
        <v>325</v>
      </c>
      <c r="F210" s="355"/>
      <c r="G210" s="355"/>
      <c r="H210" s="355"/>
      <c r="I210" s="355"/>
      <c r="J210" s="355"/>
      <c r="K210" s="355"/>
      <c r="L210" s="355"/>
      <c r="M210" s="355"/>
      <c r="N210" s="355"/>
      <c r="O210" s="355"/>
      <c r="P210" s="355"/>
      <c r="Q210" s="355"/>
      <c r="R210" s="355"/>
      <c r="S210" s="355"/>
      <c r="T210" s="355"/>
      <c r="U210" s="355"/>
      <c r="V210" s="355"/>
      <c r="W210" s="355"/>
      <c r="X210" s="355"/>
      <c r="Y210" s="355"/>
      <c r="Z210" s="355"/>
      <c r="AA210" s="298"/>
      <c r="AB210" s="214" t="s">
        <v>132</v>
      </c>
      <c r="AD210" s="219" t="s">
        <v>130</v>
      </c>
      <c r="AE210" s="217"/>
      <c r="AF210" s="213">
        <f t="shared" si="35"/>
        <v>1</v>
      </c>
      <c r="AG210" s="213">
        <f t="shared" si="34"/>
        <v>0</v>
      </c>
    </row>
    <row r="211" spans="1:33" ht="18" hidden="1" customHeight="1" x14ac:dyDescent="0.2">
      <c r="A211" s="212" t="str">
        <f t="shared" si="33"/>
        <v/>
      </c>
      <c r="B211" s="220">
        <v>0</v>
      </c>
      <c r="D211" s="244" t="s">
        <v>131</v>
      </c>
      <c r="E211" s="355" t="s">
        <v>326</v>
      </c>
      <c r="F211" s="355"/>
      <c r="G211" s="355"/>
      <c r="H211" s="355"/>
      <c r="I211" s="355"/>
      <c r="J211" s="355"/>
      <c r="K211" s="355"/>
      <c r="L211" s="355"/>
      <c r="M211" s="355"/>
      <c r="N211" s="355"/>
      <c r="O211" s="355"/>
      <c r="P211" s="355"/>
      <c r="Q211" s="355"/>
      <c r="R211" s="355"/>
      <c r="S211" s="355"/>
      <c r="T211" s="355"/>
      <c r="U211" s="355"/>
      <c r="V211" s="355"/>
      <c r="W211" s="355"/>
      <c r="X211" s="355"/>
      <c r="Y211" s="355"/>
      <c r="Z211" s="355"/>
      <c r="AA211" s="298"/>
      <c r="AB211" s="214" t="s">
        <v>132</v>
      </c>
      <c r="AD211" s="219" t="s">
        <v>130</v>
      </c>
      <c r="AE211" s="217"/>
      <c r="AF211" s="213">
        <f t="shared" si="35"/>
        <v>1</v>
      </c>
      <c r="AG211" s="213">
        <f t="shared" si="34"/>
        <v>0</v>
      </c>
    </row>
    <row r="212" spans="1:33" ht="18" hidden="1" customHeight="1" x14ac:dyDescent="0.2">
      <c r="A212" s="212" t="str">
        <f t="shared" si="33"/>
        <v/>
      </c>
      <c r="B212" s="220">
        <v>0</v>
      </c>
      <c r="D212" s="244" t="s">
        <v>131</v>
      </c>
      <c r="E212" s="355" t="s">
        <v>327</v>
      </c>
      <c r="F212" s="355"/>
      <c r="G212" s="355"/>
      <c r="H212" s="355"/>
      <c r="I212" s="355"/>
      <c r="J212" s="355"/>
      <c r="K212" s="355"/>
      <c r="L212" s="355"/>
      <c r="M212" s="355"/>
      <c r="N212" s="355"/>
      <c r="O212" s="355"/>
      <c r="P212" s="355"/>
      <c r="Q212" s="355"/>
      <c r="R212" s="355"/>
      <c r="S212" s="355"/>
      <c r="T212" s="355"/>
      <c r="U212" s="355"/>
      <c r="V212" s="355"/>
      <c r="W212" s="355"/>
      <c r="X212" s="355"/>
      <c r="Y212" s="355"/>
      <c r="Z212" s="355"/>
      <c r="AA212" s="298"/>
      <c r="AB212" s="214" t="s">
        <v>132</v>
      </c>
      <c r="AD212" s="219" t="s">
        <v>130</v>
      </c>
      <c r="AE212" s="217"/>
      <c r="AF212" s="213">
        <f t="shared" si="35"/>
        <v>1</v>
      </c>
      <c r="AG212" s="213">
        <f t="shared" si="34"/>
        <v>0</v>
      </c>
    </row>
    <row r="213" spans="1:33" ht="18" hidden="1" customHeight="1" x14ac:dyDescent="0.2">
      <c r="A213" s="212" t="str">
        <f t="shared" si="33"/>
        <v/>
      </c>
      <c r="B213" s="220">
        <v>0</v>
      </c>
      <c r="D213" s="244" t="s">
        <v>131</v>
      </c>
      <c r="E213" s="355" t="s">
        <v>328</v>
      </c>
      <c r="F213" s="355"/>
      <c r="G213" s="355"/>
      <c r="H213" s="355"/>
      <c r="I213" s="355"/>
      <c r="J213" s="355"/>
      <c r="K213" s="355"/>
      <c r="L213" s="355"/>
      <c r="M213" s="355"/>
      <c r="N213" s="355"/>
      <c r="O213" s="355"/>
      <c r="P213" s="355"/>
      <c r="Q213" s="355"/>
      <c r="R213" s="355"/>
      <c r="S213" s="355"/>
      <c r="T213" s="355"/>
      <c r="U213" s="355"/>
      <c r="V213" s="355"/>
      <c r="W213" s="355"/>
      <c r="X213" s="355"/>
      <c r="Y213" s="355"/>
      <c r="Z213" s="355"/>
      <c r="AA213" s="298"/>
      <c r="AB213" s="214" t="s">
        <v>132</v>
      </c>
      <c r="AD213" s="219" t="s">
        <v>130</v>
      </c>
      <c r="AE213" s="217"/>
      <c r="AF213" s="213">
        <f t="shared" si="35"/>
        <v>1</v>
      </c>
      <c r="AG213" s="213">
        <f t="shared" si="34"/>
        <v>0</v>
      </c>
    </row>
    <row r="214" spans="1:33" s="202" customFormat="1" ht="18.5" hidden="1" customHeight="1" x14ac:dyDescent="0.2">
      <c r="A214" s="212" t="str">
        <f t="shared" si="33"/>
        <v/>
      </c>
      <c r="B214" s="213">
        <v>0</v>
      </c>
      <c r="C214" s="201"/>
      <c r="D214" s="231" t="s">
        <v>131</v>
      </c>
      <c r="E214" s="339" t="s">
        <v>184</v>
      </c>
      <c r="F214" s="339"/>
      <c r="G214" s="339"/>
      <c r="H214" s="339"/>
      <c r="I214" s="339"/>
      <c r="J214" s="339"/>
      <c r="K214" s="339"/>
      <c r="L214" s="339"/>
      <c r="M214" s="339"/>
      <c r="N214" s="339"/>
      <c r="O214" s="339"/>
      <c r="P214" s="339"/>
      <c r="Q214" s="339"/>
      <c r="R214" s="339"/>
      <c r="S214" s="339"/>
      <c r="T214" s="339"/>
      <c r="U214" s="339"/>
      <c r="V214" s="339"/>
      <c r="W214" s="339"/>
      <c r="X214" s="339"/>
      <c r="Y214" s="339"/>
      <c r="Z214" s="339"/>
      <c r="AA214" s="204"/>
      <c r="AB214" s="225" t="s">
        <v>158</v>
      </c>
      <c r="AD214" s="221" t="s">
        <v>143</v>
      </c>
      <c r="AE214" s="118"/>
      <c r="AF214" s="64"/>
      <c r="AG214" s="64"/>
    </row>
    <row r="215" spans="1:33" s="202" customFormat="1" ht="18" hidden="1" customHeight="1" x14ac:dyDescent="0.2">
      <c r="A215" s="212" t="str">
        <f t="shared" si="33"/>
        <v/>
      </c>
      <c r="B215" s="220">
        <v>0</v>
      </c>
      <c r="C215" s="201"/>
      <c r="D215" s="231" t="s">
        <v>131</v>
      </c>
      <c r="E215" s="361"/>
      <c r="F215" s="361"/>
      <c r="G215" s="361"/>
      <c r="H215" s="361"/>
      <c r="I215" s="361"/>
      <c r="J215" s="361"/>
      <c r="K215" s="361"/>
      <c r="L215" s="361"/>
      <c r="M215" s="361"/>
      <c r="N215" s="361"/>
      <c r="O215" s="361"/>
      <c r="P215" s="361"/>
      <c r="Q215" s="361"/>
      <c r="R215" s="361"/>
      <c r="S215" s="361"/>
      <c r="T215" s="361"/>
      <c r="U215" s="361"/>
      <c r="V215" s="361"/>
      <c r="W215" s="361"/>
      <c r="X215" s="361"/>
      <c r="Y215" s="361"/>
      <c r="Z215" s="361"/>
      <c r="AA215" s="205"/>
      <c r="AB215" s="214" t="s">
        <v>159</v>
      </c>
      <c r="AD215" s="219" t="s">
        <v>130</v>
      </c>
      <c r="AE215" s="217"/>
      <c r="AF215" s="213">
        <f t="shared" ref="AF215:AF217" si="36">IF(B215&lt;&gt;"",1,0)</f>
        <v>1</v>
      </c>
      <c r="AG215" s="213">
        <f>IF(AND(SUM(AF:AF)&gt;0,$B$198=0,OR(B215=FALSE,AND(B215=1,E215=""),AND(B215="",E215=""),AND(B215="",E215&lt;&gt;""),AND(B215=0,E215&lt;&gt;""))),1,0)</f>
        <v>0</v>
      </c>
    </row>
    <row r="216" spans="1:33" s="202" customFormat="1" ht="18" hidden="1" customHeight="1" x14ac:dyDescent="0.2">
      <c r="A216" s="212" t="str">
        <f t="shared" si="33"/>
        <v/>
      </c>
      <c r="B216" s="220">
        <v>0</v>
      </c>
      <c r="C216" s="201"/>
      <c r="D216" s="231" t="s">
        <v>131</v>
      </c>
      <c r="E216" s="361"/>
      <c r="F216" s="361"/>
      <c r="G216" s="361"/>
      <c r="H216" s="361"/>
      <c r="I216" s="361"/>
      <c r="J216" s="361"/>
      <c r="K216" s="361"/>
      <c r="L216" s="361"/>
      <c r="M216" s="361"/>
      <c r="N216" s="361"/>
      <c r="O216" s="361"/>
      <c r="P216" s="361"/>
      <c r="Q216" s="361"/>
      <c r="R216" s="361"/>
      <c r="S216" s="361"/>
      <c r="T216" s="361"/>
      <c r="U216" s="361"/>
      <c r="V216" s="361"/>
      <c r="W216" s="361"/>
      <c r="X216" s="361"/>
      <c r="Y216" s="361"/>
      <c r="Z216" s="361"/>
      <c r="AA216" s="205"/>
      <c r="AB216" s="214" t="s">
        <v>159</v>
      </c>
      <c r="AD216" s="219" t="s">
        <v>130</v>
      </c>
      <c r="AE216" s="217"/>
      <c r="AF216" s="213">
        <f t="shared" si="36"/>
        <v>1</v>
      </c>
      <c r="AG216" s="213">
        <f>IF(AND(SUM(AF:AF)&gt;0,$B$198=0,OR(B216=FALSE,AND(B216=1,E216=""),AND(B216="",E216=""),AND(B216="",E216&lt;&gt;""),AND(B216=0,E216&lt;&gt;""))),1,0)</f>
        <v>0</v>
      </c>
    </row>
    <row r="217" spans="1:33" s="202" customFormat="1" ht="18" hidden="1" customHeight="1" x14ac:dyDescent="0.2">
      <c r="A217" s="212" t="str">
        <f t="shared" si="33"/>
        <v/>
      </c>
      <c r="B217" s="220">
        <v>0</v>
      </c>
      <c r="C217" s="201"/>
      <c r="D217" s="231" t="s">
        <v>131</v>
      </c>
      <c r="E217" s="361"/>
      <c r="F217" s="361"/>
      <c r="G217" s="361"/>
      <c r="H217" s="361"/>
      <c r="I217" s="361"/>
      <c r="J217" s="361"/>
      <c r="K217" s="361"/>
      <c r="L217" s="361"/>
      <c r="M217" s="361"/>
      <c r="N217" s="361"/>
      <c r="O217" s="361"/>
      <c r="P217" s="361"/>
      <c r="Q217" s="361"/>
      <c r="R217" s="361"/>
      <c r="S217" s="361"/>
      <c r="T217" s="361"/>
      <c r="U217" s="361"/>
      <c r="V217" s="361"/>
      <c r="W217" s="361"/>
      <c r="X217" s="361"/>
      <c r="Y217" s="361"/>
      <c r="Z217" s="361"/>
      <c r="AA217" s="205"/>
      <c r="AB217" s="214" t="s">
        <v>159</v>
      </c>
      <c r="AD217" s="219" t="s">
        <v>130</v>
      </c>
      <c r="AE217" s="217"/>
      <c r="AF217" s="213">
        <f t="shared" si="36"/>
        <v>1</v>
      </c>
      <c r="AG217" s="213">
        <f>IF(AND(SUM(AF:AF)&gt;0,$B$198=0,OR(B217=FALSE,AND(B217=1,E217=""),AND(B217="",E217=""),AND(B217="",E217&lt;&gt;""),AND(B217=0,E217&lt;&gt;""))),1,0)</f>
        <v>0</v>
      </c>
    </row>
    <row r="218" spans="1:33" ht="21" hidden="1" customHeight="1" x14ac:dyDescent="0.2">
      <c r="A218" s="212" t="str">
        <f t="shared" si="33"/>
        <v/>
      </c>
      <c r="B218" s="213">
        <v>0</v>
      </c>
      <c r="D218" s="357" t="s">
        <v>144</v>
      </c>
      <c r="E218" s="357"/>
      <c r="F218" s="357"/>
      <c r="G218" s="357"/>
      <c r="H218" s="357"/>
      <c r="I218" s="357"/>
      <c r="J218" s="357"/>
      <c r="K218" s="357"/>
      <c r="L218" s="357"/>
      <c r="M218" s="357"/>
      <c r="N218" s="357"/>
      <c r="O218" s="357"/>
      <c r="P218" s="357"/>
      <c r="Q218" s="357"/>
      <c r="R218" s="357"/>
      <c r="S218" s="357"/>
      <c r="T218" s="357"/>
      <c r="U218" s="357"/>
      <c r="V218" s="357"/>
      <c r="W218" s="357"/>
      <c r="X218" s="357"/>
      <c r="Y218" s="357"/>
      <c r="Z218" s="357"/>
      <c r="AB218" s="225" t="s">
        <v>158</v>
      </c>
      <c r="AD218" s="221" t="s">
        <v>143</v>
      </c>
      <c r="AE218" s="118"/>
      <c r="AF218" s="64"/>
      <c r="AG218" s="64"/>
    </row>
    <row r="219" spans="1:33" ht="15.75" hidden="1" customHeight="1" x14ac:dyDescent="0.2">
      <c r="A219" s="212"/>
      <c r="B219" s="213">
        <v>0</v>
      </c>
      <c r="D219" s="336" t="s">
        <v>148</v>
      </c>
      <c r="E219" s="336"/>
      <c r="F219" s="336"/>
      <c r="G219" s="336"/>
      <c r="H219" s="336"/>
      <c r="I219" s="336"/>
      <c r="J219" s="336"/>
      <c r="K219" s="336"/>
      <c r="L219" s="336"/>
      <c r="M219" s="336"/>
      <c r="N219" s="336"/>
      <c r="O219" s="336"/>
      <c r="P219" s="336"/>
      <c r="Q219" s="336"/>
      <c r="R219" s="336"/>
      <c r="S219" s="336"/>
      <c r="T219" s="336"/>
      <c r="U219" s="336"/>
      <c r="V219" s="336"/>
      <c r="W219" s="336"/>
      <c r="X219" s="336"/>
      <c r="Y219" s="336"/>
      <c r="Z219" s="336"/>
      <c r="AB219" s="225" t="s">
        <v>158</v>
      </c>
      <c r="AD219" s="221" t="s">
        <v>143</v>
      </c>
      <c r="AE219" s="118"/>
      <c r="AF219" s="64"/>
      <c r="AG219" s="64"/>
    </row>
    <row r="220" spans="1:33" ht="8.5" hidden="1" customHeight="1" x14ac:dyDescent="0.15">
      <c r="A220" s="212" t="str">
        <f>IF(AG220=1,"X","")</f>
        <v/>
      </c>
      <c r="B220" s="213">
        <f>IF(OR(D221="Show",Q221="Show"),1,0)</f>
        <v>0</v>
      </c>
      <c r="D220" s="335"/>
      <c r="E220" s="335"/>
      <c r="F220" s="335"/>
      <c r="G220" s="335"/>
      <c r="H220" s="335"/>
      <c r="I220" s="335"/>
      <c r="J220" s="335"/>
      <c r="K220" s="335"/>
      <c r="L220" s="335"/>
      <c r="M220" s="335"/>
      <c r="N220" s="335"/>
      <c r="O220" s="335"/>
      <c r="P220" s="335"/>
      <c r="Q220" s="335"/>
      <c r="R220" s="335"/>
      <c r="S220" s="335"/>
      <c r="T220" s="335"/>
      <c r="U220" s="335"/>
      <c r="V220" s="335"/>
      <c r="W220" s="335"/>
      <c r="X220" s="335"/>
      <c r="Y220" s="335"/>
      <c r="Z220" s="335"/>
      <c r="AD220" s="221" t="s">
        <v>129</v>
      </c>
      <c r="AE220" s="197"/>
      <c r="AF220" s="64"/>
      <c r="AG220" s="64"/>
    </row>
    <row r="221" spans="1:33" ht="18" hidden="1" customHeight="1" x14ac:dyDescent="0.2">
      <c r="A221" s="212" t="str">
        <f t="shared" ref="A221:A222" si="37">IF(AG221=1,"X","")</f>
        <v/>
      </c>
      <c r="B221" s="213">
        <v>0</v>
      </c>
      <c r="D221" s="337" t="s">
        <v>154</v>
      </c>
      <c r="E221" s="337"/>
      <c r="F221" s="337"/>
      <c r="G221" s="337"/>
      <c r="H221" s="337"/>
      <c r="I221" s="337"/>
      <c r="J221" s="337"/>
      <c r="K221" s="337"/>
      <c r="L221" s="337"/>
      <c r="M221" s="337"/>
      <c r="N221" s="337"/>
      <c r="O221" s="223"/>
      <c r="P221" s="223"/>
      <c r="Q221" s="337" t="s">
        <v>154</v>
      </c>
      <c r="R221" s="337"/>
      <c r="S221" s="337"/>
      <c r="T221" s="337"/>
      <c r="U221" s="337"/>
      <c r="V221" s="337"/>
      <c r="W221" s="337"/>
      <c r="X221" s="337"/>
      <c r="Y221" s="337"/>
      <c r="Z221" s="337"/>
      <c r="AA221" s="208"/>
      <c r="AB221" s="214" t="s">
        <v>147</v>
      </c>
      <c r="AD221" s="219" t="s">
        <v>130</v>
      </c>
      <c r="AE221" s="118"/>
      <c r="AF221" s="213">
        <f>IF(OR(D221="Show",D221="",Q221="Show",Q221=""),1,0)</f>
        <v>0</v>
      </c>
      <c r="AG221" s="213">
        <f>IF(AND(SUM(AF:AF)&gt;0,OR(D221="",Q221="")),1,0)</f>
        <v>0</v>
      </c>
    </row>
    <row r="222" spans="1:33" ht="197.25" hidden="1" customHeight="1" x14ac:dyDescent="0.2">
      <c r="A222" s="212" t="str">
        <f t="shared" si="37"/>
        <v/>
      </c>
      <c r="B222" s="213">
        <f>B220</f>
        <v>0</v>
      </c>
      <c r="D222" s="337"/>
      <c r="E222" s="337"/>
      <c r="F222" s="337"/>
      <c r="G222" s="337"/>
      <c r="H222" s="337"/>
      <c r="I222" s="337"/>
      <c r="J222" s="337"/>
      <c r="K222" s="337"/>
      <c r="L222" s="337"/>
      <c r="M222" s="337"/>
      <c r="N222" s="337"/>
      <c r="O222" s="223"/>
      <c r="P222" s="223"/>
      <c r="Q222" s="337"/>
      <c r="R222" s="337"/>
      <c r="S222" s="337"/>
      <c r="T222" s="337"/>
      <c r="U222" s="337"/>
      <c r="V222" s="337"/>
      <c r="W222" s="337"/>
      <c r="X222" s="337"/>
      <c r="Y222" s="337"/>
      <c r="Z222" s="337"/>
      <c r="AA222" s="208"/>
      <c r="AB222" s="214" t="s">
        <v>146</v>
      </c>
      <c r="AD222" s="219" t="s">
        <v>130</v>
      </c>
      <c r="AE222" s="217"/>
      <c r="AF222" s="64"/>
      <c r="AG222" s="64"/>
    </row>
    <row r="223" spans="1:33" ht="18" hidden="1" customHeight="1" x14ac:dyDescent="0.2">
      <c r="A223" s="212" t="str">
        <f>IF(AG223=1,"X","")</f>
        <v/>
      </c>
      <c r="B223" s="213">
        <f>B222</f>
        <v>0</v>
      </c>
      <c r="D223" s="338"/>
      <c r="E223" s="338"/>
      <c r="F223" s="338"/>
      <c r="G223" s="338"/>
      <c r="H223" s="338"/>
      <c r="I223" s="338"/>
      <c r="J223" s="338"/>
      <c r="K223" s="338"/>
      <c r="L223" s="338"/>
      <c r="M223" s="338"/>
      <c r="N223" s="338"/>
      <c r="O223" s="223"/>
      <c r="P223" s="223"/>
      <c r="Q223" s="338"/>
      <c r="R223" s="338"/>
      <c r="S223" s="338"/>
      <c r="T223" s="338"/>
      <c r="U223" s="338"/>
      <c r="V223" s="338"/>
      <c r="W223" s="338"/>
      <c r="X223" s="338"/>
      <c r="Y223" s="338"/>
      <c r="Z223" s="338"/>
      <c r="AA223" s="208"/>
      <c r="AB223" s="214" t="s">
        <v>145</v>
      </c>
      <c r="AD223" s="219" t="s">
        <v>130</v>
      </c>
      <c r="AE223" s="217"/>
      <c r="AF223" s="213">
        <f>IF(OR(D221="Show",D221="",Q221="Show",Q221=""),1,0)</f>
        <v>0</v>
      </c>
      <c r="AG223" s="213">
        <f>IF(AND(SUM(AF:AF)&gt;0,OR(AND(D221="Show",D223=""),AND(Q221="Show",Q223=""))),1,0)</f>
        <v>0</v>
      </c>
    </row>
    <row r="224" spans="1:33" ht="8.5" hidden="1" customHeight="1" x14ac:dyDescent="0.15">
      <c r="A224" s="212" t="str">
        <f>IF(AG224=1,"X","")</f>
        <v/>
      </c>
      <c r="B224" s="213">
        <f>B223</f>
        <v>0</v>
      </c>
      <c r="D224" s="335"/>
      <c r="E224" s="335"/>
      <c r="F224" s="335"/>
      <c r="G224" s="335"/>
      <c r="H224" s="335"/>
      <c r="I224" s="335"/>
      <c r="J224" s="335"/>
      <c r="K224" s="335"/>
      <c r="L224" s="335"/>
      <c r="M224" s="335"/>
      <c r="N224" s="335"/>
      <c r="O224" s="335"/>
      <c r="P224" s="335"/>
      <c r="Q224" s="335"/>
      <c r="R224" s="335"/>
      <c r="S224" s="335"/>
      <c r="T224" s="335"/>
      <c r="U224" s="335"/>
      <c r="V224" s="335"/>
      <c r="W224" s="335"/>
      <c r="X224" s="335"/>
      <c r="Y224" s="335"/>
      <c r="Z224" s="335"/>
      <c r="AA224" s="208"/>
      <c r="AD224" s="221" t="s">
        <v>129</v>
      </c>
      <c r="AE224" s="197"/>
      <c r="AF224" s="64"/>
      <c r="AG224" s="64"/>
    </row>
    <row r="225" spans="1:33" ht="15.75" hidden="1" customHeight="1" x14ac:dyDescent="0.2">
      <c r="A225" s="212"/>
      <c r="B225" s="213">
        <v>0</v>
      </c>
      <c r="D225" s="336" t="s">
        <v>149</v>
      </c>
      <c r="E225" s="336"/>
      <c r="F225" s="336"/>
      <c r="G225" s="336"/>
      <c r="H225" s="336"/>
      <c r="I225" s="336"/>
      <c r="J225" s="336"/>
      <c r="K225" s="336"/>
      <c r="L225" s="336"/>
      <c r="M225" s="336"/>
      <c r="N225" s="336"/>
      <c r="O225" s="336"/>
      <c r="P225" s="336"/>
      <c r="Q225" s="336"/>
      <c r="R225" s="336"/>
      <c r="S225" s="336"/>
      <c r="T225" s="336"/>
      <c r="U225" s="336"/>
      <c r="V225" s="336"/>
      <c r="W225" s="336"/>
      <c r="X225" s="336"/>
      <c r="Y225" s="336"/>
      <c r="Z225" s="336"/>
      <c r="AB225" s="225" t="s">
        <v>158</v>
      </c>
      <c r="AD225" s="221" t="s">
        <v>143</v>
      </c>
      <c r="AE225" s="118"/>
      <c r="AF225" s="64"/>
      <c r="AG225" s="64"/>
    </row>
    <row r="226" spans="1:33" ht="15.75" hidden="1" customHeight="1" x14ac:dyDescent="0.2">
      <c r="A226" s="212"/>
      <c r="B226" s="213">
        <v>0</v>
      </c>
      <c r="D226" s="336" t="s">
        <v>150</v>
      </c>
      <c r="E226" s="336"/>
      <c r="F226" s="336"/>
      <c r="G226" s="336"/>
      <c r="H226" s="336"/>
      <c r="I226" s="336"/>
      <c r="J226" s="336"/>
      <c r="K226" s="336"/>
      <c r="L226" s="336"/>
      <c r="M226" s="336"/>
      <c r="N226" s="336"/>
      <c r="O226" s="336"/>
      <c r="P226" s="336"/>
      <c r="Q226" s="336"/>
      <c r="R226" s="336"/>
      <c r="S226" s="336"/>
      <c r="T226" s="336"/>
      <c r="U226" s="336"/>
      <c r="V226" s="336"/>
      <c r="W226" s="336"/>
      <c r="X226" s="336"/>
      <c r="Y226" s="336"/>
      <c r="Z226" s="336"/>
      <c r="AB226" s="225" t="s">
        <v>158</v>
      </c>
      <c r="AD226" s="221" t="s">
        <v>143</v>
      </c>
      <c r="AE226" s="118"/>
      <c r="AF226" s="64"/>
      <c r="AG226" s="64"/>
    </row>
    <row r="227" spans="1:33" ht="8.5" hidden="1" customHeight="1" x14ac:dyDescent="0.15">
      <c r="A227" s="212" t="str">
        <f>IF(AG227=1,"X","")</f>
        <v/>
      </c>
      <c r="B227" s="213">
        <f>IF(OR(D228="Show",Q228="Show"),1,0)</f>
        <v>0</v>
      </c>
      <c r="D227" s="335"/>
      <c r="E227" s="335"/>
      <c r="F227" s="335"/>
      <c r="G227" s="335"/>
      <c r="H227" s="335"/>
      <c r="I227" s="335"/>
      <c r="J227" s="335"/>
      <c r="K227" s="335"/>
      <c r="L227" s="335"/>
      <c r="M227" s="335"/>
      <c r="N227" s="335"/>
      <c r="O227" s="335"/>
      <c r="P227" s="335"/>
      <c r="Q227" s="335"/>
      <c r="R227" s="335"/>
      <c r="S227" s="335"/>
      <c r="T227" s="335"/>
      <c r="U227" s="335"/>
      <c r="V227" s="335"/>
      <c r="W227" s="335"/>
      <c r="X227" s="335"/>
      <c r="Y227" s="335"/>
      <c r="Z227" s="335"/>
      <c r="AD227" s="221" t="s">
        <v>129</v>
      </c>
      <c r="AE227" s="197"/>
      <c r="AF227" s="64"/>
      <c r="AG227" s="64"/>
    </row>
    <row r="228" spans="1:33" ht="18" hidden="1" customHeight="1" x14ac:dyDescent="0.2">
      <c r="A228" s="212" t="str">
        <f t="shared" ref="A228:A231" si="38">IF(AG228=1,"X","")</f>
        <v/>
      </c>
      <c r="B228" s="213">
        <v>0</v>
      </c>
      <c r="D228" s="337" t="s">
        <v>154</v>
      </c>
      <c r="E228" s="337"/>
      <c r="F228" s="337"/>
      <c r="G228" s="337"/>
      <c r="H228" s="337"/>
      <c r="I228" s="337"/>
      <c r="J228" s="337"/>
      <c r="K228" s="337"/>
      <c r="L228" s="337"/>
      <c r="M228" s="337"/>
      <c r="N228" s="337"/>
      <c r="O228" s="223"/>
      <c r="P228" s="223"/>
      <c r="Q228" s="337" t="s">
        <v>154</v>
      </c>
      <c r="R228" s="337"/>
      <c r="S228" s="337"/>
      <c r="T228" s="337"/>
      <c r="U228" s="337"/>
      <c r="V228" s="337"/>
      <c r="W228" s="337"/>
      <c r="X228" s="337"/>
      <c r="Y228" s="337"/>
      <c r="Z228" s="337"/>
      <c r="AA228" s="208"/>
      <c r="AB228" s="214" t="s">
        <v>147</v>
      </c>
      <c r="AD228" s="219" t="s">
        <v>130</v>
      </c>
      <c r="AE228" s="118"/>
      <c r="AF228" s="213">
        <f>IF(OR(D228="Show",D228="",Q228="Show",Q228=""),1,0)</f>
        <v>0</v>
      </c>
      <c r="AG228" s="213">
        <f>IF(AND(SUM(AF:AF)&gt;0,OR(D228="",Q228="")),1,0)</f>
        <v>0</v>
      </c>
    </row>
    <row r="229" spans="1:33" ht="197.25" hidden="1" customHeight="1" x14ac:dyDescent="0.2">
      <c r="A229" s="212" t="str">
        <f t="shared" si="38"/>
        <v/>
      </c>
      <c r="B229" s="213">
        <f>B227</f>
        <v>0</v>
      </c>
      <c r="D229" s="337"/>
      <c r="E229" s="337"/>
      <c r="F229" s="337"/>
      <c r="G229" s="337"/>
      <c r="H229" s="337"/>
      <c r="I229" s="337"/>
      <c r="J229" s="337"/>
      <c r="K229" s="337"/>
      <c r="L229" s="337"/>
      <c r="M229" s="337"/>
      <c r="N229" s="337"/>
      <c r="O229" s="223"/>
      <c r="P229" s="223"/>
      <c r="Q229" s="337"/>
      <c r="R229" s="337"/>
      <c r="S229" s="337"/>
      <c r="T229" s="337"/>
      <c r="U229" s="337"/>
      <c r="V229" s="337"/>
      <c r="W229" s="337"/>
      <c r="X229" s="337"/>
      <c r="Y229" s="337"/>
      <c r="Z229" s="337"/>
      <c r="AA229" s="208"/>
      <c r="AB229" s="214" t="s">
        <v>146</v>
      </c>
      <c r="AD229" s="219" t="s">
        <v>130</v>
      </c>
      <c r="AE229" s="217"/>
      <c r="AF229" s="64"/>
      <c r="AG229" s="64"/>
    </row>
    <row r="230" spans="1:33" ht="18" hidden="1" customHeight="1" x14ac:dyDescent="0.2">
      <c r="A230" s="212" t="str">
        <f t="shared" si="38"/>
        <v/>
      </c>
      <c r="B230" s="213">
        <f>B229</f>
        <v>0</v>
      </c>
      <c r="D230" s="338"/>
      <c r="E230" s="338"/>
      <c r="F230" s="338"/>
      <c r="G230" s="338"/>
      <c r="H230" s="338"/>
      <c r="I230" s="338"/>
      <c r="J230" s="338"/>
      <c r="K230" s="338"/>
      <c r="L230" s="338"/>
      <c r="M230" s="338"/>
      <c r="N230" s="338"/>
      <c r="O230" s="223"/>
      <c r="P230" s="223"/>
      <c r="Q230" s="338"/>
      <c r="R230" s="338"/>
      <c r="S230" s="338"/>
      <c r="T230" s="338"/>
      <c r="U230" s="338"/>
      <c r="V230" s="338"/>
      <c r="W230" s="338"/>
      <c r="X230" s="338"/>
      <c r="Y230" s="338"/>
      <c r="Z230" s="338"/>
      <c r="AA230" s="208"/>
      <c r="AB230" s="214" t="s">
        <v>145</v>
      </c>
      <c r="AD230" s="219" t="s">
        <v>130</v>
      </c>
      <c r="AE230" s="217"/>
      <c r="AF230" s="213">
        <f>IF(OR(D228="Show",D228="",Q228="Show",Q228=""),1,0)</f>
        <v>0</v>
      </c>
      <c r="AG230" s="213">
        <f>IF(AND(SUM(AF:AF)&gt;0,OR(AND(D228="Show",D230=""),AND(Q228="Show",Q230=""))),1,0)</f>
        <v>0</v>
      </c>
    </row>
    <row r="231" spans="1:33" ht="8.5" hidden="1" customHeight="1" x14ac:dyDescent="0.15">
      <c r="A231" s="212" t="str">
        <f t="shared" si="38"/>
        <v/>
      </c>
      <c r="B231" s="213">
        <f>B230</f>
        <v>0</v>
      </c>
      <c r="D231" s="335"/>
      <c r="E231" s="335"/>
      <c r="F231" s="335"/>
      <c r="G231" s="335"/>
      <c r="H231" s="335"/>
      <c r="I231" s="335"/>
      <c r="J231" s="335"/>
      <c r="K231" s="335"/>
      <c r="L231" s="335"/>
      <c r="M231" s="335"/>
      <c r="N231" s="335"/>
      <c r="O231" s="335"/>
      <c r="P231" s="335"/>
      <c r="Q231" s="335"/>
      <c r="R231" s="335"/>
      <c r="S231" s="335"/>
      <c r="T231" s="335"/>
      <c r="U231" s="335"/>
      <c r="V231" s="335"/>
      <c r="W231" s="335"/>
      <c r="X231" s="335"/>
      <c r="Y231" s="335"/>
      <c r="Z231" s="335"/>
      <c r="AA231" s="208"/>
      <c r="AD231" s="221" t="s">
        <v>129</v>
      </c>
      <c r="AE231" s="197"/>
      <c r="AF231" s="64"/>
      <c r="AG231" s="64"/>
    </row>
    <row r="232" spans="1:33" ht="15.75" hidden="1" customHeight="1" x14ac:dyDescent="0.2">
      <c r="A232" s="212"/>
      <c r="B232" s="213">
        <v>0</v>
      </c>
      <c r="D232" s="336" t="s">
        <v>152</v>
      </c>
      <c r="E232" s="336"/>
      <c r="F232" s="336"/>
      <c r="G232" s="336"/>
      <c r="H232" s="336"/>
      <c r="I232" s="336"/>
      <c r="J232" s="336"/>
      <c r="K232" s="336"/>
      <c r="L232" s="336"/>
      <c r="M232" s="336"/>
      <c r="N232" s="336"/>
      <c r="O232" s="336"/>
      <c r="P232" s="336"/>
      <c r="Q232" s="336"/>
      <c r="R232" s="336"/>
      <c r="S232" s="336"/>
      <c r="T232" s="336"/>
      <c r="U232" s="336"/>
      <c r="V232" s="336"/>
      <c r="W232" s="336"/>
      <c r="X232" s="336"/>
      <c r="Y232" s="336"/>
      <c r="Z232" s="336"/>
      <c r="AB232" s="225" t="s">
        <v>158</v>
      </c>
      <c r="AD232" s="221" t="s">
        <v>143</v>
      </c>
      <c r="AE232" s="118"/>
      <c r="AF232" s="64"/>
      <c r="AG232" s="64"/>
    </row>
    <row r="233" spans="1:33" ht="15.75" hidden="1" customHeight="1" x14ac:dyDescent="0.2">
      <c r="A233" s="212"/>
      <c r="B233" s="213">
        <v>0</v>
      </c>
      <c r="D233" s="336" t="s">
        <v>153</v>
      </c>
      <c r="E233" s="336"/>
      <c r="F233" s="336"/>
      <c r="G233" s="336"/>
      <c r="H233" s="336"/>
      <c r="I233" s="336"/>
      <c r="J233" s="336"/>
      <c r="K233" s="336"/>
      <c r="L233" s="336"/>
      <c r="M233" s="336"/>
      <c r="N233" s="336"/>
      <c r="O233" s="336"/>
      <c r="P233" s="336"/>
      <c r="Q233" s="336"/>
      <c r="R233" s="336"/>
      <c r="S233" s="336"/>
      <c r="T233" s="336"/>
      <c r="U233" s="336"/>
      <c r="V233" s="336"/>
      <c r="W233" s="336"/>
      <c r="X233" s="336"/>
      <c r="Y233" s="336"/>
      <c r="Z233" s="336"/>
      <c r="AB233" s="225" t="s">
        <v>158</v>
      </c>
      <c r="AD233" s="221" t="s">
        <v>143</v>
      </c>
      <c r="AE233" s="118"/>
      <c r="AF233" s="64"/>
      <c r="AG233" s="64"/>
    </row>
    <row r="234" spans="1:33" ht="8.5" hidden="1" customHeight="1" x14ac:dyDescent="0.15">
      <c r="A234" s="212" t="str">
        <f>IF(AG234=1,"X","")</f>
        <v/>
      </c>
      <c r="B234" s="213">
        <f>IF(OR(D235="Show",Q235="Show"),1,0)</f>
        <v>0</v>
      </c>
      <c r="D234" s="335"/>
      <c r="E234" s="335"/>
      <c r="F234" s="335"/>
      <c r="G234" s="335"/>
      <c r="H234" s="335"/>
      <c r="I234" s="335"/>
      <c r="J234" s="335"/>
      <c r="K234" s="335"/>
      <c r="L234" s="335"/>
      <c r="M234" s="335"/>
      <c r="N234" s="335"/>
      <c r="O234" s="335"/>
      <c r="P234" s="335"/>
      <c r="Q234" s="335"/>
      <c r="R234" s="335"/>
      <c r="S234" s="335"/>
      <c r="T234" s="335"/>
      <c r="U234" s="335"/>
      <c r="V234" s="335"/>
      <c r="W234" s="335"/>
      <c r="X234" s="335"/>
      <c r="Y234" s="335"/>
      <c r="Z234" s="335"/>
      <c r="AD234" s="221" t="s">
        <v>129</v>
      </c>
      <c r="AE234" s="197"/>
      <c r="AF234" s="64"/>
      <c r="AG234" s="64"/>
    </row>
    <row r="235" spans="1:33" ht="18" hidden="1" customHeight="1" x14ac:dyDescent="0.2">
      <c r="A235" s="212" t="str">
        <f t="shared" ref="A235:A238" si="39">IF(AG235=1,"X","")</f>
        <v/>
      </c>
      <c r="B235" s="213">
        <v>0</v>
      </c>
      <c r="D235" s="337" t="s">
        <v>154</v>
      </c>
      <c r="E235" s="337"/>
      <c r="F235" s="337"/>
      <c r="G235" s="337"/>
      <c r="H235" s="337"/>
      <c r="I235" s="337"/>
      <c r="J235" s="337"/>
      <c r="K235" s="337"/>
      <c r="L235" s="337"/>
      <c r="M235" s="337"/>
      <c r="N235" s="337"/>
      <c r="O235" s="223"/>
      <c r="P235" s="223"/>
      <c r="Q235" s="337" t="s">
        <v>154</v>
      </c>
      <c r="R235" s="337"/>
      <c r="S235" s="337"/>
      <c r="T235" s="337"/>
      <c r="U235" s="337"/>
      <c r="V235" s="337"/>
      <c r="W235" s="337"/>
      <c r="X235" s="337"/>
      <c r="Y235" s="337"/>
      <c r="Z235" s="337"/>
      <c r="AA235" s="208"/>
      <c r="AB235" s="214" t="s">
        <v>147</v>
      </c>
      <c r="AD235" s="219" t="s">
        <v>130</v>
      </c>
      <c r="AE235" s="118"/>
      <c r="AF235" s="213">
        <f>IF(OR(D235="Show",D235="",Q235="Show",Q235=""),1,0)</f>
        <v>0</v>
      </c>
      <c r="AG235" s="213">
        <f>IF(AND(SUM(AF:AF)&gt;0,OR(D235="",Q235="")),1,0)</f>
        <v>0</v>
      </c>
    </row>
    <row r="236" spans="1:33" ht="197.25" hidden="1" customHeight="1" x14ac:dyDescent="0.2">
      <c r="A236" s="212" t="str">
        <f t="shared" si="39"/>
        <v/>
      </c>
      <c r="B236" s="213">
        <f>B234</f>
        <v>0</v>
      </c>
      <c r="D236" s="337"/>
      <c r="E236" s="337"/>
      <c r="F236" s="337"/>
      <c r="G236" s="337"/>
      <c r="H236" s="337"/>
      <c r="I236" s="337"/>
      <c r="J236" s="337"/>
      <c r="K236" s="337"/>
      <c r="L236" s="337"/>
      <c r="M236" s="337"/>
      <c r="N236" s="337"/>
      <c r="O236" s="223"/>
      <c r="P236" s="223"/>
      <c r="Q236" s="337"/>
      <c r="R236" s="337"/>
      <c r="S236" s="337"/>
      <c r="T236" s="337"/>
      <c r="U236" s="337"/>
      <c r="V236" s="337"/>
      <c r="W236" s="337"/>
      <c r="X236" s="337"/>
      <c r="Y236" s="337"/>
      <c r="Z236" s="337"/>
      <c r="AA236" s="208"/>
      <c r="AB236" s="214" t="s">
        <v>146</v>
      </c>
      <c r="AD236" s="219" t="s">
        <v>130</v>
      </c>
      <c r="AE236" s="217"/>
      <c r="AF236" s="64"/>
      <c r="AG236" s="64"/>
    </row>
    <row r="237" spans="1:33" ht="18" hidden="1" customHeight="1" x14ac:dyDescent="0.2">
      <c r="A237" s="212" t="str">
        <f t="shared" si="39"/>
        <v/>
      </c>
      <c r="B237" s="213">
        <f>B236</f>
        <v>0</v>
      </c>
      <c r="D237" s="338"/>
      <c r="E237" s="338"/>
      <c r="F237" s="338"/>
      <c r="G237" s="338"/>
      <c r="H237" s="338"/>
      <c r="I237" s="338"/>
      <c r="J237" s="338"/>
      <c r="K237" s="338"/>
      <c r="L237" s="338"/>
      <c r="M237" s="338"/>
      <c r="N237" s="338"/>
      <c r="O237" s="223"/>
      <c r="P237" s="223"/>
      <c r="Q237" s="338"/>
      <c r="R237" s="338"/>
      <c r="S237" s="338"/>
      <c r="T237" s="338"/>
      <c r="U237" s="338"/>
      <c r="V237" s="338"/>
      <c r="W237" s="338"/>
      <c r="X237" s="338"/>
      <c r="Y237" s="338"/>
      <c r="Z237" s="338"/>
      <c r="AA237" s="208"/>
      <c r="AB237" s="214" t="s">
        <v>145</v>
      </c>
      <c r="AD237" s="219" t="s">
        <v>130</v>
      </c>
      <c r="AE237" s="217"/>
      <c r="AF237" s="213">
        <f>IF(OR(D235="Show",D235="",Q235="Show",Q235=""),1,0)</f>
        <v>0</v>
      </c>
      <c r="AG237" s="213">
        <f>IF(AND(SUM(AF:AF)&gt;0,OR(AND(D235="Show",D237=""),AND(Q235="Show",Q237=""))),1,0)</f>
        <v>0</v>
      </c>
    </row>
    <row r="238" spans="1:33" ht="8.5" hidden="1" customHeight="1" x14ac:dyDescent="0.15">
      <c r="A238" s="212" t="str">
        <f t="shared" si="39"/>
        <v/>
      </c>
      <c r="B238" s="213">
        <f>B237</f>
        <v>0</v>
      </c>
      <c r="D238" s="335"/>
      <c r="E238" s="335"/>
      <c r="F238" s="335"/>
      <c r="G238" s="335"/>
      <c r="H238" s="335"/>
      <c r="I238" s="335"/>
      <c r="J238" s="335"/>
      <c r="K238" s="335"/>
      <c r="L238" s="335"/>
      <c r="M238" s="335"/>
      <c r="N238" s="335"/>
      <c r="O238" s="335"/>
      <c r="P238" s="335"/>
      <c r="Q238" s="335"/>
      <c r="R238" s="335"/>
      <c r="S238" s="335"/>
      <c r="T238" s="335"/>
      <c r="U238" s="335"/>
      <c r="V238" s="335"/>
      <c r="W238" s="335"/>
      <c r="X238" s="335"/>
      <c r="Y238" s="335"/>
      <c r="Z238" s="335"/>
      <c r="AA238" s="208"/>
      <c r="AD238" s="221" t="s">
        <v>129</v>
      </c>
      <c r="AE238" s="197"/>
      <c r="AF238" s="64"/>
      <c r="AG238" s="64"/>
    </row>
    <row r="239" spans="1:33" ht="15.75" hidden="1" customHeight="1" x14ac:dyDescent="0.2">
      <c r="A239" s="212"/>
      <c r="B239" s="213">
        <v>0</v>
      </c>
      <c r="D239" s="336" t="s">
        <v>151</v>
      </c>
      <c r="E239" s="336"/>
      <c r="F239" s="336"/>
      <c r="G239" s="336"/>
      <c r="H239" s="336"/>
      <c r="I239" s="336"/>
      <c r="J239" s="336"/>
      <c r="K239" s="336"/>
      <c r="L239" s="336"/>
      <c r="M239" s="336"/>
      <c r="N239" s="336"/>
      <c r="O239" s="336"/>
      <c r="P239" s="336"/>
      <c r="Q239" s="336"/>
      <c r="R239" s="336"/>
      <c r="S239" s="336"/>
      <c r="T239" s="336"/>
      <c r="U239" s="336"/>
      <c r="V239" s="336"/>
      <c r="W239" s="336"/>
      <c r="X239" s="336"/>
      <c r="Y239" s="336"/>
      <c r="Z239" s="336"/>
      <c r="AB239" s="225" t="s">
        <v>158</v>
      </c>
      <c r="AD239" s="221" t="s">
        <v>143</v>
      </c>
      <c r="AE239" s="118"/>
      <c r="AF239" s="64"/>
      <c r="AG239" s="64"/>
    </row>
    <row r="240" spans="1:33" ht="15.75" hidden="1" customHeight="1" x14ac:dyDescent="0.2">
      <c r="A240" s="212"/>
      <c r="B240" s="213">
        <v>0</v>
      </c>
      <c r="D240" s="336" t="s">
        <v>329</v>
      </c>
      <c r="E240" s="336"/>
      <c r="F240" s="336"/>
      <c r="G240" s="336"/>
      <c r="H240" s="336"/>
      <c r="I240" s="336"/>
      <c r="J240" s="336"/>
      <c r="K240" s="336"/>
      <c r="L240" s="336"/>
      <c r="M240" s="336"/>
      <c r="N240" s="336"/>
      <c r="O240" s="336"/>
      <c r="P240" s="336"/>
      <c r="Q240" s="336"/>
      <c r="R240" s="336"/>
      <c r="S240" s="336"/>
      <c r="T240" s="336"/>
      <c r="U240" s="336"/>
      <c r="V240" s="336"/>
      <c r="W240" s="336"/>
      <c r="X240" s="336"/>
      <c r="Y240" s="336"/>
      <c r="Z240" s="336"/>
      <c r="AB240" s="225" t="s">
        <v>158</v>
      </c>
      <c r="AD240" s="221" t="s">
        <v>143</v>
      </c>
      <c r="AE240" s="118"/>
      <c r="AF240" s="64"/>
      <c r="AG240" s="64"/>
    </row>
    <row r="241" spans="1:33" ht="8.5" hidden="1" customHeight="1" x14ac:dyDescent="0.15">
      <c r="A241" s="212" t="str">
        <f>IF(AG241=1,"X","")</f>
        <v/>
      </c>
      <c r="B241" s="213">
        <f>IF(OR(D242="Show",Q242="Show"),1,0)</f>
        <v>0</v>
      </c>
      <c r="D241" s="335"/>
      <c r="E241" s="335"/>
      <c r="F241" s="335"/>
      <c r="G241" s="335"/>
      <c r="H241" s="335"/>
      <c r="I241" s="335"/>
      <c r="J241" s="335"/>
      <c r="K241" s="335"/>
      <c r="L241" s="335"/>
      <c r="M241" s="335"/>
      <c r="N241" s="335"/>
      <c r="O241" s="335"/>
      <c r="P241" s="335"/>
      <c r="Q241" s="335"/>
      <c r="R241" s="335"/>
      <c r="S241" s="335"/>
      <c r="T241" s="335"/>
      <c r="U241" s="335"/>
      <c r="V241" s="335"/>
      <c r="W241" s="335"/>
      <c r="X241" s="335"/>
      <c r="Y241" s="335"/>
      <c r="Z241" s="335"/>
      <c r="AD241" s="221" t="s">
        <v>129</v>
      </c>
      <c r="AE241" s="197"/>
      <c r="AF241" s="64"/>
      <c r="AG241" s="64"/>
    </row>
    <row r="242" spans="1:33" ht="18" hidden="1" customHeight="1" x14ac:dyDescent="0.2">
      <c r="A242" s="212" t="str">
        <f t="shared" ref="A242:A245" si="40">IF(AG242=1,"X","")</f>
        <v/>
      </c>
      <c r="B242" s="213">
        <v>0</v>
      </c>
      <c r="D242" s="337" t="s">
        <v>154</v>
      </c>
      <c r="E242" s="337"/>
      <c r="F242" s="337"/>
      <c r="G242" s="337"/>
      <c r="H242" s="337"/>
      <c r="I242" s="337"/>
      <c r="J242" s="337"/>
      <c r="K242" s="337"/>
      <c r="L242" s="337"/>
      <c r="M242" s="337"/>
      <c r="N242" s="337"/>
      <c r="O242" s="223"/>
      <c r="P242" s="223"/>
      <c r="Q242" s="337" t="s">
        <v>154</v>
      </c>
      <c r="R242" s="337"/>
      <c r="S242" s="337"/>
      <c r="T242" s="337"/>
      <c r="U242" s="337"/>
      <c r="V242" s="337"/>
      <c r="W242" s="337"/>
      <c r="X242" s="337"/>
      <c r="Y242" s="337"/>
      <c r="Z242" s="337"/>
      <c r="AA242" s="208"/>
      <c r="AB242" s="214" t="s">
        <v>147</v>
      </c>
      <c r="AD242" s="219" t="s">
        <v>130</v>
      </c>
      <c r="AE242" s="118"/>
      <c r="AF242" s="213">
        <f>IF(OR(D242="Show",D242="",Q242="Show",Q242=""),1,0)</f>
        <v>0</v>
      </c>
      <c r="AG242" s="213">
        <f>IF(AND(SUM(AF:AF)&gt;0,OR(D242="",Q242="")),1,0)</f>
        <v>0</v>
      </c>
    </row>
    <row r="243" spans="1:33" ht="197.25" hidden="1" customHeight="1" x14ac:dyDescent="0.2">
      <c r="A243" s="212" t="str">
        <f t="shared" si="40"/>
        <v/>
      </c>
      <c r="B243" s="213">
        <f>B241</f>
        <v>0</v>
      </c>
      <c r="D243" s="337"/>
      <c r="E243" s="337"/>
      <c r="F243" s="337"/>
      <c r="G243" s="337"/>
      <c r="H243" s="337"/>
      <c r="I243" s="337"/>
      <c r="J243" s="337"/>
      <c r="K243" s="337"/>
      <c r="L243" s="337"/>
      <c r="M243" s="337"/>
      <c r="N243" s="337"/>
      <c r="O243" s="223"/>
      <c r="P243" s="223"/>
      <c r="Q243" s="337"/>
      <c r="R243" s="337"/>
      <c r="S243" s="337"/>
      <c r="T243" s="337"/>
      <c r="U243" s="337"/>
      <c r="V243" s="337"/>
      <c r="W243" s="337"/>
      <c r="X243" s="337"/>
      <c r="Y243" s="337"/>
      <c r="Z243" s="337"/>
      <c r="AA243" s="208"/>
      <c r="AB243" s="214" t="s">
        <v>146</v>
      </c>
      <c r="AD243" s="219" t="s">
        <v>130</v>
      </c>
      <c r="AE243" s="217"/>
      <c r="AF243" s="64"/>
      <c r="AG243" s="64"/>
    </row>
    <row r="244" spans="1:33" ht="18" hidden="1" customHeight="1" x14ac:dyDescent="0.2">
      <c r="A244" s="212" t="str">
        <f t="shared" si="40"/>
        <v/>
      </c>
      <c r="B244" s="213">
        <f>B243</f>
        <v>0</v>
      </c>
      <c r="D244" s="338"/>
      <c r="E244" s="338"/>
      <c r="F244" s="338"/>
      <c r="G244" s="338"/>
      <c r="H244" s="338"/>
      <c r="I244" s="338"/>
      <c r="J244" s="338"/>
      <c r="K244" s="338"/>
      <c r="L244" s="338"/>
      <c r="M244" s="338"/>
      <c r="N244" s="338"/>
      <c r="O244" s="223"/>
      <c r="P244" s="223"/>
      <c r="Q244" s="338"/>
      <c r="R244" s="338"/>
      <c r="S244" s="338"/>
      <c r="T244" s="338"/>
      <c r="U244" s="338"/>
      <c r="V244" s="338"/>
      <c r="W244" s="338"/>
      <c r="X244" s="338"/>
      <c r="Y244" s="338"/>
      <c r="Z244" s="338"/>
      <c r="AA244" s="208"/>
      <c r="AB244" s="214" t="s">
        <v>145</v>
      </c>
      <c r="AD244" s="219" t="s">
        <v>130</v>
      </c>
      <c r="AE244" s="217"/>
      <c r="AF244" s="213">
        <f>IF(OR(D242="Show",D242="",Q242="Show",Q242=""),1,0)</f>
        <v>0</v>
      </c>
      <c r="AG244" s="213">
        <f>IF(AND(SUM(AF:AF)&gt;0,OR(AND(D242="Show",D244=""),AND(Q242="Show",Q244=""))),1,0)</f>
        <v>0</v>
      </c>
    </row>
    <row r="245" spans="1:33" ht="8.5" hidden="1" customHeight="1" x14ac:dyDescent="0.15">
      <c r="A245" s="212" t="str">
        <f t="shared" si="40"/>
        <v/>
      </c>
      <c r="B245" s="213">
        <f>B244</f>
        <v>0</v>
      </c>
      <c r="D245" s="335"/>
      <c r="E245" s="335"/>
      <c r="F245" s="335"/>
      <c r="G245" s="335"/>
      <c r="H245" s="335"/>
      <c r="I245" s="335"/>
      <c r="J245" s="335"/>
      <c r="K245" s="335"/>
      <c r="L245" s="335"/>
      <c r="M245" s="335"/>
      <c r="N245" s="335"/>
      <c r="O245" s="335"/>
      <c r="P245" s="335"/>
      <c r="Q245" s="335"/>
      <c r="R245" s="335"/>
      <c r="S245" s="335"/>
      <c r="T245" s="335"/>
      <c r="U245" s="335"/>
      <c r="V245" s="335"/>
      <c r="W245" s="335"/>
      <c r="X245" s="335"/>
      <c r="Y245" s="335"/>
      <c r="Z245" s="335"/>
      <c r="AA245" s="208"/>
      <c r="AD245" s="221" t="s">
        <v>129</v>
      </c>
      <c r="AE245" s="197"/>
      <c r="AF245" s="64"/>
      <c r="AG245" s="64"/>
    </row>
    <row r="246" spans="1:33" ht="15.75" hidden="1" customHeight="1" x14ac:dyDescent="0.2">
      <c r="A246" s="212"/>
      <c r="B246" s="213">
        <v>0</v>
      </c>
      <c r="D246" s="336" t="s">
        <v>330</v>
      </c>
      <c r="E246" s="336"/>
      <c r="F246" s="336"/>
      <c r="G246" s="336"/>
      <c r="H246" s="336"/>
      <c r="I246" s="336"/>
      <c r="J246" s="336"/>
      <c r="K246" s="336"/>
      <c r="L246" s="336"/>
      <c r="M246" s="336"/>
      <c r="N246" s="336"/>
      <c r="O246" s="336"/>
      <c r="P246" s="336"/>
      <c r="Q246" s="336"/>
      <c r="R246" s="336"/>
      <c r="S246" s="336"/>
      <c r="T246" s="336"/>
      <c r="U246" s="336"/>
      <c r="V246" s="336"/>
      <c r="W246" s="336"/>
      <c r="X246" s="336"/>
      <c r="Y246" s="336"/>
      <c r="Z246" s="336"/>
      <c r="AB246" s="225" t="s">
        <v>158</v>
      </c>
      <c r="AD246" s="221" t="s">
        <v>143</v>
      </c>
      <c r="AE246" s="118"/>
      <c r="AF246" s="64"/>
      <c r="AG246" s="64"/>
    </row>
    <row r="247" spans="1:33" ht="15.75" hidden="1" customHeight="1" x14ac:dyDescent="0.2">
      <c r="A247" s="212"/>
      <c r="B247" s="213">
        <v>0</v>
      </c>
      <c r="D247" s="336" t="s">
        <v>331</v>
      </c>
      <c r="E247" s="336"/>
      <c r="F247" s="336"/>
      <c r="G247" s="336"/>
      <c r="H247" s="336"/>
      <c r="I247" s="336"/>
      <c r="J247" s="336"/>
      <c r="K247" s="336"/>
      <c r="L247" s="336"/>
      <c r="M247" s="336"/>
      <c r="N247" s="336"/>
      <c r="O247" s="336"/>
      <c r="P247" s="336"/>
      <c r="Q247" s="336"/>
      <c r="R247" s="336"/>
      <c r="S247" s="336"/>
      <c r="T247" s="336"/>
      <c r="U247" s="336"/>
      <c r="V247" s="336"/>
      <c r="W247" s="336"/>
      <c r="X247" s="336"/>
      <c r="Y247" s="336"/>
      <c r="Z247" s="336"/>
      <c r="AB247" s="225" t="s">
        <v>158</v>
      </c>
      <c r="AD247" s="221" t="s">
        <v>143</v>
      </c>
      <c r="AE247" s="118"/>
      <c r="AF247" s="64"/>
      <c r="AG247" s="64"/>
    </row>
    <row r="248" spans="1:33" ht="8.5" hidden="1" customHeight="1" x14ac:dyDescent="0.15">
      <c r="A248" s="212" t="str">
        <f>IF(AG248=1,"X","")</f>
        <v/>
      </c>
      <c r="B248" s="213">
        <f>IF(OR(D249="Show",Q249="Show"),1,0)</f>
        <v>0</v>
      </c>
      <c r="D248" s="335"/>
      <c r="E248" s="335"/>
      <c r="F248" s="335"/>
      <c r="G248" s="335"/>
      <c r="H248" s="335"/>
      <c r="I248" s="335"/>
      <c r="J248" s="335"/>
      <c r="K248" s="335"/>
      <c r="L248" s="335"/>
      <c r="M248" s="335"/>
      <c r="N248" s="335"/>
      <c r="O248" s="335"/>
      <c r="P248" s="335"/>
      <c r="Q248" s="335"/>
      <c r="R248" s="335"/>
      <c r="S248" s="335"/>
      <c r="T248" s="335"/>
      <c r="U248" s="335"/>
      <c r="V248" s="335"/>
      <c r="W248" s="335"/>
      <c r="X248" s="335"/>
      <c r="Y248" s="335"/>
      <c r="Z248" s="335"/>
      <c r="AD248" s="221" t="s">
        <v>129</v>
      </c>
      <c r="AE248" s="197"/>
      <c r="AF248" s="64"/>
      <c r="AG248" s="64"/>
    </row>
    <row r="249" spans="1:33" ht="18" hidden="1" customHeight="1" x14ac:dyDescent="0.2">
      <c r="A249" s="212" t="str">
        <f t="shared" ref="A249:A252" si="41">IF(AG249=1,"X","")</f>
        <v/>
      </c>
      <c r="B249" s="213">
        <v>0</v>
      </c>
      <c r="D249" s="337" t="s">
        <v>154</v>
      </c>
      <c r="E249" s="337"/>
      <c r="F249" s="337"/>
      <c r="G249" s="337"/>
      <c r="H249" s="337"/>
      <c r="I249" s="337"/>
      <c r="J249" s="337"/>
      <c r="K249" s="337"/>
      <c r="L249" s="337"/>
      <c r="M249" s="337"/>
      <c r="N249" s="337"/>
      <c r="O249" s="223"/>
      <c r="P249" s="223"/>
      <c r="Q249" s="337" t="s">
        <v>154</v>
      </c>
      <c r="R249" s="337"/>
      <c r="S249" s="337"/>
      <c r="T249" s="337"/>
      <c r="U249" s="337"/>
      <c r="V249" s="337"/>
      <c r="W249" s="337"/>
      <c r="X249" s="337"/>
      <c r="Y249" s="337"/>
      <c r="Z249" s="337"/>
      <c r="AA249" s="208"/>
      <c r="AB249" s="214" t="s">
        <v>147</v>
      </c>
      <c r="AD249" s="219" t="s">
        <v>130</v>
      </c>
      <c r="AE249" s="118"/>
      <c r="AF249" s="213">
        <f>IF(OR(D249="Show",D249="",Q249="Show",Q249=""),1,0)</f>
        <v>0</v>
      </c>
      <c r="AG249" s="213">
        <f>IF(AND(SUM(AF:AF)&gt;0,OR(D249="",Q249="")),1,0)</f>
        <v>0</v>
      </c>
    </row>
    <row r="250" spans="1:33" ht="197.25" hidden="1" customHeight="1" x14ac:dyDescent="0.2">
      <c r="A250" s="212" t="str">
        <f t="shared" si="41"/>
        <v/>
      </c>
      <c r="B250" s="213">
        <f>B248</f>
        <v>0</v>
      </c>
      <c r="D250" s="337"/>
      <c r="E250" s="337"/>
      <c r="F250" s="337"/>
      <c r="G250" s="337"/>
      <c r="H250" s="337"/>
      <c r="I250" s="337"/>
      <c r="J250" s="337"/>
      <c r="K250" s="337"/>
      <c r="L250" s="337"/>
      <c r="M250" s="337"/>
      <c r="N250" s="337"/>
      <c r="O250" s="223"/>
      <c r="P250" s="223"/>
      <c r="Q250" s="337"/>
      <c r="R250" s="337"/>
      <c r="S250" s="337"/>
      <c r="T250" s="337"/>
      <c r="U250" s="337"/>
      <c r="V250" s="337"/>
      <c r="W250" s="337"/>
      <c r="X250" s="337"/>
      <c r="Y250" s="337"/>
      <c r="Z250" s="337"/>
      <c r="AA250" s="208"/>
      <c r="AB250" s="214" t="s">
        <v>146</v>
      </c>
      <c r="AD250" s="219" t="s">
        <v>130</v>
      </c>
      <c r="AE250" s="217"/>
      <c r="AF250" s="64"/>
      <c r="AG250" s="64"/>
    </row>
    <row r="251" spans="1:33" ht="18" hidden="1" customHeight="1" x14ac:dyDescent="0.2">
      <c r="A251" s="212" t="str">
        <f t="shared" si="41"/>
        <v/>
      </c>
      <c r="B251" s="213">
        <f>B250</f>
        <v>0</v>
      </c>
      <c r="D251" s="338"/>
      <c r="E251" s="338"/>
      <c r="F251" s="338"/>
      <c r="G251" s="338"/>
      <c r="H251" s="338"/>
      <c r="I251" s="338"/>
      <c r="J251" s="338"/>
      <c r="K251" s="338"/>
      <c r="L251" s="338"/>
      <c r="M251" s="338"/>
      <c r="N251" s="338"/>
      <c r="O251" s="223"/>
      <c r="P251" s="223"/>
      <c r="Q251" s="338"/>
      <c r="R251" s="338"/>
      <c r="S251" s="338"/>
      <c r="T251" s="338"/>
      <c r="U251" s="338"/>
      <c r="V251" s="338"/>
      <c r="W251" s="338"/>
      <c r="X251" s="338"/>
      <c r="Y251" s="338"/>
      <c r="Z251" s="338"/>
      <c r="AA251" s="208"/>
      <c r="AB251" s="214" t="s">
        <v>145</v>
      </c>
      <c r="AD251" s="219" t="s">
        <v>130</v>
      </c>
      <c r="AE251" s="217"/>
      <c r="AF251" s="213">
        <f>IF(OR(D249="Show",D249="",Q249="Show",Q249=""),1,0)</f>
        <v>0</v>
      </c>
      <c r="AG251" s="213">
        <f>IF(AND(SUM(AF:AF)&gt;0,OR(AND(D249="Show",D251=""),AND(Q249="Show",Q251=""))),1,0)</f>
        <v>0</v>
      </c>
    </row>
    <row r="252" spans="1:33" ht="8.5" hidden="1" customHeight="1" x14ac:dyDescent="0.15">
      <c r="A252" s="212" t="str">
        <f t="shared" si="41"/>
        <v/>
      </c>
      <c r="B252" s="213">
        <f>B251</f>
        <v>0</v>
      </c>
      <c r="D252" s="335"/>
      <c r="E252" s="335"/>
      <c r="F252" s="335"/>
      <c r="G252" s="335"/>
      <c r="H252" s="335"/>
      <c r="I252" s="335"/>
      <c r="J252" s="335"/>
      <c r="K252" s="335"/>
      <c r="L252" s="335"/>
      <c r="M252" s="335"/>
      <c r="N252" s="335"/>
      <c r="O252" s="335"/>
      <c r="P252" s="335"/>
      <c r="Q252" s="335"/>
      <c r="R252" s="335"/>
      <c r="S252" s="335"/>
      <c r="T252" s="335"/>
      <c r="U252" s="335"/>
      <c r="V252" s="335"/>
      <c r="W252" s="335"/>
      <c r="X252" s="335"/>
      <c r="Y252" s="335"/>
      <c r="Z252" s="335"/>
      <c r="AA252" s="208"/>
      <c r="AD252" s="221" t="s">
        <v>129</v>
      </c>
      <c r="AE252" s="197"/>
      <c r="AF252" s="64"/>
      <c r="AG252" s="64"/>
    </row>
    <row r="253" spans="1:33" ht="15.75" hidden="1" customHeight="1" x14ac:dyDescent="0.2">
      <c r="A253" s="212"/>
      <c r="B253" s="213">
        <v>0</v>
      </c>
      <c r="D253" s="336" t="s">
        <v>332</v>
      </c>
      <c r="E253" s="336"/>
      <c r="F253" s="336"/>
      <c r="G253" s="336"/>
      <c r="H253" s="336"/>
      <c r="I253" s="336"/>
      <c r="J253" s="336"/>
      <c r="K253" s="336"/>
      <c r="L253" s="336"/>
      <c r="M253" s="336"/>
      <c r="N253" s="336"/>
      <c r="O253" s="336"/>
      <c r="P253" s="336"/>
      <c r="Q253" s="336"/>
      <c r="R253" s="336"/>
      <c r="S253" s="336"/>
      <c r="T253" s="336"/>
      <c r="U253" s="336"/>
      <c r="V253" s="336"/>
      <c r="W253" s="336"/>
      <c r="X253" s="336"/>
      <c r="Y253" s="336"/>
      <c r="Z253" s="336"/>
      <c r="AB253" s="225" t="s">
        <v>158</v>
      </c>
      <c r="AD253" s="221" t="s">
        <v>143</v>
      </c>
      <c r="AE253" s="118"/>
      <c r="AF253" s="64"/>
      <c r="AG253" s="64"/>
    </row>
    <row r="254" spans="1:33" ht="15.75" hidden="1" customHeight="1" x14ac:dyDescent="0.2">
      <c r="A254" s="212"/>
      <c r="B254" s="213">
        <v>0</v>
      </c>
      <c r="D254" s="336" t="s">
        <v>333</v>
      </c>
      <c r="E254" s="336"/>
      <c r="F254" s="336"/>
      <c r="G254" s="336"/>
      <c r="H254" s="336"/>
      <c r="I254" s="336"/>
      <c r="J254" s="336"/>
      <c r="K254" s="336"/>
      <c r="L254" s="336"/>
      <c r="M254" s="336"/>
      <c r="N254" s="336"/>
      <c r="O254" s="336"/>
      <c r="P254" s="336"/>
      <c r="Q254" s="336"/>
      <c r="R254" s="336"/>
      <c r="S254" s="336"/>
      <c r="T254" s="336"/>
      <c r="U254" s="336"/>
      <c r="V254" s="336"/>
      <c r="W254" s="336"/>
      <c r="X254" s="336"/>
      <c r="Y254" s="336"/>
      <c r="Z254" s="336"/>
      <c r="AB254" s="225" t="s">
        <v>158</v>
      </c>
      <c r="AD254" s="221" t="s">
        <v>143</v>
      </c>
      <c r="AE254" s="118"/>
      <c r="AF254" s="64"/>
      <c r="AG254" s="64"/>
    </row>
    <row r="255" spans="1:33" ht="8.5" hidden="1" customHeight="1" x14ac:dyDescent="0.15">
      <c r="A255" s="212" t="str">
        <f>IF(AG255=1,"X","")</f>
        <v/>
      </c>
      <c r="B255" s="213">
        <f>IF(OR(D256="Show",Q256="Show"),1,0)</f>
        <v>0</v>
      </c>
      <c r="D255" s="335"/>
      <c r="E255" s="335"/>
      <c r="F255" s="335"/>
      <c r="G255" s="335"/>
      <c r="H255" s="335"/>
      <c r="I255" s="335"/>
      <c r="J255" s="335"/>
      <c r="K255" s="335"/>
      <c r="L255" s="335"/>
      <c r="M255" s="335"/>
      <c r="N255" s="335"/>
      <c r="O255" s="335"/>
      <c r="P255" s="335"/>
      <c r="Q255" s="335"/>
      <c r="R255" s="335"/>
      <c r="S255" s="335"/>
      <c r="T255" s="335"/>
      <c r="U255" s="335"/>
      <c r="V255" s="335"/>
      <c r="W255" s="335"/>
      <c r="X255" s="335"/>
      <c r="Y255" s="335"/>
      <c r="Z255" s="335"/>
      <c r="AD255" s="221" t="s">
        <v>129</v>
      </c>
      <c r="AE255" s="197"/>
      <c r="AF255" s="64"/>
      <c r="AG255" s="64"/>
    </row>
    <row r="256" spans="1:33" ht="18" hidden="1" customHeight="1" x14ac:dyDescent="0.2">
      <c r="A256" s="212" t="str">
        <f t="shared" ref="A256:A259" si="42">IF(AG256=1,"X","")</f>
        <v/>
      </c>
      <c r="B256" s="213">
        <v>0</v>
      </c>
      <c r="D256" s="337" t="s">
        <v>154</v>
      </c>
      <c r="E256" s="337"/>
      <c r="F256" s="337"/>
      <c r="G256" s="337"/>
      <c r="H256" s="337"/>
      <c r="I256" s="337"/>
      <c r="J256" s="337"/>
      <c r="K256" s="337"/>
      <c r="L256" s="337"/>
      <c r="M256" s="337"/>
      <c r="N256" s="337"/>
      <c r="O256" s="223"/>
      <c r="P256" s="223"/>
      <c r="Q256" s="337" t="s">
        <v>154</v>
      </c>
      <c r="R256" s="337"/>
      <c r="S256" s="337"/>
      <c r="T256" s="337"/>
      <c r="U256" s="337"/>
      <c r="V256" s="337"/>
      <c r="W256" s="337"/>
      <c r="X256" s="337"/>
      <c r="Y256" s="337"/>
      <c r="Z256" s="337"/>
      <c r="AA256" s="208"/>
      <c r="AB256" s="214" t="s">
        <v>147</v>
      </c>
      <c r="AD256" s="219" t="s">
        <v>130</v>
      </c>
      <c r="AE256" s="118"/>
      <c r="AF256" s="213">
        <f>IF(OR(D256="Show",D256="",Q256="Show",Q256=""),1,0)</f>
        <v>0</v>
      </c>
      <c r="AG256" s="213">
        <f>IF(AND(SUM(AF:AF)&gt;0,OR(D256="",Q256="")),1,0)</f>
        <v>0</v>
      </c>
    </row>
    <row r="257" spans="1:33" ht="197.25" hidden="1" customHeight="1" x14ac:dyDescent="0.2">
      <c r="A257" s="212" t="str">
        <f t="shared" si="42"/>
        <v/>
      </c>
      <c r="B257" s="213">
        <f>B255</f>
        <v>0</v>
      </c>
      <c r="D257" s="337"/>
      <c r="E257" s="337"/>
      <c r="F257" s="337"/>
      <c r="G257" s="337"/>
      <c r="H257" s="337"/>
      <c r="I257" s="337"/>
      <c r="J257" s="337"/>
      <c r="K257" s="337"/>
      <c r="L257" s="337"/>
      <c r="M257" s="337"/>
      <c r="N257" s="337"/>
      <c r="O257" s="223"/>
      <c r="P257" s="223"/>
      <c r="Q257" s="337"/>
      <c r="R257" s="337"/>
      <c r="S257" s="337"/>
      <c r="T257" s="337"/>
      <c r="U257" s="337"/>
      <c r="V257" s="337"/>
      <c r="W257" s="337"/>
      <c r="X257" s="337"/>
      <c r="Y257" s="337"/>
      <c r="Z257" s="337"/>
      <c r="AA257" s="208"/>
      <c r="AB257" s="214" t="s">
        <v>146</v>
      </c>
      <c r="AD257" s="219" t="s">
        <v>130</v>
      </c>
      <c r="AE257" s="217"/>
      <c r="AF257" s="64"/>
      <c r="AG257" s="64"/>
    </row>
    <row r="258" spans="1:33" ht="18" hidden="1" customHeight="1" x14ac:dyDescent="0.2">
      <c r="A258" s="212" t="str">
        <f t="shared" si="42"/>
        <v/>
      </c>
      <c r="B258" s="213">
        <f>B257</f>
        <v>0</v>
      </c>
      <c r="D258" s="338"/>
      <c r="E258" s="338"/>
      <c r="F258" s="338"/>
      <c r="G258" s="338"/>
      <c r="H258" s="338"/>
      <c r="I258" s="338"/>
      <c r="J258" s="338"/>
      <c r="K258" s="338"/>
      <c r="L258" s="338"/>
      <c r="M258" s="338"/>
      <c r="N258" s="338"/>
      <c r="O258" s="223"/>
      <c r="P258" s="223"/>
      <c r="Q258" s="338"/>
      <c r="R258" s="338"/>
      <c r="S258" s="338"/>
      <c r="T258" s="338"/>
      <c r="U258" s="338"/>
      <c r="V258" s="338"/>
      <c r="W258" s="338"/>
      <c r="X258" s="338"/>
      <c r="Y258" s="338"/>
      <c r="Z258" s="338"/>
      <c r="AA258" s="208"/>
      <c r="AB258" s="214" t="s">
        <v>145</v>
      </c>
      <c r="AD258" s="219" t="s">
        <v>130</v>
      </c>
      <c r="AE258" s="217"/>
      <c r="AF258" s="213">
        <f>IF(OR(D256="Show",D256="",Q256="Show",Q256=""),1,0)</f>
        <v>0</v>
      </c>
      <c r="AG258" s="213">
        <f>IF(AND(SUM(AF:AF)&gt;0,OR(AND(D256="Show",D258=""),AND(Q256="Show",Q258=""))),1,0)</f>
        <v>0</v>
      </c>
    </row>
    <row r="259" spans="1:33" ht="8.5" hidden="1" customHeight="1" x14ac:dyDescent="0.15">
      <c r="A259" s="212" t="str">
        <f t="shared" si="42"/>
        <v/>
      </c>
      <c r="B259" s="213">
        <f>B258</f>
        <v>0</v>
      </c>
      <c r="D259" s="335"/>
      <c r="E259" s="335"/>
      <c r="F259" s="335"/>
      <c r="G259" s="335"/>
      <c r="H259" s="335"/>
      <c r="I259" s="335"/>
      <c r="J259" s="335"/>
      <c r="K259" s="335"/>
      <c r="L259" s="335"/>
      <c r="M259" s="335"/>
      <c r="N259" s="335"/>
      <c r="O259" s="335"/>
      <c r="P259" s="335"/>
      <c r="Q259" s="335"/>
      <c r="R259" s="335"/>
      <c r="S259" s="335"/>
      <c r="T259" s="335"/>
      <c r="U259" s="335"/>
      <c r="V259" s="335"/>
      <c r="W259" s="335"/>
      <c r="X259" s="335"/>
      <c r="Y259" s="335"/>
      <c r="Z259" s="335"/>
      <c r="AA259" s="208"/>
      <c r="AD259" s="221" t="s">
        <v>129</v>
      </c>
      <c r="AE259" s="197"/>
      <c r="AF259" s="64"/>
      <c r="AG259" s="64"/>
    </row>
    <row r="260" spans="1:33" ht="15.75" hidden="1" customHeight="1" x14ac:dyDescent="0.2">
      <c r="A260" s="212"/>
      <c r="B260" s="213">
        <v>0</v>
      </c>
      <c r="D260" s="336" t="s">
        <v>334</v>
      </c>
      <c r="E260" s="336"/>
      <c r="F260" s="336"/>
      <c r="G260" s="336"/>
      <c r="H260" s="336"/>
      <c r="I260" s="336"/>
      <c r="J260" s="336"/>
      <c r="K260" s="336"/>
      <c r="L260" s="336"/>
      <c r="M260" s="336"/>
      <c r="N260" s="336"/>
      <c r="O260" s="336"/>
      <c r="P260" s="336"/>
      <c r="Q260" s="336"/>
      <c r="R260" s="336"/>
      <c r="S260" s="336"/>
      <c r="T260" s="336"/>
      <c r="U260" s="336"/>
      <c r="V260" s="336"/>
      <c r="W260" s="336"/>
      <c r="X260" s="336"/>
      <c r="Y260" s="336"/>
      <c r="Z260" s="336"/>
      <c r="AB260" s="225" t="s">
        <v>158</v>
      </c>
      <c r="AD260" s="221" t="s">
        <v>143</v>
      </c>
      <c r="AE260" s="118"/>
      <c r="AF260" s="64"/>
      <c r="AG260" s="64"/>
    </row>
    <row r="261" spans="1:33" ht="46.25" hidden="1" customHeight="1" x14ac:dyDescent="0.2">
      <c r="A261" s="212" t="str">
        <f>IF(AG261=1,"X","")</f>
        <v/>
      </c>
      <c r="B261" s="220">
        <v>0</v>
      </c>
      <c r="D261" s="339" t="s">
        <v>335</v>
      </c>
      <c r="E261" s="339"/>
      <c r="F261" s="339"/>
      <c r="G261" s="339"/>
      <c r="H261" s="339"/>
      <c r="I261" s="339"/>
      <c r="J261" s="339"/>
      <c r="K261" s="339"/>
      <c r="L261" s="339"/>
      <c r="M261" s="339"/>
      <c r="N261" s="339"/>
      <c r="O261" s="339"/>
      <c r="P261" s="339"/>
      <c r="Q261" s="339"/>
      <c r="R261" s="339"/>
      <c r="S261" s="339"/>
      <c r="T261" s="339"/>
      <c r="U261" s="339"/>
      <c r="V261" s="339"/>
      <c r="W261" s="339"/>
      <c r="X261" s="339"/>
      <c r="Y261" s="339"/>
      <c r="Z261" s="339"/>
      <c r="AB261" s="214" t="s">
        <v>132</v>
      </c>
      <c r="AD261" s="219" t="s">
        <v>130</v>
      </c>
      <c r="AE261" s="217"/>
      <c r="AF261" s="213">
        <f>IF(B261&lt;&gt;"",1,0)</f>
        <v>1</v>
      </c>
      <c r="AG261" s="213">
        <f>IF(AND(SUM(AF:AF)&gt;0,B261=""),1,0)</f>
        <v>0</v>
      </c>
    </row>
    <row r="262" spans="1:33" ht="46.25" hidden="1" customHeight="1" x14ac:dyDescent="0.2">
      <c r="A262" s="212" t="str">
        <f>IF(AG262=1,"X","")</f>
        <v/>
      </c>
      <c r="B262" s="220">
        <v>0</v>
      </c>
      <c r="D262" s="339" t="s">
        <v>336</v>
      </c>
      <c r="E262" s="339"/>
      <c r="F262" s="339"/>
      <c r="G262" s="339"/>
      <c r="H262" s="339"/>
      <c r="I262" s="339"/>
      <c r="J262" s="339"/>
      <c r="K262" s="339"/>
      <c r="L262" s="339"/>
      <c r="M262" s="339"/>
      <c r="N262" s="339"/>
      <c r="O262" s="339"/>
      <c r="P262" s="339"/>
      <c r="Q262" s="339"/>
      <c r="R262" s="339"/>
      <c r="S262" s="339"/>
      <c r="T262" s="339"/>
      <c r="U262" s="339"/>
      <c r="V262" s="339"/>
      <c r="W262" s="339"/>
      <c r="X262" s="339"/>
      <c r="Y262" s="339"/>
      <c r="Z262" s="339"/>
      <c r="AB262" s="214" t="s">
        <v>132</v>
      </c>
      <c r="AD262" s="219" t="s">
        <v>130</v>
      </c>
      <c r="AE262" s="217"/>
      <c r="AF262" s="213">
        <f>IF(B262&lt;&gt;"",1,0)</f>
        <v>1</v>
      </c>
      <c r="AG262" s="213">
        <f>IF(AND(SUM(AF:AF)&gt;0,B262=""),1,0)</f>
        <v>0</v>
      </c>
    </row>
    <row r="263" spans="1:33" ht="57.75" hidden="1" customHeight="1" x14ac:dyDescent="0.2">
      <c r="A263" s="212" t="str">
        <f>IF(AG263=1,"X","")</f>
        <v/>
      </c>
      <c r="B263" s="220">
        <v>0</v>
      </c>
      <c r="D263" s="339" t="s">
        <v>337</v>
      </c>
      <c r="E263" s="339"/>
      <c r="F263" s="339"/>
      <c r="G263" s="339"/>
      <c r="H263" s="339"/>
      <c r="I263" s="339"/>
      <c r="J263" s="339"/>
      <c r="K263" s="339"/>
      <c r="L263" s="339"/>
      <c r="M263" s="339"/>
      <c r="N263" s="339"/>
      <c r="O263" s="339"/>
      <c r="P263" s="339"/>
      <c r="Q263" s="339"/>
      <c r="R263" s="339"/>
      <c r="S263" s="339"/>
      <c r="T263" s="339"/>
      <c r="U263" s="339"/>
      <c r="V263" s="339"/>
      <c r="W263" s="339"/>
      <c r="X263" s="339"/>
      <c r="Y263" s="339"/>
      <c r="Z263" s="339"/>
      <c r="AB263" s="214" t="s">
        <v>132</v>
      </c>
      <c r="AD263" s="219" t="s">
        <v>130</v>
      </c>
      <c r="AE263" s="217"/>
      <c r="AF263" s="213">
        <f>IF(B263&lt;&gt;"",1,0)</f>
        <v>1</v>
      </c>
      <c r="AG263" s="213">
        <f>IF(AND(SUM(AF:AF)&gt;0,B263=""),1,0)</f>
        <v>0</v>
      </c>
    </row>
    <row r="264" spans="1:33" ht="31" customHeight="1" x14ac:dyDescent="0.15">
      <c r="A264" s="212" t="str">
        <f t="shared" ref="A264:A265" si="43">IF(AG264=1,"X","")</f>
        <v/>
      </c>
      <c r="B264" s="213">
        <f>B265</f>
        <v>1</v>
      </c>
      <c r="D264" s="356" t="s">
        <v>287</v>
      </c>
      <c r="E264" s="356"/>
      <c r="F264" s="356"/>
      <c r="G264" s="356"/>
      <c r="H264" s="356"/>
      <c r="I264" s="356"/>
      <c r="J264" s="356"/>
      <c r="K264" s="356"/>
      <c r="L264" s="356"/>
      <c r="M264" s="356"/>
      <c r="N264" s="356"/>
      <c r="O264" s="356"/>
      <c r="P264" s="356"/>
      <c r="Q264" s="356"/>
      <c r="R264" s="356"/>
      <c r="S264" s="356"/>
      <c r="T264" s="356"/>
      <c r="U264" s="356"/>
      <c r="V264" s="356"/>
      <c r="W264" s="356"/>
      <c r="X264" s="356"/>
      <c r="Y264" s="356"/>
      <c r="Z264" s="356"/>
      <c r="AA264" s="206"/>
      <c r="AB264" s="214" t="s">
        <v>132</v>
      </c>
      <c r="AD264" s="219" t="s">
        <v>130</v>
      </c>
      <c r="AE264" s="217"/>
      <c r="AF264" s="213">
        <f>IF(B264&lt;&gt;0,1,0)</f>
        <v>1</v>
      </c>
      <c r="AG264" s="213">
        <f>IF(AND(SUM(AF:AF)&gt;0,B264=""),1,0)</f>
        <v>0</v>
      </c>
    </row>
    <row r="265" spans="1:33" s="202" customFormat="1" ht="47.25" customHeight="1" x14ac:dyDescent="0.2">
      <c r="A265" s="212" t="str">
        <f t="shared" si="43"/>
        <v/>
      </c>
      <c r="B265" s="220">
        <v>1</v>
      </c>
      <c r="C265" s="201"/>
      <c r="D265" s="361" t="s">
        <v>434</v>
      </c>
      <c r="E265" s="361"/>
      <c r="F265" s="361"/>
      <c r="G265" s="361"/>
      <c r="H265" s="361"/>
      <c r="I265" s="361"/>
      <c r="J265" s="361"/>
      <c r="K265" s="361"/>
      <c r="L265" s="361"/>
      <c r="M265" s="361"/>
      <c r="N265" s="361"/>
      <c r="O265" s="361"/>
      <c r="P265" s="361"/>
      <c r="Q265" s="361"/>
      <c r="R265" s="361"/>
      <c r="S265" s="361"/>
      <c r="T265" s="361"/>
      <c r="U265" s="361"/>
      <c r="V265" s="361"/>
      <c r="W265" s="361"/>
      <c r="X265" s="361"/>
      <c r="Y265" s="361"/>
      <c r="Z265" s="361"/>
      <c r="AA265" s="205"/>
      <c r="AB265" s="214" t="s">
        <v>132</v>
      </c>
      <c r="AC265" s="200"/>
      <c r="AD265" s="219" t="s">
        <v>130</v>
      </c>
      <c r="AE265" s="217"/>
      <c r="AF265" s="213">
        <f t="shared" ref="AF265" si="44">IF(B265&lt;&gt;"",1,0)</f>
        <v>1</v>
      </c>
      <c r="AG265" s="213">
        <f>IF(AND(SUM(AF:AF)&gt;0,OR(AND(B265=1,D265=""),AND(B265="",D265=""),AND(B265="",D265&lt;&gt;""),AND(B265=0,D265&lt;&gt;""))),1,0)</f>
        <v>0</v>
      </c>
    </row>
    <row r="266" spans="1:33" ht="8.5" customHeight="1" x14ac:dyDescent="0.15">
      <c r="A266" s="212" t="str">
        <f t="shared" si="10"/>
        <v/>
      </c>
      <c r="B266" s="213">
        <v>1</v>
      </c>
      <c r="D266" s="335"/>
      <c r="E266" s="335"/>
      <c r="F266" s="335"/>
      <c r="G266" s="335"/>
      <c r="H266" s="335"/>
      <c r="I266" s="335"/>
      <c r="J266" s="335"/>
      <c r="K266" s="335"/>
      <c r="L266" s="335"/>
      <c r="M266" s="335"/>
      <c r="N266" s="335"/>
      <c r="O266" s="335"/>
      <c r="P266" s="335"/>
      <c r="Q266" s="335"/>
      <c r="R266" s="335"/>
      <c r="S266" s="335"/>
      <c r="T266" s="335"/>
      <c r="U266" s="335"/>
      <c r="V266" s="335"/>
      <c r="W266" s="335"/>
      <c r="X266" s="335"/>
      <c r="Y266" s="335"/>
      <c r="Z266" s="335"/>
      <c r="AD266" s="221" t="s">
        <v>129</v>
      </c>
      <c r="AE266" s="197"/>
      <c r="AF266" s="64"/>
      <c r="AG266" s="64"/>
    </row>
    <row r="267" spans="1:33" ht="28.5" customHeight="1" x14ac:dyDescent="0.15">
      <c r="A267" s="212" t="str">
        <f t="shared" si="10"/>
        <v/>
      </c>
      <c r="B267" s="213">
        <v>1</v>
      </c>
      <c r="D267" s="364" t="s">
        <v>139</v>
      </c>
      <c r="E267" s="364"/>
      <c r="F267" s="364"/>
      <c r="G267" s="364"/>
      <c r="H267" s="364"/>
      <c r="I267" s="364"/>
      <c r="J267" s="364"/>
      <c r="K267" s="364"/>
      <c r="L267" s="364"/>
      <c r="M267" s="364"/>
      <c r="N267" s="364"/>
      <c r="O267" s="364"/>
      <c r="P267" s="364"/>
      <c r="Q267" s="364"/>
      <c r="R267" s="364"/>
      <c r="S267" s="364"/>
      <c r="T267" s="364"/>
      <c r="U267" s="364"/>
      <c r="V267" s="364"/>
      <c r="W267" s="364"/>
      <c r="X267" s="364"/>
      <c r="Y267" s="364"/>
      <c r="Z267" s="364"/>
      <c r="AD267" s="221" t="s">
        <v>129</v>
      </c>
      <c r="AE267" s="197"/>
      <c r="AF267" s="64"/>
      <c r="AG267" s="64"/>
    </row>
    <row r="268" spans="1:33" ht="8.5" customHeight="1" x14ac:dyDescent="0.15">
      <c r="A268" s="212" t="str">
        <f t="shared" si="10"/>
        <v/>
      </c>
      <c r="B268" s="213">
        <v>1</v>
      </c>
      <c r="D268" s="335"/>
      <c r="E268" s="335"/>
      <c r="F268" s="335"/>
      <c r="G268" s="335"/>
      <c r="H268" s="335"/>
      <c r="I268" s="335"/>
      <c r="J268" s="335"/>
      <c r="K268" s="335"/>
      <c r="L268" s="335"/>
      <c r="M268" s="335"/>
      <c r="N268" s="335"/>
      <c r="O268" s="335"/>
      <c r="P268" s="335"/>
      <c r="Q268" s="335"/>
      <c r="R268" s="335"/>
      <c r="S268" s="335"/>
      <c r="T268" s="335"/>
      <c r="U268" s="335"/>
      <c r="V268" s="335"/>
      <c r="W268" s="335"/>
      <c r="X268" s="335"/>
      <c r="Y268" s="335"/>
      <c r="Z268" s="335"/>
      <c r="AD268" s="221" t="s">
        <v>129</v>
      </c>
      <c r="AE268" s="197"/>
      <c r="AF268" s="64"/>
      <c r="AG268" s="64"/>
    </row>
    <row r="269" spans="1:33" ht="27" x14ac:dyDescent="0.2">
      <c r="A269" s="212" t="str">
        <f>IF(AG269=1,"X","")</f>
        <v/>
      </c>
      <c r="B269" s="213">
        <f>IF(Costing!E14="Steven Robinson",1,0)</f>
        <v>1</v>
      </c>
      <c r="D269" s="367" t="s">
        <v>120</v>
      </c>
      <c r="E269" s="368"/>
      <c r="F269" s="368"/>
      <c r="G269" s="368"/>
      <c r="H269" s="368"/>
      <c r="I269" s="368"/>
      <c r="J269" s="368"/>
      <c r="K269" s="368"/>
      <c r="L269" s="368"/>
      <c r="M269" s="368"/>
      <c r="N269" s="246"/>
      <c r="O269" s="246"/>
      <c r="P269" s="246"/>
      <c r="Q269" s="246"/>
      <c r="R269" s="246"/>
      <c r="S269" s="246"/>
      <c r="T269" s="246"/>
      <c r="U269" s="246"/>
      <c r="V269" s="246"/>
      <c r="W269" s="246"/>
      <c r="X269" s="246"/>
      <c r="Y269" s="246"/>
      <c r="Z269" s="246"/>
      <c r="AD269" s="221" t="s">
        <v>141</v>
      </c>
      <c r="AE269" s="222"/>
      <c r="AF269" s="64"/>
      <c r="AG269" s="64"/>
    </row>
    <row r="270" spans="1:33" x14ac:dyDescent="0.2">
      <c r="A270" s="212" t="str">
        <f>IF(AG270=1,"X","")</f>
        <v/>
      </c>
      <c r="B270" s="213">
        <f>B269</f>
        <v>1</v>
      </c>
      <c r="D270" s="366" t="s">
        <v>121</v>
      </c>
      <c r="E270" s="366"/>
      <c r="F270" s="366"/>
      <c r="G270" s="366"/>
      <c r="H270" s="366"/>
      <c r="I270" s="366"/>
      <c r="J270" s="366"/>
      <c r="K270" s="246"/>
      <c r="L270" s="246"/>
      <c r="M270" s="246"/>
      <c r="N270" s="246"/>
      <c r="O270" s="246"/>
      <c r="P270" s="246"/>
      <c r="Q270" s="246"/>
      <c r="R270" s="246"/>
      <c r="S270" s="246"/>
      <c r="T270" s="246"/>
      <c r="U270" s="246"/>
      <c r="V270" s="246"/>
      <c r="W270" s="246"/>
      <c r="X270" s="246"/>
      <c r="Y270" s="246"/>
      <c r="Z270" s="246"/>
      <c r="AD270" s="221" t="s">
        <v>141</v>
      </c>
      <c r="AE270" s="222"/>
      <c r="AF270" s="64"/>
      <c r="AG270" s="64"/>
    </row>
    <row r="271" spans="1:33" x14ac:dyDescent="0.2">
      <c r="B271" s="213">
        <f>B270</f>
        <v>1</v>
      </c>
      <c r="D271" s="366" t="s">
        <v>119</v>
      </c>
      <c r="E271" s="366"/>
      <c r="F271" s="366"/>
      <c r="G271" s="366"/>
      <c r="H271" s="366"/>
      <c r="I271" s="366"/>
      <c r="J271" s="366"/>
      <c r="K271" s="366"/>
      <c r="L271" s="366"/>
      <c r="M271" s="366"/>
      <c r="N271" s="246"/>
      <c r="O271" s="246"/>
      <c r="P271" s="246"/>
      <c r="Q271" s="246"/>
      <c r="R271" s="246"/>
      <c r="S271" s="246"/>
      <c r="T271" s="246"/>
      <c r="U271" s="246"/>
      <c r="V271" s="246"/>
      <c r="W271" s="246"/>
      <c r="X271" s="246"/>
      <c r="Y271" s="246"/>
      <c r="Z271" s="246"/>
      <c r="AD271" s="221" t="s">
        <v>141</v>
      </c>
      <c r="AE271" s="222"/>
      <c r="AF271" s="64"/>
      <c r="AG271" s="64"/>
    </row>
    <row r="272" spans="1:33" ht="27" hidden="1" x14ac:dyDescent="0.2">
      <c r="A272" s="212" t="str">
        <f t="shared" si="10"/>
        <v/>
      </c>
      <c r="B272" s="213">
        <f>IF(Costing!E14="Graeme Hazel",1,0)</f>
        <v>0</v>
      </c>
      <c r="D272" s="367" t="s">
        <v>118</v>
      </c>
      <c r="E272" s="368"/>
      <c r="F272" s="368"/>
      <c r="G272" s="368"/>
      <c r="H272" s="368"/>
      <c r="I272" s="368"/>
      <c r="J272" s="368"/>
      <c r="K272" s="368"/>
      <c r="L272" s="368"/>
      <c r="M272" s="368"/>
      <c r="N272" s="246"/>
      <c r="O272" s="246"/>
      <c r="P272" s="246"/>
      <c r="Q272" s="246"/>
      <c r="R272" s="246"/>
      <c r="S272" s="246"/>
      <c r="T272" s="246"/>
      <c r="U272" s="246"/>
      <c r="V272" s="246"/>
      <c r="W272" s="246"/>
      <c r="X272" s="246"/>
      <c r="Y272" s="246"/>
      <c r="Z272" s="246"/>
      <c r="AD272" s="221" t="s">
        <v>141</v>
      </c>
      <c r="AE272" s="222"/>
      <c r="AF272" s="64"/>
      <c r="AG272" s="64"/>
    </row>
    <row r="273" spans="1:33" hidden="1" x14ac:dyDescent="0.2">
      <c r="A273" s="212" t="str">
        <f t="shared" si="10"/>
        <v/>
      </c>
      <c r="B273" s="213">
        <f>B272</f>
        <v>0</v>
      </c>
      <c r="D273" s="366" t="s">
        <v>118</v>
      </c>
      <c r="E273" s="366"/>
      <c r="F273" s="366"/>
      <c r="G273" s="366"/>
      <c r="H273" s="366"/>
      <c r="I273" s="366"/>
      <c r="J273" s="366"/>
      <c r="K273" s="366"/>
      <c r="L273" s="366"/>
      <c r="M273" s="366"/>
      <c r="N273" s="246"/>
      <c r="O273" s="246"/>
      <c r="P273" s="246"/>
      <c r="Q273" s="246"/>
      <c r="R273" s="246"/>
      <c r="S273" s="246"/>
      <c r="T273" s="246"/>
      <c r="U273" s="246"/>
      <c r="V273" s="246"/>
      <c r="W273" s="246"/>
      <c r="X273" s="246"/>
      <c r="Y273" s="246"/>
      <c r="Z273" s="246"/>
      <c r="AD273" s="221" t="s">
        <v>141</v>
      </c>
      <c r="AE273" s="222"/>
      <c r="AF273" s="64"/>
      <c r="AG273" s="64"/>
    </row>
    <row r="274" spans="1:33" hidden="1" x14ac:dyDescent="0.2">
      <c r="A274" s="212" t="str">
        <f t="shared" si="10"/>
        <v/>
      </c>
      <c r="B274" s="213">
        <f>B273</f>
        <v>0</v>
      </c>
      <c r="D274" s="366" t="s">
        <v>119</v>
      </c>
      <c r="E274" s="366"/>
      <c r="F274" s="366"/>
      <c r="G274" s="366"/>
      <c r="H274" s="366"/>
      <c r="I274" s="366"/>
      <c r="J274" s="366"/>
      <c r="K274" s="366"/>
      <c r="L274" s="366"/>
      <c r="M274" s="366"/>
      <c r="N274" s="246"/>
      <c r="O274" s="246"/>
      <c r="P274" s="246"/>
      <c r="Q274" s="246"/>
      <c r="R274" s="246"/>
      <c r="S274" s="246"/>
      <c r="T274" s="246"/>
      <c r="U274" s="246"/>
      <c r="V274" s="246"/>
      <c r="W274" s="246"/>
      <c r="X274" s="246"/>
      <c r="Y274" s="246"/>
      <c r="Z274" s="246"/>
      <c r="AD274" s="221" t="s">
        <v>141</v>
      </c>
      <c r="AE274" s="222"/>
      <c r="AF274" s="64"/>
      <c r="AG274" s="64"/>
    </row>
    <row r="275" spans="1:33" ht="30" hidden="1" x14ac:dyDescent="0.2">
      <c r="A275" s="212" t="str">
        <f t="shared" si="10"/>
        <v/>
      </c>
      <c r="B275" s="213">
        <f>IF(Costing!E14="Mike Davison",1,0)</f>
        <v>0</v>
      </c>
      <c r="D275" s="247" t="s">
        <v>122</v>
      </c>
      <c r="E275" s="246"/>
      <c r="F275" s="246"/>
      <c r="G275" s="246"/>
      <c r="H275" s="246"/>
      <c r="I275" s="246"/>
      <c r="J275" s="246"/>
      <c r="K275" s="246"/>
      <c r="L275" s="246"/>
      <c r="M275" s="246"/>
      <c r="N275" s="246"/>
      <c r="O275" s="246"/>
      <c r="P275" s="246"/>
      <c r="Q275" s="246"/>
      <c r="R275" s="246"/>
      <c r="S275" s="246"/>
      <c r="T275" s="246"/>
      <c r="U275" s="246"/>
      <c r="V275" s="246"/>
      <c r="W275" s="246"/>
      <c r="X275" s="246"/>
      <c r="Y275" s="246"/>
      <c r="Z275" s="246"/>
      <c r="AD275" s="221" t="s">
        <v>141</v>
      </c>
      <c r="AE275" s="222"/>
      <c r="AF275" s="64"/>
      <c r="AG275" s="64"/>
    </row>
    <row r="276" spans="1:33" hidden="1" x14ac:dyDescent="0.2">
      <c r="A276" s="212" t="str">
        <f t="shared" si="10"/>
        <v/>
      </c>
      <c r="B276" s="213">
        <f>B275</f>
        <v>0</v>
      </c>
      <c r="D276" s="366" t="s">
        <v>140</v>
      </c>
      <c r="E276" s="369"/>
      <c r="F276" s="369"/>
      <c r="G276" s="369"/>
      <c r="H276" s="369"/>
      <c r="I276" s="369"/>
      <c r="J276" s="369"/>
      <c r="K276" s="369"/>
      <c r="L276" s="369"/>
      <c r="M276" s="369"/>
      <c r="N276" s="246"/>
      <c r="O276" s="246"/>
      <c r="P276" s="246"/>
      <c r="Q276" s="246"/>
      <c r="R276" s="246"/>
      <c r="S276" s="246"/>
      <c r="T276" s="246"/>
      <c r="U276" s="246"/>
      <c r="V276" s="246"/>
      <c r="W276" s="246"/>
      <c r="X276" s="246"/>
      <c r="Y276" s="246"/>
      <c r="Z276" s="246"/>
      <c r="AD276" s="221" t="s">
        <v>141</v>
      </c>
      <c r="AE276" s="222"/>
      <c r="AF276" s="64"/>
      <c r="AG276" s="64"/>
    </row>
    <row r="277" spans="1:33" hidden="1" x14ac:dyDescent="0.2">
      <c r="A277" s="212" t="str">
        <f t="shared" si="10"/>
        <v/>
      </c>
      <c r="B277" s="213">
        <f>B276</f>
        <v>0</v>
      </c>
      <c r="D277" s="246" t="s">
        <v>123</v>
      </c>
      <c r="E277" s="246"/>
      <c r="F277" s="246"/>
      <c r="G277" s="246"/>
      <c r="H277" s="246"/>
      <c r="I277" s="246"/>
      <c r="J277" s="246"/>
      <c r="K277" s="246"/>
      <c r="L277" s="246"/>
      <c r="M277" s="246"/>
      <c r="N277" s="246"/>
      <c r="O277" s="246"/>
      <c r="P277" s="246"/>
      <c r="Q277" s="246"/>
      <c r="R277" s="246"/>
      <c r="S277" s="246"/>
      <c r="T277" s="246"/>
      <c r="U277" s="246"/>
      <c r="V277" s="246"/>
      <c r="W277" s="246"/>
      <c r="X277" s="246"/>
      <c r="Y277" s="246"/>
      <c r="Z277" s="246"/>
      <c r="AD277" s="221" t="s">
        <v>141</v>
      </c>
      <c r="AE277" s="222"/>
      <c r="AF277" s="64"/>
      <c r="AG277" s="64"/>
    </row>
    <row r="278" spans="1:33" s="202" customFormat="1" ht="31" hidden="1" customHeight="1" x14ac:dyDescent="0.15">
      <c r="A278" s="212" t="str">
        <f t="shared" si="10"/>
        <v/>
      </c>
      <c r="B278" s="220">
        <v>0</v>
      </c>
      <c r="C278" s="201"/>
      <c r="D278" s="356" t="s">
        <v>163</v>
      </c>
      <c r="E278" s="356"/>
      <c r="F278" s="356"/>
      <c r="G278" s="356"/>
      <c r="H278" s="356"/>
      <c r="I278" s="356"/>
      <c r="J278" s="356"/>
      <c r="K278" s="356"/>
      <c r="L278" s="356"/>
      <c r="M278" s="356"/>
      <c r="N278" s="356"/>
      <c r="O278" s="356"/>
      <c r="P278" s="356"/>
      <c r="Q278" s="356"/>
      <c r="R278" s="356"/>
      <c r="S278" s="356"/>
      <c r="T278" s="356"/>
      <c r="U278" s="356"/>
      <c r="V278" s="356"/>
      <c r="W278" s="356"/>
      <c r="X278" s="356"/>
      <c r="Y278" s="356"/>
      <c r="Z278" s="356"/>
      <c r="AB278" s="225" t="s">
        <v>155</v>
      </c>
      <c r="AC278" s="200"/>
      <c r="AD278" s="221" t="s">
        <v>129</v>
      </c>
      <c r="AE278" s="197"/>
      <c r="AF278" s="64"/>
      <c r="AG278" s="64"/>
    </row>
    <row r="279" spans="1:33" hidden="1" x14ac:dyDescent="0.15">
      <c r="B279" s="213">
        <f>B278</f>
        <v>0</v>
      </c>
      <c r="D279" s="335"/>
      <c r="E279" s="335"/>
      <c r="F279" s="335"/>
      <c r="G279" s="335"/>
      <c r="H279" s="335"/>
      <c r="I279" s="335"/>
      <c r="J279" s="335"/>
      <c r="K279" s="335"/>
      <c r="L279" s="335"/>
      <c r="M279" s="335"/>
      <c r="N279" s="335"/>
      <c r="O279" s="335"/>
      <c r="P279" s="335"/>
      <c r="Q279" s="335"/>
      <c r="R279" s="335"/>
      <c r="S279" s="335"/>
      <c r="T279" s="335"/>
      <c r="U279" s="335"/>
      <c r="V279" s="335"/>
      <c r="W279" s="335"/>
      <c r="X279" s="335"/>
      <c r="Y279" s="335"/>
      <c r="Z279" s="335"/>
      <c r="AB279" s="225" t="s">
        <v>155</v>
      </c>
      <c r="AD279" s="221" t="s">
        <v>129</v>
      </c>
      <c r="AE279" s="197"/>
      <c r="AF279" s="64"/>
      <c r="AG279" s="64"/>
    </row>
    <row r="280" spans="1:33" hidden="1" x14ac:dyDescent="0.15">
      <c r="B280" s="213">
        <f t="shared" ref="B280:B321" si="45">B279</f>
        <v>0</v>
      </c>
      <c r="D280" s="335"/>
      <c r="E280" s="335"/>
      <c r="F280" s="335"/>
      <c r="G280" s="335"/>
      <c r="H280" s="335"/>
      <c r="I280" s="335"/>
      <c r="J280" s="335"/>
      <c r="K280" s="335"/>
      <c r="L280" s="335"/>
      <c r="M280" s="335"/>
      <c r="N280" s="335"/>
      <c r="O280" s="335"/>
      <c r="P280" s="335"/>
      <c r="Q280" s="335"/>
      <c r="R280" s="335"/>
      <c r="S280" s="335"/>
      <c r="T280" s="335"/>
      <c r="U280" s="335"/>
      <c r="V280" s="335"/>
      <c r="W280" s="335"/>
      <c r="X280" s="335"/>
      <c r="Y280" s="335"/>
      <c r="Z280" s="335"/>
      <c r="AB280" s="225" t="s">
        <v>155</v>
      </c>
      <c r="AD280" s="221" t="s">
        <v>129</v>
      </c>
      <c r="AE280" s="197"/>
      <c r="AF280" s="64"/>
      <c r="AG280" s="64"/>
    </row>
    <row r="281" spans="1:33" hidden="1" x14ac:dyDescent="0.15">
      <c r="B281" s="213">
        <f t="shared" si="45"/>
        <v>0</v>
      </c>
      <c r="D281" s="335"/>
      <c r="E281" s="335"/>
      <c r="F281" s="335"/>
      <c r="G281" s="335"/>
      <c r="H281" s="335"/>
      <c r="I281" s="335"/>
      <c r="J281" s="335"/>
      <c r="K281" s="335"/>
      <c r="L281" s="335"/>
      <c r="M281" s="335"/>
      <c r="N281" s="335"/>
      <c r="O281" s="335"/>
      <c r="P281" s="335"/>
      <c r="Q281" s="335"/>
      <c r="R281" s="335"/>
      <c r="S281" s="335"/>
      <c r="T281" s="335"/>
      <c r="U281" s="335"/>
      <c r="V281" s="335"/>
      <c r="W281" s="335"/>
      <c r="X281" s="335"/>
      <c r="Y281" s="335"/>
      <c r="Z281" s="335"/>
      <c r="AB281" s="225" t="s">
        <v>155</v>
      </c>
      <c r="AD281" s="221" t="s">
        <v>129</v>
      </c>
      <c r="AE281" s="197"/>
      <c r="AF281" s="64"/>
      <c r="AG281" s="64"/>
    </row>
    <row r="282" spans="1:33" hidden="1" x14ac:dyDescent="0.15">
      <c r="B282" s="213">
        <f t="shared" si="45"/>
        <v>0</v>
      </c>
      <c r="D282" s="335"/>
      <c r="E282" s="335"/>
      <c r="F282" s="335"/>
      <c r="G282" s="335"/>
      <c r="H282" s="335"/>
      <c r="I282" s="335"/>
      <c r="J282" s="335"/>
      <c r="K282" s="335"/>
      <c r="L282" s="335"/>
      <c r="M282" s="335"/>
      <c r="N282" s="335"/>
      <c r="O282" s="335"/>
      <c r="P282" s="335"/>
      <c r="Q282" s="335"/>
      <c r="R282" s="335"/>
      <c r="S282" s="335"/>
      <c r="T282" s="335"/>
      <c r="U282" s="335"/>
      <c r="V282" s="335"/>
      <c r="W282" s="335"/>
      <c r="X282" s="335"/>
      <c r="Y282" s="335"/>
      <c r="Z282" s="335"/>
      <c r="AB282" s="225" t="s">
        <v>155</v>
      </c>
      <c r="AD282" s="221" t="s">
        <v>129</v>
      </c>
      <c r="AE282" s="197"/>
      <c r="AF282" s="64"/>
      <c r="AG282" s="64"/>
    </row>
    <row r="283" spans="1:33" hidden="1" x14ac:dyDescent="0.15">
      <c r="B283" s="213">
        <f t="shared" si="45"/>
        <v>0</v>
      </c>
      <c r="D283" s="335"/>
      <c r="E283" s="335"/>
      <c r="F283" s="335"/>
      <c r="G283" s="335"/>
      <c r="H283" s="335"/>
      <c r="I283" s="335"/>
      <c r="J283" s="335"/>
      <c r="K283" s="335"/>
      <c r="L283" s="335"/>
      <c r="M283" s="335"/>
      <c r="N283" s="335"/>
      <c r="O283" s="335"/>
      <c r="P283" s="335"/>
      <c r="Q283" s="335"/>
      <c r="R283" s="335"/>
      <c r="S283" s="335"/>
      <c r="T283" s="335"/>
      <c r="U283" s="335"/>
      <c r="V283" s="335"/>
      <c r="W283" s="335"/>
      <c r="X283" s="335"/>
      <c r="Y283" s="335"/>
      <c r="Z283" s="335"/>
      <c r="AB283" s="225" t="s">
        <v>155</v>
      </c>
      <c r="AD283" s="221" t="s">
        <v>129</v>
      </c>
      <c r="AE283" s="197"/>
      <c r="AF283" s="64"/>
      <c r="AG283" s="64"/>
    </row>
    <row r="284" spans="1:33" hidden="1" x14ac:dyDescent="0.15">
      <c r="B284" s="213">
        <f t="shared" si="45"/>
        <v>0</v>
      </c>
      <c r="D284" s="335"/>
      <c r="E284" s="335"/>
      <c r="F284" s="335"/>
      <c r="G284" s="335"/>
      <c r="H284" s="335"/>
      <c r="I284" s="335"/>
      <c r="J284" s="335"/>
      <c r="K284" s="335"/>
      <c r="L284" s="335"/>
      <c r="M284" s="335"/>
      <c r="N284" s="335"/>
      <c r="O284" s="335"/>
      <c r="P284" s="335"/>
      <c r="Q284" s="335"/>
      <c r="R284" s="335"/>
      <c r="S284" s="335"/>
      <c r="T284" s="335"/>
      <c r="U284" s="335"/>
      <c r="V284" s="335"/>
      <c r="W284" s="335"/>
      <c r="X284" s="335"/>
      <c r="Y284" s="335"/>
      <c r="Z284" s="335"/>
      <c r="AB284" s="225" t="s">
        <v>155</v>
      </c>
      <c r="AD284" s="221" t="s">
        <v>129</v>
      </c>
      <c r="AE284" s="197"/>
      <c r="AF284" s="64"/>
      <c r="AG284" s="64"/>
    </row>
    <row r="285" spans="1:33" hidden="1" x14ac:dyDescent="0.15">
      <c r="B285" s="213">
        <f t="shared" si="45"/>
        <v>0</v>
      </c>
      <c r="D285" s="335"/>
      <c r="E285" s="335"/>
      <c r="F285" s="335"/>
      <c r="G285" s="335"/>
      <c r="H285" s="335"/>
      <c r="I285" s="335"/>
      <c r="J285" s="335"/>
      <c r="K285" s="335"/>
      <c r="L285" s="335"/>
      <c r="M285" s="335"/>
      <c r="N285" s="335"/>
      <c r="O285" s="335"/>
      <c r="P285" s="335"/>
      <c r="Q285" s="335"/>
      <c r="R285" s="335"/>
      <c r="S285" s="335"/>
      <c r="T285" s="335"/>
      <c r="U285" s="335"/>
      <c r="V285" s="335"/>
      <c r="W285" s="335"/>
      <c r="X285" s="335"/>
      <c r="Y285" s="335"/>
      <c r="Z285" s="335"/>
      <c r="AB285" s="225" t="s">
        <v>155</v>
      </c>
      <c r="AD285" s="221" t="s">
        <v>129</v>
      </c>
      <c r="AE285" s="197"/>
      <c r="AF285" s="64"/>
      <c r="AG285" s="64"/>
    </row>
    <row r="286" spans="1:33" hidden="1" x14ac:dyDescent="0.15">
      <c r="B286" s="213">
        <f t="shared" si="45"/>
        <v>0</v>
      </c>
      <c r="D286" s="335"/>
      <c r="E286" s="335"/>
      <c r="F286" s="335"/>
      <c r="G286" s="335"/>
      <c r="H286" s="335"/>
      <c r="I286" s="335"/>
      <c r="J286" s="335"/>
      <c r="K286" s="335"/>
      <c r="L286" s="335"/>
      <c r="M286" s="335"/>
      <c r="N286" s="335"/>
      <c r="O286" s="335"/>
      <c r="P286" s="335"/>
      <c r="Q286" s="335"/>
      <c r="R286" s="335"/>
      <c r="S286" s="335"/>
      <c r="T286" s="335"/>
      <c r="U286" s="335"/>
      <c r="V286" s="335"/>
      <c r="W286" s="335"/>
      <c r="X286" s="335"/>
      <c r="Y286" s="335"/>
      <c r="Z286" s="335"/>
      <c r="AB286" s="225" t="s">
        <v>155</v>
      </c>
      <c r="AD286" s="221" t="s">
        <v>129</v>
      </c>
      <c r="AE286" s="197"/>
      <c r="AF286" s="64"/>
      <c r="AG286" s="64"/>
    </row>
    <row r="287" spans="1:33" hidden="1" x14ac:dyDescent="0.15">
      <c r="B287" s="213">
        <f t="shared" si="45"/>
        <v>0</v>
      </c>
      <c r="D287" s="335"/>
      <c r="E287" s="335"/>
      <c r="F287" s="335"/>
      <c r="G287" s="335"/>
      <c r="H287" s="335"/>
      <c r="I287" s="335"/>
      <c r="J287" s="335"/>
      <c r="K287" s="335"/>
      <c r="L287" s="335"/>
      <c r="M287" s="335"/>
      <c r="N287" s="335"/>
      <c r="O287" s="335"/>
      <c r="P287" s="335"/>
      <c r="Q287" s="335"/>
      <c r="R287" s="335"/>
      <c r="S287" s="335"/>
      <c r="T287" s="335"/>
      <c r="U287" s="335"/>
      <c r="V287" s="335"/>
      <c r="W287" s="335"/>
      <c r="X287" s="335"/>
      <c r="Y287" s="335"/>
      <c r="Z287" s="335"/>
      <c r="AB287" s="225" t="s">
        <v>155</v>
      </c>
      <c r="AD287" s="221" t="s">
        <v>129</v>
      </c>
      <c r="AE287" s="197"/>
      <c r="AF287" s="64"/>
      <c r="AG287" s="64"/>
    </row>
    <row r="288" spans="1:33" hidden="1" x14ac:dyDescent="0.15">
      <c r="B288" s="213">
        <f t="shared" si="45"/>
        <v>0</v>
      </c>
      <c r="D288" s="335"/>
      <c r="E288" s="335"/>
      <c r="F288" s="335"/>
      <c r="G288" s="335"/>
      <c r="H288" s="335"/>
      <c r="I288" s="335"/>
      <c r="J288" s="335"/>
      <c r="K288" s="335"/>
      <c r="L288" s="335"/>
      <c r="M288" s="335"/>
      <c r="N288" s="335"/>
      <c r="O288" s="335"/>
      <c r="P288" s="335"/>
      <c r="Q288" s="335"/>
      <c r="R288" s="335"/>
      <c r="S288" s="335"/>
      <c r="T288" s="335"/>
      <c r="U288" s="335"/>
      <c r="V288" s="335"/>
      <c r="W288" s="335"/>
      <c r="X288" s="335"/>
      <c r="Y288" s="335"/>
      <c r="Z288" s="335"/>
      <c r="AB288" s="225" t="s">
        <v>155</v>
      </c>
      <c r="AD288" s="221" t="s">
        <v>129</v>
      </c>
      <c r="AE288" s="197"/>
      <c r="AF288" s="64"/>
      <c r="AG288" s="64"/>
    </row>
    <row r="289" spans="2:33" hidden="1" x14ac:dyDescent="0.15">
      <c r="B289" s="213">
        <f t="shared" si="45"/>
        <v>0</v>
      </c>
      <c r="D289" s="335"/>
      <c r="E289" s="335"/>
      <c r="F289" s="335"/>
      <c r="G289" s="335"/>
      <c r="H289" s="335"/>
      <c r="I289" s="335"/>
      <c r="J289" s="335"/>
      <c r="K289" s="335"/>
      <c r="L289" s="335"/>
      <c r="M289" s="335"/>
      <c r="N289" s="335"/>
      <c r="O289" s="335"/>
      <c r="P289" s="335"/>
      <c r="Q289" s="335"/>
      <c r="R289" s="335"/>
      <c r="S289" s="335"/>
      <c r="T289" s="335"/>
      <c r="U289" s="335"/>
      <c r="V289" s="335"/>
      <c r="W289" s="335"/>
      <c r="X289" s="335"/>
      <c r="Y289" s="335"/>
      <c r="Z289" s="335"/>
      <c r="AB289" s="225" t="s">
        <v>155</v>
      </c>
      <c r="AD289" s="221" t="s">
        <v>129</v>
      </c>
      <c r="AE289" s="197"/>
      <c r="AF289" s="64"/>
      <c r="AG289" s="64"/>
    </row>
    <row r="290" spans="2:33" hidden="1" x14ac:dyDescent="0.15">
      <c r="B290" s="213">
        <f t="shared" si="45"/>
        <v>0</v>
      </c>
      <c r="D290" s="335"/>
      <c r="E290" s="335"/>
      <c r="F290" s="335"/>
      <c r="G290" s="335"/>
      <c r="H290" s="335"/>
      <c r="I290" s="335"/>
      <c r="J290" s="335"/>
      <c r="K290" s="335"/>
      <c r="L290" s="335"/>
      <c r="M290" s="335"/>
      <c r="N290" s="335"/>
      <c r="O290" s="335"/>
      <c r="P290" s="335"/>
      <c r="Q290" s="335"/>
      <c r="R290" s="335"/>
      <c r="S290" s="335"/>
      <c r="T290" s="335"/>
      <c r="U290" s="335"/>
      <c r="V290" s="335"/>
      <c r="W290" s="335"/>
      <c r="X290" s="335"/>
      <c r="Y290" s="335"/>
      <c r="Z290" s="335"/>
      <c r="AB290" s="225" t="s">
        <v>155</v>
      </c>
      <c r="AD290" s="221" t="s">
        <v>129</v>
      </c>
      <c r="AE290" s="197"/>
      <c r="AF290" s="64"/>
      <c r="AG290" s="64"/>
    </row>
    <row r="291" spans="2:33" hidden="1" x14ac:dyDescent="0.15">
      <c r="B291" s="213">
        <f t="shared" si="45"/>
        <v>0</v>
      </c>
      <c r="D291" s="335"/>
      <c r="E291" s="335"/>
      <c r="F291" s="335"/>
      <c r="G291" s="335"/>
      <c r="H291" s="335"/>
      <c r="I291" s="335"/>
      <c r="J291" s="335"/>
      <c r="K291" s="335"/>
      <c r="L291" s="335"/>
      <c r="M291" s="335"/>
      <c r="N291" s="335"/>
      <c r="O291" s="335"/>
      <c r="P291" s="335"/>
      <c r="Q291" s="335"/>
      <c r="R291" s="335"/>
      <c r="S291" s="335"/>
      <c r="T291" s="335"/>
      <c r="U291" s="335"/>
      <c r="V291" s="335"/>
      <c r="W291" s="335"/>
      <c r="X291" s="335"/>
      <c r="Y291" s="335"/>
      <c r="Z291" s="335"/>
      <c r="AB291" s="225" t="s">
        <v>155</v>
      </c>
      <c r="AD291" s="221" t="s">
        <v>129</v>
      </c>
      <c r="AE291" s="197"/>
      <c r="AF291" s="64"/>
      <c r="AG291" s="64"/>
    </row>
    <row r="292" spans="2:33" hidden="1" x14ac:dyDescent="0.15">
      <c r="B292" s="213">
        <f t="shared" si="45"/>
        <v>0</v>
      </c>
      <c r="D292" s="335"/>
      <c r="E292" s="335"/>
      <c r="F292" s="335"/>
      <c r="G292" s="335"/>
      <c r="H292" s="335"/>
      <c r="I292" s="335"/>
      <c r="J292" s="335"/>
      <c r="K292" s="335"/>
      <c r="L292" s="335"/>
      <c r="M292" s="335"/>
      <c r="N292" s="335"/>
      <c r="O292" s="335"/>
      <c r="P292" s="335"/>
      <c r="Q292" s="335"/>
      <c r="R292" s="335"/>
      <c r="S292" s="335"/>
      <c r="T292" s="335"/>
      <c r="U292" s="335"/>
      <c r="V292" s="335"/>
      <c r="W292" s="335"/>
      <c r="X292" s="335"/>
      <c r="Y292" s="335"/>
      <c r="Z292" s="335"/>
      <c r="AB292" s="225" t="s">
        <v>155</v>
      </c>
      <c r="AD292" s="221" t="s">
        <v>129</v>
      </c>
      <c r="AE292" s="197"/>
      <c r="AF292" s="64"/>
      <c r="AG292" s="64"/>
    </row>
    <row r="293" spans="2:33" hidden="1" x14ac:dyDescent="0.15">
      <c r="B293" s="213">
        <f t="shared" si="45"/>
        <v>0</v>
      </c>
      <c r="D293" s="335"/>
      <c r="E293" s="335"/>
      <c r="F293" s="335"/>
      <c r="G293" s="335"/>
      <c r="H293" s="335"/>
      <c r="I293" s="335"/>
      <c r="J293" s="335"/>
      <c r="K293" s="335"/>
      <c r="L293" s="335"/>
      <c r="M293" s="335"/>
      <c r="N293" s="335"/>
      <c r="O293" s="335"/>
      <c r="P293" s="335"/>
      <c r="Q293" s="335"/>
      <c r="R293" s="335"/>
      <c r="S293" s="335"/>
      <c r="T293" s="335"/>
      <c r="U293" s="335"/>
      <c r="V293" s="335"/>
      <c r="W293" s="335"/>
      <c r="X293" s="335"/>
      <c r="Y293" s="335"/>
      <c r="Z293" s="335"/>
      <c r="AB293" s="225" t="s">
        <v>155</v>
      </c>
      <c r="AD293" s="221" t="s">
        <v>129</v>
      </c>
      <c r="AE293" s="197"/>
      <c r="AF293" s="64"/>
      <c r="AG293" s="64"/>
    </row>
    <row r="294" spans="2:33" hidden="1" x14ac:dyDescent="0.15">
      <c r="B294" s="213">
        <f t="shared" si="45"/>
        <v>0</v>
      </c>
      <c r="D294" s="335"/>
      <c r="E294" s="335"/>
      <c r="F294" s="335"/>
      <c r="G294" s="335"/>
      <c r="H294" s="335"/>
      <c r="I294" s="335"/>
      <c r="J294" s="335"/>
      <c r="K294" s="335"/>
      <c r="L294" s="335"/>
      <c r="M294" s="335"/>
      <c r="N294" s="335"/>
      <c r="O294" s="335"/>
      <c r="P294" s="335"/>
      <c r="Q294" s="335"/>
      <c r="R294" s="335"/>
      <c r="S294" s="335"/>
      <c r="T294" s="335"/>
      <c r="U294" s="335"/>
      <c r="V294" s="335"/>
      <c r="W294" s="335"/>
      <c r="X294" s="335"/>
      <c r="Y294" s="335"/>
      <c r="Z294" s="335"/>
      <c r="AB294" s="225" t="s">
        <v>155</v>
      </c>
      <c r="AD294" s="221" t="s">
        <v>129</v>
      </c>
      <c r="AE294" s="197"/>
      <c r="AF294" s="64"/>
      <c r="AG294" s="64"/>
    </row>
    <row r="295" spans="2:33" hidden="1" x14ac:dyDescent="0.15">
      <c r="B295" s="213">
        <f t="shared" si="45"/>
        <v>0</v>
      </c>
      <c r="D295" s="335"/>
      <c r="E295" s="335"/>
      <c r="F295" s="335"/>
      <c r="G295" s="335"/>
      <c r="H295" s="335"/>
      <c r="I295" s="335"/>
      <c r="J295" s="335"/>
      <c r="K295" s="335"/>
      <c r="L295" s="335"/>
      <c r="M295" s="335"/>
      <c r="N295" s="335"/>
      <c r="O295" s="335"/>
      <c r="P295" s="335"/>
      <c r="Q295" s="335"/>
      <c r="R295" s="335"/>
      <c r="S295" s="335"/>
      <c r="T295" s="335"/>
      <c r="U295" s="335"/>
      <c r="V295" s="335"/>
      <c r="W295" s="335"/>
      <c r="X295" s="335"/>
      <c r="Y295" s="335"/>
      <c r="Z295" s="335"/>
      <c r="AB295" s="225" t="s">
        <v>155</v>
      </c>
      <c r="AD295" s="221" t="s">
        <v>129</v>
      </c>
      <c r="AE295" s="197"/>
      <c r="AF295" s="64"/>
      <c r="AG295" s="64"/>
    </row>
    <row r="296" spans="2:33" hidden="1" x14ac:dyDescent="0.15">
      <c r="B296" s="213">
        <f t="shared" si="45"/>
        <v>0</v>
      </c>
      <c r="D296" s="335"/>
      <c r="E296" s="335"/>
      <c r="F296" s="335"/>
      <c r="G296" s="335"/>
      <c r="H296" s="335"/>
      <c r="I296" s="335"/>
      <c r="J296" s="335"/>
      <c r="K296" s="335"/>
      <c r="L296" s="335"/>
      <c r="M296" s="335"/>
      <c r="N296" s="335"/>
      <c r="O296" s="335"/>
      <c r="P296" s="335"/>
      <c r="Q296" s="335"/>
      <c r="R296" s="335"/>
      <c r="S296" s="335"/>
      <c r="T296" s="335"/>
      <c r="U296" s="335"/>
      <c r="V296" s="335"/>
      <c r="W296" s="335"/>
      <c r="X296" s="335"/>
      <c r="Y296" s="335"/>
      <c r="Z296" s="335"/>
      <c r="AB296" s="225" t="s">
        <v>155</v>
      </c>
      <c r="AD296" s="221" t="s">
        <v>129</v>
      </c>
      <c r="AE296" s="197"/>
      <c r="AF296" s="64"/>
      <c r="AG296" s="64"/>
    </row>
    <row r="297" spans="2:33" hidden="1" x14ac:dyDescent="0.15">
      <c r="B297" s="213">
        <f t="shared" si="45"/>
        <v>0</v>
      </c>
      <c r="D297" s="335"/>
      <c r="E297" s="335"/>
      <c r="F297" s="335"/>
      <c r="G297" s="335"/>
      <c r="H297" s="335"/>
      <c r="I297" s="335"/>
      <c r="J297" s="335"/>
      <c r="K297" s="335"/>
      <c r="L297" s="335"/>
      <c r="M297" s="335"/>
      <c r="N297" s="335"/>
      <c r="O297" s="335"/>
      <c r="P297" s="335"/>
      <c r="Q297" s="335"/>
      <c r="R297" s="335"/>
      <c r="S297" s="335"/>
      <c r="T297" s="335"/>
      <c r="U297" s="335"/>
      <c r="V297" s="335"/>
      <c r="W297" s="335"/>
      <c r="X297" s="335"/>
      <c r="Y297" s="335"/>
      <c r="Z297" s="335"/>
      <c r="AB297" s="225" t="s">
        <v>155</v>
      </c>
      <c r="AD297" s="221" t="s">
        <v>129</v>
      </c>
      <c r="AE297" s="197"/>
      <c r="AF297" s="64"/>
      <c r="AG297" s="64"/>
    </row>
    <row r="298" spans="2:33" hidden="1" x14ac:dyDescent="0.15">
      <c r="B298" s="213">
        <f t="shared" si="45"/>
        <v>0</v>
      </c>
      <c r="D298" s="335"/>
      <c r="E298" s="335"/>
      <c r="F298" s="335"/>
      <c r="G298" s="335"/>
      <c r="H298" s="335"/>
      <c r="I298" s="335"/>
      <c r="J298" s="335"/>
      <c r="K298" s="335"/>
      <c r="L298" s="335"/>
      <c r="M298" s="335"/>
      <c r="N298" s="335"/>
      <c r="O298" s="335"/>
      <c r="P298" s="335"/>
      <c r="Q298" s="335"/>
      <c r="R298" s="335"/>
      <c r="S298" s="335"/>
      <c r="T298" s="335"/>
      <c r="U298" s="335"/>
      <c r="V298" s="335"/>
      <c r="W298" s="335"/>
      <c r="X298" s="335"/>
      <c r="Y298" s="335"/>
      <c r="Z298" s="335"/>
      <c r="AB298" s="225" t="s">
        <v>155</v>
      </c>
      <c r="AD298" s="221" t="s">
        <v>129</v>
      </c>
      <c r="AE298" s="197"/>
      <c r="AF298" s="64"/>
      <c r="AG298" s="64"/>
    </row>
    <row r="299" spans="2:33" hidden="1" x14ac:dyDescent="0.15">
      <c r="B299" s="213">
        <f t="shared" si="45"/>
        <v>0</v>
      </c>
      <c r="D299" s="335"/>
      <c r="E299" s="335"/>
      <c r="F299" s="335"/>
      <c r="G299" s="335"/>
      <c r="H299" s="335"/>
      <c r="I299" s="335"/>
      <c r="J299" s="335"/>
      <c r="K299" s="335"/>
      <c r="L299" s="335"/>
      <c r="M299" s="335"/>
      <c r="N299" s="335"/>
      <c r="O299" s="335"/>
      <c r="P299" s="335"/>
      <c r="Q299" s="335"/>
      <c r="R299" s="335"/>
      <c r="S299" s="335"/>
      <c r="T299" s="335"/>
      <c r="U299" s="335"/>
      <c r="V299" s="335"/>
      <c r="W299" s="335"/>
      <c r="X299" s="335"/>
      <c r="Y299" s="335"/>
      <c r="Z299" s="335"/>
      <c r="AB299" s="225" t="s">
        <v>155</v>
      </c>
      <c r="AD299" s="221" t="s">
        <v>129</v>
      </c>
      <c r="AE299" s="197"/>
      <c r="AF299" s="64"/>
      <c r="AG299" s="64"/>
    </row>
    <row r="300" spans="2:33" hidden="1" x14ac:dyDescent="0.15">
      <c r="B300" s="213">
        <f t="shared" si="45"/>
        <v>0</v>
      </c>
      <c r="D300" s="335"/>
      <c r="E300" s="335"/>
      <c r="F300" s="335"/>
      <c r="G300" s="335"/>
      <c r="H300" s="335"/>
      <c r="I300" s="335"/>
      <c r="J300" s="335"/>
      <c r="K300" s="335"/>
      <c r="L300" s="335"/>
      <c r="M300" s="335"/>
      <c r="N300" s="335"/>
      <c r="O300" s="335"/>
      <c r="P300" s="335"/>
      <c r="Q300" s="335"/>
      <c r="R300" s="335"/>
      <c r="S300" s="335"/>
      <c r="T300" s="335"/>
      <c r="U300" s="335"/>
      <c r="V300" s="335"/>
      <c r="W300" s="335"/>
      <c r="X300" s="335"/>
      <c r="Y300" s="335"/>
      <c r="Z300" s="335"/>
      <c r="AB300" s="225" t="s">
        <v>155</v>
      </c>
      <c r="AD300" s="221" t="s">
        <v>129</v>
      </c>
      <c r="AE300" s="197"/>
      <c r="AF300" s="64"/>
      <c r="AG300" s="64"/>
    </row>
    <row r="301" spans="2:33" hidden="1" x14ac:dyDescent="0.15">
      <c r="B301" s="213">
        <f t="shared" si="45"/>
        <v>0</v>
      </c>
      <c r="D301" s="335"/>
      <c r="E301" s="335"/>
      <c r="F301" s="335"/>
      <c r="G301" s="335"/>
      <c r="H301" s="335"/>
      <c r="I301" s="335"/>
      <c r="J301" s="335"/>
      <c r="K301" s="335"/>
      <c r="L301" s="335"/>
      <c r="M301" s="335"/>
      <c r="N301" s="335"/>
      <c r="O301" s="335"/>
      <c r="P301" s="335"/>
      <c r="Q301" s="335"/>
      <c r="R301" s="335"/>
      <c r="S301" s="335"/>
      <c r="T301" s="335"/>
      <c r="U301" s="335"/>
      <c r="V301" s="335"/>
      <c r="W301" s="335"/>
      <c r="X301" s="335"/>
      <c r="Y301" s="335"/>
      <c r="Z301" s="335"/>
      <c r="AB301" s="225" t="s">
        <v>155</v>
      </c>
      <c r="AD301" s="221" t="s">
        <v>129</v>
      </c>
      <c r="AE301" s="197"/>
      <c r="AF301" s="64"/>
      <c r="AG301" s="64"/>
    </row>
    <row r="302" spans="2:33" hidden="1" x14ac:dyDescent="0.15">
      <c r="B302" s="213">
        <f t="shared" si="45"/>
        <v>0</v>
      </c>
      <c r="D302" s="335"/>
      <c r="E302" s="335"/>
      <c r="F302" s="335"/>
      <c r="G302" s="335"/>
      <c r="H302" s="335"/>
      <c r="I302" s="335"/>
      <c r="J302" s="335"/>
      <c r="K302" s="335"/>
      <c r="L302" s="335"/>
      <c r="M302" s="335"/>
      <c r="N302" s="335"/>
      <c r="O302" s="335"/>
      <c r="P302" s="335"/>
      <c r="Q302" s="335"/>
      <c r="R302" s="335"/>
      <c r="S302" s="335"/>
      <c r="T302" s="335"/>
      <c r="U302" s="335"/>
      <c r="V302" s="335"/>
      <c r="W302" s="335"/>
      <c r="X302" s="335"/>
      <c r="Y302" s="335"/>
      <c r="Z302" s="335"/>
      <c r="AB302" s="225" t="s">
        <v>155</v>
      </c>
      <c r="AD302" s="221" t="s">
        <v>129</v>
      </c>
      <c r="AE302" s="197"/>
      <c r="AF302" s="64"/>
      <c r="AG302" s="64"/>
    </row>
    <row r="303" spans="2:33" hidden="1" x14ac:dyDescent="0.15">
      <c r="B303" s="213">
        <f t="shared" si="45"/>
        <v>0</v>
      </c>
      <c r="D303" s="335"/>
      <c r="E303" s="335"/>
      <c r="F303" s="335"/>
      <c r="G303" s="335"/>
      <c r="H303" s="335"/>
      <c r="I303" s="335"/>
      <c r="J303" s="335"/>
      <c r="K303" s="335"/>
      <c r="L303" s="335"/>
      <c r="M303" s="335"/>
      <c r="N303" s="335"/>
      <c r="O303" s="335"/>
      <c r="P303" s="335"/>
      <c r="Q303" s="335"/>
      <c r="R303" s="335"/>
      <c r="S303" s="335"/>
      <c r="T303" s="335"/>
      <c r="U303" s="335"/>
      <c r="V303" s="335"/>
      <c r="W303" s="335"/>
      <c r="X303" s="335"/>
      <c r="Y303" s="335"/>
      <c r="Z303" s="335"/>
      <c r="AB303" s="225" t="s">
        <v>155</v>
      </c>
      <c r="AD303" s="221" t="s">
        <v>129</v>
      </c>
      <c r="AE303" s="197"/>
      <c r="AF303" s="64"/>
      <c r="AG303" s="64"/>
    </row>
    <row r="304" spans="2:33" hidden="1" x14ac:dyDescent="0.15">
      <c r="B304" s="213">
        <f t="shared" si="45"/>
        <v>0</v>
      </c>
      <c r="D304" s="335"/>
      <c r="E304" s="335"/>
      <c r="F304" s="335"/>
      <c r="G304" s="335"/>
      <c r="H304" s="335"/>
      <c r="I304" s="335"/>
      <c r="J304" s="335"/>
      <c r="K304" s="335"/>
      <c r="L304" s="335"/>
      <c r="M304" s="335"/>
      <c r="N304" s="335"/>
      <c r="O304" s="335"/>
      <c r="P304" s="335"/>
      <c r="Q304" s="335"/>
      <c r="R304" s="335"/>
      <c r="S304" s="335"/>
      <c r="T304" s="335"/>
      <c r="U304" s="335"/>
      <c r="V304" s="335"/>
      <c r="W304" s="335"/>
      <c r="X304" s="335"/>
      <c r="Y304" s="335"/>
      <c r="Z304" s="335"/>
      <c r="AB304" s="225" t="s">
        <v>155</v>
      </c>
      <c r="AD304" s="221" t="s">
        <v>129</v>
      </c>
      <c r="AE304" s="197"/>
      <c r="AF304" s="64"/>
      <c r="AG304" s="64"/>
    </row>
    <row r="305" spans="2:33" hidden="1" x14ac:dyDescent="0.15">
      <c r="B305" s="213">
        <f t="shared" si="45"/>
        <v>0</v>
      </c>
      <c r="D305" s="335"/>
      <c r="E305" s="335"/>
      <c r="F305" s="335"/>
      <c r="G305" s="335"/>
      <c r="H305" s="335"/>
      <c r="I305" s="335"/>
      <c r="J305" s="335"/>
      <c r="K305" s="335"/>
      <c r="L305" s="335"/>
      <c r="M305" s="335"/>
      <c r="N305" s="335"/>
      <c r="O305" s="335"/>
      <c r="P305" s="335"/>
      <c r="Q305" s="335"/>
      <c r="R305" s="335"/>
      <c r="S305" s="335"/>
      <c r="T305" s="335"/>
      <c r="U305" s="335"/>
      <c r="V305" s="335"/>
      <c r="W305" s="335"/>
      <c r="X305" s="335"/>
      <c r="Y305" s="335"/>
      <c r="Z305" s="335"/>
      <c r="AB305" s="225" t="s">
        <v>155</v>
      </c>
      <c r="AD305" s="221" t="s">
        <v>129</v>
      </c>
      <c r="AE305" s="197"/>
      <c r="AF305" s="64"/>
      <c r="AG305" s="64"/>
    </row>
    <row r="306" spans="2:33" hidden="1" x14ac:dyDescent="0.15">
      <c r="B306" s="213">
        <f t="shared" si="45"/>
        <v>0</v>
      </c>
      <c r="D306" s="335"/>
      <c r="E306" s="335"/>
      <c r="F306" s="335"/>
      <c r="G306" s="335"/>
      <c r="H306" s="335"/>
      <c r="I306" s="335"/>
      <c r="J306" s="335"/>
      <c r="K306" s="335"/>
      <c r="L306" s="335"/>
      <c r="M306" s="335"/>
      <c r="N306" s="335"/>
      <c r="O306" s="335"/>
      <c r="P306" s="335"/>
      <c r="Q306" s="335"/>
      <c r="R306" s="335"/>
      <c r="S306" s="335"/>
      <c r="T306" s="335"/>
      <c r="U306" s="335"/>
      <c r="V306" s="335"/>
      <c r="W306" s="335"/>
      <c r="X306" s="335"/>
      <c r="Y306" s="335"/>
      <c r="Z306" s="335"/>
      <c r="AB306" s="225" t="s">
        <v>155</v>
      </c>
      <c r="AD306" s="221" t="s">
        <v>129</v>
      </c>
      <c r="AE306" s="197"/>
      <c r="AF306" s="64"/>
      <c r="AG306" s="64"/>
    </row>
    <row r="307" spans="2:33" hidden="1" x14ac:dyDescent="0.15">
      <c r="B307" s="213">
        <f t="shared" si="45"/>
        <v>0</v>
      </c>
      <c r="D307" s="335"/>
      <c r="E307" s="335"/>
      <c r="F307" s="335"/>
      <c r="G307" s="335"/>
      <c r="H307" s="335"/>
      <c r="I307" s="335"/>
      <c r="J307" s="335"/>
      <c r="K307" s="335"/>
      <c r="L307" s="335"/>
      <c r="M307" s="335"/>
      <c r="N307" s="335"/>
      <c r="O307" s="335"/>
      <c r="P307" s="335"/>
      <c r="Q307" s="335"/>
      <c r="R307" s="335"/>
      <c r="S307" s="335"/>
      <c r="T307" s="335"/>
      <c r="U307" s="335"/>
      <c r="V307" s="335"/>
      <c r="W307" s="335"/>
      <c r="X307" s="335"/>
      <c r="Y307" s="335"/>
      <c r="Z307" s="335"/>
      <c r="AB307" s="225" t="s">
        <v>155</v>
      </c>
      <c r="AD307" s="221" t="s">
        <v>129</v>
      </c>
      <c r="AE307" s="197"/>
      <c r="AF307" s="64"/>
      <c r="AG307" s="64"/>
    </row>
    <row r="308" spans="2:33" hidden="1" x14ac:dyDescent="0.15">
      <c r="B308" s="213">
        <f t="shared" si="45"/>
        <v>0</v>
      </c>
      <c r="D308" s="335"/>
      <c r="E308" s="335"/>
      <c r="F308" s="335"/>
      <c r="G308" s="335"/>
      <c r="H308" s="335"/>
      <c r="I308" s="335"/>
      <c r="J308" s="335"/>
      <c r="K308" s="335"/>
      <c r="L308" s="335"/>
      <c r="M308" s="335"/>
      <c r="N308" s="335"/>
      <c r="O308" s="335"/>
      <c r="P308" s="335"/>
      <c r="Q308" s="335"/>
      <c r="R308" s="335"/>
      <c r="S308" s="335"/>
      <c r="T308" s="335"/>
      <c r="U308" s="335"/>
      <c r="V308" s="335"/>
      <c r="W308" s="335"/>
      <c r="X308" s="335"/>
      <c r="Y308" s="335"/>
      <c r="Z308" s="335"/>
      <c r="AB308" s="225" t="s">
        <v>155</v>
      </c>
      <c r="AD308" s="221" t="s">
        <v>129</v>
      </c>
      <c r="AE308" s="197"/>
      <c r="AF308" s="64"/>
      <c r="AG308" s="64"/>
    </row>
    <row r="309" spans="2:33" hidden="1" x14ac:dyDescent="0.15">
      <c r="B309" s="213">
        <f t="shared" si="45"/>
        <v>0</v>
      </c>
      <c r="D309" s="335"/>
      <c r="E309" s="335"/>
      <c r="F309" s="335"/>
      <c r="G309" s="335"/>
      <c r="H309" s="335"/>
      <c r="I309" s="335"/>
      <c r="J309" s="335"/>
      <c r="K309" s="335"/>
      <c r="L309" s="335"/>
      <c r="M309" s="335"/>
      <c r="N309" s="335"/>
      <c r="O309" s="335"/>
      <c r="P309" s="335"/>
      <c r="Q309" s="335"/>
      <c r="R309" s="335"/>
      <c r="S309" s="335"/>
      <c r="T309" s="335"/>
      <c r="U309" s="335"/>
      <c r="V309" s="335"/>
      <c r="W309" s="335"/>
      <c r="X309" s="335"/>
      <c r="Y309" s="335"/>
      <c r="Z309" s="335"/>
      <c r="AB309" s="225" t="s">
        <v>155</v>
      </c>
      <c r="AD309" s="221" t="s">
        <v>129</v>
      </c>
      <c r="AE309" s="197"/>
      <c r="AF309" s="64"/>
      <c r="AG309" s="64"/>
    </row>
    <row r="310" spans="2:33" hidden="1" x14ac:dyDescent="0.15">
      <c r="B310" s="213">
        <f t="shared" si="45"/>
        <v>0</v>
      </c>
      <c r="D310" s="335"/>
      <c r="E310" s="335"/>
      <c r="F310" s="335"/>
      <c r="G310" s="335"/>
      <c r="H310" s="335"/>
      <c r="I310" s="335"/>
      <c r="J310" s="335"/>
      <c r="K310" s="335"/>
      <c r="L310" s="335"/>
      <c r="M310" s="335"/>
      <c r="N310" s="335"/>
      <c r="O310" s="335"/>
      <c r="P310" s="335"/>
      <c r="Q310" s="335"/>
      <c r="R310" s="335"/>
      <c r="S310" s="335"/>
      <c r="T310" s="335"/>
      <c r="U310" s="335"/>
      <c r="V310" s="335"/>
      <c r="W310" s="335"/>
      <c r="X310" s="335"/>
      <c r="Y310" s="335"/>
      <c r="Z310" s="335"/>
      <c r="AB310" s="225" t="s">
        <v>155</v>
      </c>
      <c r="AD310" s="221" t="s">
        <v>129</v>
      </c>
      <c r="AE310" s="197"/>
      <c r="AF310" s="64"/>
      <c r="AG310" s="64"/>
    </row>
    <row r="311" spans="2:33" hidden="1" x14ac:dyDescent="0.15">
      <c r="B311" s="213">
        <f t="shared" si="45"/>
        <v>0</v>
      </c>
      <c r="D311" s="335"/>
      <c r="E311" s="335"/>
      <c r="F311" s="335"/>
      <c r="G311" s="335"/>
      <c r="H311" s="335"/>
      <c r="I311" s="335"/>
      <c r="J311" s="335"/>
      <c r="K311" s="335"/>
      <c r="L311" s="335"/>
      <c r="M311" s="335"/>
      <c r="N311" s="335"/>
      <c r="O311" s="335"/>
      <c r="P311" s="335"/>
      <c r="Q311" s="335"/>
      <c r="R311" s="335"/>
      <c r="S311" s="335"/>
      <c r="T311" s="335"/>
      <c r="U311" s="335"/>
      <c r="V311" s="335"/>
      <c r="W311" s="335"/>
      <c r="X311" s="335"/>
      <c r="Y311" s="335"/>
      <c r="Z311" s="335"/>
      <c r="AB311" s="225" t="s">
        <v>155</v>
      </c>
      <c r="AD311" s="221" t="s">
        <v>129</v>
      </c>
      <c r="AE311" s="197"/>
      <c r="AF311" s="64"/>
      <c r="AG311" s="64"/>
    </row>
    <row r="312" spans="2:33" hidden="1" x14ac:dyDescent="0.15">
      <c r="B312" s="213">
        <f t="shared" si="45"/>
        <v>0</v>
      </c>
      <c r="D312" s="335"/>
      <c r="E312" s="335"/>
      <c r="F312" s="335"/>
      <c r="G312" s="335"/>
      <c r="H312" s="335"/>
      <c r="I312" s="335"/>
      <c r="J312" s="335"/>
      <c r="K312" s="335"/>
      <c r="L312" s="335"/>
      <c r="M312" s="335"/>
      <c r="N312" s="335"/>
      <c r="O312" s="335"/>
      <c r="P312" s="335"/>
      <c r="Q312" s="335"/>
      <c r="R312" s="335"/>
      <c r="S312" s="335"/>
      <c r="T312" s="335"/>
      <c r="U312" s="335"/>
      <c r="V312" s="335"/>
      <c r="W312" s="335"/>
      <c r="X312" s="335"/>
      <c r="Y312" s="335"/>
      <c r="Z312" s="335"/>
      <c r="AB312" s="225" t="s">
        <v>155</v>
      </c>
      <c r="AD312" s="221" t="s">
        <v>129</v>
      </c>
      <c r="AE312" s="197"/>
      <c r="AF312" s="64"/>
      <c r="AG312" s="64"/>
    </row>
    <row r="313" spans="2:33" hidden="1" x14ac:dyDescent="0.15">
      <c r="B313" s="213">
        <f t="shared" si="45"/>
        <v>0</v>
      </c>
      <c r="D313" s="335"/>
      <c r="E313" s="335"/>
      <c r="F313" s="335"/>
      <c r="G313" s="335"/>
      <c r="H313" s="335"/>
      <c r="I313" s="335"/>
      <c r="J313" s="335"/>
      <c r="K313" s="335"/>
      <c r="L313" s="335"/>
      <c r="M313" s="335"/>
      <c r="N313" s="335"/>
      <c r="O313" s="335"/>
      <c r="P313" s="335"/>
      <c r="Q313" s="335"/>
      <c r="R313" s="335"/>
      <c r="S313" s="335"/>
      <c r="T313" s="335"/>
      <c r="U313" s="335"/>
      <c r="V313" s="335"/>
      <c r="W313" s="335"/>
      <c r="X313" s="335"/>
      <c r="Y313" s="335"/>
      <c r="Z313" s="335"/>
      <c r="AB313" s="225" t="s">
        <v>155</v>
      </c>
      <c r="AD313" s="221" t="s">
        <v>129</v>
      </c>
      <c r="AE313" s="197"/>
      <c r="AF313" s="64"/>
      <c r="AG313" s="64"/>
    </row>
    <row r="314" spans="2:33" hidden="1" x14ac:dyDescent="0.15">
      <c r="B314" s="213">
        <f t="shared" si="45"/>
        <v>0</v>
      </c>
      <c r="D314" s="335"/>
      <c r="E314" s="335"/>
      <c r="F314" s="335"/>
      <c r="G314" s="335"/>
      <c r="H314" s="335"/>
      <c r="I314" s="335"/>
      <c r="J314" s="335"/>
      <c r="K314" s="335"/>
      <c r="L314" s="335"/>
      <c r="M314" s="335"/>
      <c r="N314" s="335"/>
      <c r="O314" s="335"/>
      <c r="P314" s="335"/>
      <c r="Q314" s="335"/>
      <c r="R314" s="335"/>
      <c r="S314" s="335"/>
      <c r="T314" s="335"/>
      <c r="U314" s="335"/>
      <c r="V314" s="335"/>
      <c r="W314" s="335"/>
      <c r="X314" s="335"/>
      <c r="Y314" s="335"/>
      <c r="Z314" s="335"/>
      <c r="AB314" s="225" t="s">
        <v>155</v>
      </c>
      <c r="AD314" s="221" t="s">
        <v>129</v>
      </c>
      <c r="AE314" s="197"/>
      <c r="AF314" s="64"/>
      <c r="AG314" s="64"/>
    </row>
    <row r="315" spans="2:33" hidden="1" x14ac:dyDescent="0.15">
      <c r="B315" s="213">
        <f t="shared" si="45"/>
        <v>0</v>
      </c>
      <c r="D315" s="335"/>
      <c r="E315" s="335"/>
      <c r="F315" s="335"/>
      <c r="G315" s="335"/>
      <c r="H315" s="335"/>
      <c r="I315" s="335"/>
      <c r="J315" s="335"/>
      <c r="K315" s="335"/>
      <c r="L315" s="335"/>
      <c r="M315" s="335"/>
      <c r="N315" s="335"/>
      <c r="O315" s="335"/>
      <c r="P315" s="335"/>
      <c r="Q315" s="335"/>
      <c r="R315" s="335"/>
      <c r="S315" s="335"/>
      <c r="T315" s="335"/>
      <c r="U315" s="335"/>
      <c r="V315" s="335"/>
      <c r="W315" s="335"/>
      <c r="X315" s="335"/>
      <c r="Y315" s="335"/>
      <c r="Z315" s="335"/>
      <c r="AB315" s="225" t="s">
        <v>155</v>
      </c>
      <c r="AD315" s="221" t="s">
        <v>129</v>
      </c>
      <c r="AE315" s="197"/>
      <c r="AF315" s="64"/>
      <c r="AG315" s="64"/>
    </row>
    <row r="316" spans="2:33" hidden="1" x14ac:dyDescent="0.15">
      <c r="B316" s="213">
        <f t="shared" si="45"/>
        <v>0</v>
      </c>
      <c r="D316" s="335"/>
      <c r="E316" s="335"/>
      <c r="F316" s="335"/>
      <c r="G316" s="335"/>
      <c r="H316" s="335"/>
      <c r="I316" s="335"/>
      <c r="J316" s="335"/>
      <c r="K316" s="335"/>
      <c r="L316" s="335"/>
      <c r="M316" s="335"/>
      <c r="N316" s="335"/>
      <c r="O316" s="335"/>
      <c r="P316" s="335"/>
      <c r="Q316" s="335"/>
      <c r="R316" s="335"/>
      <c r="S316" s="335"/>
      <c r="T316" s="335"/>
      <c r="U316" s="335"/>
      <c r="V316" s="335"/>
      <c r="W316" s="335"/>
      <c r="X316" s="335"/>
      <c r="Y316" s="335"/>
      <c r="Z316" s="335"/>
      <c r="AB316" s="225" t="s">
        <v>155</v>
      </c>
      <c r="AD316" s="221" t="s">
        <v>129</v>
      </c>
      <c r="AE316" s="197"/>
      <c r="AF316" s="64"/>
      <c r="AG316" s="64"/>
    </row>
    <row r="317" spans="2:33" hidden="1" x14ac:dyDescent="0.15">
      <c r="B317" s="213">
        <f t="shared" si="45"/>
        <v>0</v>
      </c>
      <c r="D317" s="335"/>
      <c r="E317" s="335"/>
      <c r="F317" s="335"/>
      <c r="G317" s="335"/>
      <c r="H317" s="335"/>
      <c r="I317" s="335"/>
      <c r="J317" s="335"/>
      <c r="K317" s="335"/>
      <c r="L317" s="335"/>
      <c r="M317" s="335"/>
      <c r="N317" s="335"/>
      <c r="O317" s="335"/>
      <c r="P317" s="335"/>
      <c r="Q317" s="335"/>
      <c r="R317" s="335"/>
      <c r="S317" s="335"/>
      <c r="T317" s="335"/>
      <c r="U317" s="335"/>
      <c r="V317" s="335"/>
      <c r="W317" s="335"/>
      <c r="X317" s="335"/>
      <c r="Y317" s="335"/>
      <c r="Z317" s="335"/>
      <c r="AB317" s="225" t="s">
        <v>155</v>
      </c>
      <c r="AD317" s="221" t="s">
        <v>129</v>
      </c>
      <c r="AE317" s="197"/>
      <c r="AF317" s="64"/>
      <c r="AG317" s="64"/>
    </row>
    <row r="318" spans="2:33" hidden="1" x14ac:dyDescent="0.15">
      <c r="B318" s="213">
        <f t="shared" si="45"/>
        <v>0</v>
      </c>
      <c r="D318" s="335"/>
      <c r="E318" s="335"/>
      <c r="F318" s="335"/>
      <c r="G318" s="335"/>
      <c r="H318" s="335"/>
      <c r="I318" s="335"/>
      <c r="J318" s="335"/>
      <c r="K318" s="335"/>
      <c r="L318" s="335"/>
      <c r="M318" s="335"/>
      <c r="N318" s="335"/>
      <c r="O318" s="335"/>
      <c r="P318" s="335"/>
      <c r="Q318" s="335"/>
      <c r="R318" s="335"/>
      <c r="S318" s="335"/>
      <c r="T318" s="335"/>
      <c r="U318" s="335"/>
      <c r="V318" s="335"/>
      <c r="W318" s="335"/>
      <c r="X318" s="335"/>
      <c r="Y318" s="335"/>
      <c r="Z318" s="335"/>
      <c r="AB318" s="225" t="s">
        <v>155</v>
      </c>
      <c r="AD318" s="221" t="s">
        <v>129</v>
      </c>
      <c r="AE318" s="197"/>
      <c r="AF318" s="64"/>
      <c r="AG318" s="64"/>
    </row>
    <row r="319" spans="2:33" hidden="1" x14ac:dyDescent="0.15">
      <c r="B319" s="213">
        <f t="shared" si="45"/>
        <v>0</v>
      </c>
      <c r="D319" s="335"/>
      <c r="E319" s="335"/>
      <c r="F319" s="335"/>
      <c r="G319" s="335"/>
      <c r="H319" s="335"/>
      <c r="I319" s="335"/>
      <c r="J319" s="335"/>
      <c r="K319" s="335"/>
      <c r="L319" s="335"/>
      <c r="M319" s="335"/>
      <c r="N319" s="335"/>
      <c r="O319" s="335"/>
      <c r="P319" s="335"/>
      <c r="Q319" s="335"/>
      <c r="R319" s="335"/>
      <c r="S319" s="335"/>
      <c r="T319" s="335"/>
      <c r="U319" s="335"/>
      <c r="V319" s="335"/>
      <c r="W319" s="335"/>
      <c r="X319" s="335"/>
      <c r="Y319" s="335"/>
      <c r="Z319" s="335"/>
      <c r="AB319" s="225" t="s">
        <v>155</v>
      </c>
      <c r="AD319" s="221" t="s">
        <v>129</v>
      </c>
      <c r="AE319" s="197"/>
      <c r="AF319" s="64"/>
      <c r="AG319" s="64"/>
    </row>
    <row r="320" spans="2:33" hidden="1" x14ac:dyDescent="0.15">
      <c r="B320" s="213">
        <f t="shared" si="45"/>
        <v>0</v>
      </c>
      <c r="D320" s="335"/>
      <c r="E320" s="335"/>
      <c r="F320" s="335"/>
      <c r="G320" s="335"/>
      <c r="H320" s="335"/>
      <c r="I320" s="335"/>
      <c r="J320" s="335"/>
      <c r="K320" s="335"/>
      <c r="L320" s="335"/>
      <c r="M320" s="335"/>
      <c r="N320" s="335"/>
      <c r="O320" s="335"/>
      <c r="P320" s="335"/>
      <c r="Q320" s="335"/>
      <c r="R320" s="335"/>
      <c r="S320" s="335"/>
      <c r="T320" s="335"/>
      <c r="U320" s="335"/>
      <c r="V320" s="335"/>
      <c r="W320" s="335"/>
      <c r="X320" s="335"/>
      <c r="Y320" s="335"/>
      <c r="Z320" s="335"/>
      <c r="AB320" s="225" t="s">
        <v>155</v>
      </c>
      <c r="AD320" s="221" t="s">
        <v>129</v>
      </c>
      <c r="AE320" s="197"/>
      <c r="AF320" s="64"/>
      <c r="AG320" s="64"/>
    </row>
    <row r="321" spans="2:33" hidden="1" x14ac:dyDescent="0.15">
      <c r="B321" s="213">
        <f t="shared" si="45"/>
        <v>0</v>
      </c>
      <c r="D321" s="335"/>
      <c r="E321" s="335"/>
      <c r="F321" s="335"/>
      <c r="G321" s="335"/>
      <c r="H321" s="335"/>
      <c r="I321" s="335"/>
      <c r="J321" s="335"/>
      <c r="K321" s="335"/>
      <c r="L321" s="335"/>
      <c r="M321" s="335"/>
      <c r="N321" s="335"/>
      <c r="O321" s="335"/>
      <c r="P321" s="335"/>
      <c r="Q321" s="335"/>
      <c r="R321" s="335"/>
      <c r="S321" s="335"/>
      <c r="T321" s="335"/>
      <c r="U321" s="335"/>
      <c r="V321" s="335"/>
      <c r="W321" s="335"/>
      <c r="X321" s="335"/>
      <c r="Y321" s="335"/>
      <c r="Z321" s="335"/>
      <c r="AB321" s="225" t="s">
        <v>155</v>
      </c>
      <c r="AD321" s="221" t="s">
        <v>129</v>
      </c>
      <c r="AE321" s="197"/>
      <c r="AF321" s="64"/>
      <c r="AG321" s="64"/>
    </row>
    <row r="323" spans="2:33" ht="24.75" customHeight="1" x14ac:dyDescent="0.2">
      <c r="D323" s="370" t="s">
        <v>180</v>
      </c>
      <c r="E323" s="370"/>
      <c r="F323" s="370"/>
      <c r="G323" s="370"/>
      <c r="H323" s="370"/>
      <c r="I323" s="370"/>
      <c r="J323" s="370"/>
      <c r="K323" s="370"/>
      <c r="L323" s="370"/>
      <c r="M323" s="370"/>
      <c r="N323" s="370"/>
      <c r="O323" s="370"/>
      <c r="P323" s="370"/>
      <c r="Q323" s="370"/>
      <c r="R323" s="370"/>
      <c r="S323" s="370"/>
      <c r="T323" s="370"/>
      <c r="U323" s="370"/>
      <c r="V323" s="370"/>
      <c r="W323" s="370"/>
      <c r="X323" s="370"/>
      <c r="Y323" s="370"/>
      <c r="Z323" s="370"/>
    </row>
    <row r="324" spans="2:33" ht="20.25" customHeight="1" x14ac:dyDescent="0.2">
      <c r="D324" s="371" t="s">
        <v>178</v>
      </c>
      <c r="E324" s="371"/>
      <c r="F324" s="371"/>
      <c r="G324" s="371"/>
      <c r="H324" s="371"/>
      <c r="I324" s="371"/>
      <c r="J324" s="371"/>
      <c r="K324" s="371"/>
      <c r="L324" s="371"/>
      <c r="M324" s="371"/>
      <c r="N324" s="371"/>
      <c r="O324" s="371"/>
      <c r="P324" s="371"/>
      <c r="Q324" s="371"/>
      <c r="R324" s="371"/>
      <c r="S324" s="371"/>
      <c r="T324" s="371"/>
      <c r="U324" s="371"/>
      <c r="V324" s="371"/>
      <c r="W324" s="371"/>
      <c r="X324" s="371"/>
      <c r="Y324" s="371"/>
      <c r="Z324" s="371"/>
    </row>
    <row r="325" spans="2:33" ht="20.25" customHeight="1" x14ac:dyDescent="0.2">
      <c r="D325" s="372" t="s">
        <v>179</v>
      </c>
      <c r="E325" s="372"/>
      <c r="F325" s="372"/>
      <c r="G325" s="372"/>
      <c r="H325" s="372"/>
      <c r="I325" s="372"/>
      <c r="J325" s="372"/>
      <c r="K325" s="372"/>
      <c r="L325" s="372"/>
      <c r="M325" s="372"/>
      <c r="N325" s="372"/>
      <c r="O325" s="372"/>
      <c r="P325" s="372"/>
      <c r="Q325" s="372"/>
      <c r="R325" s="372"/>
      <c r="S325" s="372"/>
      <c r="T325" s="372"/>
      <c r="U325" s="372"/>
      <c r="V325" s="372"/>
      <c r="W325" s="372"/>
      <c r="X325" s="372"/>
      <c r="Y325" s="372"/>
      <c r="Z325" s="372"/>
    </row>
    <row r="326" spans="2:33" ht="20.25" customHeight="1" x14ac:dyDescent="0.2">
      <c r="D326" s="372" t="s">
        <v>181</v>
      </c>
      <c r="E326" s="372"/>
      <c r="F326" s="372"/>
      <c r="G326" s="372"/>
      <c r="H326" s="372"/>
      <c r="I326" s="372"/>
      <c r="J326" s="372"/>
      <c r="K326" s="372"/>
      <c r="L326" s="372"/>
      <c r="M326" s="372"/>
      <c r="N326" s="372"/>
      <c r="O326" s="372"/>
      <c r="P326" s="372"/>
      <c r="Q326" s="372"/>
      <c r="R326" s="372"/>
      <c r="S326" s="372"/>
      <c r="T326" s="372"/>
      <c r="U326" s="372"/>
      <c r="V326" s="372"/>
      <c r="W326" s="372"/>
      <c r="X326" s="372"/>
      <c r="Y326" s="372"/>
      <c r="Z326" s="372"/>
    </row>
    <row r="327" spans="2:33" ht="34.5" customHeight="1" x14ac:dyDescent="0.2">
      <c r="D327" s="372" t="s">
        <v>182</v>
      </c>
      <c r="E327" s="372"/>
      <c r="F327" s="372"/>
      <c r="G327" s="372"/>
      <c r="H327" s="372"/>
      <c r="I327" s="372"/>
      <c r="J327" s="372"/>
      <c r="K327" s="372"/>
      <c r="L327" s="372"/>
      <c r="M327" s="372"/>
      <c r="N327" s="372"/>
      <c r="O327" s="372"/>
      <c r="P327" s="372"/>
      <c r="Q327" s="372"/>
      <c r="R327" s="372"/>
      <c r="S327" s="372"/>
      <c r="T327" s="372"/>
      <c r="U327" s="372"/>
      <c r="V327" s="372"/>
      <c r="W327" s="372"/>
      <c r="X327" s="372"/>
      <c r="Y327" s="372"/>
      <c r="Z327" s="372"/>
    </row>
    <row r="330" spans="2:33" ht="23.25" customHeight="1" x14ac:dyDescent="0.2">
      <c r="D330" s="370" t="s">
        <v>164</v>
      </c>
      <c r="E330" s="370"/>
      <c r="F330" s="370"/>
      <c r="G330" s="370"/>
      <c r="H330" s="370"/>
      <c r="I330" s="370"/>
      <c r="J330" s="370"/>
      <c r="K330" s="370"/>
      <c r="L330" s="370"/>
      <c r="M330" s="370"/>
      <c r="N330" s="370"/>
      <c r="O330" s="370"/>
      <c r="P330" s="370"/>
      <c r="Q330" s="370"/>
      <c r="R330" s="370"/>
      <c r="S330" s="370"/>
      <c r="T330" s="370"/>
      <c r="U330" s="370"/>
      <c r="V330" s="370"/>
      <c r="W330" s="370"/>
      <c r="X330" s="370"/>
      <c r="Y330" s="370"/>
      <c r="Z330" s="370"/>
    </row>
    <row r="331" spans="2:33" ht="23.25" customHeight="1" x14ac:dyDescent="0.2">
      <c r="D331" s="374" t="s">
        <v>168</v>
      </c>
      <c r="E331" s="374"/>
      <c r="F331" s="374"/>
      <c r="G331" s="374"/>
      <c r="H331" s="374"/>
      <c r="I331" s="374"/>
      <c r="J331" s="374"/>
      <c r="K331" s="374"/>
      <c r="L331" s="374"/>
      <c r="M331" s="374"/>
      <c r="N331" s="374"/>
      <c r="O331" s="374"/>
      <c r="P331" s="374"/>
      <c r="Q331" s="374"/>
      <c r="R331" s="374"/>
      <c r="S331" s="374"/>
      <c r="T331" s="374"/>
      <c r="U331" s="374"/>
      <c r="V331" s="374"/>
      <c r="W331" s="374"/>
      <c r="X331" s="374"/>
      <c r="Y331" s="374"/>
      <c r="Z331" s="374"/>
    </row>
    <row r="332" spans="2:33" ht="23.25" customHeight="1" x14ac:dyDescent="0.2">
      <c r="D332" s="371" t="s">
        <v>165</v>
      </c>
      <c r="E332" s="371"/>
      <c r="F332" s="371"/>
      <c r="G332" s="371"/>
      <c r="H332" s="371"/>
      <c r="I332" s="371"/>
      <c r="J332" s="371"/>
      <c r="K332" s="371"/>
      <c r="L332" s="371"/>
      <c r="M332" s="371"/>
      <c r="N332" s="371"/>
      <c r="O332" s="371"/>
      <c r="P332" s="371"/>
      <c r="Q332" s="371"/>
      <c r="R332" s="371"/>
      <c r="S332" s="371"/>
      <c r="T332" s="371"/>
      <c r="U332" s="371"/>
      <c r="V332" s="371"/>
      <c r="W332" s="371"/>
      <c r="X332" s="371"/>
      <c r="Y332" s="371"/>
      <c r="Z332" s="371"/>
    </row>
    <row r="333" spans="2:33" ht="27" customHeight="1" x14ac:dyDescent="0.2">
      <c r="D333" s="373" t="s">
        <v>166</v>
      </c>
      <c r="E333" s="373"/>
      <c r="F333" s="373"/>
      <c r="G333" s="373"/>
      <c r="H333" s="373"/>
      <c r="I333" s="373"/>
      <c r="J333" s="373"/>
      <c r="K333" s="373"/>
      <c r="L333" s="373"/>
      <c r="M333" s="373"/>
      <c r="N333" s="373"/>
      <c r="O333" s="373"/>
      <c r="P333" s="373"/>
      <c r="Q333" s="373"/>
      <c r="R333" s="373"/>
      <c r="S333" s="373"/>
      <c r="T333" s="373"/>
      <c r="U333" s="373"/>
      <c r="V333" s="373"/>
      <c r="W333" s="373"/>
      <c r="X333" s="373"/>
      <c r="Y333" s="373"/>
      <c r="Z333" s="373"/>
    </row>
    <row r="334" spans="2:33" ht="23.25" customHeight="1" x14ac:dyDescent="0.2">
      <c r="D334" s="374" t="s">
        <v>172</v>
      </c>
      <c r="E334" s="374"/>
      <c r="F334" s="374"/>
      <c r="G334" s="374"/>
      <c r="H334" s="374"/>
      <c r="I334" s="374"/>
      <c r="J334" s="374"/>
      <c r="K334" s="374"/>
      <c r="L334" s="374"/>
      <c r="M334" s="374"/>
      <c r="N334" s="374"/>
      <c r="O334" s="374"/>
      <c r="P334" s="374"/>
      <c r="Q334" s="374"/>
      <c r="R334" s="374"/>
      <c r="S334" s="374"/>
      <c r="T334" s="374"/>
      <c r="U334" s="374"/>
      <c r="V334" s="374"/>
      <c r="W334" s="374"/>
      <c r="X334" s="374"/>
      <c r="Y334" s="374"/>
      <c r="Z334" s="374"/>
    </row>
    <row r="335" spans="2:33" ht="23.25" customHeight="1" x14ac:dyDescent="0.2">
      <c r="D335" s="371" t="s">
        <v>169</v>
      </c>
      <c r="E335" s="371"/>
      <c r="F335" s="371"/>
      <c r="G335" s="371"/>
      <c r="H335" s="371"/>
      <c r="I335" s="371"/>
      <c r="J335" s="371"/>
      <c r="K335" s="371"/>
      <c r="L335" s="371"/>
      <c r="M335" s="371"/>
      <c r="N335" s="371"/>
      <c r="O335" s="371"/>
      <c r="P335" s="371"/>
      <c r="Q335" s="371"/>
      <c r="R335" s="371"/>
      <c r="S335" s="371"/>
      <c r="T335" s="371"/>
      <c r="U335" s="371"/>
      <c r="V335" s="371"/>
      <c r="W335" s="371"/>
      <c r="X335" s="371"/>
      <c r="Y335" s="371"/>
      <c r="Z335" s="371"/>
    </row>
    <row r="336" spans="2:33" ht="23.25" customHeight="1" x14ac:dyDescent="0.2">
      <c r="D336" s="371" t="s">
        <v>177</v>
      </c>
      <c r="E336" s="371"/>
      <c r="F336" s="371"/>
      <c r="G336" s="371"/>
      <c r="H336" s="371"/>
      <c r="I336" s="371"/>
      <c r="J336" s="371"/>
      <c r="K336" s="371"/>
      <c r="L336" s="371"/>
      <c r="M336" s="371"/>
      <c r="N336" s="371"/>
      <c r="O336" s="371"/>
      <c r="P336" s="371"/>
      <c r="Q336" s="371"/>
      <c r="R336" s="371"/>
      <c r="S336" s="371"/>
      <c r="T336" s="371"/>
      <c r="U336" s="371"/>
      <c r="V336" s="371"/>
      <c r="W336" s="371"/>
      <c r="X336" s="371"/>
      <c r="Y336" s="371"/>
      <c r="Z336" s="371"/>
    </row>
    <row r="337" spans="4:26" ht="42.75" customHeight="1" x14ac:dyDescent="0.2">
      <c r="D337" s="372" t="s">
        <v>170</v>
      </c>
      <c r="E337" s="372"/>
      <c r="F337" s="372"/>
      <c r="G337" s="372"/>
      <c r="H337" s="372"/>
      <c r="I337" s="372"/>
      <c r="J337" s="372"/>
      <c r="K337" s="372"/>
      <c r="L337" s="372"/>
      <c r="M337" s="372"/>
      <c r="N337" s="372"/>
      <c r="O337" s="372"/>
      <c r="P337" s="372"/>
      <c r="Q337" s="372"/>
      <c r="R337" s="372"/>
      <c r="S337" s="372"/>
      <c r="T337" s="372"/>
      <c r="U337" s="372"/>
      <c r="V337" s="372"/>
      <c r="W337" s="372"/>
      <c r="X337" s="372"/>
      <c r="Y337" s="372"/>
      <c r="Z337" s="372"/>
    </row>
    <row r="338" spans="4:26" ht="39" customHeight="1" x14ac:dyDescent="0.2">
      <c r="D338" s="372" t="s">
        <v>173</v>
      </c>
      <c r="E338" s="372"/>
      <c r="F338" s="372"/>
      <c r="G338" s="372"/>
      <c r="H338" s="372"/>
      <c r="I338" s="372"/>
      <c r="J338" s="372"/>
      <c r="K338" s="372"/>
      <c r="L338" s="372"/>
      <c r="M338" s="372"/>
      <c r="N338" s="372"/>
      <c r="O338" s="372"/>
      <c r="P338" s="372"/>
      <c r="Q338" s="372"/>
      <c r="R338" s="372"/>
      <c r="S338" s="372"/>
      <c r="T338" s="372"/>
      <c r="U338" s="372"/>
      <c r="V338" s="372"/>
      <c r="W338" s="372"/>
      <c r="X338" s="372"/>
      <c r="Y338" s="372"/>
      <c r="Z338" s="372"/>
    </row>
    <row r="339" spans="4:26" ht="23.25" customHeight="1" x14ac:dyDescent="0.2">
      <c r="D339" s="371" t="s">
        <v>171</v>
      </c>
      <c r="E339" s="371"/>
      <c r="F339" s="371"/>
      <c r="G339" s="371"/>
      <c r="H339" s="371"/>
      <c r="I339" s="371"/>
      <c r="J339" s="371"/>
      <c r="K339" s="371"/>
      <c r="L339" s="371"/>
      <c r="M339" s="371"/>
      <c r="N339" s="371"/>
      <c r="O339" s="371"/>
      <c r="P339" s="371"/>
      <c r="Q339" s="371"/>
      <c r="R339" s="371"/>
      <c r="S339" s="371"/>
      <c r="T339" s="371"/>
      <c r="U339" s="371"/>
      <c r="V339" s="371"/>
      <c r="W339" s="371"/>
      <c r="X339" s="371"/>
      <c r="Y339" s="371"/>
      <c r="Z339" s="371"/>
    </row>
  </sheetData>
  <sheetProtection formatRows="0" autoFilter="0"/>
  <autoFilter ref="A3:AG321" xr:uid="{92F4F79D-34B6-4B67-8D1E-AF7225E51608}">
    <filterColumn colId="1">
      <filters>
        <filter val="1"/>
      </filters>
    </filterColumn>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autoFilter>
  <mergeCells count="415">
    <mergeCell ref="D48:Z48"/>
    <mergeCell ref="D148:Z148"/>
    <mergeCell ref="D149:Z149"/>
    <mergeCell ref="D150:Z150"/>
    <mergeCell ref="E144:F144"/>
    <mergeCell ref="G144:Z144"/>
    <mergeCell ref="E145:F145"/>
    <mergeCell ref="G145:Z145"/>
    <mergeCell ref="E146:F146"/>
    <mergeCell ref="G146:Z146"/>
    <mergeCell ref="D147:Z147"/>
    <mergeCell ref="D117:N117"/>
    <mergeCell ref="Q117:Z117"/>
    <mergeCell ref="D118:Z118"/>
    <mergeCell ref="D119:Z119"/>
    <mergeCell ref="D141:Z141"/>
    <mergeCell ref="E142:F142"/>
    <mergeCell ref="G142:Z142"/>
    <mergeCell ref="E143:F143"/>
    <mergeCell ref="G143:Z143"/>
    <mergeCell ref="D110:N110"/>
    <mergeCell ref="Q110:Z110"/>
    <mergeCell ref="D111:Z111"/>
    <mergeCell ref="D112:Z112"/>
    <mergeCell ref="D113:Z113"/>
    <mergeCell ref="D114:Z114"/>
    <mergeCell ref="D115:N115"/>
    <mergeCell ref="Q115:Z115"/>
    <mergeCell ref="D116:N116"/>
    <mergeCell ref="Q116:Z116"/>
    <mergeCell ref="D259:Z259"/>
    <mergeCell ref="D260:Z260"/>
    <mergeCell ref="D261:Z261"/>
    <mergeCell ref="D255:Z255"/>
    <mergeCell ref="D256:N256"/>
    <mergeCell ref="Q256:Z256"/>
    <mergeCell ref="D257:N257"/>
    <mergeCell ref="Q257:Z257"/>
    <mergeCell ref="D258:N258"/>
    <mergeCell ref="Q258:Z258"/>
    <mergeCell ref="D245:Z245"/>
    <mergeCell ref="D246:Z246"/>
    <mergeCell ref="D247:Z247"/>
    <mergeCell ref="D248:Z248"/>
    <mergeCell ref="D249:N249"/>
    <mergeCell ref="Q249:Z249"/>
    <mergeCell ref="D250:N250"/>
    <mergeCell ref="Q250:Z250"/>
    <mergeCell ref="D262:Z262"/>
    <mergeCell ref="D263:Z263"/>
    <mergeCell ref="D91:Z91"/>
    <mergeCell ref="D92:Z92"/>
    <mergeCell ref="D93:Z93"/>
    <mergeCell ref="E94:Z94"/>
    <mergeCell ref="E95:Z95"/>
    <mergeCell ref="E96:Z96"/>
    <mergeCell ref="E97:Z97"/>
    <mergeCell ref="D98:Z98"/>
    <mergeCell ref="D99:Z99"/>
    <mergeCell ref="D100:Z100"/>
    <mergeCell ref="D101:N101"/>
    <mergeCell ref="Q101:Z101"/>
    <mergeCell ref="D102:N102"/>
    <mergeCell ref="Q102:Z102"/>
    <mergeCell ref="D103:N103"/>
    <mergeCell ref="Q103:Z103"/>
    <mergeCell ref="D104:Z104"/>
    <mergeCell ref="D105:Z105"/>
    <mergeCell ref="D106:Z106"/>
    <mergeCell ref="D252:Z252"/>
    <mergeCell ref="D253:Z253"/>
    <mergeCell ref="D254:Z254"/>
    <mergeCell ref="D251:N251"/>
    <mergeCell ref="Q251:Z251"/>
    <mergeCell ref="D238:Z238"/>
    <mergeCell ref="D239:Z239"/>
    <mergeCell ref="D240:Z240"/>
    <mergeCell ref="D241:Z241"/>
    <mergeCell ref="D242:N242"/>
    <mergeCell ref="Q242:Z242"/>
    <mergeCell ref="D243:N243"/>
    <mergeCell ref="Q243:Z243"/>
    <mergeCell ref="D244:N244"/>
    <mergeCell ref="Q244:Z244"/>
    <mergeCell ref="D232:Z232"/>
    <mergeCell ref="D233:Z233"/>
    <mergeCell ref="D234:Z234"/>
    <mergeCell ref="D235:N235"/>
    <mergeCell ref="Q235:Z235"/>
    <mergeCell ref="D236:N236"/>
    <mergeCell ref="Q236:Z236"/>
    <mergeCell ref="D237:N237"/>
    <mergeCell ref="Q237:Z237"/>
    <mergeCell ref="D226:Z226"/>
    <mergeCell ref="D227:Z227"/>
    <mergeCell ref="D228:N228"/>
    <mergeCell ref="Q228:Z228"/>
    <mergeCell ref="D229:N229"/>
    <mergeCell ref="Q229:Z229"/>
    <mergeCell ref="D230:N230"/>
    <mergeCell ref="Q230:Z230"/>
    <mergeCell ref="D231:Z231"/>
    <mergeCell ref="D220:Z220"/>
    <mergeCell ref="D221:N221"/>
    <mergeCell ref="Q221:Z221"/>
    <mergeCell ref="D222:N222"/>
    <mergeCell ref="Q222:Z222"/>
    <mergeCell ref="D223:N223"/>
    <mergeCell ref="Q223:Z223"/>
    <mergeCell ref="D224:Z224"/>
    <mergeCell ref="D225:Z225"/>
    <mergeCell ref="E211:Z211"/>
    <mergeCell ref="E212:Z212"/>
    <mergeCell ref="E213:Z213"/>
    <mergeCell ref="E214:Z214"/>
    <mergeCell ref="E215:Z215"/>
    <mergeCell ref="E216:Z216"/>
    <mergeCell ref="E217:Z217"/>
    <mergeCell ref="D218:Z218"/>
    <mergeCell ref="D219:Z219"/>
    <mergeCell ref="E202:Z202"/>
    <mergeCell ref="E203:Z203"/>
    <mergeCell ref="E204:Z204"/>
    <mergeCell ref="E205:Z205"/>
    <mergeCell ref="E206:Z206"/>
    <mergeCell ref="E207:Z207"/>
    <mergeCell ref="E208:Z208"/>
    <mergeCell ref="E209:Z209"/>
    <mergeCell ref="E210:Z210"/>
    <mergeCell ref="D192:Z192"/>
    <mergeCell ref="D193:Z193"/>
    <mergeCell ref="D195:Z195"/>
    <mergeCell ref="D196:Z196"/>
    <mergeCell ref="E197:Z197"/>
    <mergeCell ref="E198:Z198"/>
    <mergeCell ref="E199:Z199"/>
    <mergeCell ref="E200:Z200"/>
    <mergeCell ref="E201:Z201"/>
    <mergeCell ref="D194:Z194"/>
    <mergeCell ref="D339:Z339"/>
    <mergeCell ref="D333:Z333"/>
    <mergeCell ref="D334:Z334"/>
    <mergeCell ref="D335:Z335"/>
    <mergeCell ref="D336:Z336"/>
    <mergeCell ref="D337:Z337"/>
    <mergeCell ref="D338:Z338"/>
    <mergeCell ref="D326:Z326"/>
    <mergeCell ref="D327:Z327"/>
    <mergeCell ref="D330:Z330"/>
    <mergeCell ref="D331:Z331"/>
    <mergeCell ref="D332:Z332"/>
    <mergeCell ref="D319:Z319"/>
    <mergeCell ref="D320:Z320"/>
    <mergeCell ref="D321:Z321"/>
    <mergeCell ref="D323:Z323"/>
    <mergeCell ref="D324:Z324"/>
    <mergeCell ref="D325:Z325"/>
    <mergeCell ref="D313:Z313"/>
    <mergeCell ref="D314:Z314"/>
    <mergeCell ref="D315:Z315"/>
    <mergeCell ref="D316:Z316"/>
    <mergeCell ref="D317:Z317"/>
    <mergeCell ref="D318:Z318"/>
    <mergeCell ref="D307:Z307"/>
    <mergeCell ref="D308:Z308"/>
    <mergeCell ref="D309:Z309"/>
    <mergeCell ref="D310:Z310"/>
    <mergeCell ref="D311:Z311"/>
    <mergeCell ref="D312:Z312"/>
    <mergeCell ref="D301:Z301"/>
    <mergeCell ref="D302:Z302"/>
    <mergeCell ref="D303:Z303"/>
    <mergeCell ref="D304:Z304"/>
    <mergeCell ref="D305:Z305"/>
    <mergeCell ref="D306:Z306"/>
    <mergeCell ref="D295:Z295"/>
    <mergeCell ref="D296:Z296"/>
    <mergeCell ref="D297:Z297"/>
    <mergeCell ref="D298:Z298"/>
    <mergeCell ref="D299:Z299"/>
    <mergeCell ref="D300:Z300"/>
    <mergeCell ref="D289:Z289"/>
    <mergeCell ref="D290:Z290"/>
    <mergeCell ref="D291:Z291"/>
    <mergeCell ref="D292:Z292"/>
    <mergeCell ref="D293:Z293"/>
    <mergeCell ref="D294:Z294"/>
    <mergeCell ref="D284:Z284"/>
    <mergeCell ref="D285:Z285"/>
    <mergeCell ref="D286:Z286"/>
    <mergeCell ref="D287:Z287"/>
    <mergeCell ref="D288:Z288"/>
    <mergeCell ref="D276:M276"/>
    <mergeCell ref="D278:Z278"/>
    <mergeCell ref="D279:Z279"/>
    <mergeCell ref="D280:Z280"/>
    <mergeCell ref="D281:Z281"/>
    <mergeCell ref="D282:Z282"/>
    <mergeCell ref="D273:M273"/>
    <mergeCell ref="D274:M274"/>
    <mergeCell ref="D266:Z266"/>
    <mergeCell ref="D267:Z267"/>
    <mergeCell ref="D268:Z268"/>
    <mergeCell ref="D283:Z283"/>
    <mergeCell ref="D269:M269"/>
    <mergeCell ref="D270:J270"/>
    <mergeCell ref="D271:M271"/>
    <mergeCell ref="D272:M272"/>
    <mergeCell ref="D264:Z264"/>
    <mergeCell ref="D265:Z265"/>
    <mergeCell ref="D190:Z190"/>
    <mergeCell ref="D191:Z191"/>
    <mergeCell ref="E90:Z90"/>
    <mergeCell ref="D151:Y151"/>
    <mergeCell ref="D152:Z152"/>
    <mergeCell ref="E153:Z153"/>
    <mergeCell ref="D188:Z188"/>
    <mergeCell ref="D189:Z189"/>
    <mergeCell ref="E178:Z178"/>
    <mergeCell ref="E173:Z173"/>
    <mergeCell ref="E174:Z174"/>
    <mergeCell ref="E175:Z175"/>
    <mergeCell ref="E176:Z176"/>
    <mergeCell ref="E177:Z177"/>
    <mergeCell ref="E179:Z179"/>
    <mergeCell ref="D187:Z187"/>
    <mergeCell ref="D158:E158"/>
    <mergeCell ref="F158:Z158"/>
    <mergeCell ref="D156:E156"/>
    <mergeCell ref="F156:Z156"/>
    <mergeCell ref="E172:G172"/>
    <mergeCell ref="I172:Z172"/>
    <mergeCell ref="D166:E166"/>
    <mergeCell ref="F166:Z166"/>
    <mergeCell ref="F160:Z160"/>
    <mergeCell ref="E159:H159"/>
    <mergeCell ref="J159:Z159"/>
    <mergeCell ref="E168:G168"/>
    <mergeCell ref="E169:H169"/>
    <mergeCell ref="J169:Z169"/>
    <mergeCell ref="D164:E164"/>
    <mergeCell ref="F164:Z164"/>
    <mergeCell ref="D160:E160"/>
    <mergeCell ref="D78:N78"/>
    <mergeCell ref="Q78:Z78"/>
    <mergeCell ref="D79:N79"/>
    <mergeCell ref="Q79:Z79"/>
    <mergeCell ref="D80:Z80"/>
    <mergeCell ref="D81:Z81"/>
    <mergeCell ref="E155:H155"/>
    <mergeCell ref="J155:Z155"/>
    <mergeCell ref="E157:H157"/>
    <mergeCell ref="J157:Z157"/>
    <mergeCell ref="D82:Z82"/>
    <mergeCell ref="D83:Z83"/>
    <mergeCell ref="E84:Z84"/>
    <mergeCell ref="E85:Z85"/>
    <mergeCell ref="E86:Z86"/>
    <mergeCell ref="E87:Z87"/>
    <mergeCell ref="D154:Z154"/>
    <mergeCell ref="E88:Z88"/>
    <mergeCell ref="E89:Z89"/>
    <mergeCell ref="D107:Z107"/>
    <mergeCell ref="D108:N108"/>
    <mergeCell ref="Q108:Z108"/>
    <mergeCell ref="D109:N109"/>
    <mergeCell ref="Q109:Z109"/>
    <mergeCell ref="D73:Z73"/>
    <mergeCell ref="D74:Z74"/>
    <mergeCell ref="D75:Z75"/>
    <mergeCell ref="D76:Z76"/>
    <mergeCell ref="D77:N77"/>
    <mergeCell ref="Q77:Z77"/>
    <mergeCell ref="D70:N70"/>
    <mergeCell ref="Q70:Z70"/>
    <mergeCell ref="D71:N71"/>
    <mergeCell ref="Q71:Z71"/>
    <mergeCell ref="D72:N72"/>
    <mergeCell ref="Q72:Z72"/>
    <mergeCell ref="D65:N65"/>
    <mergeCell ref="Q65:Z65"/>
    <mergeCell ref="D66:Z66"/>
    <mergeCell ref="D67:Z67"/>
    <mergeCell ref="D68:Z68"/>
    <mergeCell ref="D69:Z69"/>
    <mergeCell ref="D60:Z60"/>
    <mergeCell ref="D61:Z61"/>
    <mergeCell ref="D62:Z62"/>
    <mergeCell ref="D63:N63"/>
    <mergeCell ref="Q63:Z63"/>
    <mergeCell ref="D64:N64"/>
    <mergeCell ref="Q64:Z64"/>
    <mergeCell ref="E54:Z54"/>
    <mergeCell ref="E56:Z56"/>
    <mergeCell ref="E57:Z57"/>
    <mergeCell ref="E58:Z58"/>
    <mergeCell ref="E59:Z59"/>
    <mergeCell ref="D49:Z49"/>
    <mergeCell ref="E50:Z50"/>
    <mergeCell ref="E51:Z51"/>
    <mergeCell ref="E52:Z52"/>
    <mergeCell ref="E53:Z53"/>
    <mergeCell ref="E55:V55"/>
    <mergeCell ref="W55:X55"/>
    <mergeCell ref="D43:Z43"/>
    <mergeCell ref="D44:Z44"/>
    <mergeCell ref="D45:Z45"/>
    <mergeCell ref="D46:Z46"/>
    <mergeCell ref="D47:Z47"/>
    <mergeCell ref="D38:L38"/>
    <mergeCell ref="M38:Z38"/>
    <mergeCell ref="D39:Z39"/>
    <mergeCell ref="D40:Z40"/>
    <mergeCell ref="D41:Z41"/>
    <mergeCell ref="D42:Z42"/>
    <mergeCell ref="D36:L36"/>
    <mergeCell ref="M36:Z36"/>
    <mergeCell ref="D37:L37"/>
    <mergeCell ref="M37:Z37"/>
    <mergeCell ref="D23:Z23"/>
    <mergeCell ref="D24:N24"/>
    <mergeCell ref="Q24:Z24"/>
    <mergeCell ref="D25:N25"/>
    <mergeCell ref="Q25:Z25"/>
    <mergeCell ref="D26:N26"/>
    <mergeCell ref="Q26:Z26"/>
    <mergeCell ref="D29:Z29"/>
    <mergeCell ref="D30:Z30"/>
    <mergeCell ref="D31:N31"/>
    <mergeCell ref="Q31:Z31"/>
    <mergeCell ref="D32:N32"/>
    <mergeCell ref="Q32:Z32"/>
    <mergeCell ref="D33:N33"/>
    <mergeCell ref="Q33:Z33"/>
    <mergeCell ref="D34:Z34"/>
    <mergeCell ref="D35:Z35"/>
    <mergeCell ref="D20:Z20"/>
    <mergeCell ref="D21:Z21"/>
    <mergeCell ref="D22:Z22"/>
    <mergeCell ref="D15:Z15"/>
    <mergeCell ref="D16:Z16"/>
    <mergeCell ref="D17:J17"/>
    <mergeCell ref="K17:Z17"/>
    <mergeCell ref="D27:Z27"/>
    <mergeCell ref="D28:Z28"/>
    <mergeCell ref="D1:I1"/>
    <mergeCell ref="J1:Z1"/>
    <mergeCell ref="D3:Z3"/>
    <mergeCell ref="D4:Z4"/>
    <mergeCell ref="D5:Z5"/>
    <mergeCell ref="D6:Z6"/>
    <mergeCell ref="D18:J18"/>
    <mergeCell ref="K18:Z18"/>
    <mergeCell ref="D19:J19"/>
    <mergeCell ref="D13:H13"/>
    <mergeCell ref="I13:Z13"/>
    <mergeCell ref="D14:Z14"/>
    <mergeCell ref="D7:Z7"/>
    <mergeCell ref="D8:Z8"/>
    <mergeCell ref="D9:Z9"/>
    <mergeCell ref="D10:Z10"/>
    <mergeCell ref="D11:Z11"/>
    <mergeCell ref="D12:Z12"/>
    <mergeCell ref="D120:Z120"/>
    <mergeCell ref="D121:Z121"/>
    <mergeCell ref="D122:N122"/>
    <mergeCell ref="Q122:Z122"/>
    <mergeCell ref="D123:N123"/>
    <mergeCell ref="Q123:Z123"/>
    <mergeCell ref="D124:N124"/>
    <mergeCell ref="Q124:Z124"/>
    <mergeCell ref="D125:Z125"/>
    <mergeCell ref="D126:Z126"/>
    <mergeCell ref="D127:Z127"/>
    <mergeCell ref="D128:Z128"/>
    <mergeCell ref="D129:N129"/>
    <mergeCell ref="Q129:Z129"/>
    <mergeCell ref="D130:N130"/>
    <mergeCell ref="Q130:Z130"/>
    <mergeCell ref="D131:N131"/>
    <mergeCell ref="Q131:Z131"/>
    <mergeCell ref="D132:Z132"/>
    <mergeCell ref="D133:Z133"/>
    <mergeCell ref="D134:Z134"/>
    <mergeCell ref="D135:Z135"/>
    <mergeCell ref="D136:N136"/>
    <mergeCell ref="Q136:Z136"/>
    <mergeCell ref="D137:N137"/>
    <mergeCell ref="Q137:Z137"/>
    <mergeCell ref="D138:N138"/>
    <mergeCell ref="Q138:Z138"/>
    <mergeCell ref="D185:Z185"/>
    <mergeCell ref="D186:Z186"/>
    <mergeCell ref="D139:Z139"/>
    <mergeCell ref="D140:Z140"/>
    <mergeCell ref="D180:Z180"/>
    <mergeCell ref="D181:Z181"/>
    <mergeCell ref="D182:N182"/>
    <mergeCell ref="Q182:Z182"/>
    <mergeCell ref="D183:N183"/>
    <mergeCell ref="Q183:Z183"/>
    <mergeCell ref="D184:N184"/>
    <mergeCell ref="Q184:Z184"/>
    <mergeCell ref="E170:H170"/>
    <mergeCell ref="J170:Z170"/>
    <mergeCell ref="E163:H163"/>
    <mergeCell ref="J163:Z163"/>
    <mergeCell ref="I168:Z168"/>
    <mergeCell ref="E161:H161"/>
    <mergeCell ref="J161:Z161"/>
    <mergeCell ref="D162:E162"/>
    <mergeCell ref="F162:Z162"/>
    <mergeCell ref="E167:Z167"/>
    <mergeCell ref="E165:H165"/>
    <mergeCell ref="J165:Z165"/>
  </mergeCells>
  <conditionalFormatting sqref="B24">
    <cfRule type="containsBlanks" dxfId="282" priority="251">
      <formula>LEN(TRIM(B24))=0</formula>
    </cfRule>
  </conditionalFormatting>
  <conditionalFormatting sqref="B31">
    <cfRule type="containsBlanks" dxfId="281" priority="55">
      <formula>LEN(TRIM(B31))=0</formula>
    </cfRule>
  </conditionalFormatting>
  <conditionalFormatting sqref="B49:B55">
    <cfRule type="containsBlanks" dxfId="280" priority="265">
      <formula>LEN(TRIM(B49))=0</formula>
    </cfRule>
  </conditionalFormatting>
  <conditionalFormatting sqref="B57:B59">
    <cfRule type="containsBlanks" dxfId="279" priority="268">
      <formula>LEN(TRIM(B57))=0</formula>
    </cfRule>
  </conditionalFormatting>
  <conditionalFormatting sqref="B63">
    <cfRule type="containsBlanks" dxfId="278" priority="267">
      <formula>LEN(TRIM(B63))=0</formula>
    </cfRule>
  </conditionalFormatting>
  <conditionalFormatting sqref="B70">
    <cfRule type="containsBlanks" dxfId="277" priority="296">
      <formula>LEN(TRIM(B70))=0</formula>
    </cfRule>
  </conditionalFormatting>
  <conditionalFormatting sqref="B77">
    <cfRule type="containsBlanks" dxfId="276" priority="282">
      <formula>LEN(TRIM(B77))=0</formula>
    </cfRule>
  </conditionalFormatting>
  <conditionalFormatting sqref="B88:B97">
    <cfRule type="containsBlanks" dxfId="275" priority="134">
      <formula>LEN(TRIM(B88))=0</formula>
    </cfRule>
  </conditionalFormatting>
  <conditionalFormatting sqref="B101">
    <cfRule type="containsBlanks" dxfId="274" priority="91">
      <formula>LEN(TRIM(B101))=0</formula>
    </cfRule>
  </conditionalFormatting>
  <conditionalFormatting sqref="B108">
    <cfRule type="containsBlanks" dxfId="273" priority="90">
      <formula>LEN(TRIM(B108))=0</formula>
    </cfRule>
  </conditionalFormatting>
  <conditionalFormatting sqref="B115">
    <cfRule type="containsBlanks" dxfId="272" priority="89">
      <formula>LEN(TRIM(B115))=0</formula>
    </cfRule>
  </conditionalFormatting>
  <conditionalFormatting sqref="B122">
    <cfRule type="containsBlanks" dxfId="271" priority="15">
      <formula>LEN(TRIM(B122))=0</formula>
    </cfRule>
  </conditionalFormatting>
  <conditionalFormatting sqref="B129">
    <cfRule type="containsBlanks" dxfId="270" priority="14">
      <formula>LEN(TRIM(B129))=0</formula>
    </cfRule>
  </conditionalFormatting>
  <conditionalFormatting sqref="B136">
    <cfRule type="containsBlanks" dxfId="269" priority="13">
      <formula>LEN(TRIM(B136))=0</formula>
    </cfRule>
  </conditionalFormatting>
  <conditionalFormatting sqref="B141:B150">
    <cfRule type="containsBlanks" dxfId="268" priority="133">
      <formula>LEN(TRIM(B141))=0</formula>
    </cfRule>
  </conditionalFormatting>
  <conditionalFormatting sqref="B152:B179">
    <cfRule type="containsBlanks" dxfId="267" priority="72">
      <formula>LEN(TRIM(B152))=0</formula>
    </cfRule>
  </conditionalFormatting>
  <conditionalFormatting sqref="B182">
    <cfRule type="containsBlanks" dxfId="266" priority="1">
      <formula>LEN(TRIM(B182))=0</formula>
    </cfRule>
  </conditionalFormatting>
  <conditionalFormatting sqref="B194:B195">
    <cfRule type="containsBlanks" dxfId="265" priority="69">
      <formula>LEN(TRIM(B194))=0</formula>
    </cfRule>
  </conditionalFormatting>
  <conditionalFormatting sqref="B197:B213">
    <cfRule type="containsBlanks" dxfId="264" priority="70">
      <formula>LEN(TRIM(B197))=0</formula>
    </cfRule>
  </conditionalFormatting>
  <conditionalFormatting sqref="B215:B217">
    <cfRule type="containsBlanks" dxfId="263" priority="68">
      <formula>LEN(TRIM(B215))=0</formula>
    </cfRule>
  </conditionalFormatting>
  <conditionalFormatting sqref="B221">
    <cfRule type="containsBlanks" dxfId="262" priority="192">
      <formula>LEN(TRIM(B221))=0</formula>
    </cfRule>
  </conditionalFormatting>
  <conditionalFormatting sqref="B228">
    <cfRule type="containsBlanks" dxfId="261" priority="190">
      <formula>LEN(TRIM(B228))=0</formula>
    </cfRule>
  </conditionalFormatting>
  <conditionalFormatting sqref="B235">
    <cfRule type="containsBlanks" dxfId="260" priority="189">
      <formula>LEN(TRIM(B235))=0</formula>
    </cfRule>
  </conditionalFormatting>
  <conditionalFormatting sqref="B242">
    <cfRule type="containsBlanks" dxfId="259" priority="173">
      <formula>LEN(TRIM(B242))=0</formula>
    </cfRule>
  </conditionalFormatting>
  <conditionalFormatting sqref="B249">
    <cfRule type="containsBlanks" dxfId="258" priority="159">
      <formula>LEN(TRIM(B249))=0</formula>
    </cfRule>
  </conditionalFormatting>
  <conditionalFormatting sqref="B256">
    <cfRule type="containsBlanks" dxfId="257" priority="145">
      <formula>LEN(TRIM(B256))=0</formula>
    </cfRule>
  </conditionalFormatting>
  <conditionalFormatting sqref="B261:B263">
    <cfRule type="containsBlanks" dxfId="256" priority="67">
      <formula>LEN(TRIM(B261))=0</formula>
    </cfRule>
  </conditionalFormatting>
  <conditionalFormatting sqref="B265">
    <cfRule type="containsBlanks" dxfId="255" priority="233">
      <formula>LEN(TRIM(B265))=0</formula>
    </cfRule>
  </conditionalFormatting>
  <conditionalFormatting sqref="D265">
    <cfRule type="containsBlanks" dxfId="254" priority="234">
      <formula>LEN(TRIM(D265))=0</formula>
    </cfRule>
  </conditionalFormatting>
  <conditionalFormatting sqref="D24:N24 Q24:Z24">
    <cfRule type="cellIs" dxfId="253" priority="260" operator="equal">
      <formula>"Hide"</formula>
    </cfRule>
    <cfRule type="cellIs" dxfId="252" priority="258" operator="equal">
      <formula>"Show"</formula>
    </cfRule>
    <cfRule type="containsBlanks" dxfId="251" priority="262">
      <formula>LEN(TRIM(D24))=0</formula>
    </cfRule>
  </conditionalFormatting>
  <conditionalFormatting sqref="D24:N24">
    <cfRule type="expression" dxfId="250" priority="257">
      <formula>OR(D24="Show",D24="Hide")</formula>
    </cfRule>
  </conditionalFormatting>
  <conditionalFormatting sqref="D25:N25">
    <cfRule type="expression" dxfId="249" priority="256">
      <formula>OR(D24="Show",D24="Hide")</formula>
    </cfRule>
  </conditionalFormatting>
  <conditionalFormatting sqref="D26:N26">
    <cfRule type="expression" dxfId="248" priority="255">
      <formula>OR(D24="Show",D24="Hide")</formula>
    </cfRule>
  </conditionalFormatting>
  <conditionalFormatting sqref="D26:N27">
    <cfRule type="expression" dxfId="247" priority="261">
      <formula>AND(D24="Show",D26="")</formula>
    </cfRule>
  </conditionalFormatting>
  <conditionalFormatting sqref="D31:N31 Q31:Z31">
    <cfRule type="containsBlanks" dxfId="246" priority="66">
      <formula>LEN(TRIM(D31))=0</formula>
    </cfRule>
    <cfRule type="cellIs" dxfId="245" priority="64" operator="equal">
      <formula>"Hide"</formula>
    </cfRule>
    <cfRule type="cellIs" dxfId="244" priority="62" operator="equal">
      <formula>"Show"</formula>
    </cfRule>
  </conditionalFormatting>
  <conditionalFormatting sqref="D31:N31">
    <cfRule type="expression" dxfId="243" priority="61">
      <formula>OR(D31="Show",D31="Hide")</formula>
    </cfRule>
  </conditionalFormatting>
  <conditionalFormatting sqref="D32:N32">
    <cfRule type="expression" dxfId="242" priority="60">
      <formula>OR(D31="Show",D31="Hide")</formula>
    </cfRule>
  </conditionalFormatting>
  <conditionalFormatting sqref="D33:N33">
    <cfRule type="expression" dxfId="241" priority="59">
      <formula>OR(D31="Show",D31="Hide")</formula>
    </cfRule>
  </conditionalFormatting>
  <conditionalFormatting sqref="D33:N34">
    <cfRule type="expression" dxfId="240" priority="65">
      <formula>AND(D31="Show",D33="")</formula>
    </cfRule>
  </conditionalFormatting>
  <conditionalFormatting sqref="D63:N63 Q63:Z63">
    <cfRule type="containsBlanks" dxfId="239" priority="309">
      <formula>LEN(TRIM(D63))=0</formula>
    </cfRule>
    <cfRule type="cellIs" dxfId="238" priority="307" operator="equal">
      <formula>"Hide"</formula>
    </cfRule>
    <cfRule type="cellIs" dxfId="237" priority="305" operator="equal">
      <formula>"Show"</formula>
    </cfRule>
  </conditionalFormatting>
  <conditionalFormatting sqref="D63:N63">
    <cfRule type="expression" dxfId="236" priority="304">
      <formula>OR(D63="Show",D63="Hide")</formula>
    </cfRule>
  </conditionalFormatting>
  <conditionalFormatting sqref="D64:N64">
    <cfRule type="expression" dxfId="235" priority="303">
      <formula>OR(D63="Show",D63="Hide")</formula>
    </cfRule>
  </conditionalFormatting>
  <conditionalFormatting sqref="D65:N65">
    <cfRule type="expression" dxfId="234" priority="302">
      <formula>OR(D63="Show",D63="Hide")</formula>
    </cfRule>
  </conditionalFormatting>
  <conditionalFormatting sqref="D65:N66">
    <cfRule type="expression" dxfId="233" priority="308">
      <formula>AND(D63="Show",D65="")</formula>
    </cfRule>
  </conditionalFormatting>
  <conditionalFormatting sqref="D70:N70 Q70:Z70">
    <cfRule type="cellIs" dxfId="232" priority="291" operator="equal">
      <formula>"Show"</formula>
    </cfRule>
    <cfRule type="cellIs" dxfId="231" priority="293" operator="equal">
      <formula>"Hide"</formula>
    </cfRule>
    <cfRule type="containsBlanks" dxfId="230" priority="295">
      <formula>LEN(TRIM(D70))=0</formula>
    </cfRule>
  </conditionalFormatting>
  <conditionalFormatting sqref="D70:N70">
    <cfRule type="expression" dxfId="229" priority="290">
      <formula>OR(D70="Show",D70="Hide")</formula>
    </cfRule>
  </conditionalFormatting>
  <conditionalFormatting sqref="D71:N71">
    <cfRule type="expression" dxfId="228" priority="289">
      <formula>OR(D70="Show",D70="Hide")</formula>
    </cfRule>
  </conditionalFormatting>
  <conditionalFormatting sqref="D72:N72">
    <cfRule type="expression" dxfId="227" priority="288">
      <formula>OR(D70="Show",D70="Hide")</formula>
    </cfRule>
  </conditionalFormatting>
  <conditionalFormatting sqref="D72:N73">
    <cfRule type="expression" dxfId="226" priority="294">
      <formula>AND(D70="Show",D72="")</formula>
    </cfRule>
  </conditionalFormatting>
  <conditionalFormatting sqref="D77:N77 Q77:Z77">
    <cfRule type="cellIs" dxfId="225" priority="277" operator="equal">
      <formula>"Show"</formula>
    </cfRule>
    <cfRule type="cellIs" dxfId="224" priority="279" operator="equal">
      <formula>"Hide"</formula>
    </cfRule>
    <cfRule type="containsBlanks" dxfId="223" priority="281">
      <formula>LEN(TRIM(D77))=0</formula>
    </cfRule>
  </conditionalFormatting>
  <conditionalFormatting sqref="D77:N77">
    <cfRule type="expression" dxfId="222" priority="276">
      <formula>OR(D77="Show",D77="Hide")</formula>
    </cfRule>
  </conditionalFormatting>
  <conditionalFormatting sqref="D78:N78">
    <cfRule type="expression" dxfId="221" priority="275">
      <formula>OR(D77="Show",D77="Hide")</formula>
    </cfRule>
  </conditionalFormatting>
  <conditionalFormatting sqref="D79:N79">
    <cfRule type="expression" dxfId="220" priority="274">
      <formula>OR(D77="Show",D77="Hide")</formula>
    </cfRule>
  </conditionalFormatting>
  <conditionalFormatting sqref="D79:N80">
    <cfRule type="expression" dxfId="219" priority="280">
      <formula>AND(D77="Show",D79="")</formula>
    </cfRule>
  </conditionalFormatting>
  <conditionalFormatting sqref="D101:N101 Q101:Z101">
    <cfRule type="containsBlanks" dxfId="218" priority="128">
      <formula>LEN(TRIM(D101))=0</formula>
    </cfRule>
    <cfRule type="cellIs" dxfId="217" priority="126" operator="equal">
      <formula>"Hide"</formula>
    </cfRule>
    <cfRule type="cellIs" dxfId="216" priority="124" operator="equal">
      <formula>"Show"</formula>
    </cfRule>
  </conditionalFormatting>
  <conditionalFormatting sqref="D101:N101">
    <cfRule type="expression" dxfId="215" priority="123">
      <formula>OR(D101="Show",D101="Hide")</formula>
    </cfRule>
  </conditionalFormatting>
  <conditionalFormatting sqref="D102:N102">
    <cfRule type="expression" dxfId="214" priority="122">
      <formula>OR(D101="Show",D101="Hide")</formula>
    </cfRule>
  </conditionalFormatting>
  <conditionalFormatting sqref="D103:N103">
    <cfRule type="expression" dxfId="213" priority="121">
      <formula>OR(D101="Show",D101="Hide")</formula>
    </cfRule>
  </conditionalFormatting>
  <conditionalFormatting sqref="D103:N104">
    <cfRule type="expression" dxfId="212" priority="127">
      <formula>AND(D101="Show",D103="")</formula>
    </cfRule>
  </conditionalFormatting>
  <conditionalFormatting sqref="D108:N108 Q108:Z108">
    <cfRule type="cellIs" dxfId="211" priority="111" operator="equal">
      <formula>"Show"</formula>
    </cfRule>
    <cfRule type="cellIs" dxfId="210" priority="113" operator="equal">
      <formula>"Hide"</formula>
    </cfRule>
    <cfRule type="containsBlanks" dxfId="209" priority="115">
      <formula>LEN(TRIM(D108))=0</formula>
    </cfRule>
  </conditionalFormatting>
  <conditionalFormatting sqref="D108:N108">
    <cfRule type="expression" dxfId="208" priority="110">
      <formula>OR(D108="Show",D108="Hide")</formula>
    </cfRule>
  </conditionalFormatting>
  <conditionalFormatting sqref="D109:N109">
    <cfRule type="expression" dxfId="207" priority="109">
      <formula>OR(D108="Show",D108="Hide")</formula>
    </cfRule>
  </conditionalFormatting>
  <conditionalFormatting sqref="D110:N110">
    <cfRule type="expression" dxfId="206" priority="108">
      <formula>OR(D108="Show",D108="Hide")</formula>
    </cfRule>
  </conditionalFormatting>
  <conditionalFormatting sqref="D110:N111">
    <cfRule type="expression" dxfId="205" priority="114">
      <formula>AND(D108="Show",D110="")</formula>
    </cfRule>
  </conditionalFormatting>
  <conditionalFormatting sqref="D115:N115 Q115:Z115">
    <cfRule type="containsBlanks" dxfId="204" priority="102">
      <formula>LEN(TRIM(D115))=0</formula>
    </cfRule>
    <cfRule type="cellIs" dxfId="203" priority="98" operator="equal">
      <formula>"Show"</formula>
    </cfRule>
    <cfRule type="cellIs" dxfId="202" priority="100" operator="equal">
      <formula>"Hide"</formula>
    </cfRule>
  </conditionalFormatting>
  <conditionalFormatting sqref="D115:N115">
    <cfRule type="expression" dxfId="201" priority="97">
      <formula>OR(D115="Show",D115="Hide")</formula>
    </cfRule>
  </conditionalFormatting>
  <conditionalFormatting sqref="D116:N116">
    <cfRule type="expression" dxfId="200" priority="96">
      <formula>OR(D115="Show",D115="Hide")</formula>
    </cfRule>
  </conditionalFormatting>
  <conditionalFormatting sqref="D117:N117">
    <cfRule type="expression" dxfId="199" priority="95">
      <formula>OR(D115="Show",D115="Hide")</formula>
    </cfRule>
  </conditionalFormatting>
  <conditionalFormatting sqref="D117:N118">
    <cfRule type="expression" dxfId="198" priority="101">
      <formula>AND(D115="Show",D117="")</formula>
    </cfRule>
  </conditionalFormatting>
  <conditionalFormatting sqref="D122:N122 Q122:Z122">
    <cfRule type="containsBlanks" dxfId="197" priority="52">
      <formula>LEN(TRIM(D122))=0</formula>
    </cfRule>
    <cfRule type="cellIs" dxfId="196" priority="50" operator="equal">
      <formula>"Hide"</formula>
    </cfRule>
    <cfRule type="cellIs" dxfId="195" priority="48" operator="equal">
      <formula>"Show"</formula>
    </cfRule>
  </conditionalFormatting>
  <conditionalFormatting sqref="D122:N122">
    <cfRule type="expression" dxfId="194" priority="47">
      <formula>OR(D122="Show",D122="Hide")</formula>
    </cfRule>
  </conditionalFormatting>
  <conditionalFormatting sqref="D123:N123">
    <cfRule type="expression" dxfId="193" priority="46">
      <formula>OR(D122="Show",D122="Hide")</formula>
    </cfRule>
  </conditionalFormatting>
  <conditionalFormatting sqref="D124:N124">
    <cfRule type="expression" dxfId="192" priority="45">
      <formula>OR(D122="Show",D122="Hide")</formula>
    </cfRule>
  </conditionalFormatting>
  <conditionalFormatting sqref="D124:N125">
    <cfRule type="expression" dxfId="191" priority="51">
      <formula>AND(D122="Show",D124="")</formula>
    </cfRule>
  </conditionalFormatting>
  <conditionalFormatting sqref="D129:N129 Q129:Z129">
    <cfRule type="containsBlanks" dxfId="190" priority="39">
      <formula>LEN(TRIM(D129))=0</formula>
    </cfRule>
    <cfRule type="cellIs" dxfId="189" priority="37" operator="equal">
      <formula>"Hide"</formula>
    </cfRule>
    <cfRule type="cellIs" dxfId="188" priority="35" operator="equal">
      <formula>"Show"</formula>
    </cfRule>
  </conditionalFormatting>
  <conditionalFormatting sqref="D129:N129">
    <cfRule type="expression" dxfId="187" priority="34">
      <formula>OR(D129="Show",D129="Hide")</formula>
    </cfRule>
  </conditionalFormatting>
  <conditionalFormatting sqref="D130:N130">
    <cfRule type="expression" dxfId="186" priority="33">
      <formula>OR(D129="Show",D129="Hide")</formula>
    </cfRule>
  </conditionalFormatting>
  <conditionalFormatting sqref="D131:N131">
    <cfRule type="expression" dxfId="185" priority="32">
      <formula>OR(D129="Show",D129="Hide")</formula>
    </cfRule>
  </conditionalFormatting>
  <conditionalFormatting sqref="D131:N132">
    <cfRule type="expression" dxfId="184" priority="38">
      <formula>AND(D129="Show",D131="")</formula>
    </cfRule>
  </conditionalFormatting>
  <conditionalFormatting sqref="D136:N136 Q136:Z136">
    <cfRule type="cellIs" dxfId="183" priority="22" operator="equal">
      <formula>"Show"</formula>
    </cfRule>
    <cfRule type="cellIs" dxfId="182" priority="24" operator="equal">
      <formula>"Hide"</formula>
    </cfRule>
    <cfRule type="containsBlanks" dxfId="181" priority="26">
      <formula>LEN(TRIM(D136))=0</formula>
    </cfRule>
  </conditionalFormatting>
  <conditionalFormatting sqref="D136:N136">
    <cfRule type="expression" dxfId="180" priority="21">
      <formula>OR(D136="Show",D136="Hide")</formula>
    </cfRule>
  </conditionalFormatting>
  <conditionalFormatting sqref="D137:N137">
    <cfRule type="expression" dxfId="179" priority="20">
      <formula>OR(D136="Show",D136="Hide")</formula>
    </cfRule>
  </conditionalFormatting>
  <conditionalFormatting sqref="D138:N138">
    <cfRule type="expression" dxfId="178" priority="19">
      <formula>OR(D136="Show",D136="Hide")</formula>
    </cfRule>
  </conditionalFormatting>
  <conditionalFormatting sqref="D138:N139">
    <cfRule type="expression" dxfId="177" priority="25">
      <formula>AND(D136="Show",D138="")</formula>
    </cfRule>
  </conditionalFormatting>
  <conditionalFormatting sqref="D182:N182 Q182:Z182">
    <cfRule type="containsBlanks" dxfId="176" priority="12">
      <formula>LEN(TRIM(D182))=0</formula>
    </cfRule>
    <cfRule type="cellIs" dxfId="175" priority="8" operator="equal">
      <formula>"Show"</formula>
    </cfRule>
    <cfRule type="cellIs" dxfId="174" priority="10" operator="equal">
      <formula>"Hide"</formula>
    </cfRule>
  </conditionalFormatting>
  <conditionalFormatting sqref="D182:N182">
    <cfRule type="expression" dxfId="173" priority="7">
      <formula>OR(D182="Show",D182="Hide")</formula>
    </cfRule>
  </conditionalFormatting>
  <conditionalFormatting sqref="D183:N183">
    <cfRule type="expression" dxfId="172" priority="6">
      <formula>OR(D182="Show",D182="Hide")</formula>
    </cfRule>
  </conditionalFormatting>
  <conditionalFormatting sqref="D184:N184">
    <cfRule type="expression" dxfId="171" priority="5">
      <formula>OR(D182="Show",D182="Hide")</formula>
    </cfRule>
  </conditionalFormatting>
  <conditionalFormatting sqref="D184:N185">
    <cfRule type="expression" dxfId="170" priority="11">
      <formula>AND(D182="Show",D184="")</formula>
    </cfRule>
  </conditionalFormatting>
  <conditionalFormatting sqref="D221:N221 Q221:Z221">
    <cfRule type="containsBlanks" dxfId="169" priority="231">
      <formula>LEN(TRIM(D221))=0</formula>
    </cfRule>
    <cfRule type="cellIs" dxfId="168" priority="229" operator="equal">
      <formula>"Hide"</formula>
    </cfRule>
    <cfRule type="cellIs" dxfId="167" priority="227" operator="equal">
      <formula>"Show"</formula>
    </cfRule>
  </conditionalFormatting>
  <conditionalFormatting sqref="D221:N221">
    <cfRule type="expression" dxfId="166" priority="226">
      <formula>OR(D221="Show",D221="Hide")</formula>
    </cfRule>
  </conditionalFormatting>
  <conditionalFormatting sqref="D222:N222">
    <cfRule type="expression" dxfId="165" priority="225">
      <formula>OR(D221="Show",D221="Hide")</formula>
    </cfRule>
  </conditionalFormatting>
  <conditionalFormatting sqref="D223:N223">
    <cfRule type="expression" dxfId="164" priority="224">
      <formula>OR(D221="Show",D221="Hide")</formula>
    </cfRule>
  </conditionalFormatting>
  <conditionalFormatting sqref="D223:N224">
    <cfRule type="expression" dxfId="163" priority="230">
      <formula>AND(D221="Show",D223="")</formula>
    </cfRule>
  </conditionalFormatting>
  <conditionalFormatting sqref="D228:N228 Q228:Z228">
    <cfRule type="containsBlanks" dxfId="162" priority="218">
      <formula>LEN(TRIM(D228))=0</formula>
    </cfRule>
    <cfRule type="cellIs" dxfId="161" priority="216" operator="equal">
      <formula>"Hide"</formula>
    </cfRule>
    <cfRule type="cellIs" dxfId="160" priority="214" operator="equal">
      <formula>"Show"</formula>
    </cfRule>
  </conditionalFormatting>
  <conditionalFormatting sqref="D228:N228">
    <cfRule type="expression" dxfId="159" priority="213">
      <formula>OR(D228="Show",D228="Hide")</formula>
    </cfRule>
  </conditionalFormatting>
  <conditionalFormatting sqref="D229:N229">
    <cfRule type="expression" dxfId="158" priority="212">
      <formula>OR(D228="Show",D228="Hide")</formula>
    </cfRule>
  </conditionalFormatting>
  <conditionalFormatting sqref="D230:N230">
    <cfRule type="expression" dxfId="157" priority="211">
      <formula>OR(D228="Show",D228="Hide")</formula>
    </cfRule>
  </conditionalFormatting>
  <conditionalFormatting sqref="D230:N231">
    <cfRule type="expression" dxfId="156" priority="217">
      <formula>AND(D228="Show",D230="")</formula>
    </cfRule>
  </conditionalFormatting>
  <conditionalFormatting sqref="D235:N235 Q235:Z235">
    <cfRule type="containsBlanks" dxfId="155" priority="205">
      <formula>LEN(TRIM(D235))=0</formula>
    </cfRule>
    <cfRule type="cellIs" dxfId="154" priority="203" operator="equal">
      <formula>"Hide"</formula>
    </cfRule>
    <cfRule type="cellIs" dxfId="153" priority="201" operator="equal">
      <formula>"Show"</formula>
    </cfRule>
  </conditionalFormatting>
  <conditionalFormatting sqref="D235:N235">
    <cfRule type="expression" dxfId="152" priority="200">
      <formula>OR(D235="Show",D235="Hide")</formula>
    </cfRule>
  </conditionalFormatting>
  <conditionalFormatting sqref="D236:N236">
    <cfRule type="expression" dxfId="151" priority="199">
      <formula>OR(D235="Show",D235="Hide")</formula>
    </cfRule>
  </conditionalFormatting>
  <conditionalFormatting sqref="D237:N237">
    <cfRule type="expression" dxfId="150" priority="198">
      <formula>OR(D235="Show",D235="Hide")</formula>
    </cfRule>
  </conditionalFormatting>
  <conditionalFormatting sqref="D237:N238">
    <cfRule type="expression" dxfId="149" priority="204">
      <formula>AND(D235="Show",D237="")</formula>
    </cfRule>
  </conditionalFormatting>
  <conditionalFormatting sqref="D242:N242 Q242:Z242">
    <cfRule type="containsBlanks" dxfId="148" priority="184">
      <formula>LEN(TRIM(D242))=0</formula>
    </cfRule>
    <cfRule type="cellIs" dxfId="147" priority="182" operator="equal">
      <formula>"Hide"</formula>
    </cfRule>
    <cfRule type="cellIs" dxfId="146" priority="180" operator="equal">
      <formula>"Show"</formula>
    </cfRule>
  </conditionalFormatting>
  <conditionalFormatting sqref="D242:N242">
    <cfRule type="expression" dxfId="145" priority="179">
      <formula>OR(D242="Show",D242="Hide")</formula>
    </cfRule>
  </conditionalFormatting>
  <conditionalFormatting sqref="D243:N243">
    <cfRule type="expression" dxfId="144" priority="178">
      <formula>OR(D242="Show",D242="Hide")</formula>
    </cfRule>
  </conditionalFormatting>
  <conditionalFormatting sqref="D244:N244">
    <cfRule type="expression" dxfId="143" priority="177">
      <formula>OR(D242="Show",D242="Hide")</formula>
    </cfRule>
  </conditionalFormatting>
  <conditionalFormatting sqref="D244:N245">
    <cfRule type="expression" dxfId="142" priority="183">
      <formula>AND(D242="Show",D244="")</formula>
    </cfRule>
  </conditionalFormatting>
  <conditionalFormatting sqref="D249:N249 Q249:Z249">
    <cfRule type="cellIs" dxfId="141" priority="166" operator="equal">
      <formula>"Show"</formula>
    </cfRule>
    <cfRule type="cellIs" dxfId="140" priority="168" operator="equal">
      <formula>"Hide"</formula>
    </cfRule>
    <cfRule type="containsBlanks" dxfId="139" priority="170">
      <formula>LEN(TRIM(D249))=0</formula>
    </cfRule>
  </conditionalFormatting>
  <conditionalFormatting sqref="D249:N249">
    <cfRule type="expression" dxfId="138" priority="165">
      <formula>OR(D249="Show",D249="Hide")</formula>
    </cfRule>
  </conditionalFormatting>
  <conditionalFormatting sqref="D250:N250">
    <cfRule type="expression" dxfId="137" priority="164">
      <formula>OR(D249="Show",D249="Hide")</formula>
    </cfRule>
  </conditionalFormatting>
  <conditionalFormatting sqref="D251:N251">
    <cfRule type="expression" dxfId="136" priority="163">
      <formula>OR(D249="Show",D249="Hide")</formula>
    </cfRule>
  </conditionalFormatting>
  <conditionalFormatting sqref="D251:N252">
    <cfRule type="expression" dxfId="135" priority="169">
      <formula>AND(D249="Show",D251="")</formula>
    </cfRule>
  </conditionalFormatting>
  <conditionalFormatting sqref="D256:N256 Q256:Z256">
    <cfRule type="cellIs" dxfId="134" priority="154" operator="equal">
      <formula>"Hide"</formula>
    </cfRule>
    <cfRule type="cellIs" dxfId="133" priority="152" operator="equal">
      <formula>"Show"</formula>
    </cfRule>
    <cfRule type="containsBlanks" dxfId="132" priority="156">
      <formula>LEN(TRIM(D256))=0</formula>
    </cfRule>
  </conditionalFormatting>
  <conditionalFormatting sqref="D256:N256">
    <cfRule type="expression" dxfId="131" priority="151">
      <formula>OR(D256="Show",D256="Hide")</formula>
    </cfRule>
  </conditionalFormatting>
  <conditionalFormatting sqref="D257:N257">
    <cfRule type="expression" dxfId="130" priority="150">
      <formula>OR(D256="Show",D256="Hide")</formula>
    </cfRule>
  </conditionalFormatting>
  <conditionalFormatting sqref="D258:N258">
    <cfRule type="expression" dxfId="129" priority="149">
      <formula>OR(D256="Show",D256="Hide")</formula>
    </cfRule>
  </conditionalFormatting>
  <conditionalFormatting sqref="D258:N259">
    <cfRule type="expression" dxfId="128" priority="155">
      <formula>AND(D256="Show",D258="")</formula>
    </cfRule>
  </conditionalFormatting>
  <conditionalFormatting sqref="E142:F146">
    <cfRule type="containsBlanks" dxfId="127" priority="131">
      <formula>LEN(TRIM(E142))=0</formula>
    </cfRule>
  </conditionalFormatting>
  <conditionalFormatting sqref="E57:Z59">
    <cfRule type="containsBlanks" dxfId="126" priority="269">
      <formula>LEN(TRIM(E57))=0</formula>
    </cfRule>
  </conditionalFormatting>
  <conditionalFormatting sqref="E88:Z90">
    <cfRule type="containsBlanks" dxfId="125" priority="264">
      <formula>LEN(TRIM(E88))=0</formula>
    </cfRule>
  </conditionalFormatting>
  <conditionalFormatting sqref="E95:Z97">
    <cfRule type="containsBlanks" dxfId="124" priority="135">
      <formula>LEN(TRIM(E95))=0</formula>
    </cfRule>
  </conditionalFormatting>
  <conditionalFormatting sqref="E215:Z217">
    <cfRule type="containsBlanks" dxfId="123" priority="193">
      <formula>LEN(TRIM(E215))=0</formula>
    </cfRule>
  </conditionalFormatting>
  <conditionalFormatting sqref="F156">
    <cfRule type="containsBlanks" dxfId="122" priority="235">
      <formula>LEN(TRIM(F156))=0</formula>
    </cfRule>
  </conditionalFormatting>
  <conditionalFormatting sqref="F158">
    <cfRule type="containsBlanks" dxfId="121" priority="236">
      <formula>LEN(TRIM(F158))=0</formula>
    </cfRule>
  </conditionalFormatting>
  <conditionalFormatting sqref="F160 F162 F164">
    <cfRule type="containsBlanks" dxfId="120" priority="240">
      <formula>LEN(TRIM(F160))=0</formula>
    </cfRule>
  </conditionalFormatting>
  <conditionalFormatting sqref="F171">
    <cfRule type="containsBlanks" dxfId="119" priority="71">
      <formula>LEN(TRIM(F171))=0</formula>
    </cfRule>
  </conditionalFormatting>
  <conditionalFormatting sqref="H168">
    <cfRule type="containsBlanks" dxfId="118" priority="245">
      <formula>LEN(TRIM(H168))=0</formula>
    </cfRule>
  </conditionalFormatting>
  <conditionalFormatting sqref="I155 I157 I159">
    <cfRule type="containsBlanks" dxfId="117" priority="241">
      <formula>LEN(TRIM(I155))=0</formula>
    </cfRule>
  </conditionalFormatting>
  <conditionalFormatting sqref="I161">
    <cfRule type="containsBlanks" dxfId="116" priority="239">
      <formula>LEN(TRIM(I161))=0</formula>
    </cfRule>
  </conditionalFormatting>
  <conditionalFormatting sqref="I163">
    <cfRule type="containsBlanks" dxfId="115" priority="238">
      <formula>LEN(TRIM(I163))=0</formula>
    </cfRule>
  </conditionalFormatting>
  <conditionalFormatting sqref="I165">
    <cfRule type="containsBlanks" dxfId="114" priority="237">
      <formula>LEN(TRIM(I165))=0</formula>
    </cfRule>
  </conditionalFormatting>
  <conditionalFormatting sqref="J1">
    <cfRule type="cellIs" dxfId="113" priority="314" operator="equal">
      <formula>"SHEET NOT COMPLETE"</formula>
    </cfRule>
    <cfRule type="cellIs" dxfId="112" priority="313" operator="equal">
      <formula>"SHEET COMPLETE"</formula>
    </cfRule>
  </conditionalFormatting>
  <conditionalFormatting sqref="K17:K19 M36:M38 B84:B86 F166:F167 I169:I170 H172">
    <cfRule type="containsBlanks" dxfId="111" priority="312">
      <formula>LEN(TRIM(B17))=0</formula>
    </cfRule>
  </conditionalFormatting>
  <conditionalFormatting sqref="Q24:Z24">
    <cfRule type="expression" dxfId="110" priority="254">
      <formula>OR(Q24="Show",Q24="Hide")</formula>
    </cfRule>
  </conditionalFormatting>
  <conditionalFormatting sqref="Q25:Z25">
    <cfRule type="expression" dxfId="109" priority="253">
      <formula>OR(Q24="Show",Q24="Hide")</formula>
    </cfRule>
  </conditionalFormatting>
  <conditionalFormatting sqref="Q26:Z26">
    <cfRule type="expression" dxfId="108" priority="252">
      <formula>OR(Q24="Show",Q24="Hide")</formula>
    </cfRule>
  </conditionalFormatting>
  <conditionalFormatting sqref="Q26:Z27">
    <cfRule type="expression" dxfId="107" priority="259">
      <formula>AND(Q24="Show",Q26="")</formula>
    </cfRule>
  </conditionalFormatting>
  <conditionalFormatting sqref="Q31:Z31">
    <cfRule type="expression" dxfId="106" priority="58">
      <formula>OR(Q31="Show",Q31="Hide")</formula>
    </cfRule>
  </conditionalFormatting>
  <conditionalFormatting sqref="Q32:Z32">
    <cfRule type="expression" dxfId="105" priority="57">
      <formula>OR(Q31="Show",Q31="Hide")</formula>
    </cfRule>
  </conditionalFormatting>
  <conditionalFormatting sqref="Q33:Z33">
    <cfRule type="expression" dxfId="104" priority="56">
      <formula>OR(Q31="Show",Q31="Hide")</formula>
    </cfRule>
  </conditionalFormatting>
  <conditionalFormatting sqref="Q33:Z34">
    <cfRule type="expression" dxfId="103" priority="63">
      <formula>AND(Q31="Show",Q33="")</formula>
    </cfRule>
  </conditionalFormatting>
  <conditionalFormatting sqref="Q63:Z63">
    <cfRule type="expression" dxfId="102" priority="301">
      <formula>OR(Q63="Show",Q63="Hide")</formula>
    </cfRule>
  </conditionalFormatting>
  <conditionalFormatting sqref="Q64:Z64">
    <cfRule type="expression" dxfId="101" priority="300">
      <formula>OR(Q63="Show",Q63="Hide")</formula>
    </cfRule>
  </conditionalFormatting>
  <conditionalFormatting sqref="Q65:Z65">
    <cfRule type="expression" dxfId="100" priority="299">
      <formula>OR(Q63="Show",Q63="Hide")</formula>
    </cfRule>
  </conditionalFormatting>
  <conditionalFormatting sqref="Q65:Z66">
    <cfRule type="expression" dxfId="99" priority="306">
      <formula>AND(Q63="Show",Q65="")</formula>
    </cfRule>
  </conditionalFormatting>
  <conditionalFormatting sqref="Q70:Z70">
    <cfRule type="expression" dxfId="98" priority="287">
      <formula>OR(Q70="Show",Q70="Hide")</formula>
    </cfRule>
  </conditionalFormatting>
  <conditionalFormatting sqref="Q71:Z71">
    <cfRule type="expression" dxfId="97" priority="286">
      <formula>OR(Q70="Show",Q70="Hide")</formula>
    </cfRule>
  </conditionalFormatting>
  <conditionalFormatting sqref="Q72:Z72">
    <cfRule type="expression" dxfId="96" priority="285">
      <formula>OR(Q70="Show",Q70="Hide")</formula>
    </cfRule>
  </conditionalFormatting>
  <conditionalFormatting sqref="Q72:Z73">
    <cfRule type="expression" dxfId="95" priority="292">
      <formula>AND(Q70="Show",Q72="")</formula>
    </cfRule>
  </conditionalFormatting>
  <conditionalFormatting sqref="Q77:Z77">
    <cfRule type="expression" dxfId="94" priority="273">
      <formula>OR(Q77="Show",Q77="Hide")</formula>
    </cfRule>
  </conditionalFormatting>
  <conditionalFormatting sqref="Q78:Z78">
    <cfRule type="expression" dxfId="93" priority="272">
      <formula>OR(Q77="Show",Q77="Hide")</formula>
    </cfRule>
  </conditionalFormatting>
  <conditionalFormatting sqref="Q79:Z79">
    <cfRule type="expression" dxfId="92" priority="271">
      <formula>OR(Q77="Show",Q77="Hide")</formula>
    </cfRule>
  </conditionalFormatting>
  <conditionalFormatting sqref="Q79:Z80">
    <cfRule type="expression" dxfId="91" priority="278">
      <formula>AND(Q77="Show",Q79="")</formula>
    </cfRule>
  </conditionalFormatting>
  <conditionalFormatting sqref="Q101:Z101">
    <cfRule type="expression" dxfId="90" priority="120">
      <formula>OR(Q101="Show",Q101="Hide")</formula>
    </cfRule>
  </conditionalFormatting>
  <conditionalFormatting sqref="Q102:Z102">
    <cfRule type="expression" dxfId="89" priority="119">
      <formula>OR(Q101="Show",Q101="Hide")</formula>
    </cfRule>
  </conditionalFormatting>
  <conditionalFormatting sqref="Q103:Z103">
    <cfRule type="expression" dxfId="88" priority="118">
      <formula>OR(Q101="Show",Q101="Hide")</formula>
    </cfRule>
  </conditionalFormatting>
  <conditionalFormatting sqref="Q103:Z104">
    <cfRule type="expression" dxfId="87" priority="125">
      <formula>AND(Q101="Show",Q103="")</formula>
    </cfRule>
  </conditionalFormatting>
  <conditionalFormatting sqref="Q108:Z108">
    <cfRule type="expression" dxfId="86" priority="107">
      <formula>OR(Q108="Show",Q108="Hide")</formula>
    </cfRule>
  </conditionalFormatting>
  <conditionalFormatting sqref="Q109:Z109">
    <cfRule type="expression" dxfId="85" priority="106">
      <formula>OR(Q108="Show",Q108="Hide")</formula>
    </cfRule>
  </conditionalFormatting>
  <conditionalFormatting sqref="Q110:Z110">
    <cfRule type="expression" dxfId="84" priority="105">
      <formula>OR(Q108="Show",Q108="Hide")</formula>
    </cfRule>
  </conditionalFormatting>
  <conditionalFormatting sqref="Q110:Z111">
    <cfRule type="expression" dxfId="83" priority="112">
      <formula>AND(Q108="Show",Q110="")</formula>
    </cfRule>
  </conditionalFormatting>
  <conditionalFormatting sqref="Q115:Z115">
    <cfRule type="expression" dxfId="82" priority="94">
      <formula>OR(Q115="Show",Q115="Hide")</formula>
    </cfRule>
  </conditionalFormatting>
  <conditionalFormatting sqref="Q116:Z116">
    <cfRule type="expression" dxfId="81" priority="93">
      <formula>OR(Q115="Show",Q115="Hide")</formula>
    </cfRule>
  </conditionalFormatting>
  <conditionalFormatting sqref="Q117:Z117">
    <cfRule type="expression" dxfId="80" priority="92">
      <formula>OR(Q115="Show",Q115="Hide")</formula>
    </cfRule>
  </conditionalFormatting>
  <conditionalFormatting sqref="Q117:Z118">
    <cfRule type="expression" dxfId="79" priority="99">
      <formula>AND(Q115="Show",Q117="")</formula>
    </cfRule>
  </conditionalFormatting>
  <conditionalFormatting sqref="Q122:Z122">
    <cfRule type="expression" dxfId="78" priority="44">
      <formula>OR(Q122="Show",Q122="Hide")</formula>
    </cfRule>
  </conditionalFormatting>
  <conditionalFormatting sqref="Q123:Z123">
    <cfRule type="expression" dxfId="77" priority="43">
      <formula>OR(Q122="Show",Q122="Hide")</formula>
    </cfRule>
  </conditionalFormatting>
  <conditionalFormatting sqref="Q124:Z124">
    <cfRule type="expression" dxfId="76" priority="42">
      <formula>OR(Q122="Show",Q122="Hide")</formula>
    </cfRule>
  </conditionalFormatting>
  <conditionalFormatting sqref="Q124:Z125">
    <cfRule type="expression" dxfId="75" priority="49">
      <formula>AND(Q122="Show",Q124="")</formula>
    </cfRule>
  </conditionalFormatting>
  <conditionalFormatting sqref="Q129:Z129">
    <cfRule type="expression" dxfId="74" priority="31">
      <formula>OR(Q129="Show",Q129="Hide")</formula>
    </cfRule>
  </conditionalFormatting>
  <conditionalFormatting sqref="Q130:Z130">
    <cfRule type="expression" dxfId="73" priority="30">
      <formula>OR(Q129="Show",Q129="Hide")</formula>
    </cfRule>
  </conditionalFormatting>
  <conditionalFormatting sqref="Q131:Z131">
    <cfRule type="expression" dxfId="72" priority="29">
      <formula>OR(Q129="Show",Q129="Hide")</formula>
    </cfRule>
  </conditionalFormatting>
  <conditionalFormatting sqref="Q131:Z132">
    <cfRule type="expression" dxfId="71" priority="36">
      <formula>AND(Q129="Show",Q131="")</formula>
    </cfRule>
  </conditionalFormatting>
  <conditionalFormatting sqref="Q136:Z136">
    <cfRule type="expression" dxfId="70" priority="18">
      <formula>OR(Q136="Show",Q136="Hide")</formula>
    </cfRule>
  </conditionalFormatting>
  <conditionalFormatting sqref="Q137:Z137">
    <cfRule type="expression" dxfId="69" priority="17">
      <formula>OR(Q136="Show",Q136="Hide")</formula>
    </cfRule>
  </conditionalFormatting>
  <conditionalFormatting sqref="Q138:Z138">
    <cfRule type="expression" dxfId="68" priority="16">
      <formula>OR(Q136="Show",Q136="Hide")</formula>
    </cfRule>
  </conditionalFormatting>
  <conditionalFormatting sqref="Q138:Z139">
    <cfRule type="expression" dxfId="67" priority="23">
      <formula>AND(Q136="Show",Q138="")</formula>
    </cfRule>
  </conditionalFormatting>
  <conditionalFormatting sqref="Q182:Z182">
    <cfRule type="expression" dxfId="66" priority="4">
      <formula>OR(Q182="Show",Q182="Hide")</formula>
    </cfRule>
  </conditionalFormatting>
  <conditionalFormatting sqref="Q183:Z183">
    <cfRule type="expression" dxfId="65" priority="3">
      <formula>OR(Q182="Show",Q182="Hide")</formula>
    </cfRule>
  </conditionalFormatting>
  <conditionalFormatting sqref="Q184:Z184">
    <cfRule type="expression" dxfId="64" priority="2">
      <formula>OR(Q182="Show",Q182="Hide")</formula>
    </cfRule>
  </conditionalFormatting>
  <conditionalFormatting sqref="Q184:Z185">
    <cfRule type="expression" dxfId="63" priority="9">
      <formula>AND(Q182="Show",Q184="")</formula>
    </cfRule>
  </conditionalFormatting>
  <conditionalFormatting sqref="Q221:Z221">
    <cfRule type="expression" dxfId="62" priority="223">
      <formula>OR(Q221="Show",Q221="Hide")</formula>
    </cfRule>
  </conditionalFormatting>
  <conditionalFormatting sqref="Q222:Z222">
    <cfRule type="expression" dxfId="61" priority="222">
      <formula>OR(Q221="Show",Q221="Hide")</formula>
    </cfRule>
  </conditionalFormatting>
  <conditionalFormatting sqref="Q223:Z223">
    <cfRule type="expression" dxfId="60" priority="221">
      <formula>OR(Q221="Show",Q221="Hide")</formula>
    </cfRule>
  </conditionalFormatting>
  <conditionalFormatting sqref="Q223:Z224">
    <cfRule type="expression" dxfId="59" priority="228">
      <formula>AND(Q221="Show",Q223="")</formula>
    </cfRule>
  </conditionalFormatting>
  <conditionalFormatting sqref="Q228:Z228">
    <cfRule type="expression" dxfId="58" priority="210">
      <formula>OR(Q228="Show",Q228="Hide")</formula>
    </cfRule>
  </conditionalFormatting>
  <conditionalFormatting sqref="Q229:Z229">
    <cfRule type="expression" dxfId="57" priority="209">
      <formula>OR(Q228="Show",Q228="Hide")</formula>
    </cfRule>
  </conditionalFormatting>
  <conditionalFormatting sqref="Q230:Z230">
    <cfRule type="expression" dxfId="56" priority="208">
      <formula>OR(Q228="Show",Q228="Hide")</formula>
    </cfRule>
  </conditionalFormatting>
  <conditionalFormatting sqref="Q230:Z231">
    <cfRule type="expression" dxfId="55" priority="215">
      <formula>AND(Q228="Show",Q230="")</formula>
    </cfRule>
  </conditionalFormatting>
  <conditionalFormatting sqref="Q235:Z235">
    <cfRule type="expression" dxfId="54" priority="197">
      <formula>OR(Q235="Show",Q235="Hide")</formula>
    </cfRule>
  </conditionalFormatting>
  <conditionalFormatting sqref="Q236:Z236">
    <cfRule type="expression" dxfId="53" priority="196">
      <formula>OR(Q235="Show",Q235="Hide")</formula>
    </cfRule>
  </conditionalFormatting>
  <conditionalFormatting sqref="Q237:Z237">
    <cfRule type="expression" dxfId="52" priority="195">
      <formula>OR(Q235="Show",Q235="Hide")</formula>
    </cfRule>
  </conditionalFormatting>
  <conditionalFormatting sqref="Q237:Z238">
    <cfRule type="expression" dxfId="51" priority="202">
      <formula>AND(Q235="Show",Q237="")</formula>
    </cfRule>
  </conditionalFormatting>
  <conditionalFormatting sqref="Q242:Z242">
    <cfRule type="expression" dxfId="50" priority="176">
      <formula>OR(Q242="Show",Q242="Hide")</formula>
    </cfRule>
  </conditionalFormatting>
  <conditionalFormatting sqref="Q243:Z243">
    <cfRule type="expression" dxfId="49" priority="175">
      <formula>OR(Q242="Show",Q242="Hide")</formula>
    </cfRule>
  </conditionalFormatting>
  <conditionalFormatting sqref="Q244:Z244">
    <cfRule type="expression" dxfId="48" priority="174">
      <formula>OR(Q242="Show",Q242="Hide")</formula>
    </cfRule>
  </conditionalFormatting>
  <conditionalFormatting sqref="Q244:Z245">
    <cfRule type="expression" dxfId="47" priority="181">
      <formula>AND(Q242="Show",Q244="")</formula>
    </cfRule>
  </conditionalFormatting>
  <conditionalFormatting sqref="Q249:Z249">
    <cfRule type="expression" dxfId="46" priority="162">
      <formula>OR(Q249="Show",Q249="Hide")</formula>
    </cfRule>
  </conditionalFormatting>
  <conditionalFormatting sqref="Q250:Z250">
    <cfRule type="expression" dxfId="45" priority="161">
      <formula>OR(Q249="Show",Q249="Hide")</formula>
    </cfRule>
  </conditionalFormatting>
  <conditionalFormatting sqref="Q251:Z251">
    <cfRule type="expression" dxfId="44" priority="160">
      <formula>OR(Q249="Show",Q249="Hide")</formula>
    </cfRule>
  </conditionalFormatting>
  <conditionalFormatting sqref="Q251:Z252">
    <cfRule type="expression" dxfId="43" priority="167">
      <formula>AND(Q249="Show",Q251="")</formula>
    </cfRule>
  </conditionalFormatting>
  <conditionalFormatting sqref="Q256:Z256">
    <cfRule type="expression" dxfId="42" priority="148">
      <formula>OR(Q256="Show",Q256="Hide")</formula>
    </cfRule>
  </conditionalFormatting>
  <conditionalFormatting sqref="Q257:Z257">
    <cfRule type="expression" dxfId="41" priority="147">
      <formula>OR(Q256="Show",Q256="Hide")</formula>
    </cfRule>
  </conditionalFormatting>
  <conditionalFormatting sqref="Q258:Z258">
    <cfRule type="expression" dxfId="40" priority="146">
      <formula>OR(Q256="Show",Q256="Hide")</formula>
    </cfRule>
  </conditionalFormatting>
  <conditionalFormatting sqref="Q258:Z259">
    <cfRule type="expression" dxfId="39" priority="153">
      <formula>AND(Q256="Show",Q258="")</formula>
    </cfRule>
  </conditionalFormatting>
  <conditionalFormatting sqref="W55">
    <cfRule type="containsBlanks" dxfId="38" priority="266">
      <formula>LEN(TRIM(W55))=0</formula>
    </cfRule>
  </conditionalFormatting>
  <dataValidations count="1">
    <dataValidation type="list" allowBlank="1" showInputMessage="1" showErrorMessage="1" sqref="D63:N63 Q63:Z63 D70:N70 Q70:Z70 D77:N77 Q77:Z77 D24:N24 Q24:Z24 D221:N221 Q221:Z221 D228:N228 Q228:Z228 D235:N235 Q235:Z235 D242:N242 Q242:Z242 D249:N249 Q249:Z249 D256:N256 Q256:Z256 D101:N101 Q101:Z101 D108:N108 Q108:Z108 D115:N115 Q115:Z115 D31:N31 Q31:Z31 D122:N122 Q122:Z122 D129:N129 Q129:Z129 D136:N136 Q136:Z136 D182:N182 Q182:Z182" xr:uid="{4D7F4B10-8B32-4B18-A17C-C8FE9700340F}">
      <formula1>"Hide,Show"</formula1>
    </dataValidation>
  </dataValidations>
  <hyperlinks>
    <hyperlink ref="D333" r:id="rId1" xr:uid="{713F82EE-BE8D-4E69-B14A-D2E498E76A48}"/>
    <hyperlink ref="D189" r:id="rId2" xr:uid="{FB7D5584-3D56-49D0-B029-ED74DF74648F}"/>
  </hyperlinks>
  <pageMargins left="0.23622047244094491" right="0.23622047244094491" top="0.74803149606299213" bottom="0.74803149606299213" header="0.31496062992125984" footer="0.31496062992125984"/>
  <pageSetup paperSize="9" scale="97" fitToHeight="0" orientation="portrait" r:id="rId3"/>
  <headerFooter>
    <oddHeader>&amp;CSpecific Defects Inspection - Condensation&amp;R&amp;G</oddHeader>
    <oddFooter>&amp;C&amp;P of &amp;N</oddFooter>
  </headerFooter>
  <rowBreaks count="5" manualBreakCount="5">
    <brk id="38" min="3" max="25" man="1"/>
    <brk id="68" min="3" max="25" man="1"/>
    <brk id="104" min="3" max="25" man="1"/>
    <brk id="125" min="3" max="25" man="1"/>
    <brk id="277" min="3" max="25" man="1"/>
  </rowBreaks>
  <drawing r:id="rId4"/>
  <legacyDrawingHF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A88D5-01A8-4C5C-B803-A71E7DF4039D}">
  <sheetPr codeName="Sheet1">
    <tabColor rgb="FFFFFF00"/>
  </sheetPr>
  <dimension ref="A1:AX181"/>
  <sheetViews>
    <sheetView zoomScale="110" zoomScaleNormal="110" workbookViewId="0">
      <pane xSplit="1" ySplit="19" topLeftCell="B20" activePane="bottomRight" state="frozen"/>
      <selection activeCell="C25" sqref="C25"/>
      <selection pane="topRight" activeCell="C25" sqref="C25"/>
      <selection pane="bottomLeft" activeCell="C25" sqref="C25"/>
      <selection pane="bottomRight" activeCell="X42" sqref="X42"/>
    </sheetView>
  </sheetViews>
  <sheetFormatPr baseColWidth="10" defaultColWidth="9.1640625" defaultRowHeight="15" outlineLevelRow="1" outlineLevelCol="1" x14ac:dyDescent="0.2"/>
  <cols>
    <col min="1" max="1" width="2.33203125" style="1" customWidth="1"/>
    <col min="2" max="2" width="11.1640625" style="1" customWidth="1"/>
    <col min="3" max="4" width="7.5" style="1" customWidth="1"/>
    <col min="5" max="5" width="16.83203125" style="1" customWidth="1"/>
    <col min="6" max="7" width="9.1640625" style="23" customWidth="1"/>
    <col min="8" max="9" width="7.6640625" style="2" customWidth="1"/>
    <col min="10" max="10" width="5.1640625" style="2" customWidth="1"/>
    <col min="11" max="11" width="12.1640625" style="2" customWidth="1"/>
    <col min="12" max="12" width="1.5" style="1" customWidth="1"/>
    <col min="13" max="13" width="30.5" style="1" customWidth="1"/>
    <col min="14" max="14" width="6.5" style="7" customWidth="1"/>
    <col min="15" max="15" width="5.5" style="5" customWidth="1"/>
    <col min="16" max="17" width="7.6640625" style="5" customWidth="1"/>
    <col min="18" max="18" width="4.83203125" style="4" customWidth="1"/>
    <col min="19" max="19" width="8.5" style="4" customWidth="1"/>
    <col min="20" max="21" width="9.1640625" style="2"/>
    <col min="22" max="22" width="9.1640625" style="3"/>
    <col min="23" max="23" width="27.5" style="1" customWidth="1"/>
    <col min="24" max="24" width="10.5" style="1" customWidth="1"/>
    <col min="25" max="27" width="9.1640625" style="1" customWidth="1"/>
    <col min="28" max="28" width="2.6640625" style="1" customWidth="1"/>
    <col min="29" max="29" width="10.83203125" style="1" customWidth="1"/>
    <col min="30" max="30" width="9.1640625" style="1" customWidth="1"/>
    <col min="34" max="44" width="9.1640625" style="1"/>
    <col min="45" max="45" width="17" style="63" hidden="1" customWidth="1" outlineLevel="1"/>
    <col min="46" max="46" width="20.83203125" style="67" hidden="1" customWidth="1" outlineLevel="1"/>
    <col min="47" max="47" width="24.1640625" style="67" hidden="1" customWidth="1" outlineLevel="1"/>
    <col min="48" max="48" width="9.1640625" style="1" collapsed="1"/>
    <col min="49" max="16384" width="9.1640625" style="1"/>
  </cols>
  <sheetData>
    <row r="1" spans="1:47" ht="36" customHeight="1" thickBot="1" x14ac:dyDescent="0.25">
      <c r="B1" s="387" t="s">
        <v>64</v>
      </c>
      <c r="C1" s="388"/>
      <c r="D1" s="388"/>
      <c r="E1" s="345" t="str">
        <f>IF(SUM(AT:AT)=0,"SHEET NOT YET STARTED",IF(SUM(AU:AU)&gt;0,"SHEET NOT COMPLETE","SHEET COMPLETE"))</f>
        <v>SHEET COMPLETE</v>
      </c>
      <c r="F1" s="346"/>
      <c r="G1" s="346"/>
      <c r="H1" s="346"/>
      <c r="I1" s="346"/>
      <c r="J1" s="346"/>
      <c r="K1" s="346"/>
      <c r="L1" s="346"/>
      <c r="M1" s="346"/>
      <c r="N1" s="346"/>
      <c r="O1" s="346"/>
      <c r="P1" s="346"/>
      <c r="Q1" s="346"/>
      <c r="R1" s="346"/>
      <c r="S1" s="346"/>
      <c r="T1" s="346"/>
      <c r="U1" s="346"/>
      <c r="V1" s="347"/>
      <c r="W1" s="92"/>
      <c r="AS1" s="77" t="s">
        <v>76</v>
      </c>
      <c r="AT1" s="68" t="s">
        <v>77</v>
      </c>
      <c r="AU1" s="68" t="s">
        <v>78</v>
      </c>
    </row>
    <row r="2" spans="1:47" ht="9" customHeight="1" thickBot="1" x14ac:dyDescent="0.25">
      <c r="H2" s="23"/>
      <c r="I2" s="23"/>
      <c r="J2" s="23"/>
      <c r="K2" s="23"/>
      <c r="L2" s="23"/>
      <c r="M2" s="23"/>
      <c r="N2" s="23"/>
      <c r="O2" s="23"/>
      <c r="P2" s="23"/>
      <c r="Q2" s="23"/>
      <c r="R2" s="23"/>
      <c r="S2" s="23"/>
      <c r="T2" s="23"/>
      <c r="AT2" s="64"/>
      <c r="AU2" s="64"/>
    </row>
    <row r="3" spans="1:47" s="63" customFormat="1" ht="18" hidden="1" outlineLevel="1" x14ac:dyDescent="0.2">
      <c r="A3" s="76" t="str">
        <f t="shared" ref="A3:A36" si="0">IF(AU3=1,"X","")</f>
        <v/>
      </c>
      <c r="B3" s="406" t="s">
        <v>84</v>
      </c>
      <c r="C3" s="407"/>
      <c r="D3" s="407"/>
      <c r="E3" s="407"/>
      <c r="F3" s="407"/>
      <c r="G3" s="407"/>
      <c r="H3" s="407"/>
      <c r="I3" s="407"/>
      <c r="J3" s="407"/>
      <c r="K3" s="407"/>
      <c r="L3" s="407"/>
      <c r="M3" s="408"/>
      <c r="O3" s="67"/>
      <c r="P3" s="67"/>
      <c r="Q3" s="67"/>
      <c r="R3" s="67"/>
      <c r="S3" s="67"/>
      <c r="T3" s="67"/>
      <c r="U3" s="81"/>
      <c r="V3" s="81"/>
      <c r="W3" s="82"/>
      <c r="X3" s="82"/>
      <c r="Y3" s="82"/>
      <c r="AT3" s="64"/>
      <c r="AU3" s="64"/>
    </row>
    <row r="4" spans="1:47" s="63" customFormat="1" ht="14" hidden="1" outlineLevel="1" x14ac:dyDescent="0.15">
      <c r="A4" s="76" t="str">
        <f t="shared" si="0"/>
        <v/>
      </c>
      <c r="B4" s="397" t="s">
        <v>85</v>
      </c>
      <c r="C4" s="398"/>
      <c r="D4" s="399"/>
      <c r="E4" s="409" t="str">
        <f>IF([1]Details!$C$4=0,"",UPPER([1]Details!$C$4))</f>
        <v>PRONE455DN</v>
      </c>
      <c r="F4" s="409"/>
      <c r="G4" s="409"/>
      <c r="H4" s="409"/>
      <c r="I4" s="409"/>
      <c r="J4" s="409"/>
      <c r="K4" s="409"/>
      <c r="L4" s="409"/>
      <c r="M4" s="410"/>
      <c r="O4" s="67"/>
      <c r="P4" s="67"/>
      <c r="Q4" s="67"/>
      <c r="R4" s="67"/>
      <c r="S4" s="67"/>
      <c r="T4" s="67"/>
      <c r="U4" s="81"/>
      <c r="V4" s="81"/>
      <c r="W4" s="82"/>
      <c r="X4" s="82"/>
      <c r="Y4" s="82"/>
      <c r="AT4" s="62">
        <f>IF(E4&lt;&gt;"",1,0)</f>
        <v>1</v>
      </c>
      <c r="AU4" s="62">
        <f>IF(AND(SUM(AT:AT)&gt;0,E4=""),1,0)</f>
        <v>0</v>
      </c>
    </row>
    <row r="5" spans="1:47" s="63" customFormat="1" hidden="1" outlineLevel="1" thickBot="1" x14ac:dyDescent="0.2">
      <c r="A5" s="76" t="str">
        <f t="shared" si="0"/>
        <v/>
      </c>
      <c r="O5" s="67"/>
      <c r="P5" s="67"/>
      <c r="Q5" s="67"/>
      <c r="R5" s="67"/>
      <c r="S5" s="67"/>
      <c r="T5" s="67"/>
      <c r="U5" s="81"/>
      <c r="V5" s="81"/>
      <c r="W5" s="82"/>
      <c r="X5" s="82"/>
      <c r="Y5" s="82"/>
      <c r="AT5" s="64"/>
      <c r="AU5" s="64"/>
    </row>
    <row r="6" spans="1:47" s="63" customFormat="1" ht="18" hidden="1" outlineLevel="1" x14ac:dyDescent="0.2">
      <c r="A6" s="76" t="str">
        <f t="shared" si="0"/>
        <v/>
      </c>
      <c r="B6" s="406" t="s">
        <v>86</v>
      </c>
      <c r="C6" s="407"/>
      <c r="D6" s="407"/>
      <c r="E6" s="407"/>
      <c r="F6" s="407"/>
      <c r="G6" s="407"/>
      <c r="H6" s="407"/>
      <c r="I6" s="407"/>
      <c r="J6" s="407"/>
      <c r="K6" s="407"/>
      <c r="L6" s="407"/>
      <c r="M6" s="408"/>
      <c r="O6" s="67"/>
      <c r="P6" s="67"/>
      <c r="Q6" s="67"/>
      <c r="R6" s="67"/>
      <c r="S6" s="67"/>
      <c r="T6" s="67"/>
      <c r="U6" s="81"/>
      <c r="V6" s="81"/>
      <c r="W6" s="82"/>
      <c r="X6" s="82"/>
      <c r="Y6" s="82"/>
      <c r="AT6" s="64"/>
      <c r="AU6" s="64"/>
    </row>
    <row r="7" spans="1:47" s="63" customFormat="1" ht="14" hidden="1" outlineLevel="1" x14ac:dyDescent="0.15">
      <c r="A7" s="76" t="str">
        <f t="shared" si="0"/>
        <v/>
      </c>
      <c r="B7" s="397" t="str">
        <f>[1]Details!$B$7</f>
        <v>Client Name</v>
      </c>
      <c r="C7" s="398"/>
      <c r="D7" s="399"/>
      <c r="E7" s="409" t="str">
        <f>IF([1]Details!$C$7=0,"",PROPER([1]Details!$C$7))</f>
        <v>Finest Properties</v>
      </c>
      <c r="F7" s="409"/>
      <c r="G7" s="409"/>
      <c r="H7" s="409"/>
      <c r="I7" s="409"/>
      <c r="J7" s="409"/>
      <c r="K7" s="409"/>
      <c r="L7" s="409"/>
      <c r="M7" s="410"/>
      <c r="O7" s="67"/>
      <c r="P7" s="67"/>
      <c r="Q7" s="67"/>
      <c r="R7" s="67"/>
      <c r="S7" s="67"/>
      <c r="T7" s="67"/>
      <c r="U7" s="81"/>
      <c r="V7" s="81"/>
      <c r="W7" s="82"/>
      <c r="X7" s="82"/>
      <c r="Y7" s="82"/>
      <c r="AT7" s="62">
        <f>IF(E7&lt;&gt;"",1,0)</f>
        <v>1</v>
      </c>
      <c r="AU7" s="62">
        <f>IF(AND(SUM(AT:AT)&gt;0,E7=""),1,0)</f>
        <v>0</v>
      </c>
    </row>
    <row r="8" spans="1:47" s="63" customFormat="1" ht="14" hidden="1" outlineLevel="1" x14ac:dyDescent="0.15">
      <c r="A8" s="76" t="str">
        <f t="shared" si="0"/>
        <v/>
      </c>
      <c r="B8" s="397" t="str">
        <f>[1]Details!$B$8</f>
        <v>First Line of site address</v>
      </c>
      <c r="C8" s="398"/>
      <c r="D8" s="399"/>
      <c r="E8" s="400" t="str">
        <f>IF([1]Details!$C$8=0,"",PROPER([1]Details!$C$8))</f>
        <v xml:space="preserve">Clive House </v>
      </c>
      <c r="F8" s="398"/>
      <c r="G8" s="398"/>
      <c r="H8" s="398"/>
      <c r="I8" s="398"/>
      <c r="J8" s="398"/>
      <c r="K8" s="398"/>
      <c r="L8" s="398"/>
      <c r="M8" s="401"/>
      <c r="O8" s="67"/>
      <c r="P8" s="67"/>
      <c r="Q8" s="67"/>
      <c r="R8" s="67"/>
      <c r="S8" s="67"/>
      <c r="T8" s="67"/>
      <c r="U8" s="81"/>
      <c r="V8" s="81"/>
      <c r="W8" s="82"/>
      <c r="X8" s="82"/>
      <c r="Y8" s="82"/>
      <c r="AT8" s="62">
        <f>IF(E8&lt;&gt;"",1,0)</f>
        <v>1</v>
      </c>
      <c r="AU8" s="62">
        <f>IF(AND(SUM(AT:AT)&gt;0,E8=""),1,0)</f>
        <v>0</v>
      </c>
    </row>
    <row r="9" spans="1:47" s="63" customFormat="1" ht="14" hidden="1" outlineLevel="1" x14ac:dyDescent="0.15">
      <c r="A9" s="76" t="str">
        <f t="shared" si="0"/>
        <v/>
      </c>
      <c r="B9" s="397" t="str">
        <f>[1]Details!$B$9</f>
        <v>Town / City</v>
      </c>
      <c r="C9" s="398"/>
      <c r="D9" s="399"/>
      <c r="E9" s="400" t="str">
        <f>IF([1]Details!$C$9=0,"",PROPER([1]Details!$C$9))</f>
        <v>Appletree Lane</v>
      </c>
      <c r="F9" s="398"/>
      <c r="G9" s="398"/>
      <c r="H9" s="398"/>
      <c r="I9" s="398"/>
      <c r="J9" s="398"/>
      <c r="K9" s="398"/>
      <c r="L9" s="398"/>
      <c r="M9" s="401"/>
      <c r="O9" s="67"/>
      <c r="P9" s="67"/>
      <c r="Q9" s="67"/>
      <c r="R9" s="67"/>
      <c r="S9" s="67"/>
      <c r="T9" s="67"/>
      <c r="U9" s="81"/>
      <c r="V9" s="81"/>
      <c r="W9" s="82"/>
      <c r="X9" s="82"/>
      <c r="Y9" s="82"/>
      <c r="AT9" s="62">
        <f>IF(E9&lt;&gt;"",1,0)</f>
        <v>1</v>
      </c>
      <c r="AU9" s="62">
        <f>IF(AND(SUM(AT:AT)&gt;0,E9=""),1,0)</f>
        <v>0</v>
      </c>
    </row>
    <row r="10" spans="1:47" s="63" customFormat="1" ht="14" hidden="1" outlineLevel="1" x14ac:dyDescent="0.15">
      <c r="A10" s="76" t="str">
        <f t="shared" si="0"/>
        <v/>
      </c>
      <c r="B10" s="397" t="str">
        <f>[1]Details!$B$10</f>
        <v>County</v>
      </c>
      <c r="C10" s="398"/>
      <c r="D10" s="399"/>
      <c r="E10" s="400" t="str">
        <f>IF([1]Details!$C$10=0,"",PROPER([1]Details!$C$10))</f>
        <v>Corbridge</v>
      </c>
      <c r="F10" s="398"/>
      <c r="G10" s="398"/>
      <c r="H10" s="398"/>
      <c r="I10" s="398"/>
      <c r="J10" s="398"/>
      <c r="K10" s="398"/>
      <c r="L10" s="398"/>
      <c r="M10" s="401"/>
      <c r="O10" s="67"/>
      <c r="P10" s="67"/>
      <c r="Q10" s="67"/>
      <c r="R10" s="67"/>
      <c r="S10" s="67"/>
      <c r="T10" s="67"/>
      <c r="U10" s="81"/>
      <c r="V10" s="81"/>
      <c r="W10" s="82"/>
      <c r="X10" s="82"/>
      <c r="Y10" s="82"/>
      <c r="AT10" s="62">
        <f>IF(E10&lt;&gt;"",1,0)</f>
        <v>1</v>
      </c>
      <c r="AU10" s="62">
        <f>IF(AND(SUM(AT:AT)&gt;0,E10=""),1,0)</f>
        <v>0</v>
      </c>
    </row>
    <row r="11" spans="1:47" s="63" customFormat="1" hidden="1" outlineLevel="1" thickBot="1" x14ac:dyDescent="0.2">
      <c r="A11" s="76" t="str">
        <f t="shared" si="0"/>
        <v/>
      </c>
      <c r="B11" s="392" t="str">
        <f>[1]Details!$B$11</f>
        <v>Site Post Code</v>
      </c>
      <c r="C11" s="393"/>
      <c r="D11" s="394"/>
      <c r="E11" s="395" t="str">
        <f>IF([1]Details!$C$11=0,"",UPPER([1]Details!$C$11))</f>
        <v>NE45 5DN</v>
      </c>
      <c r="F11" s="395"/>
      <c r="G11" s="395"/>
      <c r="H11" s="395"/>
      <c r="I11" s="395"/>
      <c r="J11" s="395"/>
      <c r="K11" s="395"/>
      <c r="L11" s="395"/>
      <c r="M11" s="396"/>
      <c r="O11" s="67"/>
      <c r="P11" s="67"/>
      <c r="Q11" s="67"/>
      <c r="R11" s="67"/>
      <c r="S11" s="67"/>
      <c r="T11" s="67"/>
      <c r="U11" s="81"/>
      <c r="V11" s="81"/>
      <c r="W11" s="82"/>
      <c r="X11" s="82"/>
      <c r="Y11" s="82"/>
      <c r="AT11" s="62">
        <f>IF(E11&lt;&gt;"",1,0)</f>
        <v>1</v>
      </c>
      <c r="AU11" s="62">
        <f>IF(AND(SUM(AT:AT)&gt;0,E11=""),1,0)</f>
        <v>0</v>
      </c>
    </row>
    <row r="12" spans="1:47" s="63" customFormat="1" hidden="1" outlineLevel="1" thickBot="1" x14ac:dyDescent="0.2">
      <c r="A12" s="76" t="str">
        <f t="shared" si="0"/>
        <v/>
      </c>
      <c r="O12" s="67"/>
      <c r="P12" s="67"/>
      <c r="Q12" s="67"/>
      <c r="R12" s="67"/>
      <c r="S12" s="67"/>
      <c r="T12" s="67"/>
      <c r="U12" s="81"/>
      <c r="V12" s="81"/>
      <c r="W12" s="82"/>
      <c r="X12" s="82"/>
      <c r="Y12" s="82"/>
      <c r="AT12" s="64"/>
      <c r="AU12" s="64"/>
    </row>
    <row r="13" spans="1:47" s="63" customFormat="1" ht="18" hidden="1" outlineLevel="1" x14ac:dyDescent="0.2">
      <c r="A13" s="76" t="str">
        <f t="shared" si="0"/>
        <v/>
      </c>
      <c r="B13" s="406" t="s">
        <v>87</v>
      </c>
      <c r="C13" s="407"/>
      <c r="D13" s="407"/>
      <c r="E13" s="407"/>
      <c r="F13" s="407"/>
      <c r="G13" s="407"/>
      <c r="H13" s="407"/>
      <c r="I13" s="407"/>
      <c r="J13" s="407"/>
      <c r="K13" s="407"/>
      <c r="L13" s="407"/>
      <c r="M13" s="408"/>
      <c r="O13" s="67"/>
      <c r="P13" s="67"/>
      <c r="Q13" s="67"/>
      <c r="R13" s="67"/>
      <c r="S13" s="67"/>
      <c r="T13" s="67"/>
      <c r="U13" s="81"/>
      <c r="V13" s="81"/>
      <c r="W13" s="82"/>
      <c r="X13" s="82"/>
      <c r="Y13" s="82"/>
      <c r="AT13" s="64"/>
      <c r="AU13" s="64"/>
    </row>
    <row r="14" spans="1:47" s="63" customFormat="1" hidden="1" outlineLevel="1" thickBot="1" x14ac:dyDescent="0.2">
      <c r="A14" s="76" t="str">
        <f t="shared" si="0"/>
        <v/>
      </c>
      <c r="B14" s="392" t="s">
        <v>88</v>
      </c>
      <c r="C14" s="393"/>
      <c r="D14" s="394"/>
      <c r="E14" s="395" t="str">
        <f>IF([1]Details!$C$16=0,"",[1]Details!$C$16)</f>
        <v>Steven Robinson</v>
      </c>
      <c r="F14" s="395"/>
      <c r="G14" s="395"/>
      <c r="H14" s="395"/>
      <c r="I14" s="395"/>
      <c r="J14" s="395"/>
      <c r="K14" s="395"/>
      <c r="L14" s="395"/>
      <c r="M14" s="396"/>
      <c r="O14" s="67"/>
      <c r="P14" s="67"/>
      <c r="Q14" s="67"/>
      <c r="R14" s="67"/>
      <c r="S14" s="67"/>
      <c r="T14" s="67"/>
      <c r="U14" s="81"/>
      <c r="V14" s="81"/>
      <c r="W14" s="82"/>
      <c r="X14" s="82"/>
      <c r="Y14" s="82"/>
      <c r="AT14" s="62">
        <f>IF(E14&lt;&gt;"",1,0)</f>
        <v>1</v>
      </c>
      <c r="AU14" s="62">
        <f>IF(AND(SUM(AT:AT)&gt;0,E14=""),1,0)</f>
        <v>0</v>
      </c>
    </row>
    <row r="15" spans="1:47" s="63" customFormat="1" hidden="1" outlineLevel="1" thickBot="1" x14ac:dyDescent="0.2">
      <c r="A15" s="76" t="str">
        <f t="shared" si="0"/>
        <v/>
      </c>
      <c r="O15" s="67"/>
      <c r="P15" s="67"/>
      <c r="Q15" s="67"/>
      <c r="R15" s="67"/>
      <c r="S15" s="67"/>
      <c r="T15" s="67"/>
      <c r="U15" s="81"/>
      <c r="V15" s="81"/>
      <c r="W15" s="82"/>
      <c r="X15" s="82"/>
      <c r="Y15" s="82"/>
      <c r="AT15" s="64"/>
      <c r="AU15" s="64"/>
    </row>
    <row r="16" spans="1:47" s="22" customFormat="1" ht="18.75" customHeight="1" collapsed="1" thickBot="1" x14ac:dyDescent="0.2">
      <c r="A16" s="76" t="str">
        <f t="shared" si="0"/>
        <v/>
      </c>
      <c r="B16" s="417" t="s">
        <v>191</v>
      </c>
      <c r="C16" s="418"/>
      <c r="D16" s="418"/>
      <c r="E16" s="418"/>
      <c r="F16" s="418"/>
      <c r="G16" s="418"/>
      <c r="H16" s="418"/>
      <c r="I16" s="418"/>
      <c r="J16" s="418"/>
      <c r="K16" s="418"/>
      <c r="L16" s="418"/>
      <c r="M16" s="418"/>
      <c r="N16" s="418"/>
      <c r="O16" s="418"/>
      <c r="P16" s="418"/>
      <c r="Q16" s="418"/>
      <c r="R16" s="418"/>
      <c r="S16" s="418"/>
      <c r="T16" s="418"/>
      <c r="U16" s="418"/>
      <c r="V16" s="419"/>
      <c r="X16" s="82"/>
      <c r="Y16" s="82"/>
      <c r="Z16" s="63"/>
      <c r="AA16" s="63"/>
      <c r="AB16" s="63"/>
      <c r="AC16" s="63"/>
      <c r="AD16" s="63"/>
      <c r="AE16" s="63"/>
      <c r="AF16" s="63"/>
      <c r="AS16" s="63"/>
      <c r="AT16" s="64"/>
      <c r="AU16" s="64"/>
    </row>
    <row r="17" spans="1:50" ht="17.5" customHeight="1" x14ac:dyDescent="0.2">
      <c r="A17" s="76" t="str">
        <f t="shared" si="0"/>
        <v/>
      </c>
      <c r="B17" s="413" t="s">
        <v>0</v>
      </c>
      <c r="C17" s="426"/>
      <c r="D17" s="426"/>
      <c r="E17" s="426"/>
      <c r="F17" s="404" t="s">
        <v>9</v>
      </c>
      <c r="G17" s="404" t="s">
        <v>72</v>
      </c>
      <c r="H17" s="415" t="s">
        <v>303</v>
      </c>
      <c r="I17" s="415" t="s">
        <v>304</v>
      </c>
      <c r="J17" s="404" t="s">
        <v>10</v>
      </c>
      <c r="K17" s="411" t="s">
        <v>1</v>
      </c>
      <c r="L17" s="122"/>
      <c r="M17" s="413" t="s">
        <v>98</v>
      </c>
      <c r="N17" s="415" t="s">
        <v>99</v>
      </c>
      <c r="O17" s="429" t="s">
        <v>97</v>
      </c>
      <c r="P17" s="415" t="s">
        <v>305</v>
      </c>
      <c r="Q17" s="415" t="s">
        <v>306</v>
      </c>
      <c r="R17" s="415" t="s">
        <v>11</v>
      </c>
      <c r="S17" s="415" t="s">
        <v>93</v>
      </c>
      <c r="T17" s="431" t="s">
        <v>94</v>
      </c>
      <c r="U17" s="424" t="s">
        <v>19</v>
      </c>
      <c r="V17" s="422" t="s">
        <v>17</v>
      </c>
      <c r="X17" s="82"/>
      <c r="Y17" s="82"/>
      <c r="Z17" s="63"/>
      <c r="AA17" s="63"/>
      <c r="AB17" s="63"/>
      <c r="AC17" s="63"/>
      <c r="AD17" s="63"/>
      <c r="AE17" s="63"/>
      <c r="AF17" s="63"/>
      <c r="AT17" s="64"/>
      <c r="AU17" s="64"/>
    </row>
    <row r="18" spans="1:50" ht="13.5" customHeight="1" thickBot="1" x14ac:dyDescent="0.25">
      <c r="A18" s="76" t="str">
        <f t="shared" si="0"/>
        <v/>
      </c>
      <c r="B18" s="414"/>
      <c r="C18" s="427"/>
      <c r="D18" s="427"/>
      <c r="E18" s="427"/>
      <c r="F18" s="405"/>
      <c r="G18" s="405"/>
      <c r="H18" s="428"/>
      <c r="I18" s="428"/>
      <c r="J18" s="405"/>
      <c r="K18" s="412"/>
      <c r="L18" s="124"/>
      <c r="M18" s="414"/>
      <c r="N18" s="416"/>
      <c r="O18" s="430"/>
      <c r="P18" s="428"/>
      <c r="Q18" s="428"/>
      <c r="R18" s="416"/>
      <c r="S18" s="416"/>
      <c r="T18" s="432"/>
      <c r="U18" s="425"/>
      <c r="V18" s="423"/>
      <c r="X18" s="82"/>
      <c r="Y18" s="82"/>
      <c r="Z18" s="63"/>
      <c r="AA18" s="63"/>
      <c r="AB18" s="63"/>
      <c r="AC18" s="63"/>
      <c r="AD18" s="63"/>
      <c r="AE18" s="63"/>
      <c r="AF18" s="63"/>
      <c r="AT18" s="64"/>
      <c r="AU18" s="64"/>
    </row>
    <row r="19" spans="1:50" s="92" customFormat="1" ht="5" customHeight="1" thickBot="1" x14ac:dyDescent="0.25">
      <c r="A19" s="270"/>
      <c r="B19" s="271"/>
      <c r="C19" s="271"/>
      <c r="D19" s="271"/>
      <c r="E19" s="271"/>
      <c r="F19" s="272"/>
      <c r="G19" s="273"/>
      <c r="H19" s="274"/>
      <c r="I19" s="274"/>
      <c r="J19" s="274"/>
      <c r="K19" s="275"/>
      <c r="L19" s="276"/>
      <c r="M19" s="277"/>
      <c r="N19" s="275"/>
      <c r="O19" s="275"/>
      <c r="P19" s="275"/>
      <c r="Q19" s="275"/>
      <c r="R19" s="278"/>
      <c r="S19" s="278"/>
      <c r="T19" s="278"/>
      <c r="U19" s="279"/>
      <c r="V19" s="280"/>
      <c r="W19" s="281"/>
      <c r="X19" s="276"/>
      <c r="Y19" s="282"/>
      <c r="Z19" s="283"/>
      <c r="AA19" s="284"/>
      <c r="AB19" s="284"/>
      <c r="AC19" s="284"/>
      <c r="AD19" s="284"/>
      <c r="AE19" s="285"/>
      <c r="AF19" s="284"/>
      <c r="AG19" s="284"/>
      <c r="AH19" s="284"/>
      <c r="AI19" s="284"/>
      <c r="AJ19" s="184"/>
      <c r="AK19" s="184"/>
      <c r="AV19" s="286"/>
      <c r="AW19" s="64"/>
      <c r="AX19" s="64"/>
    </row>
    <row r="20" spans="1:50" ht="25" customHeight="1" thickBot="1" x14ac:dyDescent="0.25">
      <c r="A20" s="76" t="str">
        <f t="shared" si="0"/>
        <v/>
      </c>
      <c r="B20" s="413" t="s">
        <v>192</v>
      </c>
      <c r="C20" s="426"/>
      <c r="D20" s="426"/>
      <c r="E20" s="426"/>
      <c r="F20" s="426"/>
      <c r="G20" s="426"/>
      <c r="H20" s="426"/>
      <c r="I20" s="426"/>
      <c r="J20" s="426"/>
      <c r="K20" s="443"/>
      <c r="L20" s="97"/>
      <c r="M20" s="444" t="str">
        <f t="shared" ref="M20:M24" si="1">B20</f>
        <v>PIV - LOFT UNIT</v>
      </c>
      <c r="N20" s="445"/>
      <c r="O20" s="445"/>
      <c r="P20" s="445"/>
      <c r="Q20" s="445"/>
      <c r="R20" s="445"/>
      <c r="S20" s="445"/>
      <c r="T20" s="446"/>
      <c r="U20" s="420" t="str">
        <f>B20</f>
        <v>PIV - LOFT UNIT</v>
      </c>
      <c r="V20" s="421"/>
      <c r="X20" s="82"/>
      <c r="Y20" s="82"/>
      <c r="Z20" s="63"/>
      <c r="AA20" s="63"/>
      <c r="AB20" s="63"/>
      <c r="AC20" s="63"/>
      <c r="AD20" s="63"/>
      <c r="AE20" s="63"/>
      <c r="AF20" s="63"/>
      <c r="AT20" s="64"/>
      <c r="AU20" s="64"/>
    </row>
    <row r="21" spans="1:50" ht="15" customHeight="1" thickBot="1" x14ac:dyDescent="0.25">
      <c r="A21" s="76" t="str">
        <f t="shared" si="0"/>
        <v/>
      </c>
      <c r="B21" s="389" t="s">
        <v>195</v>
      </c>
      <c r="C21" s="390"/>
      <c r="D21" s="390"/>
      <c r="E21" s="391"/>
      <c r="F21" s="69">
        <v>1</v>
      </c>
      <c r="G21" s="78" t="s">
        <v>69</v>
      </c>
      <c r="H21" s="49">
        <v>324.13</v>
      </c>
      <c r="I21" s="49">
        <f>(H21/100)*(100+$F$25)</f>
        <v>307.92349999999999</v>
      </c>
      <c r="J21" s="8">
        <v>0.4</v>
      </c>
      <c r="K21" s="126">
        <f>F21*I21*(1+J21)</f>
        <v>431.09289999999999</v>
      </c>
      <c r="L21" s="98"/>
      <c r="M21" s="120" t="str">
        <f t="shared" si="1"/>
        <v>VA Pozidry loft unit - heated</v>
      </c>
      <c r="N21" s="47">
        <v>2.5</v>
      </c>
      <c r="O21" s="104">
        <f t="shared" ref="O21:O24" si="2">F21*N21</f>
        <v>2.5</v>
      </c>
      <c r="P21" s="104">
        <f>$D$107</f>
        <v>30.63</v>
      </c>
      <c r="Q21" s="49">
        <f>(P21/100)*(100+$F$25)</f>
        <v>29.098500000000001</v>
      </c>
      <c r="R21" s="121">
        <v>4</v>
      </c>
      <c r="S21" s="155">
        <f>(O21*Q21*(1+R21))</f>
        <v>363.73125000000005</v>
      </c>
      <c r="T21" s="156">
        <f>K21+S21</f>
        <v>794.82415000000003</v>
      </c>
      <c r="U21" s="130">
        <f t="shared" ref="U21:U24" si="3">F21*H21*1.1</f>
        <v>356.54300000000001</v>
      </c>
      <c r="V21" s="125">
        <f>O21*$E$107</f>
        <v>70</v>
      </c>
      <c r="X21" s="82"/>
      <c r="Y21" s="82"/>
      <c r="Z21" s="63"/>
      <c r="AA21" s="63"/>
      <c r="AB21" s="63"/>
      <c r="AC21" s="63"/>
      <c r="AD21" s="63"/>
      <c r="AE21" s="63"/>
      <c r="AF21" s="63"/>
      <c r="AI21" s="75"/>
      <c r="AT21" s="62">
        <f>IF(F21&lt;&gt;"",1,0)</f>
        <v>1</v>
      </c>
      <c r="AU21" s="62">
        <f>IF(AND(SUM(AT:AT)&gt;0,F21=""),1,0)</f>
        <v>0</v>
      </c>
    </row>
    <row r="22" spans="1:50" ht="15" customHeight="1" thickBot="1" x14ac:dyDescent="0.25">
      <c r="A22" s="76" t="str">
        <f t="shared" si="0"/>
        <v/>
      </c>
      <c r="B22" s="389" t="s">
        <v>194</v>
      </c>
      <c r="C22" s="390"/>
      <c r="D22" s="390"/>
      <c r="E22" s="391"/>
      <c r="F22" s="70">
        <v>0</v>
      </c>
      <c r="G22" s="78" t="s">
        <v>69</v>
      </c>
      <c r="H22" s="49">
        <v>309.95999999999998</v>
      </c>
      <c r="I22" s="49">
        <f t="shared" ref="I22:I24" si="4">(H22/100)*(100+$F$25)</f>
        <v>294.46199999999999</v>
      </c>
      <c r="J22" s="9">
        <v>0.4</v>
      </c>
      <c r="K22" s="126">
        <f t="shared" ref="K22:K24" si="5">F22*I22*(1+J22)</f>
        <v>0</v>
      </c>
      <c r="L22" s="98"/>
      <c r="M22" s="120" t="str">
        <f t="shared" si="1"/>
        <v>VA Pozidry loft unit - unheated</v>
      </c>
      <c r="N22" s="47">
        <v>2.5</v>
      </c>
      <c r="O22" s="104">
        <f t="shared" si="2"/>
        <v>0</v>
      </c>
      <c r="P22" s="104">
        <f>$D$107</f>
        <v>30.63</v>
      </c>
      <c r="Q22" s="49">
        <f t="shared" ref="Q22:Q24" si="6">(P22/100)*(100+$F$25)</f>
        <v>29.098500000000001</v>
      </c>
      <c r="R22" s="121">
        <v>4</v>
      </c>
      <c r="S22" s="155">
        <f t="shared" ref="S22:S24" si="7">(O22*Q22*(1+R22))</f>
        <v>0</v>
      </c>
      <c r="T22" s="156">
        <f t="shared" ref="T22:T24" si="8">K22+S22</f>
        <v>0</v>
      </c>
      <c r="U22" s="130">
        <f t="shared" si="3"/>
        <v>0</v>
      </c>
      <c r="V22" s="125">
        <f>O22*$E$107</f>
        <v>0</v>
      </c>
      <c r="X22" s="82"/>
      <c r="Y22" s="82"/>
      <c r="Z22" s="63"/>
      <c r="AA22" s="63"/>
      <c r="AB22" s="63"/>
      <c r="AC22" s="63"/>
      <c r="AD22" s="63"/>
      <c r="AE22" s="63"/>
      <c r="AF22" s="63"/>
      <c r="AT22" s="62">
        <f>IF(F22&lt;&gt;"",1,0)</f>
        <v>1</v>
      </c>
      <c r="AU22" s="62">
        <f>IF(AND(SUM(AT:AT)&gt;0,F22=""),1,0)</f>
        <v>0</v>
      </c>
    </row>
    <row r="23" spans="1:50" ht="15" customHeight="1" thickBot="1" x14ac:dyDescent="0.25">
      <c r="A23" s="76" t="str">
        <f t="shared" si="0"/>
        <v/>
      </c>
      <c r="B23" s="459" t="s">
        <v>196</v>
      </c>
      <c r="C23" s="460"/>
      <c r="D23" s="460"/>
      <c r="E23" s="466"/>
      <c r="F23" s="70">
        <v>0</v>
      </c>
      <c r="G23" s="78" t="s">
        <v>69</v>
      </c>
      <c r="H23" s="10">
        <v>12.46</v>
      </c>
      <c r="I23" s="49">
        <f t="shared" si="4"/>
        <v>11.837</v>
      </c>
      <c r="J23" s="9">
        <v>0.3</v>
      </c>
      <c r="K23" s="126">
        <f t="shared" si="5"/>
        <v>0</v>
      </c>
      <c r="L23" s="99">
        <v>0.25</v>
      </c>
      <c r="M23" s="95" t="str">
        <f t="shared" si="1"/>
        <v>Electrical Pack - fused spur, cable, JB</v>
      </c>
      <c r="N23" s="47">
        <v>1.5</v>
      </c>
      <c r="O23" s="104">
        <f t="shared" si="2"/>
        <v>0</v>
      </c>
      <c r="P23" s="104">
        <f>$D$107</f>
        <v>30.63</v>
      </c>
      <c r="Q23" s="49">
        <f t="shared" si="6"/>
        <v>29.098500000000001</v>
      </c>
      <c r="R23" s="121">
        <v>1</v>
      </c>
      <c r="S23" s="155">
        <f t="shared" si="7"/>
        <v>0</v>
      </c>
      <c r="T23" s="156">
        <f t="shared" si="8"/>
        <v>0</v>
      </c>
      <c r="U23" s="130">
        <f t="shared" si="3"/>
        <v>0</v>
      </c>
      <c r="V23" s="125">
        <f>O23*$E$107</f>
        <v>0</v>
      </c>
      <c r="X23" s="82"/>
      <c r="Y23" s="82"/>
      <c r="Z23" s="63"/>
      <c r="AA23" s="63"/>
      <c r="AB23" s="63"/>
      <c r="AC23" s="63"/>
      <c r="AD23" s="63"/>
      <c r="AE23" s="63"/>
      <c r="AF23" s="63"/>
      <c r="AT23" s="62">
        <f>IF(F23&lt;&gt;"",1,0)</f>
        <v>1</v>
      </c>
      <c r="AU23" s="62">
        <f>IF(AND(SUM(AT:AT)&gt;0,F23=""),1,0)</f>
        <v>0</v>
      </c>
    </row>
    <row r="24" spans="1:50" ht="15" customHeight="1" thickBot="1" x14ac:dyDescent="0.25">
      <c r="A24" s="76" t="str">
        <f t="shared" si="0"/>
        <v/>
      </c>
      <c r="B24" s="459" t="s">
        <v>197</v>
      </c>
      <c r="C24" s="460"/>
      <c r="D24" s="460"/>
      <c r="E24" s="466"/>
      <c r="F24" s="70">
        <v>0</v>
      </c>
      <c r="G24" s="78" t="s">
        <v>69</v>
      </c>
      <c r="H24" s="10">
        <v>3</v>
      </c>
      <c r="I24" s="49">
        <f t="shared" si="4"/>
        <v>2.85</v>
      </c>
      <c r="J24" s="9">
        <v>0.3</v>
      </c>
      <c r="K24" s="126">
        <f t="shared" si="5"/>
        <v>0</v>
      </c>
      <c r="L24" s="99">
        <v>0.25</v>
      </c>
      <c r="M24" s="95" t="str">
        <f t="shared" si="1"/>
        <v>Sarkvents</v>
      </c>
      <c r="N24" s="47">
        <v>0.08</v>
      </c>
      <c r="O24" s="104">
        <f t="shared" si="2"/>
        <v>0</v>
      </c>
      <c r="P24" s="104">
        <f>$D$107</f>
        <v>30.63</v>
      </c>
      <c r="Q24" s="49">
        <f t="shared" si="6"/>
        <v>29.098500000000001</v>
      </c>
      <c r="R24" s="121">
        <v>1</v>
      </c>
      <c r="S24" s="155">
        <f t="shared" si="7"/>
        <v>0</v>
      </c>
      <c r="T24" s="156">
        <f t="shared" si="8"/>
        <v>0</v>
      </c>
      <c r="U24" s="130">
        <f t="shared" si="3"/>
        <v>0</v>
      </c>
      <c r="V24" s="125">
        <f>O24*$E$107</f>
        <v>0</v>
      </c>
      <c r="X24" s="82"/>
      <c r="Y24" s="82"/>
      <c r="Z24" s="63"/>
      <c r="AA24" s="63"/>
      <c r="AB24" s="63"/>
      <c r="AC24" s="63"/>
      <c r="AD24" s="63"/>
      <c r="AE24" s="63"/>
      <c r="AF24" s="63"/>
      <c r="AT24" s="62">
        <f>IF(F24&lt;&gt;"",1,0)</f>
        <v>1</v>
      </c>
      <c r="AU24" s="62">
        <f>IF(AND(SUM(AT:AT)&gt;0,F24=""),1,0)</f>
        <v>0</v>
      </c>
    </row>
    <row r="25" spans="1:50" ht="16" thickBot="1" x14ac:dyDescent="0.25">
      <c r="A25" s="76" t="str">
        <f t="shared" si="0"/>
        <v/>
      </c>
      <c r="B25" s="402" t="s">
        <v>302</v>
      </c>
      <c r="C25" s="403"/>
      <c r="D25" s="403"/>
      <c r="E25" s="403"/>
      <c r="F25" s="287">
        <v>-5</v>
      </c>
      <c r="G25" s="115"/>
      <c r="H25" s="116"/>
      <c r="I25" s="116"/>
      <c r="J25" s="94" t="s">
        <v>96</v>
      </c>
      <c r="K25" s="127">
        <f>SUM(K21:K24)</f>
        <v>431.09289999999999</v>
      </c>
      <c r="L25" s="99"/>
      <c r="M25" s="438" t="s">
        <v>96</v>
      </c>
      <c r="N25" s="439"/>
      <c r="O25" s="128">
        <f>SUM(O21:O24)</f>
        <v>2.5</v>
      </c>
      <c r="P25" s="162"/>
      <c r="Q25" s="162"/>
      <c r="R25" s="160"/>
      <c r="S25" s="158">
        <f>SUM(S21:S24)</f>
        <v>363.73125000000005</v>
      </c>
      <c r="T25" s="159">
        <f>SUM(T21:T24)</f>
        <v>794.82415000000003</v>
      </c>
      <c r="U25" s="131">
        <f>SUM(U21:U24)</f>
        <v>356.54300000000001</v>
      </c>
      <c r="V25" s="117">
        <f>SUM(V21:V24)</f>
        <v>70</v>
      </c>
      <c r="W25" s="61"/>
      <c r="X25" s="82"/>
      <c r="Y25" s="82"/>
      <c r="Z25" s="63"/>
      <c r="AA25" s="63"/>
      <c r="AB25" s="63"/>
      <c r="AC25" s="63"/>
      <c r="AD25" s="63"/>
      <c r="AE25" s="63"/>
      <c r="AF25" s="63"/>
      <c r="AT25" s="64"/>
      <c r="AU25" s="64"/>
    </row>
    <row r="26" spans="1:50" s="92" customFormat="1" ht="5" customHeight="1" thickBot="1" x14ac:dyDescent="0.25">
      <c r="A26" s="270"/>
      <c r="B26" s="271"/>
      <c r="C26" s="271"/>
      <c r="D26" s="271"/>
      <c r="E26" s="271"/>
      <c r="F26" s="272"/>
      <c r="G26" s="273"/>
      <c r="H26" s="274"/>
      <c r="I26" s="274"/>
      <c r="J26" s="274"/>
      <c r="K26" s="275"/>
      <c r="L26" s="276"/>
      <c r="M26" s="277"/>
      <c r="N26" s="275"/>
      <c r="O26" s="275"/>
      <c r="P26" s="275"/>
      <c r="Q26" s="275"/>
      <c r="R26" s="278"/>
      <c r="S26" s="278"/>
      <c r="T26" s="278"/>
      <c r="U26" s="279"/>
      <c r="V26" s="280"/>
      <c r="W26" s="281"/>
      <c r="X26" s="276"/>
      <c r="Y26" s="282"/>
      <c r="Z26" s="283"/>
      <c r="AA26" s="284"/>
      <c r="AB26" s="284"/>
      <c r="AC26" s="284"/>
      <c r="AD26" s="284"/>
      <c r="AE26" s="285"/>
      <c r="AF26" s="284"/>
      <c r="AG26" s="284"/>
      <c r="AH26" s="284"/>
      <c r="AI26" s="284"/>
      <c r="AJ26" s="184"/>
      <c r="AK26" s="184"/>
      <c r="AV26" s="286"/>
      <c r="AW26" s="64"/>
      <c r="AX26" s="64"/>
    </row>
    <row r="27" spans="1:50" ht="25" customHeight="1" thickBot="1" x14ac:dyDescent="0.25">
      <c r="A27" s="76" t="str">
        <f t="shared" si="0"/>
        <v/>
      </c>
      <c r="B27" s="440" t="s">
        <v>193</v>
      </c>
      <c r="C27" s="441"/>
      <c r="D27" s="441"/>
      <c r="E27" s="441"/>
      <c r="F27" s="442"/>
      <c r="G27" s="441"/>
      <c r="H27" s="441"/>
      <c r="I27" s="441"/>
      <c r="J27" s="441"/>
      <c r="K27" s="441"/>
      <c r="L27" s="133"/>
      <c r="M27" s="444" t="str">
        <f t="shared" ref="M27:M41" si="9">B27</f>
        <v>PIV - WALL MOUNTED UNIT</v>
      </c>
      <c r="N27" s="445"/>
      <c r="O27" s="445"/>
      <c r="P27" s="445"/>
      <c r="Q27" s="445"/>
      <c r="R27" s="445"/>
      <c r="S27" s="445"/>
      <c r="T27" s="446"/>
      <c r="U27" s="469" t="str">
        <f>B27</f>
        <v>PIV - WALL MOUNTED UNIT</v>
      </c>
      <c r="V27" s="462"/>
      <c r="X27" s="82"/>
      <c r="Y27" s="82"/>
      <c r="Z27" s="63"/>
      <c r="AA27" s="63"/>
      <c r="AB27" s="63"/>
      <c r="AC27" s="63"/>
      <c r="AD27" s="63"/>
      <c r="AE27" s="63"/>
      <c r="AF27" s="63"/>
      <c r="AT27" s="64"/>
      <c r="AU27" s="64"/>
    </row>
    <row r="28" spans="1:50" ht="15" customHeight="1" thickBot="1" x14ac:dyDescent="0.25">
      <c r="A28" s="76" t="str">
        <f t="shared" si="0"/>
        <v/>
      </c>
      <c r="B28" s="459" t="s">
        <v>210</v>
      </c>
      <c r="C28" s="460"/>
      <c r="D28" s="460"/>
      <c r="E28" s="466"/>
      <c r="F28" s="69">
        <v>0</v>
      </c>
      <c r="G28" s="78" t="s">
        <v>69</v>
      </c>
      <c r="H28" s="11">
        <v>273.74</v>
      </c>
      <c r="I28" s="49">
        <f>(H28/100)*(100+$F$42)</f>
        <v>273.74</v>
      </c>
      <c r="J28" s="9">
        <v>0.4</v>
      </c>
      <c r="K28" s="126">
        <f t="shared" ref="K28:K41" si="10">F28*I28*(1+J28)</f>
        <v>0</v>
      </c>
      <c r="L28" s="134">
        <v>0.75</v>
      </c>
      <c r="M28" s="95" t="str">
        <f t="shared" si="9"/>
        <v>VA Pozidry Compact wall mounted unit</v>
      </c>
      <c r="N28" s="47">
        <v>4</v>
      </c>
      <c r="O28" s="104">
        <f t="shared" ref="O28" si="11">F28*N28</f>
        <v>0</v>
      </c>
      <c r="P28" s="104">
        <f t="shared" ref="P28:P41" si="12">$D$107</f>
        <v>30.63</v>
      </c>
      <c r="Q28" s="49">
        <f>(P28/100)*(100+$F$42)</f>
        <v>30.630000000000003</v>
      </c>
      <c r="R28" s="121">
        <v>3</v>
      </c>
      <c r="S28" s="155">
        <f t="shared" ref="S28:S41" si="13">(O28*Q28*(1+R28))</f>
        <v>0</v>
      </c>
      <c r="T28" s="156">
        <f t="shared" ref="T28:T41" si="14">K28+S28</f>
        <v>0</v>
      </c>
      <c r="U28" s="130">
        <f t="shared" ref="U28:U41" si="15">F28*H28*1.1</f>
        <v>0</v>
      </c>
      <c r="V28" s="125">
        <f t="shared" ref="V28:V41" si="16">O28*$E$107</f>
        <v>0</v>
      </c>
      <c r="X28" s="82"/>
      <c r="Y28" s="82"/>
      <c r="Z28" s="63"/>
      <c r="AA28" s="63"/>
      <c r="AB28" s="63"/>
      <c r="AC28" s="63"/>
      <c r="AD28" s="63"/>
      <c r="AE28" s="63"/>
      <c r="AF28" s="63"/>
      <c r="AT28" s="62">
        <f t="shared" ref="AT28:AT41" si="17">IF(F28&lt;&gt;"",1,0)</f>
        <v>1</v>
      </c>
      <c r="AU28" s="62">
        <f t="shared" ref="AU28:AU41" si="18">IF(AND(SUM(AT:AT)&gt;0,F28=""),1,0)</f>
        <v>0</v>
      </c>
    </row>
    <row r="29" spans="1:50" ht="15" customHeight="1" thickBot="1" x14ac:dyDescent="0.25">
      <c r="A29" s="76" t="str">
        <f t="shared" si="0"/>
        <v/>
      </c>
      <c r="B29" s="459" t="s">
        <v>196</v>
      </c>
      <c r="C29" s="460"/>
      <c r="D29" s="460"/>
      <c r="E29" s="466"/>
      <c r="F29" s="70">
        <v>0</v>
      </c>
      <c r="G29" s="78" t="s">
        <v>69</v>
      </c>
      <c r="H29" s="10">
        <v>12.46</v>
      </c>
      <c r="I29" s="49">
        <f t="shared" ref="I29:I41" si="19">(H29/100)*(100+$F$42)</f>
        <v>12.46</v>
      </c>
      <c r="J29" s="9">
        <v>0.3</v>
      </c>
      <c r="K29" s="126">
        <f t="shared" si="10"/>
        <v>0</v>
      </c>
      <c r="L29" s="99">
        <v>0.25</v>
      </c>
      <c r="M29" s="95" t="str">
        <f t="shared" si="9"/>
        <v>Electrical Pack - fused spur, cable, JB</v>
      </c>
      <c r="N29" s="47">
        <v>1.5</v>
      </c>
      <c r="O29" s="104">
        <f t="shared" ref="O29:O41" si="20">F29*N29</f>
        <v>0</v>
      </c>
      <c r="P29" s="104">
        <f t="shared" si="12"/>
        <v>30.63</v>
      </c>
      <c r="Q29" s="49">
        <f t="shared" ref="Q29:Q41" si="21">(P29/100)*(100+$F$42)</f>
        <v>30.630000000000003</v>
      </c>
      <c r="R29" s="121">
        <v>1</v>
      </c>
      <c r="S29" s="155">
        <f t="shared" si="13"/>
        <v>0</v>
      </c>
      <c r="T29" s="156">
        <f t="shared" si="14"/>
        <v>0</v>
      </c>
      <c r="U29" s="130">
        <f t="shared" si="15"/>
        <v>0</v>
      </c>
      <c r="V29" s="125">
        <f t="shared" si="16"/>
        <v>0</v>
      </c>
      <c r="X29" s="82"/>
      <c r="Y29" s="82"/>
      <c r="Z29" s="63"/>
      <c r="AA29" s="63"/>
      <c r="AB29" s="63"/>
      <c r="AC29" s="63"/>
      <c r="AD29" s="63"/>
      <c r="AE29" s="63"/>
      <c r="AF29" s="63"/>
      <c r="AT29" s="62">
        <f t="shared" si="17"/>
        <v>1</v>
      </c>
      <c r="AU29" s="62">
        <f t="shared" si="18"/>
        <v>0</v>
      </c>
    </row>
    <row r="30" spans="1:50" ht="15" customHeight="1" thickBot="1" x14ac:dyDescent="0.25">
      <c r="A30" s="76" t="str">
        <f t="shared" si="0"/>
        <v/>
      </c>
      <c r="B30" s="459" t="s">
        <v>198</v>
      </c>
      <c r="C30" s="460"/>
      <c r="D30" s="460"/>
      <c r="E30" s="466"/>
      <c r="F30" s="70">
        <v>0</v>
      </c>
      <c r="G30" s="78" t="s">
        <v>69</v>
      </c>
      <c r="H30" s="10">
        <v>3.85</v>
      </c>
      <c r="I30" s="49">
        <f t="shared" si="19"/>
        <v>3.85</v>
      </c>
      <c r="J30" s="9">
        <v>0.3</v>
      </c>
      <c r="K30" s="126">
        <f t="shared" si="10"/>
        <v>0</v>
      </c>
      <c r="L30" s="99">
        <v>0.25</v>
      </c>
      <c r="M30" s="95" t="str">
        <f t="shared" si="9"/>
        <v>Ducting - 1m length</v>
      </c>
      <c r="N30" s="47">
        <v>0.1</v>
      </c>
      <c r="O30" s="104">
        <f t="shared" si="20"/>
        <v>0</v>
      </c>
      <c r="P30" s="104">
        <f t="shared" si="12"/>
        <v>30.63</v>
      </c>
      <c r="Q30" s="49">
        <f t="shared" si="21"/>
        <v>30.630000000000003</v>
      </c>
      <c r="R30" s="121">
        <v>1</v>
      </c>
      <c r="S30" s="155">
        <f t="shared" si="13"/>
        <v>0</v>
      </c>
      <c r="T30" s="156">
        <f t="shared" si="14"/>
        <v>0</v>
      </c>
      <c r="U30" s="130">
        <f t="shared" si="15"/>
        <v>0</v>
      </c>
      <c r="V30" s="125">
        <f t="shared" si="16"/>
        <v>0</v>
      </c>
      <c r="X30" s="82"/>
      <c r="Y30" s="82"/>
      <c r="Z30" s="63"/>
      <c r="AA30" s="63"/>
      <c r="AB30" s="63"/>
      <c r="AC30" s="63"/>
      <c r="AD30" s="63"/>
      <c r="AE30" s="63"/>
      <c r="AF30" s="63"/>
      <c r="AT30" s="62">
        <f t="shared" si="17"/>
        <v>1</v>
      </c>
      <c r="AU30" s="62">
        <f t="shared" si="18"/>
        <v>0</v>
      </c>
    </row>
    <row r="31" spans="1:50" ht="15" customHeight="1" thickBot="1" x14ac:dyDescent="0.25">
      <c r="A31" s="76" t="str">
        <f t="shared" si="0"/>
        <v/>
      </c>
      <c r="B31" s="459" t="s">
        <v>199</v>
      </c>
      <c r="C31" s="460"/>
      <c r="D31" s="460"/>
      <c r="E31" s="466"/>
      <c r="F31" s="70">
        <v>0</v>
      </c>
      <c r="G31" s="78" t="s">
        <v>69</v>
      </c>
      <c r="H31" s="10">
        <v>2.78</v>
      </c>
      <c r="I31" s="49">
        <f t="shared" si="19"/>
        <v>2.78</v>
      </c>
      <c r="J31" s="9">
        <v>0.3</v>
      </c>
      <c r="K31" s="126">
        <f t="shared" si="10"/>
        <v>0</v>
      </c>
      <c r="L31" s="99">
        <v>0.25</v>
      </c>
      <c r="M31" s="95" t="str">
        <f t="shared" si="9"/>
        <v>Ducting - round elbow</v>
      </c>
      <c r="N31" s="47">
        <v>0.1</v>
      </c>
      <c r="O31" s="104">
        <f t="shared" si="20"/>
        <v>0</v>
      </c>
      <c r="P31" s="104">
        <f t="shared" si="12"/>
        <v>30.63</v>
      </c>
      <c r="Q31" s="49">
        <f t="shared" si="21"/>
        <v>30.630000000000003</v>
      </c>
      <c r="R31" s="121">
        <v>1</v>
      </c>
      <c r="S31" s="155">
        <f t="shared" si="13"/>
        <v>0</v>
      </c>
      <c r="T31" s="156">
        <f t="shared" si="14"/>
        <v>0</v>
      </c>
      <c r="U31" s="130">
        <f t="shared" si="15"/>
        <v>0</v>
      </c>
      <c r="V31" s="125">
        <f t="shared" si="16"/>
        <v>0</v>
      </c>
      <c r="X31" s="82"/>
      <c r="Y31" s="82"/>
      <c r="Z31" s="63"/>
      <c r="AA31" s="63"/>
      <c r="AB31" s="63"/>
      <c r="AC31" s="63"/>
      <c r="AD31" s="63"/>
      <c r="AE31" s="63"/>
      <c r="AF31" s="63"/>
      <c r="AT31" s="62">
        <f t="shared" si="17"/>
        <v>1</v>
      </c>
      <c r="AU31" s="62">
        <f t="shared" si="18"/>
        <v>0</v>
      </c>
    </row>
    <row r="32" spans="1:50" ht="15" customHeight="1" thickBot="1" x14ac:dyDescent="0.25">
      <c r="A32" s="76" t="str">
        <f t="shared" si="0"/>
        <v/>
      </c>
      <c r="B32" s="459" t="s">
        <v>200</v>
      </c>
      <c r="C32" s="460"/>
      <c r="D32" s="460"/>
      <c r="E32" s="466"/>
      <c r="F32" s="70">
        <v>0</v>
      </c>
      <c r="G32" s="78" t="s">
        <v>69</v>
      </c>
      <c r="H32" s="10">
        <v>0.52</v>
      </c>
      <c r="I32" s="49">
        <f t="shared" si="19"/>
        <v>0.52</v>
      </c>
      <c r="J32" s="9">
        <v>0.3</v>
      </c>
      <c r="K32" s="126">
        <f t="shared" si="10"/>
        <v>0</v>
      </c>
      <c r="L32" s="99">
        <v>0.25</v>
      </c>
      <c r="M32" s="95" t="str">
        <f t="shared" si="9"/>
        <v>Ducting - round - straight conn</v>
      </c>
      <c r="N32" s="47">
        <v>0.1</v>
      </c>
      <c r="O32" s="104">
        <f t="shared" si="20"/>
        <v>0</v>
      </c>
      <c r="P32" s="104">
        <f t="shared" si="12"/>
        <v>30.63</v>
      </c>
      <c r="Q32" s="49">
        <f t="shared" si="21"/>
        <v>30.630000000000003</v>
      </c>
      <c r="R32" s="121">
        <v>1</v>
      </c>
      <c r="S32" s="155">
        <f t="shared" si="13"/>
        <v>0</v>
      </c>
      <c r="T32" s="156">
        <f t="shared" si="14"/>
        <v>0</v>
      </c>
      <c r="U32" s="130">
        <f t="shared" si="15"/>
        <v>0</v>
      </c>
      <c r="V32" s="125">
        <f t="shared" si="16"/>
        <v>0</v>
      </c>
      <c r="X32" s="82"/>
      <c r="Y32" s="82"/>
      <c r="Z32" s="63"/>
      <c r="AA32" s="63"/>
      <c r="AB32" s="63"/>
      <c r="AC32" s="63"/>
      <c r="AD32" s="63"/>
      <c r="AE32" s="63"/>
      <c r="AF32" s="63"/>
      <c r="AT32" s="62">
        <f t="shared" si="17"/>
        <v>1</v>
      </c>
      <c r="AU32" s="62">
        <f t="shared" si="18"/>
        <v>0</v>
      </c>
    </row>
    <row r="33" spans="1:50" ht="15" customHeight="1" thickBot="1" x14ac:dyDescent="0.25">
      <c r="A33" s="76" t="str">
        <f t="shared" si="0"/>
        <v/>
      </c>
      <c r="B33" s="459" t="s">
        <v>201</v>
      </c>
      <c r="C33" s="460"/>
      <c r="D33" s="460"/>
      <c r="E33" s="466"/>
      <c r="F33" s="70">
        <v>0</v>
      </c>
      <c r="G33" s="78" t="s">
        <v>69</v>
      </c>
      <c r="H33" s="10">
        <v>3.85</v>
      </c>
      <c r="I33" s="49">
        <f t="shared" si="19"/>
        <v>3.85</v>
      </c>
      <c r="J33" s="9">
        <v>0.3</v>
      </c>
      <c r="K33" s="126">
        <f t="shared" si="10"/>
        <v>0</v>
      </c>
      <c r="L33" s="99">
        <v>0.25</v>
      </c>
      <c r="M33" s="95" t="str">
        <f t="shared" si="9"/>
        <v>Ducting - round 1m</v>
      </c>
      <c r="N33" s="47">
        <v>0.1</v>
      </c>
      <c r="O33" s="104">
        <f t="shared" si="20"/>
        <v>0</v>
      </c>
      <c r="P33" s="104">
        <f t="shared" si="12"/>
        <v>30.63</v>
      </c>
      <c r="Q33" s="49">
        <f t="shared" si="21"/>
        <v>30.630000000000003</v>
      </c>
      <c r="R33" s="121">
        <v>1</v>
      </c>
      <c r="S33" s="155">
        <f t="shared" si="13"/>
        <v>0</v>
      </c>
      <c r="T33" s="156">
        <f t="shared" si="14"/>
        <v>0</v>
      </c>
      <c r="U33" s="130">
        <f t="shared" si="15"/>
        <v>0</v>
      </c>
      <c r="V33" s="125">
        <f t="shared" si="16"/>
        <v>0</v>
      </c>
      <c r="X33" s="82"/>
      <c r="Y33" s="82"/>
      <c r="Z33" s="63"/>
      <c r="AA33" s="63"/>
      <c r="AB33" s="63"/>
      <c r="AC33" s="63"/>
      <c r="AD33" s="63"/>
      <c r="AE33" s="63"/>
      <c r="AF33" s="63"/>
      <c r="AT33" s="62">
        <f t="shared" si="17"/>
        <v>1</v>
      </c>
      <c r="AU33" s="62">
        <f t="shared" si="18"/>
        <v>0</v>
      </c>
    </row>
    <row r="34" spans="1:50" ht="15" customHeight="1" thickBot="1" x14ac:dyDescent="0.25">
      <c r="A34" s="76" t="str">
        <f t="shared" si="0"/>
        <v/>
      </c>
      <c r="B34" s="459" t="s">
        <v>202</v>
      </c>
      <c r="C34" s="460"/>
      <c r="D34" s="460"/>
      <c r="E34" s="466"/>
      <c r="F34" s="70">
        <v>0</v>
      </c>
      <c r="G34" s="78" t="s">
        <v>69</v>
      </c>
      <c r="H34" s="10">
        <v>1.63</v>
      </c>
      <c r="I34" s="49">
        <f t="shared" si="19"/>
        <v>1.63</v>
      </c>
      <c r="J34" s="9">
        <v>0.3</v>
      </c>
      <c r="K34" s="126">
        <f t="shared" si="10"/>
        <v>0</v>
      </c>
      <c r="L34" s="99">
        <v>0.25</v>
      </c>
      <c r="M34" s="95" t="str">
        <f t="shared" si="9"/>
        <v>Ducting - flat to round adaptor</v>
      </c>
      <c r="N34" s="47">
        <v>0.1</v>
      </c>
      <c r="O34" s="104">
        <f t="shared" si="20"/>
        <v>0</v>
      </c>
      <c r="P34" s="104">
        <f t="shared" si="12"/>
        <v>30.63</v>
      </c>
      <c r="Q34" s="49">
        <f t="shared" si="21"/>
        <v>30.630000000000003</v>
      </c>
      <c r="R34" s="121">
        <v>1</v>
      </c>
      <c r="S34" s="155">
        <f t="shared" si="13"/>
        <v>0</v>
      </c>
      <c r="T34" s="156">
        <f t="shared" si="14"/>
        <v>0</v>
      </c>
      <c r="U34" s="130">
        <f t="shared" si="15"/>
        <v>0</v>
      </c>
      <c r="V34" s="125">
        <f t="shared" si="16"/>
        <v>0</v>
      </c>
      <c r="X34" s="82"/>
      <c r="Y34" s="82"/>
      <c r="Z34" s="63"/>
      <c r="AA34" s="63"/>
      <c r="AB34" s="63"/>
      <c r="AC34" s="63"/>
      <c r="AD34" s="63"/>
      <c r="AE34" s="63"/>
      <c r="AF34" s="63"/>
      <c r="AT34" s="62">
        <f t="shared" si="17"/>
        <v>1</v>
      </c>
      <c r="AU34" s="62">
        <f t="shared" si="18"/>
        <v>0</v>
      </c>
    </row>
    <row r="35" spans="1:50" ht="15" customHeight="1" thickBot="1" x14ac:dyDescent="0.25">
      <c r="A35" s="76" t="str">
        <f t="shared" si="0"/>
        <v/>
      </c>
      <c r="B35" s="459" t="s">
        <v>203</v>
      </c>
      <c r="C35" s="460"/>
      <c r="D35" s="460"/>
      <c r="E35" s="466"/>
      <c r="F35" s="70">
        <v>0</v>
      </c>
      <c r="G35" s="78" t="s">
        <v>69</v>
      </c>
      <c r="H35" s="10">
        <v>1.1399999999999999</v>
      </c>
      <c r="I35" s="49">
        <f t="shared" si="19"/>
        <v>1.1399999999999999</v>
      </c>
      <c r="J35" s="9">
        <v>0.3</v>
      </c>
      <c r="K35" s="126">
        <f t="shared" si="10"/>
        <v>0</v>
      </c>
      <c r="L35" s="99">
        <v>0.25</v>
      </c>
      <c r="M35" s="95" t="str">
        <f t="shared" si="9"/>
        <v>Ducting - flat straight connector</v>
      </c>
      <c r="N35" s="47">
        <v>0.1</v>
      </c>
      <c r="O35" s="104">
        <f t="shared" si="20"/>
        <v>0</v>
      </c>
      <c r="P35" s="104">
        <f t="shared" si="12"/>
        <v>30.63</v>
      </c>
      <c r="Q35" s="49">
        <f t="shared" si="21"/>
        <v>30.630000000000003</v>
      </c>
      <c r="R35" s="121">
        <v>1</v>
      </c>
      <c r="S35" s="155">
        <f t="shared" si="13"/>
        <v>0</v>
      </c>
      <c r="T35" s="156">
        <f t="shared" si="14"/>
        <v>0</v>
      </c>
      <c r="U35" s="130">
        <f t="shared" si="15"/>
        <v>0</v>
      </c>
      <c r="V35" s="125">
        <f t="shared" si="16"/>
        <v>0</v>
      </c>
      <c r="X35" s="82"/>
      <c r="Y35" s="82"/>
      <c r="Z35" s="63"/>
      <c r="AA35" s="63"/>
      <c r="AB35" s="63"/>
      <c r="AC35" s="63"/>
      <c r="AD35" s="63"/>
      <c r="AE35" s="63"/>
      <c r="AF35" s="63"/>
      <c r="AT35" s="62">
        <f t="shared" si="17"/>
        <v>1</v>
      </c>
      <c r="AU35" s="62">
        <f t="shared" si="18"/>
        <v>0</v>
      </c>
    </row>
    <row r="36" spans="1:50" ht="15" customHeight="1" thickBot="1" x14ac:dyDescent="0.25">
      <c r="A36" s="76" t="str">
        <f t="shared" si="0"/>
        <v/>
      </c>
      <c r="B36" s="459" t="s">
        <v>204</v>
      </c>
      <c r="C36" s="460"/>
      <c r="D36" s="460"/>
      <c r="E36" s="466"/>
      <c r="F36" s="70">
        <v>0</v>
      </c>
      <c r="G36" s="78" t="s">
        <v>69</v>
      </c>
      <c r="H36" s="10">
        <v>3.01</v>
      </c>
      <c r="I36" s="49">
        <f t="shared" si="19"/>
        <v>3.01</v>
      </c>
      <c r="J36" s="9">
        <v>0.3</v>
      </c>
      <c r="K36" s="126">
        <f t="shared" si="10"/>
        <v>0</v>
      </c>
      <c r="L36" s="99">
        <v>0.25</v>
      </c>
      <c r="M36" s="95" t="str">
        <f t="shared" si="9"/>
        <v>Ducting - flat horizontal bend</v>
      </c>
      <c r="N36" s="47">
        <v>0.1</v>
      </c>
      <c r="O36" s="104">
        <f t="shared" si="20"/>
        <v>0</v>
      </c>
      <c r="P36" s="104">
        <f t="shared" si="12"/>
        <v>30.63</v>
      </c>
      <c r="Q36" s="49">
        <f t="shared" si="21"/>
        <v>30.630000000000003</v>
      </c>
      <c r="R36" s="121">
        <v>1</v>
      </c>
      <c r="S36" s="155">
        <f t="shared" si="13"/>
        <v>0</v>
      </c>
      <c r="T36" s="156">
        <f t="shared" si="14"/>
        <v>0</v>
      </c>
      <c r="U36" s="130">
        <f t="shared" si="15"/>
        <v>0</v>
      </c>
      <c r="V36" s="125">
        <f t="shared" si="16"/>
        <v>0</v>
      </c>
      <c r="X36" s="82"/>
      <c r="Y36" s="82"/>
      <c r="Z36" s="63"/>
      <c r="AA36" s="63"/>
      <c r="AB36" s="63"/>
      <c r="AC36" s="63"/>
      <c r="AD36" s="63"/>
      <c r="AE36" s="63"/>
      <c r="AF36" s="63"/>
      <c r="AT36" s="62">
        <f t="shared" si="17"/>
        <v>1</v>
      </c>
      <c r="AU36" s="62">
        <f t="shared" si="18"/>
        <v>0</v>
      </c>
    </row>
    <row r="37" spans="1:50" ht="15" customHeight="1" thickBot="1" x14ac:dyDescent="0.25">
      <c r="A37" s="76" t="str">
        <f t="shared" ref="A37:A75" si="22">IF(AU37=1,"X","")</f>
        <v/>
      </c>
      <c r="B37" s="459" t="s">
        <v>205</v>
      </c>
      <c r="C37" s="460"/>
      <c r="D37" s="460"/>
      <c r="E37" s="466"/>
      <c r="F37" s="70">
        <v>0</v>
      </c>
      <c r="G37" s="78" t="s">
        <v>69</v>
      </c>
      <c r="H37" s="10">
        <v>3.01</v>
      </c>
      <c r="I37" s="49">
        <f t="shared" si="19"/>
        <v>3.01</v>
      </c>
      <c r="J37" s="9">
        <v>0.3</v>
      </c>
      <c r="K37" s="126">
        <f t="shared" si="10"/>
        <v>0</v>
      </c>
      <c r="L37" s="99">
        <v>0.25</v>
      </c>
      <c r="M37" s="95" t="str">
        <f t="shared" si="9"/>
        <v>Ducting - flat vertical bend</v>
      </c>
      <c r="N37" s="47">
        <v>0.1</v>
      </c>
      <c r="O37" s="104">
        <f t="shared" si="20"/>
        <v>0</v>
      </c>
      <c r="P37" s="104">
        <f t="shared" si="12"/>
        <v>30.63</v>
      </c>
      <c r="Q37" s="49">
        <f t="shared" si="21"/>
        <v>30.630000000000003</v>
      </c>
      <c r="R37" s="121">
        <v>1</v>
      </c>
      <c r="S37" s="155">
        <f t="shared" si="13"/>
        <v>0</v>
      </c>
      <c r="T37" s="156">
        <f t="shared" si="14"/>
        <v>0</v>
      </c>
      <c r="U37" s="130">
        <f t="shared" si="15"/>
        <v>0</v>
      </c>
      <c r="V37" s="125">
        <f t="shared" si="16"/>
        <v>0</v>
      </c>
      <c r="X37" s="82"/>
      <c r="Y37" s="82"/>
      <c r="Z37" s="63"/>
      <c r="AA37" s="63"/>
      <c r="AB37" s="63"/>
      <c r="AC37" s="63"/>
      <c r="AD37" s="63"/>
      <c r="AE37" s="63"/>
      <c r="AF37" s="63"/>
      <c r="AT37" s="62">
        <f t="shared" si="17"/>
        <v>1</v>
      </c>
      <c r="AU37" s="62">
        <f t="shared" si="18"/>
        <v>0</v>
      </c>
    </row>
    <row r="38" spans="1:50" ht="15" customHeight="1" thickBot="1" x14ac:dyDescent="0.25">
      <c r="A38" s="76" t="str">
        <f t="shared" si="22"/>
        <v/>
      </c>
      <c r="B38" s="459" t="s">
        <v>206</v>
      </c>
      <c r="C38" s="460"/>
      <c r="D38" s="460"/>
      <c r="E38" s="466"/>
      <c r="F38" s="70">
        <v>0</v>
      </c>
      <c r="G38" s="78" t="s">
        <v>69</v>
      </c>
      <c r="H38" s="10">
        <v>2.87</v>
      </c>
      <c r="I38" s="49">
        <f t="shared" si="19"/>
        <v>2.87</v>
      </c>
      <c r="J38" s="9">
        <v>0.3</v>
      </c>
      <c r="K38" s="126">
        <f t="shared" si="10"/>
        <v>0</v>
      </c>
      <c r="L38" s="99">
        <v>0.25</v>
      </c>
      <c r="M38" s="95" t="str">
        <f t="shared" si="9"/>
        <v>Ducting - flat - 1m</v>
      </c>
      <c r="N38" s="47">
        <v>0.1</v>
      </c>
      <c r="O38" s="104">
        <f t="shared" si="20"/>
        <v>0</v>
      </c>
      <c r="P38" s="104">
        <f t="shared" si="12"/>
        <v>30.63</v>
      </c>
      <c r="Q38" s="49">
        <f t="shared" si="21"/>
        <v>30.630000000000003</v>
      </c>
      <c r="R38" s="121">
        <v>1</v>
      </c>
      <c r="S38" s="155">
        <f t="shared" si="13"/>
        <v>0</v>
      </c>
      <c r="T38" s="156">
        <f t="shared" si="14"/>
        <v>0</v>
      </c>
      <c r="U38" s="130">
        <f t="shared" si="15"/>
        <v>0</v>
      </c>
      <c r="V38" s="125">
        <f t="shared" si="16"/>
        <v>0</v>
      </c>
      <c r="X38" s="82"/>
      <c r="Y38" s="82"/>
      <c r="Z38" s="63"/>
      <c r="AA38" s="63"/>
      <c r="AB38" s="63"/>
      <c r="AC38" s="63"/>
      <c r="AD38" s="63"/>
      <c r="AE38" s="63"/>
      <c r="AF38" s="63"/>
      <c r="AT38" s="62">
        <f t="shared" si="17"/>
        <v>1</v>
      </c>
      <c r="AU38" s="62">
        <f t="shared" si="18"/>
        <v>0</v>
      </c>
    </row>
    <row r="39" spans="1:50" ht="15" customHeight="1" thickBot="1" x14ac:dyDescent="0.25">
      <c r="A39" s="76" t="str">
        <f t="shared" si="22"/>
        <v/>
      </c>
      <c r="B39" s="459" t="s">
        <v>207</v>
      </c>
      <c r="C39" s="460"/>
      <c r="D39" s="460"/>
      <c r="E39" s="466"/>
      <c r="F39" s="70">
        <v>0</v>
      </c>
      <c r="G39" s="78" t="s">
        <v>69</v>
      </c>
      <c r="H39" s="10">
        <v>2.5</v>
      </c>
      <c r="I39" s="49">
        <f t="shared" si="19"/>
        <v>2.5</v>
      </c>
      <c r="J39" s="9">
        <v>0.3</v>
      </c>
      <c r="K39" s="126">
        <f t="shared" si="10"/>
        <v>0</v>
      </c>
      <c r="L39" s="99">
        <v>0.25</v>
      </c>
      <c r="M39" s="95" t="str">
        <f t="shared" si="9"/>
        <v>Ducting - insulated flexi (3m Length)</v>
      </c>
      <c r="N39" s="47">
        <v>0.1</v>
      </c>
      <c r="O39" s="104">
        <f t="shared" si="20"/>
        <v>0</v>
      </c>
      <c r="P39" s="104">
        <f t="shared" si="12"/>
        <v>30.63</v>
      </c>
      <c r="Q39" s="49">
        <f t="shared" si="21"/>
        <v>30.630000000000003</v>
      </c>
      <c r="R39" s="121">
        <v>1</v>
      </c>
      <c r="S39" s="155">
        <f t="shared" si="13"/>
        <v>0</v>
      </c>
      <c r="T39" s="156">
        <f t="shared" si="14"/>
        <v>0</v>
      </c>
      <c r="U39" s="130">
        <f t="shared" si="15"/>
        <v>0</v>
      </c>
      <c r="V39" s="125">
        <f t="shared" si="16"/>
        <v>0</v>
      </c>
      <c r="X39" s="82"/>
      <c r="Y39" s="82"/>
      <c r="Z39" s="63"/>
      <c r="AA39" s="63"/>
      <c r="AB39" s="63"/>
      <c r="AC39" s="63"/>
      <c r="AD39" s="63"/>
      <c r="AE39" s="63"/>
      <c r="AF39" s="63"/>
      <c r="AT39" s="62">
        <f t="shared" si="17"/>
        <v>1</v>
      </c>
      <c r="AU39" s="62">
        <f t="shared" si="18"/>
        <v>0</v>
      </c>
    </row>
    <row r="40" spans="1:50" ht="15" customHeight="1" thickBot="1" x14ac:dyDescent="0.25">
      <c r="A40" s="76" t="str">
        <f t="shared" si="22"/>
        <v/>
      </c>
      <c r="B40" s="459" t="s">
        <v>208</v>
      </c>
      <c r="C40" s="460"/>
      <c r="D40" s="460"/>
      <c r="E40" s="466"/>
      <c r="F40" s="70">
        <v>0</v>
      </c>
      <c r="G40" s="78" t="s">
        <v>69</v>
      </c>
      <c r="H40" s="10">
        <v>2.42</v>
      </c>
      <c r="I40" s="49">
        <f t="shared" si="19"/>
        <v>2.42</v>
      </c>
      <c r="J40" s="9">
        <v>0.3</v>
      </c>
      <c r="K40" s="126">
        <f t="shared" si="10"/>
        <v>0</v>
      </c>
      <c r="L40" s="99">
        <v>0.25</v>
      </c>
      <c r="M40" s="95" t="str">
        <f t="shared" si="9"/>
        <v>Grille</v>
      </c>
      <c r="N40" s="47">
        <v>0.1</v>
      </c>
      <c r="O40" s="104">
        <f t="shared" si="20"/>
        <v>0</v>
      </c>
      <c r="P40" s="104">
        <f t="shared" si="12"/>
        <v>30.63</v>
      </c>
      <c r="Q40" s="49">
        <f t="shared" si="21"/>
        <v>30.630000000000003</v>
      </c>
      <c r="R40" s="121">
        <v>1</v>
      </c>
      <c r="S40" s="155">
        <f t="shared" si="13"/>
        <v>0</v>
      </c>
      <c r="T40" s="156">
        <f t="shared" si="14"/>
        <v>0</v>
      </c>
      <c r="U40" s="130">
        <f t="shared" si="15"/>
        <v>0</v>
      </c>
      <c r="V40" s="125">
        <f t="shared" si="16"/>
        <v>0</v>
      </c>
      <c r="X40" s="82"/>
      <c r="Y40" s="82"/>
      <c r="Z40" s="63"/>
      <c r="AA40" s="63"/>
      <c r="AB40" s="63"/>
      <c r="AC40" s="63"/>
      <c r="AD40" s="63"/>
      <c r="AE40" s="63"/>
      <c r="AF40" s="63"/>
      <c r="AT40" s="62">
        <f t="shared" si="17"/>
        <v>1</v>
      </c>
      <c r="AU40" s="62">
        <f t="shared" si="18"/>
        <v>0</v>
      </c>
    </row>
    <row r="41" spans="1:50" ht="15" customHeight="1" thickBot="1" x14ac:dyDescent="0.25">
      <c r="A41" s="76" t="str">
        <f t="shared" si="22"/>
        <v/>
      </c>
      <c r="B41" s="459" t="s">
        <v>209</v>
      </c>
      <c r="C41" s="460"/>
      <c r="D41" s="460"/>
      <c r="E41" s="466"/>
      <c r="F41" s="70">
        <v>0</v>
      </c>
      <c r="G41" s="78" t="s">
        <v>69</v>
      </c>
      <c r="H41" s="10">
        <v>0</v>
      </c>
      <c r="I41" s="49">
        <f t="shared" si="19"/>
        <v>0</v>
      </c>
      <c r="J41" s="9">
        <v>0.3</v>
      </c>
      <c r="K41" s="126">
        <f t="shared" si="10"/>
        <v>0</v>
      </c>
      <c r="L41" s="99">
        <v>0.25</v>
      </c>
      <c r="M41" s="95" t="str">
        <f t="shared" si="9"/>
        <v xml:space="preserve">Diamond core 107mm hole </v>
      </c>
      <c r="N41" s="47">
        <v>2</v>
      </c>
      <c r="O41" s="104">
        <f t="shared" si="20"/>
        <v>0</v>
      </c>
      <c r="P41" s="104">
        <f t="shared" si="12"/>
        <v>30.63</v>
      </c>
      <c r="Q41" s="49">
        <f t="shared" si="21"/>
        <v>30.630000000000003</v>
      </c>
      <c r="R41" s="121">
        <v>1</v>
      </c>
      <c r="S41" s="155">
        <f t="shared" si="13"/>
        <v>0</v>
      </c>
      <c r="T41" s="156">
        <f t="shared" si="14"/>
        <v>0</v>
      </c>
      <c r="U41" s="130">
        <f t="shared" si="15"/>
        <v>0</v>
      </c>
      <c r="V41" s="125">
        <f t="shared" si="16"/>
        <v>0</v>
      </c>
      <c r="X41" s="82"/>
      <c r="Y41" s="82"/>
      <c r="Z41" s="63"/>
      <c r="AA41" s="63"/>
      <c r="AB41" s="63"/>
      <c r="AC41" s="63"/>
      <c r="AD41" s="63"/>
      <c r="AE41" s="63"/>
      <c r="AF41" s="63"/>
      <c r="AT41" s="62">
        <f t="shared" si="17"/>
        <v>1</v>
      </c>
      <c r="AU41" s="62">
        <f t="shared" si="18"/>
        <v>0</v>
      </c>
    </row>
    <row r="42" spans="1:50" ht="16" thickBot="1" x14ac:dyDescent="0.25">
      <c r="A42" s="76" t="str">
        <f t="shared" si="22"/>
        <v/>
      </c>
      <c r="B42" s="402" t="s">
        <v>302</v>
      </c>
      <c r="C42" s="403"/>
      <c r="D42" s="403"/>
      <c r="E42" s="403"/>
      <c r="F42" s="287">
        <v>0</v>
      </c>
      <c r="G42" s="115"/>
      <c r="H42" s="116"/>
      <c r="I42" s="116"/>
      <c r="J42" s="94" t="s">
        <v>96</v>
      </c>
      <c r="K42" s="132">
        <f>SUM(K28:K41)</f>
        <v>0</v>
      </c>
      <c r="L42" s="135"/>
      <c r="M42" s="438" t="s">
        <v>96</v>
      </c>
      <c r="N42" s="439"/>
      <c r="O42" s="128">
        <f>SUM(O28:O41)</f>
        <v>0</v>
      </c>
      <c r="P42" s="162"/>
      <c r="Q42" s="162"/>
      <c r="R42" s="160"/>
      <c r="S42" s="158">
        <f>SUM(S28:S41)</f>
        <v>0</v>
      </c>
      <c r="T42" s="159">
        <f>SUM(T28:T41)</f>
        <v>0</v>
      </c>
      <c r="U42" s="131">
        <f>SUM(U28:U41)</f>
        <v>0</v>
      </c>
      <c r="V42" s="117">
        <f>SUM(V28:V41)</f>
        <v>0</v>
      </c>
      <c r="W42" s="61"/>
      <c r="X42" s="82"/>
      <c r="Y42" s="82"/>
      <c r="Z42" s="63"/>
      <c r="AA42" s="63"/>
      <c r="AB42" s="63"/>
      <c r="AC42" s="63"/>
      <c r="AD42" s="63"/>
      <c r="AE42" s="63"/>
      <c r="AF42" s="63"/>
      <c r="AT42" s="64"/>
      <c r="AU42" s="64"/>
    </row>
    <row r="43" spans="1:50" s="92" customFormat="1" ht="5" customHeight="1" thickBot="1" x14ac:dyDescent="0.25">
      <c r="A43" s="270"/>
      <c r="B43" s="271"/>
      <c r="C43" s="271"/>
      <c r="D43" s="271"/>
      <c r="E43" s="271"/>
      <c r="F43" s="272"/>
      <c r="G43" s="273"/>
      <c r="H43" s="274"/>
      <c r="I43" s="274"/>
      <c r="J43" s="274"/>
      <c r="K43" s="275"/>
      <c r="L43" s="276"/>
      <c r="M43" s="277"/>
      <c r="N43" s="275"/>
      <c r="O43" s="275"/>
      <c r="P43" s="275"/>
      <c r="Q43" s="275"/>
      <c r="R43" s="278"/>
      <c r="S43" s="278"/>
      <c r="T43" s="278"/>
      <c r="U43" s="279"/>
      <c r="V43" s="280"/>
      <c r="W43" s="281"/>
      <c r="X43" s="276"/>
      <c r="Y43" s="282"/>
      <c r="Z43" s="283"/>
      <c r="AA43" s="284"/>
      <c r="AB43" s="284"/>
      <c r="AC43" s="284"/>
      <c r="AD43" s="284"/>
      <c r="AE43" s="285"/>
      <c r="AF43" s="284"/>
      <c r="AG43" s="284"/>
      <c r="AH43" s="284"/>
      <c r="AI43" s="284"/>
      <c r="AJ43" s="184"/>
      <c r="AK43" s="184"/>
      <c r="AV43" s="286"/>
      <c r="AW43" s="64"/>
      <c r="AX43" s="64"/>
    </row>
    <row r="44" spans="1:50" ht="25" customHeight="1" thickBot="1" x14ac:dyDescent="0.25">
      <c r="A44" s="76" t="str">
        <f t="shared" si="22"/>
        <v/>
      </c>
      <c r="B44" s="440" t="s">
        <v>211</v>
      </c>
      <c r="C44" s="441"/>
      <c r="D44" s="441"/>
      <c r="E44" s="441"/>
      <c r="F44" s="442"/>
      <c r="G44" s="441"/>
      <c r="H44" s="441"/>
      <c r="I44" s="441"/>
      <c r="J44" s="441"/>
      <c r="K44" s="441"/>
      <c r="L44" s="133"/>
      <c r="M44" s="444" t="str">
        <f t="shared" ref="M44:M48" si="23">B44</f>
        <v>TRICKLE AND BOOST HUMIDISTAT FAN</v>
      </c>
      <c r="N44" s="445"/>
      <c r="O44" s="445"/>
      <c r="P44" s="445"/>
      <c r="Q44" s="445"/>
      <c r="R44" s="445"/>
      <c r="S44" s="445"/>
      <c r="T44" s="446"/>
      <c r="U44" s="469" t="str">
        <f>B44</f>
        <v>TRICKLE AND BOOST HUMIDISTAT FAN</v>
      </c>
      <c r="V44" s="462"/>
      <c r="X44" s="82"/>
      <c r="Y44" s="82"/>
      <c r="Z44" s="63"/>
      <c r="AA44" s="63"/>
      <c r="AB44" s="63"/>
      <c r="AC44" s="63"/>
      <c r="AD44" s="63"/>
      <c r="AE44" s="63"/>
      <c r="AF44" s="63"/>
      <c r="AT44" s="64"/>
      <c r="AU44" s="64"/>
    </row>
    <row r="45" spans="1:50" ht="15" customHeight="1" thickBot="1" x14ac:dyDescent="0.25">
      <c r="A45" s="76" t="str">
        <f t="shared" si="22"/>
        <v/>
      </c>
      <c r="B45" s="459" t="s">
        <v>212</v>
      </c>
      <c r="C45" s="460"/>
      <c r="D45" s="460"/>
      <c r="E45" s="466"/>
      <c r="F45" s="69">
        <v>5</v>
      </c>
      <c r="G45" s="78" t="s">
        <v>69</v>
      </c>
      <c r="H45" s="11">
        <v>70.2</v>
      </c>
      <c r="I45" s="49">
        <f>(H45/100)*(100+$F$49)</f>
        <v>70.2</v>
      </c>
      <c r="J45" s="9">
        <v>0.3</v>
      </c>
      <c r="K45" s="126">
        <f>F45*I45*(1+J45)</f>
        <v>456.3</v>
      </c>
      <c r="L45" s="134">
        <v>0.75</v>
      </c>
      <c r="M45" s="95" t="str">
        <f t="shared" si="23"/>
        <v>Trickle and boost humidistat fan (greenwood)</v>
      </c>
      <c r="N45" s="47">
        <v>1.5</v>
      </c>
      <c r="O45" s="104">
        <f t="shared" ref="O45" si="24">F45*N45</f>
        <v>7.5</v>
      </c>
      <c r="P45" s="104">
        <f t="shared" ref="P45:P48" si="25">$D$107</f>
        <v>30.63</v>
      </c>
      <c r="Q45" s="49">
        <f>(P45/100)*(100+$F$49)</f>
        <v>30.630000000000003</v>
      </c>
      <c r="R45" s="121">
        <v>1</v>
      </c>
      <c r="S45" s="155">
        <f t="shared" ref="S45:S48" si="26">(O45*Q45*(1+R45))</f>
        <v>459.45000000000005</v>
      </c>
      <c r="T45" s="156">
        <f t="shared" ref="T45:T48" si="27">K45+S45</f>
        <v>915.75</v>
      </c>
      <c r="U45" s="130">
        <f t="shared" ref="U45:U48" si="28">F45*H45*1.1</f>
        <v>386.1</v>
      </c>
      <c r="V45" s="125">
        <f>O45*$E$107</f>
        <v>210</v>
      </c>
      <c r="X45" s="82"/>
      <c r="Y45" s="82"/>
      <c r="Z45" s="63"/>
      <c r="AA45" s="63"/>
      <c r="AB45" s="63"/>
      <c r="AC45" s="63"/>
      <c r="AD45" s="63"/>
      <c r="AE45" s="63"/>
      <c r="AF45" s="63"/>
      <c r="AT45" s="62">
        <f>IF(F45&lt;&gt;"",1,0)</f>
        <v>1</v>
      </c>
      <c r="AU45" s="62">
        <f>IF(AND(SUM(AT:AT)&gt;0,F45=""),1,0)</f>
        <v>0</v>
      </c>
    </row>
    <row r="46" spans="1:50" ht="15" customHeight="1" thickBot="1" x14ac:dyDescent="0.25">
      <c r="A46" s="76" t="str">
        <f t="shared" si="22"/>
        <v/>
      </c>
      <c r="B46" s="459" t="s">
        <v>196</v>
      </c>
      <c r="C46" s="460"/>
      <c r="D46" s="460"/>
      <c r="E46" s="466"/>
      <c r="F46" s="70">
        <v>0</v>
      </c>
      <c r="G46" s="78" t="s">
        <v>69</v>
      </c>
      <c r="H46" s="10">
        <v>12.46</v>
      </c>
      <c r="I46" s="49">
        <f t="shared" ref="I46:I48" si="29">(H46/100)*(100+$F$49)</f>
        <v>12.46</v>
      </c>
      <c r="J46" s="9">
        <v>0.3</v>
      </c>
      <c r="K46" s="126">
        <f>F46*I46*(1+J46)</f>
        <v>0</v>
      </c>
      <c r="L46" s="99">
        <v>0.25</v>
      </c>
      <c r="M46" s="95" t="str">
        <f t="shared" si="23"/>
        <v>Electrical Pack - fused spur, cable, JB</v>
      </c>
      <c r="N46" s="47">
        <v>1.5</v>
      </c>
      <c r="O46" s="104">
        <f t="shared" ref="O46:O48" si="30">F46*N46</f>
        <v>0</v>
      </c>
      <c r="P46" s="104">
        <f t="shared" si="25"/>
        <v>30.63</v>
      </c>
      <c r="Q46" s="49">
        <f t="shared" ref="Q46:Q48" si="31">(P46/100)*(100+$F$49)</f>
        <v>30.630000000000003</v>
      </c>
      <c r="R46" s="121">
        <v>1</v>
      </c>
      <c r="S46" s="155">
        <f t="shared" si="26"/>
        <v>0</v>
      </c>
      <c r="T46" s="156">
        <f t="shared" si="27"/>
        <v>0</v>
      </c>
      <c r="U46" s="130">
        <f t="shared" si="28"/>
        <v>0</v>
      </c>
      <c r="V46" s="125">
        <f>O46*$E$107</f>
        <v>0</v>
      </c>
      <c r="X46" s="82"/>
      <c r="Y46" s="82"/>
      <c r="Z46" s="63"/>
      <c r="AA46" s="63"/>
      <c r="AB46" s="63"/>
      <c r="AC46" s="63"/>
      <c r="AD46" s="63"/>
      <c r="AE46" s="63"/>
      <c r="AF46" s="63"/>
      <c r="AT46" s="62">
        <f>IF(F46&lt;&gt;"",1,0)</f>
        <v>1</v>
      </c>
      <c r="AU46" s="62">
        <f>IF(AND(SUM(AT:AT)&gt;0,F46=""),1,0)</f>
        <v>0</v>
      </c>
    </row>
    <row r="47" spans="1:50" ht="15" customHeight="1" thickBot="1" x14ac:dyDescent="0.25">
      <c r="A47" s="76" t="str">
        <f t="shared" si="22"/>
        <v/>
      </c>
      <c r="B47" s="459" t="s">
        <v>208</v>
      </c>
      <c r="C47" s="460"/>
      <c r="D47" s="460"/>
      <c r="E47" s="466"/>
      <c r="F47" s="70">
        <v>0</v>
      </c>
      <c r="G47" s="78" t="s">
        <v>69</v>
      </c>
      <c r="H47" s="10">
        <v>2.42</v>
      </c>
      <c r="I47" s="49">
        <f t="shared" si="29"/>
        <v>2.42</v>
      </c>
      <c r="J47" s="9">
        <v>0.3</v>
      </c>
      <c r="K47" s="126">
        <f>F47*I47*(1+J47)</f>
        <v>0</v>
      </c>
      <c r="L47" s="99">
        <v>0.25</v>
      </c>
      <c r="M47" s="95" t="str">
        <f t="shared" si="23"/>
        <v>Grille</v>
      </c>
      <c r="N47" s="47">
        <v>0.1</v>
      </c>
      <c r="O47" s="104">
        <f t="shared" si="30"/>
        <v>0</v>
      </c>
      <c r="P47" s="104">
        <f t="shared" si="25"/>
        <v>30.63</v>
      </c>
      <c r="Q47" s="49">
        <f t="shared" si="31"/>
        <v>30.630000000000003</v>
      </c>
      <c r="R47" s="121">
        <v>1</v>
      </c>
      <c r="S47" s="155">
        <f t="shared" si="26"/>
        <v>0</v>
      </c>
      <c r="T47" s="156">
        <f t="shared" si="27"/>
        <v>0</v>
      </c>
      <c r="U47" s="130">
        <f t="shared" si="28"/>
        <v>0</v>
      </c>
      <c r="V47" s="125">
        <f>O47*$E$107</f>
        <v>0</v>
      </c>
      <c r="X47" s="82"/>
      <c r="Y47" s="82"/>
      <c r="Z47" s="63"/>
      <c r="AA47" s="63"/>
      <c r="AB47" s="63"/>
      <c r="AC47" s="63"/>
      <c r="AD47" s="63"/>
      <c r="AE47" s="63"/>
      <c r="AF47" s="63"/>
      <c r="AT47" s="62">
        <f>IF(F47&lt;&gt;"",1,0)</f>
        <v>1</v>
      </c>
      <c r="AU47" s="62">
        <f>IF(AND(SUM(AT:AT)&gt;0,F47=""),1,0)</f>
        <v>0</v>
      </c>
    </row>
    <row r="48" spans="1:50" ht="15" customHeight="1" thickBot="1" x14ac:dyDescent="0.25">
      <c r="A48" s="76" t="str">
        <f t="shared" si="22"/>
        <v/>
      </c>
      <c r="B48" s="459" t="s">
        <v>209</v>
      </c>
      <c r="C48" s="460"/>
      <c r="D48" s="460"/>
      <c r="E48" s="466"/>
      <c r="F48" s="70">
        <v>0</v>
      </c>
      <c r="G48" s="78" t="s">
        <v>69</v>
      </c>
      <c r="H48" s="10">
        <v>0</v>
      </c>
      <c r="I48" s="49">
        <f t="shared" si="29"/>
        <v>0</v>
      </c>
      <c r="J48" s="9">
        <v>0.3</v>
      </c>
      <c r="K48" s="126">
        <f>F48*I48*(1+J48)</f>
        <v>0</v>
      </c>
      <c r="L48" s="99">
        <v>0.25</v>
      </c>
      <c r="M48" s="95" t="str">
        <f t="shared" si="23"/>
        <v xml:space="preserve">Diamond core 107mm hole </v>
      </c>
      <c r="N48" s="47">
        <v>2</v>
      </c>
      <c r="O48" s="104">
        <f t="shared" si="30"/>
        <v>0</v>
      </c>
      <c r="P48" s="104">
        <f t="shared" si="25"/>
        <v>30.63</v>
      </c>
      <c r="Q48" s="49">
        <f t="shared" si="31"/>
        <v>30.630000000000003</v>
      </c>
      <c r="R48" s="121">
        <v>1</v>
      </c>
      <c r="S48" s="155">
        <f t="shared" si="26"/>
        <v>0</v>
      </c>
      <c r="T48" s="156">
        <f t="shared" si="27"/>
        <v>0</v>
      </c>
      <c r="U48" s="130">
        <f t="shared" si="28"/>
        <v>0</v>
      </c>
      <c r="V48" s="125">
        <f>O48*$E$107</f>
        <v>0</v>
      </c>
      <c r="X48" s="82"/>
      <c r="Y48" s="82"/>
      <c r="Z48" s="63"/>
      <c r="AA48" s="63"/>
      <c r="AB48" s="63"/>
      <c r="AC48" s="63"/>
      <c r="AD48" s="63"/>
      <c r="AE48" s="63"/>
      <c r="AF48" s="63"/>
      <c r="AT48" s="62">
        <f>IF(F48&lt;&gt;"",1,0)</f>
        <v>1</v>
      </c>
      <c r="AU48" s="62">
        <f>IF(AND(SUM(AT:AT)&gt;0,F48=""),1,0)</f>
        <v>0</v>
      </c>
    </row>
    <row r="49" spans="1:50" ht="16" thickBot="1" x14ac:dyDescent="0.25">
      <c r="A49" s="76" t="str">
        <f t="shared" si="22"/>
        <v/>
      </c>
      <c r="B49" s="402" t="s">
        <v>302</v>
      </c>
      <c r="C49" s="403"/>
      <c r="D49" s="403"/>
      <c r="E49" s="403"/>
      <c r="F49" s="287">
        <v>0</v>
      </c>
      <c r="G49" s="115"/>
      <c r="H49" s="116"/>
      <c r="I49" s="116"/>
      <c r="J49" s="94" t="s">
        <v>96</v>
      </c>
      <c r="K49" s="132">
        <f>SUM(K45:K48)</f>
        <v>456.3</v>
      </c>
      <c r="L49" s="135"/>
      <c r="M49" s="438" t="s">
        <v>96</v>
      </c>
      <c r="N49" s="439"/>
      <c r="O49" s="128">
        <f>SUM(O45:O48)</f>
        <v>7.5</v>
      </c>
      <c r="P49" s="162"/>
      <c r="Q49" s="162"/>
      <c r="R49" s="160"/>
      <c r="S49" s="158">
        <f>SUM(S45:S48)</f>
        <v>459.45000000000005</v>
      </c>
      <c r="T49" s="159">
        <f>SUM(T45:T48)</f>
        <v>915.75</v>
      </c>
      <c r="U49" s="131">
        <f>SUM(U45:U48)</f>
        <v>386.1</v>
      </c>
      <c r="V49" s="117">
        <f>SUM(V45:V48)</f>
        <v>210</v>
      </c>
      <c r="W49" s="61"/>
      <c r="X49" s="82"/>
      <c r="Y49" s="82"/>
      <c r="Z49" s="63"/>
      <c r="AA49" s="63"/>
      <c r="AB49" s="63"/>
      <c r="AC49" s="63"/>
      <c r="AD49" s="63"/>
      <c r="AE49" s="63"/>
      <c r="AF49" s="63"/>
      <c r="AT49" s="64"/>
      <c r="AU49" s="64"/>
    </row>
    <row r="50" spans="1:50" s="92" customFormat="1" ht="5" customHeight="1" thickBot="1" x14ac:dyDescent="0.25">
      <c r="A50" s="270"/>
      <c r="B50" s="271"/>
      <c r="C50" s="271"/>
      <c r="D50" s="271"/>
      <c r="E50" s="271"/>
      <c r="F50" s="272"/>
      <c r="G50" s="273"/>
      <c r="H50" s="274"/>
      <c r="I50" s="274"/>
      <c r="J50" s="274"/>
      <c r="K50" s="275"/>
      <c r="L50" s="276"/>
      <c r="M50" s="277"/>
      <c r="N50" s="275"/>
      <c r="O50" s="275"/>
      <c r="P50" s="275"/>
      <c r="Q50" s="275"/>
      <c r="R50" s="278"/>
      <c r="S50" s="278"/>
      <c r="T50" s="278"/>
      <c r="U50" s="279"/>
      <c r="V50" s="280"/>
      <c r="W50" s="281"/>
      <c r="X50" s="276"/>
      <c r="Y50" s="282"/>
      <c r="Z50" s="283"/>
      <c r="AA50" s="284"/>
      <c r="AB50" s="284"/>
      <c r="AC50" s="284"/>
      <c r="AD50" s="284"/>
      <c r="AE50" s="285"/>
      <c r="AF50" s="284"/>
      <c r="AG50" s="284"/>
      <c r="AH50" s="284"/>
      <c r="AI50" s="284"/>
      <c r="AJ50" s="184"/>
      <c r="AK50" s="184"/>
      <c r="AV50" s="286"/>
      <c r="AW50" s="64"/>
      <c r="AX50" s="64"/>
    </row>
    <row r="51" spans="1:50" ht="25" customHeight="1" thickBot="1" x14ac:dyDescent="0.25">
      <c r="A51" s="76" t="str">
        <f t="shared" si="22"/>
        <v/>
      </c>
      <c r="B51" s="440" t="s">
        <v>213</v>
      </c>
      <c r="C51" s="441"/>
      <c r="D51" s="441"/>
      <c r="E51" s="441"/>
      <c r="F51" s="442"/>
      <c r="G51" s="441"/>
      <c r="H51" s="441"/>
      <c r="I51" s="441"/>
      <c r="J51" s="441"/>
      <c r="K51" s="441"/>
      <c r="L51" s="133"/>
      <c r="M51" s="444" t="str">
        <f t="shared" ref="M51:M53" si="32">B51</f>
        <v>DRYAIRE CPASS (PLASMO) INSULATED PULLCORD PASSIVE VENT</v>
      </c>
      <c r="N51" s="445"/>
      <c r="O51" s="445"/>
      <c r="P51" s="445"/>
      <c r="Q51" s="445"/>
      <c r="R51" s="445"/>
      <c r="S51" s="445"/>
      <c r="T51" s="446"/>
      <c r="U51" s="469" t="str">
        <f>B51</f>
        <v>DRYAIRE CPASS (PLASMO) INSULATED PULLCORD PASSIVE VENT</v>
      </c>
      <c r="V51" s="462"/>
      <c r="X51" s="82"/>
      <c r="Y51" s="82"/>
      <c r="Z51" s="63"/>
      <c r="AA51" s="63"/>
      <c r="AB51" s="63"/>
      <c r="AC51" s="63"/>
      <c r="AD51" s="63"/>
      <c r="AE51" s="63"/>
      <c r="AF51" s="63"/>
      <c r="AT51" s="64"/>
      <c r="AU51" s="64"/>
    </row>
    <row r="52" spans="1:50" ht="24.75" customHeight="1" thickBot="1" x14ac:dyDescent="0.25">
      <c r="A52" s="76" t="str">
        <f t="shared" si="22"/>
        <v/>
      </c>
      <c r="B52" s="463" t="s">
        <v>214</v>
      </c>
      <c r="C52" s="464"/>
      <c r="D52" s="464"/>
      <c r="E52" s="465"/>
      <c r="F52" s="69">
        <v>0</v>
      </c>
      <c r="G52" s="78" t="s">
        <v>69</v>
      </c>
      <c r="H52" s="11">
        <v>36.18</v>
      </c>
      <c r="I52" s="49">
        <f>(H52/100)*(100+$F$54)</f>
        <v>36.18</v>
      </c>
      <c r="J52" s="9">
        <v>0.3</v>
      </c>
      <c r="K52" s="126">
        <f>F52*I52*(1+J52)</f>
        <v>0</v>
      </c>
      <c r="L52" s="134">
        <v>0.75</v>
      </c>
      <c r="M52" s="95" t="str">
        <f t="shared" si="32"/>
        <v>Dryaire Cpass (plasmo) insulated pullcord passive vent</v>
      </c>
      <c r="N52" s="47">
        <v>1.5</v>
      </c>
      <c r="O52" s="104">
        <f t="shared" ref="O52" si="33">F52*N52</f>
        <v>0</v>
      </c>
      <c r="P52" s="104">
        <f t="shared" ref="P52:P53" si="34">$D$107</f>
        <v>30.63</v>
      </c>
      <c r="Q52" s="49">
        <f>(P52/100)*(100+$F$54)</f>
        <v>30.630000000000003</v>
      </c>
      <c r="R52" s="121">
        <v>1</v>
      </c>
      <c r="S52" s="155">
        <f t="shared" ref="S52:S53" si="35">(O52*Q52*(1+R52))</f>
        <v>0</v>
      </c>
      <c r="T52" s="156">
        <f t="shared" ref="T52:T53" si="36">K52+S52</f>
        <v>0</v>
      </c>
      <c r="U52" s="130">
        <f t="shared" ref="U52:U53" si="37">F52*H52*1.1</f>
        <v>0</v>
      </c>
      <c r="V52" s="125">
        <f>O52*$E$107</f>
        <v>0</v>
      </c>
      <c r="X52" s="82"/>
      <c r="Y52" s="82"/>
      <c r="Z52" s="63"/>
      <c r="AA52" s="63"/>
      <c r="AB52" s="63"/>
      <c r="AC52" s="63"/>
      <c r="AD52" s="63"/>
      <c r="AE52" s="63"/>
      <c r="AF52" s="63"/>
      <c r="AT52" s="62">
        <f>IF(F52&lt;&gt;"",1,0)</f>
        <v>1</v>
      </c>
      <c r="AU52" s="62">
        <f>IF(AND(SUM(AT:AT)&gt;0,F52=""),1,0)</f>
        <v>0</v>
      </c>
    </row>
    <row r="53" spans="1:50" ht="15" customHeight="1" thickBot="1" x14ac:dyDescent="0.25">
      <c r="A53" s="76" t="str">
        <f t="shared" si="22"/>
        <v/>
      </c>
      <c r="B53" s="459" t="s">
        <v>209</v>
      </c>
      <c r="C53" s="460"/>
      <c r="D53" s="460"/>
      <c r="E53" s="466"/>
      <c r="F53" s="70">
        <v>0</v>
      </c>
      <c r="G53" s="78" t="s">
        <v>69</v>
      </c>
      <c r="H53" s="10">
        <v>0</v>
      </c>
      <c r="I53" s="49">
        <f>(H53/100)*(100+$F$54)</f>
        <v>0</v>
      </c>
      <c r="J53" s="9">
        <v>0.3</v>
      </c>
      <c r="K53" s="126">
        <f>F53*I53*(1+J53)</f>
        <v>0</v>
      </c>
      <c r="L53" s="99">
        <v>0.25</v>
      </c>
      <c r="M53" s="95" t="str">
        <f t="shared" si="32"/>
        <v xml:space="preserve">Diamond core 107mm hole </v>
      </c>
      <c r="N53" s="47">
        <v>2</v>
      </c>
      <c r="O53" s="104">
        <f t="shared" ref="O53" si="38">F53*N53</f>
        <v>0</v>
      </c>
      <c r="P53" s="104">
        <f t="shared" si="34"/>
        <v>30.63</v>
      </c>
      <c r="Q53" s="49">
        <f>(P53/100)*(100+$F$54)</f>
        <v>30.630000000000003</v>
      </c>
      <c r="R53" s="121">
        <v>1</v>
      </c>
      <c r="S53" s="155">
        <f t="shared" si="35"/>
        <v>0</v>
      </c>
      <c r="T53" s="156">
        <f t="shared" si="36"/>
        <v>0</v>
      </c>
      <c r="U53" s="130">
        <f t="shared" si="37"/>
        <v>0</v>
      </c>
      <c r="V53" s="125">
        <f>O53*$E$107</f>
        <v>0</v>
      </c>
      <c r="X53" s="82"/>
      <c r="Y53" s="82"/>
      <c r="Z53" s="63"/>
      <c r="AA53" s="63"/>
      <c r="AB53" s="63"/>
      <c r="AC53" s="63"/>
      <c r="AD53" s="63"/>
      <c r="AE53" s="63"/>
      <c r="AF53" s="63"/>
      <c r="AT53" s="62">
        <f>IF(F53&lt;&gt;"",1,0)</f>
        <v>1</v>
      </c>
      <c r="AU53" s="62">
        <f>IF(AND(SUM(AT:AT)&gt;0,F53=""),1,0)</f>
        <v>0</v>
      </c>
    </row>
    <row r="54" spans="1:50" ht="16" thickBot="1" x14ac:dyDescent="0.25">
      <c r="A54" s="76" t="str">
        <f t="shared" si="22"/>
        <v/>
      </c>
      <c r="B54" s="402" t="s">
        <v>302</v>
      </c>
      <c r="C54" s="403"/>
      <c r="D54" s="403"/>
      <c r="E54" s="403"/>
      <c r="F54" s="287">
        <v>0</v>
      </c>
      <c r="G54" s="115"/>
      <c r="H54" s="116"/>
      <c r="I54" s="116"/>
      <c r="J54" s="94" t="s">
        <v>96</v>
      </c>
      <c r="K54" s="132">
        <f>SUM(K52:K53)</f>
        <v>0</v>
      </c>
      <c r="L54" s="135"/>
      <c r="M54" s="438" t="s">
        <v>96</v>
      </c>
      <c r="N54" s="439"/>
      <c r="O54" s="128">
        <f>SUM(O52:O53)</f>
        <v>0</v>
      </c>
      <c r="P54" s="162"/>
      <c r="Q54" s="162"/>
      <c r="R54" s="160"/>
      <c r="S54" s="158">
        <f>SUM(S52:S53)</f>
        <v>0</v>
      </c>
      <c r="T54" s="159">
        <f>SUM(T52:T53)</f>
        <v>0</v>
      </c>
      <c r="U54" s="131">
        <f>SUM(U52:U53)</f>
        <v>0</v>
      </c>
      <c r="V54" s="117">
        <f>SUM(V52:V53)</f>
        <v>0</v>
      </c>
      <c r="W54" s="61"/>
      <c r="X54" s="82"/>
      <c r="Y54" s="82"/>
      <c r="Z54" s="63"/>
      <c r="AA54" s="63"/>
      <c r="AB54" s="63"/>
      <c r="AC54" s="63"/>
      <c r="AD54" s="63"/>
      <c r="AE54" s="63"/>
      <c r="AF54" s="63"/>
      <c r="AT54" s="64"/>
      <c r="AU54" s="64"/>
    </row>
    <row r="55" spans="1:50" s="92" customFormat="1" ht="5" customHeight="1" thickBot="1" x14ac:dyDescent="0.25">
      <c r="A55" s="270"/>
      <c r="B55" s="271"/>
      <c r="C55" s="271"/>
      <c r="D55" s="271"/>
      <c r="E55" s="271"/>
      <c r="F55" s="272"/>
      <c r="G55" s="273"/>
      <c r="H55" s="274"/>
      <c r="I55" s="274"/>
      <c r="J55" s="274"/>
      <c r="K55" s="275"/>
      <c r="L55" s="276"/>
      <c r="M55" s="277"/>
      <c r="N55" s="275"/>
      <c r="O55" s="275"/>
      <c r="P55" s="275"/>
      <c r="Q55" s="275"/>
      <c r="R55" s="278"/>
      <c r="S55" s="278"/>
      <c r="T55" s="278"/>
      <c r="U55" s="279"/>
      <c r="V55" s="280"/>
      <c r="W55" s="281"/>
      <c r="X55" s="276"/>
      <c r="Y55" s="282"/>
      <c r="Z55" s="283"/>
      <c r="AA55" s="284"/>
      <c r="AB55" s="284"/>
      <c r="AC55" s="284"/>
      <c r="AD55" s="284"/>
      <c r="AE55" s="285"/>
      <c r="AF55" s="284"/>
      <c r="AG55" s="284"/>
      <c r="AH55" s="284"/>
      <c r="AI55" s="284"/>
      <c r="AJ55" s="184"/>
      <c r="AK55" s="184"/>
      <c r="AV55" s="286"/>
      <c r="AW55" s="64"/>
      <c r="AX55" s="64"/>
    </row>
    <row r="56" spans="1:50" ht="25" customHeight="1" thickBot="1" x14ac:dyDescent="0.25">
      <c r="A56" s="76" t="str">
        <f t="shared" si="22"/>
        <v/>
      </c>
      <c r="B56" s="440" t="s">
        <v>215</v>
      </c>
      <c r="C56" s="441"/>
      <c r="D56" s="441"/>
      <c r="E56" s="441"/>
      <c r="F56" s="442"/>
      <c r="G56" s="441"/>
      <c r="H56" s="441"/>
      <c r="I56" s="441"/>
      <c r="J56" s="441"/>
      <c r="K56" s="441"/>
      <c r="L56" s="133"/>
      <c r="M56" s="444" t="str">
        <f t="shared" ref="M56:M58" si="39">B56</f>
        <v>Dryaire Cvent</v>
      </c>
      <c r="N56" s="445"/>
      <c r="O56" s="445"/>
      <c r="P56" s="445"/>
      <c r="Q56" s="445"/>
      <c r="R56" s="445"/>
      <c r="S56" s="445"/>
      <c r="T56" s="446"/>
      <c r="U56" s="469" t="str">
        <f>B56</f>
        <v>Dryaire Cvent</v>
      </c>
      <c r="V56" s="462"/>
      <c r="X56" s="82"/>
      <c r="Y56" s="82"/>
      <c r="Z56" s="63"/>
      <c r="AA56" s="63"/>
      <c r="AB56" s="63"/>
      <c r="AC56" s="63"/>
      <c r="AD56" s="63"/>
      <c r="AE56" s="63"/>
      <c r="AF56" s="63"/>
      <c r="AT56" s="64"/>
      <c r="AU56" s="64"/>
    </row>
    <row r="57" spans="1:50" ht="24.75" customHeight="1" thickBot="1" x14ac:dyDescent="0.25">
      <c r="A57" s="76" t="str">
        <f t="shared" si="22"/>
        <v/>
      </c>
      <c r="B57" s="463" t="s">
        <v>215</v>
      </c>
      <c r="C57" s="464"/>
      <c r="D57" s="464"/>
      <c r="E57" s="465"/>
      <c r="F57" s="69">
        <v>0</v>
      </c>
      <c r="G57" s="78" t="s">
        <v>69</v>
      </c>
      <c r="H57" s="11">
        <v>12.5</v>
      </c>
      <c r="I57" s="49">
        <f>(H57/100)*(100+$F$59)</f>
        <v>12.5</v>
      </c>
      <c r="J57" s="9">
        <v>0.3</v>
      </c>
      <c r="K57" s="126">
        <f t="shared" ref="K57:K58" si="40">F57*I57*(1+J57)</f>
        <v>0</v>
      </c>
      <c r="L57" s="134">
        <v>0.75</v>
      </c>
      <c r="M57" s="95" t="str">
        <f t="shared" si="39"/>
        <v>Dryaire Cvent</v>
      </c>
      <c r="N57" s="47">
        <v>1.5</v>
      </c>
      <c r="O57" s="104">
        <f t="shared" ref="O57" si="41">F57*N57</f>
        <v>0</v>
      </c>
      <c r="P57" s="104">
        <f t="shared" ref="P57:P58" si="42">$D$107</f>
        <v>30.63</v>
      </c>
      <c r="Q57" s="49">
        <f>(P57/100)*(100+$F$59)</f>
        <v>30.630000000000003</v>
      </c>
      <c r="R57" s="121">
        <v>1</v>
      </c>
      <c r="S57" s="155">
        <f t="shared" ref="S57:S58" si="43">(O57*Q57*(1+R57))</f>
        <v>0</v>
      </c>
      <c r="T57" s="156">
        <f t="shared" ref="T57:T58" si="44">K57+S57</f>
        <v>0</v>
      </c>
      <c r="U57" s="130">
        <f t="shared" ref="U57:U58" si="45">F57*H57*1.1</f>
        <v>0</v>
      </c>
      <c r="V57" s="125">
        <f>O57*$E$107</f>
        <v>0</v>
      </c>
      <c r="X57" s="82"/>
      <c r="Y57" s="82"/>
      <c r="Z57" s="63"/>
      <c r="AA57" s="63"/>
      <c r="AB57" s="63"/>
      <c r="AC57" s="63"/>
      <c r="AD57" s="63"/>
      <c r="AE57" s="63"/>
      <c r="AF57" s="63"/>
      <c r="AT57" s="62">
        <f>IF(F57&lt;&gt;"",1,0)</f>
        <v>1</v>
      </c>
      <c r="AU57" s="62">
        <f>IF(AND(SUM(AT:AT)&gt;0,F57=""),1,0)</f>
        <v>0</v>
      </c>
    </row>
    <row r="58" spans="1:50" ht="15" customHeight="1" thickBot="1" x14ac:dyDescent="0.25">
      <c r="A58" s="76" t="str">
        <f t="shared" si="22"/>
        <v/>
      </c>
      <c r="B58" s="459" t="s">
        <v>209</v>
      </c>
      <c r="C58" s="460"/>
      <c r="D58" s="460"/>
      <c r="E58" s="466"/>
      <c r="F58" s="70">
        <v>0</v>
      </c>
      <c r="G58" s="78" t="s">
        <v>69</v>
      </c>
      <c r="H58" s="10">
        <v>0</v>
      </c>
      <c r="I58" s="49">
        <f>(H58/100)*(100+$F$59)</f>
        <v>0</v>
      </c>
      <c r="J58" s="9">
        <v>0.3</v>
      </c>
      <c r="K58" s="126">
        <f t="shared" si="40"/>
        <v>0</v>
      </c>
      <c r="L58" s="99">
        <v>0.25</v>
      </c>
      <c r="M58" s="95" t="str">
        <f t="shared" si="39"/>
        <v xml:space="preserve">Diamond core 107mm hole </v>
      </c>
      <c r="N58" s="47">
        <v>2</v>
      </c>
      <c r="O58" s="104">
        <f t="shared" ref="O58" si="46">F58*N58</f>
        <v>0</v>
      </c>
      <c r="P58" s="104">
        <f t="shared" si="42"/>
        <v>30.63</v>
      </c>
      <c r="Q58" s="49">
        <f>(P58/100)*(100+$F$59)</f>
        <v>30.630000000000003</v>
      </c>
      <c r="R58" s="121">
        <v>1</v>
      </c>
      <c r="S58" s="155">
        <f t="shared" si="43"/>
        <v>0</v>
      </c>
      <c r="T58" s="156">
        <f t="shared" si="44"/>
        <v>0</v>
      </c>
      <c r="U58" s="130">
        <f t="shared" si="45"/>
        <v>0</v>
      </c>
      <c r="V58" s="125">
        <f>O58*$E$107</f>
        <v>0</v>
      </c>
      <c r="X58" s="82"/>
      <c r="Y58" s="82"/>
      <c r="Z58" s="63"/>
      <c r="AA58" s="63"/>
      <c r="AB58" s="63"/>
      <c r="AC58" s="63"/>
      <c r="AD58" s="63"/>
      <c r="AE58" s="63"/>
      <c r="AF58" s="63"/>
      <c r="AT58" s="62">
        <f>IF(F58&lt;&gt;"",1,0)</f>
        <v>1</v>
      </c>
      <c r="AU58" s="62">
        <f>IF(AND(SUM(AT:AT)&gt;0,F58=""),1,0)</f>
        <v>0</v>
      </c>
    </row>
    <row r="59" spans="1:50" ht="16" thickBot="1" x14ac:dyDescent="0.25">
      <c r="A59" s="76" t="str">
        <f t="shared" si="22"/>
        <v/>
      </c>
      <c r="B59" s="402" t="s">
        <v>302</v>
      </c>
      <c r="C59" s="403"/>
      <c r="D59" s="403"/>
      <c r="E59" s="403"/>
      <c r="F59" s="287">
        <v>0</v>
      </c>
      <c r="G59" s="115"/>
      <c r="H59" s="116"/>
      <c r="I59" s="116"/>
      <c r="J59" s="94" t="s">
        <v>96</v>
      </c>
      <c r="K59" s="132">
        <f>SUM(K57:K58)</f>
        <v>0</v>
      </c>
      <c r="L59" s="135"/>
      <c r="M59" s="438" t="s">
        <v>96</v>
      </c>
      <c r="N59" s="439"/>
      <c r="O59" s="128">
        <f>SUM(O57:O58)</f>
        <v>0</v>
      </c>
      <c r="P59" s="162"/>
      <c r="Q59" s="162"/>
      <c r="R59" s="160"/>
      <c r="S59" s="158">
        <f>SUM(S57:S58)</f>
        <v>0</v>
      </c>
      <c r="T59" s="159">
        <f>SUM(T57:T58)</f>
        <v>0</v>
      </c>
      <c r="U59" s="131">
        <f>SUM(U57:U58)</f>
        <v>0</v>
      </c>
      <c r="V59" s="117">
        <f>SUM(V57:V58)</f>
        <v>0</v>
      </c>
      <c r="W59" s="61"/>
      <c r="X59" s="82"/>
      <c r="Y59" s="82"/>
      <c r="Z59" s="63"/>
      <c r="AA59" s="63"/>
      <c r="AB59" s="63"/>
      <c r="AC59" s="63"/>
      <c r="AD59" s="63"/>
      <c r="AE59" s="63"/>
      <c r="AF59" s="63"/>
      <c r="AT59" s="64"/>
      <c r="AU59" s="64"/>
    </row>
    <row r="60" spans="1:50" s="92" customFormat="1" ht="5" customHeight="1" thickBot="1" x14ac:dyDescent="0.25">
      <c r="A60" s="270"/>
      <c r="B60" s="271"/>
      <c r="C60" s="271"/>
      <c r="D60" s="271"/>
      <c r="E60" s="271"/>
      <c r="F60" s="272"/>
      <c r="G60" s="273"/>
      <c r="H60" s="274"/>
      <c r="I60" s="274"/>
      <c r="J60" s="274"/>
      <c r="K60" s="275"/>
      <c r="L60" s="276"/>
      <c r="M60" s="277"/>
      <c r="N60" s="275"/>
      <c r="O60" s="275"/>
      <c r="P60" s="275"/>
      <c r="Q60" s="275"/>
      <c r="R60" s="278"/>
      <c r="S60" s="278"/>
      <c r="T60" s="278"/>
      <c r="U60" s="279"/>
      <c r="V60" s="280"/>
      <c r="W60" s="281"/>
      <c r="X60" s="276"/>
      <c r="Y60" s="282"/>
      <c r="Z60" s="283"/>
      <c r="AA60" s="284"/>
      <c r="AB60" s="284"/>
      <c r="AC60" s="284"/>
      <c r="AD60" s="284"/>
      <c r="AE60" s="285"/>
      <c r="AF60" s="284"/>
      <c r="AG60" s="284"/>
      <c r="AH60" s="284"/>
      <c r="AI60" s="284"/>
      <c r="AJ60" s="184"/>
      <c r="AK60" s="184"/>
      <c r="AV60" s="286"/>
      <c r="AW60" s="64"/>
      <c r="AX60" s="64"/>
    </row>
    <row r="61" spans="1:50" ht="25" customHeight="1" thickBot="1" x14ac:dyDescent="0.25">
      <c r="A61" s="76" t="str">
        <f t="shared" si="22"/>
        <v/>
      </c>
      <c r="B61" s="440" t="s">
        <v>216</v>
      </c>
      <c r="C61" s="441"/>
      <c r="D61" s="441"/>
      <c r="E61" s="441"/>
      <c r="F61" s="442"/>
      <c r="G61" s="441"/>
      <c r="H61" s="441"/>
      <c r="I61" s="441"/>
      <c r="J61" s="441"/>
      <c r="K61" s="470"/>
      <c r="L61" s="133"/>
      <c r="M61" s="444" t="str">
        <f>B61</f>
        <v>Joinery: Supply and fit boxwork for ducting</v>
      </c>
      <c r="N61" s="445"/>
      <c r="O61" s="445"/>
      <c r="P61" s="445"/>
      <c r="Q61" s="445"/>
      <c r="R61" s="445"/>
      <c r="S61" s="445"/>
      <c r="T61" s="446"/>
      <c r="U61" s="461" t="str">
        <f>B61</f>
        <v>Joinery: Supply and fit boxwork for ducting</v>
      </c>
      <c r="V61" s="462"/>
      <c r="X61" s="82"/>
      <c r="Y61" s="82"/>
      <c r="Z61" s="63"/>
      <c r="AA61" s="63"/>
      <c r="AB61" s="63"/>
      <c r="AC61" s="63"/>
      <c r="AD61" s="63"/>
      <c r="AE61" s="63"/>
      <c r="AF61" s="63"/>
      <c r="AT61" s="64"/>
      <c r="AU61" s="64"/>
    </row>
    <row r="62" spans="1:50" ht="26.25" customHeight="1" thickBot="1" x14ac:dyDescent="0.25">
      <c r="A62" s="76" t="str">
        <f t="shared" si="22"/>
        <v/>
      </c>
      <c r="B62" s="463" t="s">
        <v>217</v>
      </c>
      <c r="C62" s="464"/>
      <c r="D62" s="464"/>
      <c r="E62" s="465"/>
      <c r="F62" s="71">
        <v>0</v>
      </c>
      <c r="G62" s="78" t="s">
        <v>71</v>
      </c>
      <c r="H62" s="14">
        <f>IF(F62=0,0,IF(F62&lt;2.4,(15*2.4)/F62,15))</f>
        <v>0</v>
      </c>
      <c r="I62" s="49">
        <f>(H62/100)*(100+$F$63)</f>
        <v>0</v>
      </c>
      <c r="J62" s="9">
        <v>0.3</v>
      </c>
      <c r="K62" s="126">
        <f>F62*I62*(1+J62)</f>
        <v>0</v>
      </c>
      <c r="L62" s="137"/>
      <c r="M62" s="83" t="str">
        <f>B62</f>
        <v>Joinery to box in ducting (per metre) Min charge 2.4 metres</v>
      </c>
      <c r="N62" s="47">
        <v>0.5</v>
      </c>
      <c r="O62" s="104">
        <f>IF(F62=0,0,IF(F62=0,0,IF(F62&lt;2.4,(N62*2.4),(N62*F62))))</f>
        <v>0</v>
      </c>
      <c r="P62" s="104">
        <f t="shared" ref="P62" si="47">$D$107</f>
        <v>30.63</v>
      </c>
      <c r="Q62" s="49">
        <f>(P62/100)*(100+$F$63)</f>
        <v>30.630000000000003</v>
      </c>
      <c r="R62" s="121">
        <v>1</v>
      </c>
      <c r="S62" s="155">
        <f t="shared" ref="S62" si="48">(O62*Q62*(1+R62))</f>
        <v>0</v>
      </c>
      <c r="T62" s="156">
        <f t="shared" ref="T62" si="49">K62+S62</f>
        <v>0</v>
      </c>
      <c r="U62" s="130">
        <f t="shared" ref="U62" si="50">F62*H62*1.1</f>
        <v>0</v>
      </c>
      <c r="V62" s="125">
        <f>O62*$E$107</f>
        <v>0</v>
      </c>
      <c r="W62" s="76" t="s">
        <v>189</v>
      </c>
      <c r="X62" s="82"/>
      <c r="Y62" s="82"/>
      <c r="Z62" s="63"/>
      <c r="AA62" s="63"/>
      <c r="AB62" s="63"/>
      <c r="AC62" s="63"/>
      <c r="AD62" s="63"/>
      <c r="AE62" s="63"/>
      <c r="AF62" s="63"/>
      <c r="AT62" s="62">
        <f>IF(F62&lt;&gt;"",1,0)</f>
        <v>1</v>
      </c>
      <c r="AU62" s="62">
        <f>IF(AND(SUM(AT:AT)&gt;0,F62=""),1,0)</f>
        <v>0</v>
      </c>
    </row>
    <row r="63" spans="1:50" ht="16" thickBot="1" x14ac:dyDescent="0.25">
      <c r="A63" s="76" t="str">
        <f t="shared" si="22"/>
        <v/>
      </c>
      <c r="B63" s="402" t="s">
        <v>302</v>
      </c>
      <c r="C63" s="403"/>
      <c r="D63" s="403"/>
      <c r="E63" s="403"/>
      <c r="F63" s="287">
        <v>0</v>
      </c>
      <c r="G63" s="115"/>
      <c r="H63" s="116"/>
      <c r="I63" s="116"/>
      <c r="J63" s="94" t="s">
        <v>96</v>
      </c>
      <c r="K63" s="136">
        <f>SUM(K62:K62)</f>
        <v>0</v>
      </c>
      <c r="L63" s="138"/>
      <c r="M63" s="438" t="s">
        <v>96</v>
      </c>
      <c r="N63" s="439"/>
      <c r="O63" s="128">
        <f>SUM(O62:O62)</f>
        <v>0</v>
      </c>
      <c r="P63" s="162"/>
      <c r="Q63" s="162"/>
      <c r="R63" s="160"/>
      <c r="S63" s="161">
        <f>SUM(S62:S62)</f>
        <v>0</v>
      </c>
      <c r="T63" s="159">
        <f>SUM(T62:T62)</f>
        <v>0</v>
      </c>
      <c r="U63" s="119">
        <f>SUM(U62:U62)</f>
        <v>0</v>
      </c>
      <c r="V63" s="117">
        <f>SUM(V62:V62)</f>
        <v>0</v>
      </c>
      <c r="W63" s="61"/>
      <c r="X63" s="82"/>
      <c r="Y63" s="82"/>
      <c r="Z63" s="63"/>
      <c r="AA63" s="63"/>
      <c r="AB63" s="63"/>
      <c r="AC63" s="63"/>
      <c r="AD63" s="63"/>
      <c r="AE63" s="63"/>
      <c r="AF63" s="63"/>
      <c r="AT63" s="64"/>
      <c r="AU63" s="64"/>
    </row>
    <row r="64" spans="1:50" s="92" customFormat="1" ht="5" customHeight="1" thickBot="1" x14ac:dyDescent="0.25">
      <c r="A64" s="270"/>
      <c r="B64" s="271"/>
      <c r="C64" s="271"/>
      <c r="D64" s="271"/>
      <c r="E64" s="271"/>
      <c r="F64" s="272"/>
      <c r="G64" s="273"/>
      <c r="H64" s="274"/>
      <c r="I64" s="274"/>
      <c r="J64" s="274"/>
      <c r="K64" s="275"/>
      <c r="L64" s="276"/>
      <c r="M64" s="277"/>
      <c r="N64" s="275"/>
      <c r="O64" s="275"/>
      <c r="P64" s="275"/>
      <c r="Q64" s="275"/>
      <c r="R64" s="278"/>
      <c r="S64" s="278"/>
      <c r="T64" s="278"/>
      <c r="U64" s="279"/>
      <c r="V64" s="280"/>
      <c r="W64" s="281"/>
      <c r="X64" s="276"/>
      <c r="Y64" s="282"/>
      <c r="Z64" s="283"/>
      <c r="AA64" s="284"/>
      <c r="AB64" s="284"/>
      <c r="AC64" s="284"/>
      <c r="AD64" s="284"/>
      <c r="AE64" s="285"/>
      <c r="AF64" s="284"/>
      <c r="AG64" s="284"/>
      <c r="AH64" s="284"/>
      <c r="AI64" s="284"/>
      <c r="AJ64" s="184"/>
      <c r="AK64" s="184"/>
      <c r="AV64" s="286"/>
      <c r="AW64" s="64"/>
      <c r="AX64" s="64"/>
    </row>
    <row r="65" spans="1:50" ht="37.5" customHeight="1" thickBot="1" x14ac:dyDescent="0.25">
      <c r="A65" s="76" t="str">
        <f t="shared" si="22"/>
        <v/>
      </c>
      <c r="B65" s="487" t="s">
        <v>219</v>
      </c>
      <c r="C65" s="488"/>
      <c r="D65" s="488"/>
      <c r="E65" s="488"/>
      <c r="F65" s="488"/>
      <c r="G65" s="488"/>
      <c r="H65" s="488"/>
      <c r="I65" s="288"/>
      <c r="J65" s="40"/>
      <c r="K65" s="40"/>
      <c r="L65" s="140"/>
      <c r="M65" s="471" t="str">
        <f>B65</f>
        <v>Loft hatch - new hatchwith sturdy fold down ladder with handrail and switched lamp</v>
      </c>
      <c r="N65" s="472"/>
      <c r="O65" s="472"/>
      <c r="P65" s="472"/>
      <c r="Q65" s="472"/>
      <c r="R65" s="472"/>
      <c r="S65" s="472"/>
      <c r="T65" s="473"/>
      <c r="U65" s="461" t="str">
        <f>B65</f>
        <v>Loft hatch - new hatchwith sturdy fold down ladder with handrail and switched lamp</v>
      </c>
      <c r="V65" s="462"/>
      <c r="X65" s="82"/>
      <c r="Y65" s="82"/>
      <c r="Z65" s="63"/>
      <c r="AA65" s="63"/>
      <c r="AB65" s="63"/>
      <c r="AC65" s="63"/>
      <c r="AD65" s="63"/>
      <c r="AE65" s="63"/>
      <c r="AF65" s="63"/>
      <c r="AT65" s="64"/>
      <c r="AU65" s="64"/>
    </row>
    <row r="66" spans="1:50" ht="38.25" customHeight="1" thickBot="1" x14ac:dyDescent="0.25">
      <c r="A66" s="76" t="str">
        <f t="shared" si="22"/>
        <v/>
      </c>
      <c r="B66" s="463" t="s">
        <v>218</v>
      </c>
      <c r="C66" s="464"/>
      <c r="D66" s="464"/>
      <c r="E66" s="464"/>
      <c r="F66" s="71">
        <v>0</v>
      </c>
      <c r="G66" s="78" t="s">
        <v>69</v>
      </c>
      <c r="H66" s="15">
        <v>360</v>
      </c>
      <c r="I66" s="49">
        <f>(H66/100)*(100+$F$67)</f>
        <v>360</v>
      </c>
      <c r="J66" s="9">
        <v>0.3</v>
      </c>
      <c r="K66" s="126">
        <f>F66*I66*(1+J66)</f>
        <v>0</v>
      </c>
      <c r="L66" s="137"/>
      <c r="M66" s="83" t="str">
        <f>B66</f>
        <v>New loft hatch - with sturdy fold down ladder with handrail and switched lamp</v>
      </c>
      <c r="N66" s="47">
        <v>4</v>
      </c>
      <c r="O66" s="104">
        <f>F66*N66</f>
        <v>0</v>
      </c>
      <c r="P66" s="104">
        <f t="shared" ref="P66" si="51">$D$107</f>
        <v>30.63</v>
      </c>
      <c r="Q66" s="49">
        <f>(P66/100)*(100+$F$67)</f>
        <v>30.630000000000003</v>
      </c>
      <c r="R66" s="121">
        <v>1</v>
      </c>
      <c r="S66" s="155">
        <f t="shared" ref="S66" si="52">(O66*Q66*(1+R66))</f>
        <v>0</v>
      </c>
      <c r="T66" s="156">
        <f t="shared" ref="T66" si="53">K66+S66</f>
        <v>0</v>
      </c>
      <c r="U66" s="130">
        <f t="shared" ref="U66" si="54">F66*H66*1.1</f>
        <v>0</v>
      </c>
      <c r="V66" s="125">
        <f>O66*$E$107</f>
        <v>0</v>
      </c>
      <c r="W66" s="76" t="s">
        <v>189</v>
      </c>
      <c r="X66" s="82"/>
      <c r="Y66" s="82"/>
      <c r="Z66" s="63"/>
      <c r="AA66" s="63"/>
      <c r="AB66" s="63"/>
      <c r="AC66" s="63"/>
      <c r="AD66" s="63"/>
      <c r="AE66" s="63"/>
      <c r="AF66" s="63"/>
      <c r="AT66" s="62">
        <f>IF(F66&lt;&gt;"",1,0)</f>
        <v>1</v>
      </c>
      <c r="AU66" s="62">
        <f>IF(AND(SUM(AT:AT)&gt;0,F66=""),1,0)</f>
        <v>0</v>
      </c>
    </row>
    <row r="67" spans="1:50" ht="16" thickBot="1" x14ac:dyDescent="0.25">
      <c r="A67" s="76" t="str">
        <f t="shared" si="22"/>
        <v/>
      </c>
      <c r="B67" s="402" t="s">
        <v>302</v>
      </c>
      <c r="C67" s="403"/>
      <c r="D67" s="403"/>
      <c r="E67" s="403"/>
      <c r="F67" s="287">
        <v>0</v>
      </c>
      <c r="G67" s="115"/>
      <c r="H67" s="116"/>
      <c r="I67" s="116"/>
      <c r="J67" s="94" t="s">
        <v>96</v>
      </c>
      <c r="K67" s="139">
        <f>SUM(K66:K66)</f>
        <v>0</v>
      </c>
      <c r="L67" s="138"/>
      <c r="M67" s="438" t="s">
        <v>96</v>
      </c>
      <c r="N67" s="439"/>
      <c r="O67" s="128">
        <f>SUM(O65:O66)</f>
        <v>0</v>
      </c>
      <c r="P67" s="162"/>
      <c r="Q67" s="162"/>
      <c r="R67" s="160"/>
      <c r="S67" s="158">
        <f>SUM(S66:S66)</f>
        <v>0</v>
      </c>
      <c r="T67" s="159">
        <f>SUM(T66:T66)</f>
        <v>0</v>
      </c>
      <c r="U67" s="119">
        <f>SUM(U66:U66)</f>
        <v>0</v>
      </c>
      <c r="V67" s="117">
        <f>SUM(V66:V66)</f>
        <v>0</v>
      </c>
      <c r="W67" s="61"/>
      <c r="X67" s="82"/>
      <c r="Y67" s="82"/>
      <c r="Z67" s="63"/>
      <c r="AA67" s="63"/>
      <c r="AB67" s="63"/>
      <c r="AC67" s="63"/>
      <c r="AD67" s="63"/>
      <c r="AE67" s="63"/>
      <c r="AF67" s="63"/>
      <c r="AT67" s="64"/>
      <c r="AU67" s="64"/>
    </row>
    <row r="68" spans="1:50" s="92" customFormat="1" ht="5" customHeight="1" thickBot="1" x14ac:dyDescent="0.25">
      <c r="A68" s="270"/>
      <c r="B68" s="271"/>
      <c r="C68" s="271"/>
      <c r="D68" s="271"/>
      <c r="E68" s="271"/>
      <c r="F68" s="272"/>
      <c r="G68" s="273"/>
      <c r="H68" s="274"/>
      <c r="I68" s="274"/>
      <c r="J68" s="274"/>
      <c r="K68" s="275"/>
      <c r="L68" s="276"/>
      <c r="M68" s="277"/>
      <c r="N68" s="275"/>
      <c r="O68" s="275"/>
      <c r="P68" s="275"/>
      <c r="Q68" s="275"/>
      <c r="R68" s="278"/>
      <c r="S68" s="278"/>
      <c r="T68" s="278"/>
      <c r="U68" s="279"/>
      <c r="V68" s="280"/>
      <c r="W68" s="281"/>
      <c r="X68" s="276"/>
      <c r="Y68" s="282"/>
      <c r="Z68" s="283"/>
      <c r="AA68" s="284"/>
      <c r="AB68" s="284"/>
      <c r="AC68" s="284"/>
      <c r="AD68" s="284"/>
      <c r="AE68" s="285"/>
      <c r="AF68" s="284"/>
      <c r="AG68" s="284"/>
      <c r="AH68" s="284"/>
      <c r="AI68" s="284"/>
      <c r="AJ68" s="184"/>
      <c r="AK68" s="184"/>
      <c r="AV68" s="286"/>
      <c r="AW68" s="64"/>
      <c r="AX68" s="64"/>
    </row>
    <row r="69" spans="1:50" ht="25" customHeight="1" thickBot="1" x14ac:dyDescent="0.25">
      <c r="A69" s="76" t="str">
        <f t="shared" si="22"/>
        <v/>
      </c>
      <c r="B69" s="474" t="s">
        <v>220</v>
      </c>
      <c r="C69" s="475"/>
      <c r="D69" s="475"/>
      <c r="E69" s="475"/>
      <c r="F69" s="107"/>
      <c r="G69" s="107"/>
      <c r="H69" s="40"/>
      <c r="I69" s="40"/>
      <c r="J69" s="40"/>
      <c r="K69" s="40"/>
      <c r="L69" s="140"/>
      <c r="M69" s="444" t="str">
        <f>B69</f>
        <v>Loft Hatch - enlarge current loft hatch</v>
      </c>
      <c r="N69" s="445"/>
      <c r="O69" s="445"/>
      <c r="P69" s="445"/>
      <c r="Q69" s="445"/>
      <c r="R69" s="445"/>
      <c r="S69" s="445"/>
      <c r="T69" s="446"/>
      <c r="U69" s="461" t="str">
        <f>B69</f>
        <v>Loft Hatch - enlarge current loft hatch</v>
      </c>
      <c r="V69" s="462"/>
      <c r="X69" s="82"/>
      <c r="Y69" s="82"/>
      <c r="Z69" s="63"/>
      <c r="AA69" s="63"/>
      <c r="AB69" s="63"/>
      <c r="AC69" s="63"/>
      <c r="AD69" s="63"/>
      <c r="AE69" s="63"/>
      <c r="AF69" s="63"/>
      <c r="AT69" s="64"/>
      <c r="AU69" s="64"/>
    </row>
    <row r="70" spans="1:50" ht="32.25" customHeight="1" thickBot="1" x14ac:dyDescent="0.25">
      <c r="A70" s="76" t="str">
        <f t="shared" si="22"/>
        <v/>
      </c>
      <c r="B70" s="463" t="s">
        <v>224</v>
      </c>
      <c r="C70" s="464"/>
      <c r="D70" s="464"/>
      <c r="E70" s="464"/>
      <c r="F70" s="71">
        <v>0</v>
      </c>
      <c r="G70" s="78" t="s">
        <v>69</v>
      </c>
      <c r="H70" s="79">
        <v>45</v>
      </c>
      <c r="I70" s="49">
        <f>(H70/100)*(100+$F$71)</f>
        <v>45</v>
      </c>
      <c r="J70" s="17">
        <v>0.3</v>
      </c>
      <c r="K70" s="126">
        <f>F70*I70*(1+J70)</f>
        <v>0</v>
      </c>
      <c r="L70" s="137"/>
      <c r="M70" s="83" t="str">
        <f>B70</f>
        <v>Existing loft hatch - enlarge loft hatch</v>
      </c>
      <c r="N70" s="47">
        <v>4</v>
      </c>
      <c r="O70" s="104">
        <f>F70*N70</f>
        <v>0</v>
      </c>
      <c r="P70" s="104">
        <f t="shared" ref="P70" si="55">$D$107</f>
        <v>30.63</v>
      </c>
      <c r="Q70" s="49">
        <f>(P70/100)*(100+$F$71)</f>
        <v>30.630000000000003</v>
      </c>
      <c r="R70" s="121">
        <v>1</v>
      </c>
      <c r="S70" s="155">
        <f t="shared" ref="S70" si="56">(O70*Q70*(1+R70))</f>
        <v>0</v>
      </c>
      <c r="T70" s="156">
        <f t="shared" ref="T70" si="57">K70+S70</f>
        <v>0</v>
      </c>
      <c r="U70" s="130">
        <f t="shared" ref="U70" si="58">F70*H70*1.1</f>
        <v>0</v>
      </c>
      <c r="V70" s="125">
        <f>O70*$E$107</f>
        <v>0</v>
      </c>
      <c r="W70" s="76" t="s">
        <v>189</v>
      </c>
      <c r="X70" s="82"/>
      <c r="Y70" s="82"/>
      <c r="Z70" s="63"/>
      <c r="AA70" s="63"/>
      <c r="AB70" s="63"/>
      <c r="AC70" s="63"/>
      <c r="AD70" s="63"/>
      <c r="AE70" s="63"/>
      <c r="AF70" s="63"/>
      <c r="AT70" s="62">
        <f>IF(F70&lt;&gt;"",1,0)</f>
        <v>1</v>
      </c>
      <c r="AU70" s="62">
        <f>IF(AND(SUM(AT:AT)&gt;0,F70=""),1,0)</f>
        <v>0</v>
      </c>
    </row>
    <row r="71" spans="1:50" ht="16" thickBot="1" x14ac:dyDescent="0.25">
      <c r="A71" s="76" t="str">
        <f t="shared" si="22"/>
        <v/>
      </c>
      <c r="B71" s="402" t="s">
        <v>302</v>
      </c>
      <c r="C71" s="403"/>
      <c r="D71" s="403"/>
      <c r="E71" s="403"/>
      <c r="F71" s="287">
        <v>0</v>
      </c>
      <c r="G71" s="115"/>
      <c r="H71" s="116"/>
      <c r="I71" s="116"/>
      <c r="J71" s="94" t="s">
        <v>96</v>
      </c>
      <c r="K71" s="139">
        <f>SUM(K70:K70)</f>
        <v>0</v>
      </c>
      <c r="L71" s="138"/>
      <c r="M71" s="438" t="s">
        <v>96</v>
      </c>
      <c r="N71" s="439"/>
      <c r="O71" s="128">
        <f>SUM(O69:O70)</f>
        <v>0</v>
      </c>
      <c r="P71" s="162"/>
      <c r="Q71" s="162"/>
      <c r="R71" s="160"/>
      <c r="S71" s="158">
        <f>SUM(S70:S70)</f>
        <v>0</v>
      </c>
      <c r="T71" s="159">
        <f>SUM(T70:T70)</f>
        <v>0</v>
      </c>
      <c r="U71" s="119">
        <f>SUM(U70:U70)</f>
        <v>0</v>
      </c>
      <c r="V71" s="117">
        <f>SUM(V70:V70)</f>
        <v>0</v>
      </c>
      <c r="W71" s="61"/>
      <c r="X71" s="82"/>
      <c r="Y71" s="82"/>
      <c r="Z71" s="63"/>
      <c r="AA71" s="63"/>
      <c r="AB71" s="63"/>
      <c r="AC71" s="63"/>
      <c r="AD71" s="63"/>
      <c r="AE71" s="63"/>
      <c r="AF71" s="63"/>
      <c r="AT71" s="64"/>
      <c r="AU71" s="64"/>
    </row>
    <row r="72" spans="1:50" s="92" customFormat="1" ht="5" customHeight="1" thickBot="1" x14ac:dyDescent="0.25">
      <c r="A72" s="270"/>
      <c r="B72" s="271"/>
      <c r="C72" s="271"/>
      <c r="D72" s="271"/>
      <c r="E72" s="271"/>
      <c r="F72" s="272"/>
      <c r="G72" s="273"/>
      <c r="H72" s="274"/>
      <c r="I72" s="274"/>
      <c r="J72" s="274"/>
      <c r="K72" s="275"/>
      <c r="L72" s="276"/>
      <c r="M72" s="277"/>
      <c r="N72" s="275"/>
      <c r="O72" s="275"/>
      <c r="P72" s="275"/>
      <c r="Q72" s="275"/>
      <c r="R72" s="278"/>
      <c r="S72" s="278"/>
      <c r="T72" s="278"/>
      <c r="U72" s="279"/>
      <c r="V72" s="280"/>
      <c r="W72" s="281"/>
      <c r="X72" s="276"/>
      <c r="Y72" s="282"/>
      <c r="Z72" s="283"/>
      <c r="AA72" s="284"/>
      <c r="AB72" s="284"/>
      <c r="AC72" s="284"/>
      <c r="AD72" s="284"/>
      <c r="AE72" s="285"/>
      <c r="AF72" s="284"/>
      <c r="AG72" s="284"/>
      <c r="AH72" s="284"/>
      <c r="AI72" s="284"/>
      <c r="AJ72" s="184"/>
      <c r="AK72" s="184"/>
      <c r="AV72" s="286"/>
      <c r="AW72" s="64"/>
      <c r="AX72" s="64"/>
    </row>
    <row r="73" spans="1:50" ht="25" customHeight="1" thickBot="1" x14ac:dyDescent="0.25">
      <c r="A73" s="76" t="str">
        <f t="shared" si="22"/>
        <v/>
      </c>
      <c r="B73" s="474" t="s">
        <v>221</v>
      </c>
      <c r="C73" s="475"/>
      <c r="D73" s="475"/>
      <c r="E73" s="475"/>
      <c r="F73" s="107"/>
      <c r="G73" s="107"/>
      <c r="H73" s="40"/>
      <c r="I73" s="40"/>
      <c r="J73" s="40"/>
      <c r="K73" s="40"/>
      <c r="L73" s="140"/>
      <c r="M73" s="444" t="str">
        <f>B73</f>
        <v>Mould Treatments</v>
      </c>
      <c r="N73" s="445"/>
      <c r="O73" s="445"/>
      <c r="P73" s="445"/>
      <c r="Q73" s="445"/>
      <c r="R73" s="445"/>
      <c r="S73" s="445"/>
      <c r="T73" s="446"/>
      <c r="U73" s="461" t="str">
        <f>B73</f>
        <v>Mould Treatments</v>
      </c>
      <c r="V73" s="462"/>
      <c r="X73" s="82"/>
      <c r="Y73" s="82"/>
      <c r="Z73" s="63"/>
      <c r="AA73" s="63"/>
      <c r="AB73" s="63"/>
      <c r="AC73" s="63"/>
      <c r="AD73" s="63"/>
      <c r="AE73" s="63"/>
      <c r="AF73" s="63"/>
      <c r="AT73" s="64"/>
      <c r="AU73" s="64"/>
    </row>
    <row r="74" spans="1:50" ht="32.25" customHeight="1" thickBot="1" x14ac:dyDescent="0.25">
      <c r="A74" s="76" t="str">
        <f t="shared" si="22"/>
        <v/>
      </c>
      <c r="B74" s="463" t="s">
        <v>223</v>
      </c>
      <c r="C74" s="464"/>
      <c r="D74" s="464"/>
      <c r="E74" s="464"/>
      <c r="F74" s="71">
        <v>6</v>
      </c>
      <c r="G74" s="78" t="s">
        <v>66</v>
      </c>
      <c r="H74" s="79">
        <v>0.5</v>
      </c>
      <c r="I74" s="49">
        <f>(H74/100)*(100+$F$75)</f>
        <v>0.5</v>
      </c>
      <c r="J74" s="17">
        <v>0.3</v>
      </c>
      <c r="K74" s="126">
        <f>F74*I74*(1+J74)</f>
        <v>3.9000000000000004</v>
      </c>
      <c r="L74" s="137"/>
      <c r="M74" s="83" t="str">
        <f>B74</f>
        <v xml:space="preserve">Mould treatment </v>
      </c>
      <c r="N74" s="47">
        <v>0.25</v>
      </c>
      <c r="O74" s="104">
        <f>F74*N74</f>
        <v>1.5</v>
      </c>
      <c r="P74" s="104">
        <f t="shared" ref="P74" si="59">$D$107</f>
        <v>30.63</v>
      </c>
      <c r="Q74" s="49">
        <f>(P74/100)*(100+$F$75)</f>
        <v>30.630000000000003</v>
      </c>
      <c r="R74" s="121">
        <v>1</v>
      </c>
      <c r="S74" s="155">
        <f t="shared" ref="S74" si="60">(O74*Q74*(1+R74))</f>
        <v>91.890000000000015</v>
      </c>
      <c r="T74" s="156">
        <f t="shared" ref="T74" si="61">K74+S74</f>
        <v>95.79000000000002</v>
      </c>
      <c r="U74" s="130">
        <f t="shared" ref="U74" si="62">F74*H74*1.1</f>
        <v>3.3000000000000003</v>
      </c>
      <c r="V74" s="125">
        <f>O74*$E$107</f>
        <v>42</v>
      </c>
      <c r="W74" s="76" t="s">
        <v>189</v>
      </c>
      <c r="X74" s="82"/>
      <c r="Y74" s="82"/>
      <c r="Z74" s="63"/>
      <c r="AA74" s="63"/>
      <c r="AB74" s="63"/>
      <c r="AC74" s="63"/>
      <c r="AD74" s="63"/>
      <c r="AE74" s="63"/>
      <c r="AF74" s="63"/>
      <c r="AT74" s="62">
        <f>IF(F74&lt;&gt;"",1,0)</f>
        <v>1</v>
      </c>
      <c r="AU74" s="62">
        <f>IF(AND(SUM(AT:AT)&gt;0,F74=""),1,0)</f>
        <v>0</v>
      </c>
    </row>
    <row r="75" spans="1:50" ht="16" thickBot="1" x14ac:dyDescent="0.25">
      <c r="A75" s="76" t="str">
        <f t="shared" si="22"/>
        <v/>
      </c>
      <c r="B75" s="402" t="s">
        <v>302</v>
      </c>
      <c r="C75" s="403"/>
      <c r="D75" s="403"/>
      <c r="E75" s="403"/>
      <c r="F75" s="287">
        <v>0</v>
      </c>
      <c r="G75" s="115"/>
      <c r="H75" s="116"/>
      <c r="I75" s="116"/>
      <c r="J75" s="94" t="s">
        <v>96</v>
      </c>
      <c r="K75" s="139">
        <f>SUM(K74:K74)</f>
        <v>3.9000000000000004</v>
      </c>
      <c r="L75" s="138"/>
      <c r="M75" s="438" t="s">
        <v>96</v>
      </c>
      <c r="N75" s="439"/>
      <c r="O75" s="128">
        <f>SUM(O73:O74)</f>
        <v>1.5</v>
      </c>
      <c r="P75" s="162"/>
      <c r="Q75" s="162"/>
      <c r="R75" s="160"/>
      <c r="S75" s="158">
        <f>SUM(S74:S74)</f>
        <v>91.890000000000015</v>
      </c>
      <c r="T75" s="159">
        <f>SUM(T74:T74)</f>
        <v>95.79000000000002</v>
      </c>
      <c r="U75" s="119">
        <f>SUM(U74:U74)</f>
        <v>3.3000000000000003</v>
      </c>
      <c r="V75" s="117">
        <f>SUM(V74:V74)</f>
        <v>42</v>
      </c>
      <c r="W75" s="61"/>
      <c r="X75" s="82"/>
      <c r="Y75" s="82"/>
      <c r="Z75" s="63"/>
      <c r="AA75" s="63"/>
      <c r="AB75" s="63"/>
      <c r="AC75" s="63"/>
      <c r="AD75" s="63"/>
      <c r="AE75" s="63"/>
      <c r="AF75" s="63"/>
      <c r="AT75" s="64"/>
      <c r="AU75" s="64"/>
    </row>
    <row r="76" spans="1:50" s="92" customFormat="1" ht="5" customHeight="1" thickBot="1" x14ac:dyDescent="0.25">
      <c r="A76" s="270"/>
      <c r="B76" s="271"/>
      <c r="C76" s="271"/>
      <c r="D76" s="271"/>
      <c r="E76" s="271"/>
      <c r="F76" s="272"/>
      <c r="G76" s="273"/>
      <c r="H76" s="274"/>
      <c r="I76" s="274"/>
      <c r="J76" s="274"/>
      <c r="K76" s="275"/>
      <c r="L76" s="276"/>
      <c r="M76" s="277"/>
      <c r="N76" s="275"/>
      <c r="O76" s="275"/>
      <c r="P76" s="275"/>
      <c r="Q76" s="275"/>
      <c r="R76" s="278"/>
      <c r="S76" s="278"/>
      <c r="T76" s="278"/>
      <c r="U76" s="279"/>
      <c r="V76" s="280"/>
      <c r="W76" s="281"/>
      <c r="X76" s="276"/>
      <c r="Y76" s="282"/>
      <c r="Z76" s="283"/>
      <c r="AA76" s="284"/>
      <c r="AB76" s="284"/>
      <c r="AC76" s="284"/>
      <c r="AD76" s="284"/>
      <c r="AE76" s="285"/>
      <c r="AF76" s="284"/>
      <c r="AG76" s="284"/>
      <c r="AH76" s="284"/>
      <c r="AI76" s="284"/>
      <c r="AJ76" s="184"/>
      <c r="AK76" s="184"/>
      <c r="AV76" s="286"/>
      <c r="AW76" s="64"/>
      <c r="AX76" s="64"/>
    </row>
    <row r="77" spans="1:50" ht="25" customHeight="1" thickBot="1" x14ac:dyDescent="0.25">
      <c r="A77" s="76" t="str">
        <f t="shared" ref="A77:A101" si="63">IF(AU77=1,"X","")</f>
        <v/>
      </c>
      <c r="B77" s="474" t="s">
        <v>222</v>
      </c>
      <c r="C77" s="475"/>
      <c r="D77" s="475"/>
      <c r="E77" s="475"/>
      <c r="F77" s="107"/>
      <c r="G77" s="107"/>
      <c r="H77" s="40"/>
      <c r="I77" s="40"/>
      <c r="J77" s="40"/>
      <c r="K77" s="40"/>
      <c r="L77" s="140"/>
      <c r="M77" s="444" t="str">
        <f>B77</f>
        <v>Asbestos Testing</v>
      </c>
      <c r="N77" s="445"/>
      <c r="O77" s="445"/>
      <c r="P77" s="445"/>
      <c r="Q77" s="445"/>
      <c r="R77" s="445"/>
      <c r="S77" s="445"/>
      <c r="T77" s="446"/>
      <c r="U77" s="461" t="str">
        <f>B77</f>
        <v>Asbestos Testing</v>
      </c>
      <c r="V77" s="462"/>
      <c r="X77" s="82"/>
      <c r="Y77" s="82"/>
      <c r="Z77" s="63"/>
      <c r="AA77" s="63"/>
      <c r="AB77" s="63"/>
      <c r="AC77" s="63"/>
      <c r="AD77" s="63"/>
      <c r="AE77" s="63"/>
      <c r="AF77" s="63"/>
      <c r="AT77" s="64"/>
      <c r="AU77" s="64"/>
    </row>
    <row r="78" spans="1:50" ht="32.25" customHeight="1" thickBot="1" x14ac:dyDescent="0.25">
      <c r="A78" s="76" t="str">
        <f t="shared" si="63"/>
        <v/>
      </c>
      <c r="B78" s="463" t="s">
        <v>222</v>
      </c>
      <c r="C78" s="464"/>
      <c r="D78" s="464"/>
      <c r="E78" s="464"/>
      <c r="F78" s="71">
        <v>0</v>
      </c>
      <c r="G78" s="78" t="s">
        <v>69</v>
      </c>
      <c r="H78" s="79">
        <v>30</v>
      </c>
      <c r="I78" s="49">
        <f>(H78/100)*(100+$F$79)</f>
        <v>30</v>
      </c>
      <c r="J78" s="17">
        <v>0.3</v>
      </c>
      <c r="K78" s="126">
        <f>F78*I78*(1+J78)</f>
        <v>0</v>
      </c>
      <c r="L78" s="137"/>
      <c r="M78" s="83" t="str">
        <f>B78</f>
        <v>Asbestos Testing</v>
      </c>
      <c r="N78" s="47">
        <v>0.64</v>
      </c>
      <c r="O78" s="104">
        <f>F78*N78</f>
        <v>0</v>
      </c>
      <c r="P78" s="104">
        <f t="shared" ref="P78" si="64">$D$107</f>
        <v>30.63</v>
      </c>
      <c r="Q78" s="49">
        <f>(P78/100)*(100+$F$79)</f>
        <v>30.630000000000003</v>
      </c>
      <c r="R78" s="121">
        <v>1</v>
      </c>
      <c r="S78" s="155">
        <f t="shared" ref="S78" si="65">(O78*Q78*(1+R78))</f>
        <v>0</v>
      </c>
      <c r="T78" s="156">
        <f t="shared" ref="T78" si="66">K78+S78</f>
        <v>0</v>
      </c>
      <c r="U78" s="130">
        <f t="shared" ref="U78" si="67">F78*H78*1.1</f>
        <v>0</v>
      </c>
      <c r="V78" s="125">
        <f>O78*$E$107</f>
        <v>0</v>
      </c>
      <c r="W78" s="76" t="s">
        <v>189</v>
      </c>
      <c r="X78" s="82"/>
      <c r="Y78" s="82"/>
      <c r="Z78" s="63"/>
      <c r="AA78" s="63"/>
      <c r="AB78" s="63"/>
      <c r="AC78" s="63"/>
      <c r="AD78" s="63"/>
      <c r="AE78" s="63"/>
      <c r="AF78" s="63"/>
      <c r="AT78" s="62">
        <f>IF(F78&lt;&gt;"",1,0)</f>
        <v>1</v>
      </c>
      <c r="AU78" s="62">
        <f>IF(AND(SUM(AT:AT)&gt;0,F78=""),1,0)</f>
        <v>0</v>
      </c>
    </row>
    <row r="79" spans="1:50" ht="16" thickBot="1" x14ac:dyDescent="0.25">
      <c r="A79" s="76" t="str">
        <f t="shared" si="63"/>
        <v/>
      </c>
      <c r="B79" s="402" t="s">
        <v>302</v>
      </c>
      <c r="C79" s="403"/>
      <c r="D79" s="403"/>
      <c r="E79" s="403"/>
      <c r="F79" s="287">
        <v>0</v>
      </c>
      <c r="G79" s="115"/>
      <c r="H79" s="116"/>
      <c r="I79" s="116"/>
      <c r="J79" s="94" t="s">
        <v>96</v>
      </c>
      <c r="K79" s="139">
        <f>SUM(K78:K78)</f>
        <v>0</v>
      </c>
      <c r="L79" s="138"/>
      <c r="M79" s="438" t="s">
        <v>96</v>
      </c>
      <c r="N79" s="439"/>
      <c r="O79" s="128">
        <f>SUM(O77:O78)</f>
        <v>0</v>
      </c>
      <c r="P79" s="162"/>
      <c r="Q79" s="162"/>
      <c r="R79" s="160"/>
      <c r="S79" s="158">
        <f>SUM(S78:S78)</f>
        <v>0</v>
      </c>
      <c r="T79" s="159">
        <f>SUM(T78:T78)</f>
        <v>0</v>
      </c>
      <c r="U79" s="119">
        <f>SUM(U78:U78)</f>
        <v>0</v>
      </c>
      <c r="V79" s="117">
        <f>SUM(V78:V78)</f>
        <v>0</v>
      </c>
      <c r="W79" s="61"/>
      <c r="X79" s="82"/>
      <c r="Y79" s="82"/>
      <c r="Z79" s="63"/>
      <c r="AA79" s="63"/>
      <c r="AB79" s="63"/>
      <c r="AC79" s="63"/>
      <c r="AD79" s="63"/>
      <c r="AE79" s="63"/>
      <c r="AF79" s="63"/>
      <c r="AT79" s="64"/>
      <c r="AU79" s="64"/>
    </row>
    <row r="80" spans="1:50" s="92" customFormat="1" ht="5" customHeight="1" thickBot="1" x14ac:dyDescent="0.25">
      <c r="A80" s="270"/>
      <c r="B80" s="271"/>
      <c r="C80" s="271"/>
      <c r="D80" s="271"/>
      <c r="E80" s="271"/>
      <c r="F80" s="272"/>
      <c r="G80" s="273"/>
      <c r="H80" s="274"/>
      <c r="I80" s="274"/>
      <c r="J80" s="274"/>
      <c r="K80" s="275"/>
      <c r="L80" s="276"/>
      <c r="M80" s="277"/>
      <c r="N80" s="275"/>
      <c r="O80" s="275"/>
      <c r="P80" s="275"/>
      <c r="Q80" s="275"/>
      <c r="R80" s="278"/>
      <c r="S80" s="278"/>
      <c r="T80" s="278"/>
      <c r="U80" s="279"/>
      <c r="V80" s="280"/>
      <c r="W80" s="281"/>
      <c r="X80" s="276"/>
      <c r="Y80" s="282"/>
      <c r="Z80" s="283"/>
      <c r="AA80" s="284"/>
      <c r="AB80" s="284"/>
      <c r="AC80" s="284"/>
      <c r="AD80" s="284"/>
      <c r="AE80" s="285"/>
      <c r="AF80" s="284"/>
      <c r="AG80" s="284"/>
      <c r="AH80" s="284"/>
      <c r="AI80" s="284"/>
      <c r="AJ80" s="184"/>
      <c r="AK80" s="184"/>
      <c r="AV80" s="286"/>
      <c r="AW80" s="64"/>
      <c r="AX80" s="64"/>
    </row>
    <row r="81" spans="1:50" ht="25" customHeight="1" thickBot="1" x14ac:dyDescent="0.25">
      <c r="A81" s="76" t="str">
        <f t="shared" si="63"/>
        <v/>
      </c>
      <c r="B81" s="467" t="s">
        <v>187</v>
      </c>
      <c r="C81" s="468"/>
      <c r="D81" s="468"/>
      <c r="E81" s="468"/>
      <c r="F81" s="101"/>
      <c r="G81" s="101"/>
      <c r="H81" s="12"/>
      <c r="I81" s="12"/>
      <c r="J81" s="13"/>
      <c r="K81" s="108"/>
      <c r="L81" s="143"/>
      <c r="M81" s="444" t="str">
        <f>B81</f>
        <v>Airbricks</v>
      </c>
      <c r="N81" s="445"/>
      <c r="O81" s="445"/>
      <c r="P81" s="445"/>
      <c r="Q81" s="445"/>
      <c r="R81" s="445"/>
      <c r="S81" s="445"/>
      <c r="T81" s="446"/>
      <c r="U81" s="461" t="str">
        <f>B81</f>
        <v>Airbricks</v>
      </c>
      <c r="V81" s="462"/>
      <c r="X81" s="82"/>
      <c r="Y81" s="82"/>
      <c r="Z81" s="63"/>
      <c r="AA81" s="63"/>
      <c r="AB81" s="63"/>
      <c r="AC81" s="63"/>
      <c r="AD81" s="63"/>
      <c r="AE81" s="63"/>
      <c r="AF81" s="63"/>
      <c r="AT81" s="64"/>
      <c r="AU81" s="64"/>
    </row>
    <row r="82" spans="1:50" ht="16" thickBot="1" x14ac:dyDescent="0.25">
      <c r="A82" s="76" t="str">
        <f t="shared" si="63"/>
        <v/>
      </c>
      <c r="B82" s="459" t="s">
        <v>30</v>
      </c>
      <c r="C82" s="460"/>
      <c r="D82" s="460"/>
      <c r="E82" s="460"/>
      <c r="F82" s="73">
        <v>0</v>
      </c>
      <c r="G82" s="78" t="s">
        <v>69</v>
      </c>
      <c r="H82" s="11">
        <v>16</v>
      </c>
      <c r="I82" s="49">
        <f>(H82/100)*(100+$F$85)</f>
        <v>16</v>
      </c>
      <c r="J82" s="9">
        <v>0.3</v>
      </c>
      <c r="K82" s="141">
        <f t="shared" ref="K82:K84" si="68">F82*I82*(1+J82)</f>
        <v>0</v>
      </c>
      <c r="L82" s="137"/>
      <c r="M82" s="83" t="str">
        <f>B82</f>
        <v>Clean out airbrick/fit new face</v>
      </c>
      <c r="N82" s="47">
        <v>0.5</v>
      </c>
      <c r="O82" s="104">
        <f>F82*N82</f>
        <v>0</v>
      </c>
      <c r="P82" s="104">
        <f t="shared" ref="P82:P84" si="69">$D$107</f>
        <v>30.63</v>
      </c>
      <c r="Q82" s="49">
        <f>(P82/100)*(100+$F$85)</f>
        <v>30.630000000000003</v>
      </c>
      <c r="R82" s="121">
        <v>1</v>
      </c>
      <c r="S82" s="155">
        <f t="shared" ref="S82:S84" si="70">(O82*Q82*(1+R82))</f>
        <v>0</v>
      </c>
      <c r="T82" s="156">
        <f t="shared" ref="T82:T84" si="71">K82+S82</f>
        <v>0</v>
      </c>
      <c r="U82" s="148">
        <f>F82*H82*1.1</f>
        <v>0</v>
      </c>
      <c r="V82" s="147">
        <f>O82*$E$107</f>
        <v>0</v>
      </c>
      <c r="X82" s="82"/>
      <c r="Y82" s="82"/>
      <c r="Z82" s="63"/>
      <c r="AA82" s="63"/>
      <c r="AB82" s="63"/>
      <c r="AC82" s="63"/>
      <c r="AD82" s="63"/>
      <c r="AE82" s="63"/>
      <c r="AF82" s="63"/>
      <c r="AT82" s="62">
        <f>IF(F82&lt;&gt;"",1,0)</f>
        <v>1</v>
      </c>
      <c r="AU82" s="62">
        <f>IF(AND(SUM(AT:AT)&gt;0,F82=""),1,0)</f>
        <v>0</v>
      </c>
    </row>
    <row r="83" spans="1:50" ht="16" thickBot="1" x14ac:dyDescent="0.25">
      <c r="A83" s="76" t="str">
        <f t="shared" si="63"/>
        <v/>
      </c>
      <c r="B83" s="459" t="s">
        <v>225</v>
      </c>
      <c r="C83" s="460"/>
      <c r="D83" s="460"/>
      <c r="E83" s="460"/>
      <c r="F83" s="71">
        <v>0</v>
      </c>
      <c r="G83" s="78" t="s">
        <v>69</v>
      </c>
      <c r="H83" s="11">
        <v>16</v>
      </c>
      <c r="I83" s="49">
        <f t="shared" ref="I83:I84" si="72">(H83/100)*(100+$F$85)</f>
        <v>16</v>
      </c>
      <c r="J83" s="9">
        <v>0.3</v>
      </c>
      <c r="K83" s="141">
        <f t="shared" si="68"/>
        <v>0</v>
      </c>
      <c r="L83" s="137"/>
      <c r="M83" s="83" t="str">
        <f t="shared" ref="M83:M84" si="73">B83</f>
        <v>Lift/upgrade existing airbrick/fit new face</v>
      </c>
      <c r="N83" s="47">
        <v>0.8</v>
      </c>
      <c r="O83" s="104">
        <f>F83*N83</f>
        <v>0</v>
      </c>
      <c r="P83" s="104">
        <f t="shared" si="69"/>
        <v>30.63</v>
      </c>
      <c r="Q83" s="49">
        <f t="shared" ref="Q83:Q84" si="74">(P83/100)*(100+$F$85)</f>
        <v>30.630000000000003</v>
      </c>
      <c r="R83" s="121">
        <v>1</v>
      </c>
      <c r="S83" s="155">
        <f t="shared" si="70"/>
        <v>0</v>
      </c>
      <c r="T83" s="156">
        <f t="shared" si="71"/>
        <v>0</v>
      </c>
      <c r="U83" s="148">
        <f>F83*H83*1.1</f>
        <v>0</v>
      </c>
      <c r="V83" s="147">
        <f>O83*$E$107</f>
        <v>0</v>
      </c>
      <c r="X83" s="82"/>
      <c r="Y83" s="82"/>
      <c r="Z83" s="63"/>
      <c r="AA83" s="63"/>
      <c r="AB83" s="63"/>
      <c r="AC83" s="63"/>
      <c r="AD83" s="63"/>
      <c r="AE83" s="63"/>
      <c r="AF83" s="63"/>
      <c r="AT83" s="62">
        <f>IF(F83&lt;&gt;"",1,0)</f>
        <v>1</v>
      </c>
      <c r="AU83" s="62">
        <f>IF(AND(SUM(AT:AT)&gt;0,F83=""),1,0)</f>
        <v>0</v>
      </c>
    </row>
    <row r="84" spans="1:50" ht="16" thickBot="1" x14ac:dyDescent="0.25">
      <c r="A84" s="76" t="str">
        <f t="shared" si="63"/>
        <v/>
      </c>
      <c r="B84" s="459" t="s">
        <v>31</v>
      </c>
      <c r="C84" s="460"/>
      <c r="D84" s="460"/>
      <c r="E84" s="460"/>
      <c r="F84" s="72">
        <v>0</v>
      </c>
      <c r="G84" s="78" t="s">
        <v>69</v>
      </c>
      <c r="H84" s="11">
        <v>16</v>
      </c>
      <c r="I84" s="49">
        <f t="shared" si="72"/>
        <v>16</v>
      </c>
      <c r="J84" s="9">
        <v>0.3</v>
      </c>
      <c r="K84" s="141">
        <f t="shared" si="68"/>
        <v>0</v>
      </c>
      <c r="L84" s="137"/>
      <c r="M84" s="83" t="str">
        <f t="shared" si="73"/>
        <v>Install additional  airbrick</v>
      </c>
      <c r="N84" s="47">
        <v>2</v>
      </c>
      <c r="O84" s="104">
        <f>F84*N84</f>
        <v>0</v>
      </c>
      <c r="P84" s="104">
        <f t="shared" si="69"/>
        <v>30.63</v>
      </c>
      <c r="Q84" s="49">
        <f t="shared" si="74"/>
        <v>30.630000000000003</v>
      </c>
      <c r="R84" s="121">
        <v>1</v>
      </c>
      <c r="S84" s="155">
        <f t="shared" si="70"/>
        <v>0</v>
      </c>
      <c r="T84" s="156">
        <f t="shared" si="71"/>
        <v>0</v>
      </c>
      <c r="U84" s="148">
        <f>F84*H84*1.1</f>
        <v>0</v>
      </c>
      <c r="V84" s="147">
        <f>O84*$E$107</f>
        <v>0</v>
      </c>
      <c r="X84" s="82"/>
      <c r="Y84" s="82"/>
      <c r="Z84" s="63"/>
      <c r="AA84" s="63"/>
      <c r="AB84" s="63"/>
      <c r="AC84" s="63"/>
      <c r="AD84" s="63"/>
      <c r="AE84" s="63"/>
      <c r="AF84" s="63"/>
      <c r="AT84" s="62">
        <f>IF(F84&lt;&gt;"",1,0)</f>
        <v>1</v>
      </c>
      <c r="AU84" s="62">
        <f>IF(AND(SUM(AT:AT)&gt;0,F84=""),1,0)</f>
        <v>0</v>
      </c>
    </row>
    <row r="85" spans="1:50" ht="16" thickBot="1" x14ac:dyDescent="0.25">
      <c r="A85" s="76" t="str">
        <f t="shared" si="63"/>
        <v/>
      </c>
      <c r="B85" s="402" t="s">
        <v>302</v>
      </c>
      <c r="C85" s="403"/>
      <c r="D85" s="403"/>
      <c r="E85" s="403"/>
      <c r="F85" s="287">
        <v>0</v>
      </c>
      <c r="G85" s="115"/>
      <c r="H85" s="116"/>
      <c r="I85" s="116"/>
      <c r="J85" s="94" t="s">
        <v>96</v>
      </c>
      <c r="K85" s="142">
        <f>SUM(K82:K84)</f>
        <v>0</v>
      </c>
      <c r="L85" s="138"/>
      <c r="M85" s="438" t="s">
        <v>96</v>
      </c>
      <c r="N85" s="439"/>
      <c r="O85" s="128">
        <f>SUM(O82:O84)</f>
        <v>0</v>
      </c>
      <c r="P85" s="162"/>
      <c r="Q85" s="162"/>
      <c r="R85" s="160"/>
      <c r="S85" s="163">
        <f>SUM(S82:S84)</f>
        <v>0</v>
      </c>
      <c r="T85" s="159">
        <f>SUM(T82:T84)</f>
        <v>0</v>
      </c>
      <c r="U85" s="119">
        <f>SUM(U82:U84)</f>
        <v>0</v>
      </c>
      <c r="V85" s="117">
        <f>SUM(V82:V84)</f>
        <v>0</v>
      </c>
      <c r="W85" s="61"/>
      <c r="X85" s="82"/>
      <c r="Y85" s="82"/>
      <c r="Z85" s="63"/>
      <c r="AA85" s="63"/>
      <c r="AB85" s="63"/>
      <c r="AC85" s="63"/>
      <c r="AD85" s="63"/>
      <c r="AE85" s="63"/>
      <c r="AF85" s="63"/>
      <c r="AT85" s="64"/>
      <c r="AU85" s="64"/>
    </row>
    <row r="86" spans="1:50" s="92" customFormat="1" ht="5" customHeight="1" thickBot="1" x14ac:dyDescent="0.25">
      <c r="A86" s="270"/>
      <c r="B86" s="271"/>
      <c r="C86" s="271"/>
      <c r="D86" s="271"/>
      <c r="E86" s="271"/>
      <c r="F86" s="272"/>
      <c r="G86" s="273"/>
      <c r="H86" s="274"/>
      <c r="I86" s="274"/>
      <c r="J86" s="274"/>
      <c r="K86" s="275"/>
      <c r="L86" s="276"/>
      <c r="M86" s="290"/>
      <c r="N86" s="291"/>
      <c r="O86" s="291"/>
      <c r="P86" s="291"/>
      <c r="Q86" s="291"/>
      <c r="R86" s="292"/>
      <c r="S86" s="292"/>
      <c r="T86" s="292"/>
      <c r="U86" s="279"/>
      <c r="V86" s="280"/>
      <c r="W86" s="281"/>
      <c r="X86" s="276"/>
      <c r="Y86" s="282"/>
      <c r="Z86" s="283"/>
      <c r="AA86" s="284"/>
      <c r="AB86" s="284"/>
      <c r="AC86" s="284"/>
      <c r="AD86" s="284"/>
      <c r="AE86" s="285"/>
      <c r="AF86" s="284"/>
      <c r="AG86" s="284"/>
      <c r="AH86" s="284"/>
      <c r="AI86" s="284"/>
      <c r="AJ86" s="184"/>
      <c r="AK86" s="184"/>
      <c r="AV86" s="286"/>
      <c r="AW86" s="64"/>
      <c r="AX86" s="64"/>
    </row>
    <row r="87" spans="1:50" ht="25" customHeight="1" thickBot="1" x14ac:dyDescent="0.25">
      <c r="A87" s="76" t="str">
        <f t="shared" si="63"/>
        <v/>
      </c>
      <c r="B87" s="480" t="s">
        <v>13</v>
      </c>
      <c r="C87" s="481"/>
      <c r="D87" s="481"/>
      <c r="E87" s="481"/>
      <c r="F87" s="481"/>
      <c r="G87" s="96"/>
      <c r="H87" s="129"/>
      <c r="I87" s="129"/>
      <c r="J87" s="129"/>
      <c r="K87" s="150"/>
      <c r="L87" s="140"/>
      <c r="M87" s="444" t="str">
        <f>B87</f>
        <v>Skip hire 8yd</v>
      </c>
      <c r="N87" s="445"/>
      <c r="O87" s="445"/>
      <c r="P87" s="445"/>
      <c r="Q87" s="445"/>
      <c r="R87" s="445"/>
      <c r="S87" s="445"/>
      <c r="T87" s="446"/>
      <c r="U87" s="461" t="str">
        <f>B87</f>
        <v>Skip hire 8yd</v>
      </c>
      <c r="V87" s="462"/>
      <c r="X87" s="82"/>
      <c r="Y87" s="82"/>
      <c r="Z87" s="63"/>
      <c r="AA87" s="63"/>
      <c r="AB87" s="63"/>
      <c r="AC87" s="63"/>
      <c r="AD87" s="63"/>
      <c r="AE87" s="63"/>
      <c r="AF87" s="63"/>
      <c r="AT87" s="64"/>
      <c r="AU87" s="64"/>
    </row>
    <row r="88" spans="1:50" ht="15" customHeight="1" thickBot="1" x14ac:dyDescent="0.25">
      <c r="A88" s="76" t="str">
        <f t="shared" si="63"/>
        <v/>
      </c>
      <c r="B88" s="484" t="s">
        <v>4</v>
      </c>
      <c r="C88" s="485"/>
      <c r="D88" s="485"/>
      <c r="E88" s="486"/>
      <c r="F88" s="71">
        <v>0</v>
      </c>
      <c r="G88" s="151" t="s">
        <v>69</v>
      </c>
      <c r="H88" s="152">
        <v>270</v>
      </c>
      <c r="I88" s="152">
        <f>H88</f>
        <v>270</v>
      </c>
      <c r="J88" s="153">
        <v>0.3</v>
      </c>
      <c r="K88" s="21">
        <f>F88*I88*(1+J88)</f>
        <v>0</v>
      </c>
      <c r="L88" s="138"/>
      <c r="M88" s="93" t="str">
        <f>B88</f>
        <v>Rubbish removal skips</v>
      </c>
      <c r="N88" s="123">
        <v>0</v>
      </c>
      <c r="O88" s="128">
        <v>0</v>
      </c>
      <c r="P88" s="128">
        <f t="shared" ref="P88" si="75">$D$107</f>
        <v>30.63</v>
      </c>
      <c r="Q88" s="128">
        <f>P88</f>
        <v>30.63</v>
      </c>
      <c r="R88" s="157">
        <v>1</v>
      </c>
      <c r="S88" s="155">
        <f>(O88*Q88*(1+R88))</f>
        <v>0</v>
      </c>
      <c r="T88" s="159">
        <f t="shared" ref="T88" si="76">K88+S88</f>
        <v>0</v>
      </c>
      <c r="U88" s="119">
        <v>0</v>
      </c>
      <c r="V88" s="154">
        <v>0</v>
      </c>
      <c r="X88" s="82"/>
      <c r="Y88" s="82"/>
      <c r="Z88" s="63"/>
      <c r="AA88" s="63"/>
      <c r="AB88" s="63"/>
      <c r="AC88" s="63"/>
      <c r="AD88" s="63"/>
      <c r="AE88" s="63"/>
      <c r="AF88" s="63"/>
      <c r="AT88" s="62">
        <f>IF(F88&lt;&gt;"",1,0)</f>
        <v>1</v>
      </c>
      <c r="AU88" s="62">
        <f>IF(AND(SUM(AT:AT)&gt;0,F88=""),1,0)</f>
        <v>0</v>
      </c>
    </row>
    <row r="89" spans="1:50" s="92" customFormat="1" ht="5" customHeight="1" thickBot="1" x14ac:dyDescent="0.25">
      <c r="A89" s="270"/>
      <c r="B89" s="271"/>
      <c r="C89" s="271"/>
      <c r="D89" s="271"/>
      <c r="E89" s="271"/>
      <c r="F89" s="272"/>
      <c r="G89" s="273"/>
      <c r="H89" s="274"/>
      <c r="I89" s="274"/>
      <c r="J89" s="274"/>
      <c r="K89" s="275"/>
      <c r="L89" s="276"/>
      <c r="M89" s="293"/>
      <c r="N89" s="294"/>
      <c r="O89" s="294"/>
      <c r="P89" s="294"/>
      <c r="Q89" s="294"/>
      <c r="R89" s="295"/>
      <c r="S89" s="295"/>
      <c r="T89" s="295"/>
      <c r="U89" s="279"/>
      <c r="V89" s="280"/>
      <c r="W89" s="281"/>
      <c r="X89" s="276"/>
      <c r="Y89" s="282"/>
      <c r="Z89" s="283"/>
      <c r="AA89" s="284"/>
      <c r="AB89" s="284"/>
      <c r="AC89" s="284"/>
      <c r="AD89" s="284"/>
      <c r="AE89" s="285"/>
      <c r="AF89" s="284"/>
      <c r="AG89" s="284"/>
      <c r="AH89" s="284"/>
      <c r="AI89" s="284"/>
      <c r="AJ89" s="184"/>
      <c r="AK89" s="184"/>
      <c r="AV89" s="286"/>
      <c r="AW89" s="64"/>
      <c r="AX89" s="64"/>
    </row>
    <row r="90" spans="1:50" x14ac:dyDescent="0.2">
      <c r="A90" s="76" t="str">
        <f t="shared" si="63"/>
        <v/>
      </c>
      <c r="B90" s="482"/>
      <c r="C90" s="483"/>
      <c r="D90" s="483"/>
      <c r="E90" s="483"/>
      <c r="F90" s="483"/>
      <c r="G90" s="101"/>
      <c r="H90" s="16"/>
      <c r="I90" s="16"/>
      <c r="J90" s="16"/>
      <c r="K90" s="18"/>
      <c r="L90" s="100"/>
      <c r="M90" s="145"/>
      <c r="N90" s="166"/>
      <c r="O90" s="114"/>
      <c r="P90" s="114"/>
      <c r="Q90" s="114"/>
      <c r="R90" s="113"/>
      <c r="S90" s="113"/>
      <c r="T90" s="167"/>
      <c r="U90" s="149"/>
      <c r="V90" s="165"/>
      <c r="AT90" s="64"/>
      <c r="AU90" s="64"/>
    </row>
    <row r="91" spans="1:50" ht="12.5" customHeight="1" thickBot="1" x14ac:dyDescent="0.25">
      <c r="A91" s="76" t="str">
        <f t="shared" si="63"/>
        <v/>
      </c>
      <c r="B91" s="32"/>
      <c r="C91" s="101"/>
      <c r="D91" s="101"/>
      <c r="E91" s="447" t="s">
        <v>5</v>
      </c>
      <c r="F91" s="448"/>
      <c r="G91" s="48"/>
      <c r="H91" s="25"/>
      <c r="I91" s="25"/>
      <c r="J91" s="26"/>
      <c r="K91" s="237">
        <f>K25+K42+K49+K54+K59+K63+K67+K71+K75+K79+K85+K88</f>
        <v>891.29290000000003</v>
      </c>
      <c r="L91" s="24"/>
      <c r="M91" s="476" t="s">
        <v>20</v>
      </c>
      <c r="N91" s="477"/>
      <c r="O91" s="477"/>
      <c r="P91" s="477"/>
      <c r="Q91" s="477"/>
      <c r="R91" s="477"/>
      <c r="S91" s="477"/>
      <c r="T91" s="477"/>
      <c r="U91" s="478" t="s">
        <v>26</v>
      </c>
      <c r="V91" s="479"/>
      <c r="AT91" s="64"/>
      <c r="AU91" s="64"/>
    </row>
    <row r="92" spans="1:50" ht="17" thickTop="1" thickBot="1" x14ac:dyDescent="0.25">
      <c r="A92" s="76" t="str">
        <f t="shared" si="63"/>
        <v/>
      </c>
      <c r="B92" s="32"/>
      <c r="C92" s="101"/>
      <c r="D92" s="101"/>
      <c r="E92" s="447" t="s">
        <v>6</v>
      </c>
      <c r="F92" s="448"/>
      <c r="G92" s="449"/>
      <c r="H92" s="19">
        <f>O92</f>
        <v>11.5</v>
      </c>
      <c r="I92" s="19"/>
      <c r="J92" s="19"/>
      <c r="K92" s="237">
        <f>S25+S42+S49+S54+S59+S63+S67+S71+S75+S79+S85+S88</f>
        <v>915.07125000000008</v>
      </c>
      <c r="L92" s="24"/>
      <c r="M92" s="84" t="s">
        <v>3</v>
      </c>
      <c r="N92" s="105"/>
      <c r="O92" s="80">
        <f>O25+O42+O49+O54+O59+O63+O67+O71+O75+O79+O85+O88</f>
        <v>11.5</v>
      </c>
      <c r="P92" s="112"/>
      <c r="Q92" s="112"/>
      <c r="R92" s="164"/>
      <c r="S92" s="164"/>
      <c r="T92" s="106"/>
      <c r="U92" s="86">
        <f>U25+U42+U49+U54+U59+U63+U67+U71+U75+U79+U85+U88</f>
        <v>745.94299999999998</v>
      </c>
      <c r="V92" s="87">
        <f>V25+V42+V49+V54+V59+V63+V67+V71+V75+V79+V85+V88</f>
        <v>322</v>
      </c>
      <c r="AT92" s="64"/>
      <c r="AU92" s="64"/>
    </row>
    <row r="93" spans="1:50" ht="16" thickTop="1" x14ac:dyDescent="0.2">
      <c r="A93" s="76" t="str">
        <f t="shared" si="63"/>
        <v/>
      </c>
      <c r="B93" s="32"/>
      <c r="C93" s="101"/>
      <c r="D93" s="101"/>
      <c r="E93" s="27"/>
      <c r="F93" s="102"/>
      <c r="G93" s="102"/>
      <c r="H93" s="110" t="s">
        <v>14</v>
      </c>
      <c r="I93" s="110"/>
      <c r="J93" s="103"/>
      <c r="K93" s="20">
        <f>(F107*C107)+((K98*K99)*2)*J107</f>
        <v>139.93200000000002</v>
      </c>
      <c r="L93" s="24"/>
      <c r="M93" s="84" t="s">
        <v>16</v>
      </c>
      <c r="N93" s="105"/>
      <c r="O93" s="112">
        <f>K98*K99*2*K100/30</f>
        <v>3.0666666666666669</v>
      </c>
      <c r="P93" s="112"/>
      <c r="Q93" s="112"/>
      <c r="R93" s="164"/>
      <c r="S93" s="164"/>
      <c r="T93" s="106"/>
      <c r="U93" s="89"/>
      <c r="V93" s="85"/>
      <c r="AT93" s="64"/>
      <c r="AU93" s="64"/>
    </row>
    <row r="94" spans="1:50" ht="16" thickBot="1" x14ac:dyDescent="0.25">
      <c r="A94" s="76" t="str">
        <f t="shared" si="63"/>
        <v/>
      </c>
      <c r="B94" s="32"/>
      <c r="C94" s="101"/>
      <c r="D94" s="101"/>
      <c r="E94" s="27"/>
      <c r="F94" s="102"/>
      <c r="G94" s="102"/>
      <c r="H94" s="111" t="s">
        <v>7</v>
      </c>
      <c r="I94" s="111"/>
      <c r="J94" s="109"/>
      <c r="K94" s="36">
        <f>SUM(K91:K93)</f>
        <v>1946.2961500000001</v>
      </c>
      <c r="L94" s="24"/>
      <c r="M94" s="84" t="s">
        <v>21</v>
      </c>
      <c r="N94" s="105"/>
      <c r="O94" s="39">
        <f>SUM(O92:O93)</f>
        <v>14.566666666666666</v>
      </c>
      <c r="P94" s="112"/>
      <c r="Q94" s="112"/>
      <c r="R94" s="164"/>
      <c r="S94" s="164"/>
      <c r="T94" s="106"/>
      <c r="U94" s="89" t="s">
        <v>14</v>
      </c>
      <c r="V94" s="85">
        <f>K98*(K99*2)*0.45</f>
        <v>41.4</v>
      </c>
      <c r="AT94" s="64"/>
      <c r="AU94" s="64"/>
    </row>
    <row r="95" spans="1:50" ht="17" thickTop="1" thickBot="1" x14ac:dyDescent="0.25">
      <c r="A95" s="76" t="str">
        <f t="shared" si="63"/>
        <v/>
      </c>
      <c r="B95" s="32"/>
      <c r="C95" s="101"/>
      <c r="D95" s="101"/>
      <c r="E95" s="28"/>
      <c r="F95" s="29"/>
      <c r="G95" s="29"/>
      <c r="H95" s="30" t="s">
        <v>8</v>
      </c>
      <c r="I95" s="111"/>
      <c r="J95" s="109"/>
      <c r="K95" s="37">
        <f>K94*0.2</f>
        <v>389.25923000000006</v>
      </c>
      <c r="L95" s="24"/>
      <c r="M95" s="84"/>
      <c r="N95" s="105"/>
      <c r="O95" s="105"/>
      <c r="P95" s="105"/>
      <c r="Q95" s="105"/>
      <c r="R95" s="105"/>
      <c r="S95" s="105"/>
      <c r="T95" s="109"/>
      <c r="U95" s="89" t="s">
        <v>18</v>
      </c>
      <c r="V95" s="85">
        <f>U92+V92+V94</f>
        <v>1109.3430000000001</v>
      </c>
      <c r="AS95" s="65"/>
      <c r="AT95" s="64"/>
      <c r="AU95" s="64"/>
    </row>
    <row r="96" spans="1:50" ht="17" thickTop="1" thickBot="1" x14ac:dyDescent="0.25">
      <c r="A96" s="76" t="str">
        <f t="shared" si="63"/>
        <v/>
      </c>
      <c r="B96" s="32"/>
      <c r="C96" s="101"/>
      <c r="D96" s="101"/>
      <c r="E96" s="28"/>
      <c r="F96" s="29"/>
      <c r="G96" s="29"/>
      <c r="H96" s="31" t="s">
        <v>12</v>
      </c>
      <c r="I96" s="289"/>
      <c r="J96" s="109"/>
      <c r="K96" s="38">
        <f>SUM(K94:K95)</f>
        <v>2335.5553800000002</v>
      </c>
      <c r="L96" s="24"/>
      <c r="M96" s="93"/>
      <c r="N96" s="94"/>
      <c r="O96" s="94"/>
      <c r="P96" s="94"/>
      <c r="Q96" s="94"/>
      <c r="R96" s="94"/>
      <c r="S96" s="94"/>
      <c r="T96" s="35"/>
      <c r="U96" s="90"/>
      <c r="V96" s="88"/>
      <c r="AS96" s="65"/>
      <c r="AT96" s="64"/>
      <c r="AU96" s="64"/>
    </row>
    <row r="97" spans="1:47" ht="10.5" customHeight="1" thickBot="1" x14ac:dyDescent="0.25">
      <c r="A97" s="76" t="str">
        <f t="shared" si="63"/>
        <v/>
      </c>
      <c r="B97" s="32"/>
      <c r="C97" s="101"/>
      <c r="D97" s="101"/>
      <c r="E97" s="32"/>
      <c r="F97" s="102"/>
      <c r="G97" s="102"/>
      <c r="H97" s="109"/>
      <c r="I97" s="109"/>
      <c r="J97" s="109"/>
      <c r="K97" s="109"/>
      <c r="L97" s="196"/>
      <c r="M97" s="450" t="s">
        <v>110</v>
      </c>
      <c r="N97" s="451"/>
      <c r="O97" s="451"/>
      <c r="P97" s="451"/>
      <c r="Q97" s="451"/>
      <c r="R97" s="451"/>
      <c r="S97" s="451"/>
      <c r="T97" s="451"/>
      <c r="U97" s="451"/>
      <c r="V97" s="452"/>
      <c r="AS97" s="65"/>
      <c r="AT97" s="64"/>
      <c r="AU97" s="64"/>
    </row>
    <row r="98" spans="1:47" ht="22" customHeight="1" thickBot="1" x14ac:dyDescent="0.25">
      <c r="A98" s="76" t="str">
        <f t="shared" si="63"/>
        <v/>
      </c>
      <c r="B98" s="32"/>
      <c r="C98" s="101"/>
      <c r="D98" s="101"/>
      <c r="E98" s="32"/>
      <c r="F98" s="102"/>
      <c r="G98" s="102"/>
      <c r="H98" s="109"/>
      <c r="I98" s="109"/>
      <c r="J98" s="105" t="s">
        <v>15</v>
      </c>
      <c r="K98" s="74">
        <f>(ROUNDUP((O92/6.5)/K100,0))</f>
        <v>2</v>
      </c>
      <c r="L98" s="101"/>
      <c r="M98" s="453"/>
      <c r="N98" s="454"/>
      <c r="O98" s="454"/>
      <c r="P98" s="454"/>
      <c r="Q98" s="454"/>
      <c r="R98" s="454"/>
      <c r="S98" s="454"/>
      <c r="T98" s="454"/>
      <c r="U98" s="454"/>
      <c r="V98" s="455"/>
      <c r="AS98" s="65"/>
      <c r="AT98" s="64"/>
      <c r="AU98" s="64"/>
    </row>
    <row r="99" spans="1:47" ht="22" customHeight="1" thickBot="1" x14ac:dyDescent="0.25">
      <c r="A99" s="76" t="str">
        <f t="shared" si="63"/>
        <v/>
      </c>
      <c r="B99" s="32"/>
      <c r="C99" s="101"/>
      <c r="D99" s="101"/>
      <c r="E99" s="32"/>
      <c r="F99" s="102"/>
      <c r="G99" s="102"/>
      <c r="H99" s="109"/>
      <c r="I99" s="109"/>
      <c r="J99" s="105" t="s">
        <v>28</v>
      </c>
      <c r="K99" s="177">
        <f>IF([1]Details!$C$12=0,"",[1]Details!$C$12)</f>
        <v>23</v>
      </c>
      <c r="L99" s="101"/>
      <c r="M99" s="489" t="s">
        <v>111</v>
      </c>
      <c r="N99" s="490"/>
      <c r="O99" s="490"/>
      <c r="P99" s="490"/>
      <c r="Q99" s="490"/>
      <c r="R99" s="490"/>
      <c r="S99" s="456" t="s">
        <v>104</v>
      </c>
      <c r="T99" s="456"/>
      <c r="U99" s="494">
        <f>SUMIFS('CF CSV Upload'!P:P,'CF CSV Upload'!L:L,"No",'CF CSV Upload'!Q:Q,"Yes")</f>
        <v>1946.2961500000004</v>
      </c>
      <c r="V99" s="495"/>
      <c r="AS99" s="65"/>
      <c r="AT99" s="62">
        <f>IF(K99&lt;&gt;"",1,0)</f>
        <v>1</v>
      </c>
      <c r="AU99" s="62">
        <f>IF(AND(SUM(AT:AT)&gt;0,K99=""),1,0)</f>
        <v>0</v>
      </c>
    </row>
    <row r="100" spans="1:47" ht="22" customHeight="1" thickBot="1" x14ac:dyDescent="0.25">
      <c r="A100" s="76" t="str">
        <f t="shared" si="63"/>
        <v/>
      </c>
      <c r="B100" s="32"/>
      <c r="C100" s="101"/>
      <c r="D100" s="101"/>
      <c r="E100" s="32"/>
      <c r="F100" s="102"/>
      <c r="G100" s="102"/>
      <c r="H100" s="109"/>
      <c r="I100" s="109"/>
      <c r="J100" s="105" t="s">
        <v>25</v>
      </c>
      <c r="K100" s="333">
        <v>1</v>
      </c>
      <c r="L100" s="101"/>
      <c r="M100" s="489"/>
      <c r="N100" s="490"/>
      <c r="O100" s="490"/>
      <c r="P100" s="490"/>
      <c r="Q100" s="490"/>
      <c r="R100" s="490"/>
      <c r="S100" s="456" t="s">
        <v>112</v>
      </c>
      <c r="T100" s="456"/>
      <c r="U100" s="494">
        <f>U99*0.2</f>
        <v>389.25923000000012</v>
      </c>
      <c r="V100" s="495"/>
      <c r="AS100" s="65"/>
      <c r="AT100" s="62">
        <f>IF(K100&lt;&gt;"",1,0)</f>
        <v>1</v>
      </c>
      <c r="AU100" s="62">
        <f>IF(AND(SUM(AT:AT)&gt;0,K100=""),1,0)</f>
        <v>0</v>
      </c>
    </row>
    <row r="101" spans="1:47" ht="23.25" customHeight="1" thickBot="1" x14ac:dyDescent="0.25">
      <c r="A101" s="76" t="str">
        <f t="shared" si="63"/>
        <v/>
      </c>
      <c r="B101" s="93"/>
      <c r="C101" s="46"/>
      <c r="D101" s="46"/>
      <c r="E101" s="33"/>
      <c r="F101" s="34"/>
      <c r="G101" s="34"/>
      <c r="H101" s="35"/>
      <c r="I101" s="35"/>
      <c r="J101" s="35"/>
      <c r="K101" s="35"/>
      <c r="L101" s="195"/>
      <c r="M101" s="491"/>
      <c r="N101" s="492"/>
      <c r="O101" s="492"/>
      <c r="P101" s="492"/>
      <c r="Q101" s="492"/>
      <c r="R101" s="492"/>
      <c r="S101" s="493" t="s">
        <v>23</v>
      </c>
      <c r="T101" s="493"/>
      <c r="U101" s="496">
        <f>U99+U100</f>
        <v>2335.5553800000007</v>
      </c>
      <c r="V101" s="497"/>
      <c r="AS101" s="65"/>
      <c r="AT101" s="64"/>
      <c r="AU101" s="64"/>
    </row>
    <row r="102" spans="1:47" ht="16" thickBot="1" x14ac:dyDescent="0.25">
      <c r="N102" s="4"/>
      <c r="V102" s="331"/>
      <c r="AE102" s="1"/>
      <c r="AF102" s="1"/>
      <c r="AH102"/>
      <c r="AS102" s="65"/>
    </row>
    <row r="103" spans="1:47" ht="16" thickBot="1" x14ac:dyDescent="0.25">
      <c r="A103" s="270" t="str">
        <f t="shared" ref="A103" si="77">IF(AU103=1,"X","")</f>
        <v/>
      </c>
      <c r="B103" s="457" t="s">
        <v>404</v>
      </c>
      <c r="C103" s="458"/>
      <c r="D103" s="458"/>
      <c r="E103" s="458"/>
      <c r="F103" s="380" t="s">
        <v>402</v>
      </c>
      <c r="G103" s="381"/>
      <c r="H103" s="381"/>
      <c r="I103" s="381"/>
      <c r="J103" s="381"/>
      <c r="K103" s="381"/>
      <c r="L103" s="382"/>
      <c r="M103" s="383" t="s">
        <v>405</v>
      </c>
      <c r="N103" s="384"/>
      <c r="O103" s="384"/>
      <c r="P103" s="384"/>
      <c r="Q103" s="384"/>
      <c r="R103" s="384"/>
      <c r="S103" s="384"/>
      <c r="T103" s="384"/>
      <c r="U103" s="384"/>
      <c r="V103" s="385"/>
      <c r="X103" s="82"/>
      <c r="Y103" s="82"/>
      <c r="Z103" s="63"/>
      <c r="AA103" s="63"/>
      <c r="AB103" s="63"/>
      <c r="AC103" s="82"/>
      <c r="AD103" s="82"/>
      <c r="AE103" s="63"/>
      <c r="AF103" s="63"/>
      <c r="AH103"/>
      <c r="AT103" s="62">
        <f>IF(F103&lt;&gt;"",1,0)</f>
        <v>1</v>
      </c>
      <c r="AU103" s="62">
        <f>IF(AND(SUM(AT:AT)&gt;0,F103=""),1,0)</f>
        <v>0</v>
      </c>
    </row>
    <row r="104" spans="1:47" ht="22" customHeight="1" thickBot="1" x14ac:dyDescent="0.25">
      <c r="B104" s="386" t="s">
        <v>29</v>
      </c>
      <c r="C104" s="386"/>
      <c r="D104" s="386"/>
      <c r="E104" s="386"/>
      <c r="F104" s="386"/>
      <c r="G104" s="386"/>
      <c r="H104" s="386"/>
      <c r="I104" s="386"/>
      <c r="J104" s="386"/>
      <c r="K104" s="386"/>
      <c r="L104" s="386"/>
      <c r="N104" s="4"/>
      <c r="O104" s="4"/>
      <c r="P104" s="4"/>
      <c r="Q104" s="4"/>
      <c r="AS104" s="65"/>
    </row>
    <row r="105" spans="1:47" ht="25.5" customHeight="1" x14ac:dyDescent="0.2">
      <c r="C105" s="433" t="s">
        <v>406</v>
      </c>
      <c r="D105" s="433" t="s">
        <v>81</v>
      </c>
      <c r="E105" s="433" t="s">
        <v>95</v>
      </c>
      <c r="F105" s="435" t="s">
        <v>24</v>
      </c>
      <c r="G105" s="436"/>
      <c r="H105" s="436"/>
      <c r="I105" s="436"/>
      <c r="J105" s="436"/>
      <c r="K105" s="437"/>
      <c r="N105" s="4"/>
      <c r="AS105" s="65"/>
    </row>
    <row r="106" spans="1:47" s="44" customFormat="1" ht="32.25" customHeight="1" x14ac:dyDescent="0.2">
      <c r="C106" s="434"/>
      <c r="D106" s="434"/>
      <c r="E106" s="434"/>
      <c r="F106" s="169" t="s">
        <v>2</v>
      </c>
      <c r="G106" s="170"/>
      <c r="H106" s="170" t="s">
        <v>22</v>
      </c>
      <c r="I106" s="170"/>
      <c r="J106" s="171" t="s">
        <v>27</v>
      </c>
      <c r="K106" s="172" t="s">
        <v>23</v>
      </c>
      <c r="L106" s="41"/>
      <c r="N106" s="41"/>
      <c r="O106" s="42"/>
      <c r="P106" s="42"/>
      <c r="Q106" s="42"/>
      <c r="R106" s="41"/>
      <c r="S106" s="41"/>
      <c r="T106" s="43"/>
      <c r="V106" s="45"/>
      <c r="AS106" s="65"/>
      <c r="AT106" s="67"/>
      <c r="AU106" s="67"/>
    </row>
    <row r="107" spans="1:47" s="2" customFormat="1" thickBot="1" x14ac:dyDescent="0.25">
      <c r="C107" s="332">
        <f>D107</f>
        <v>30.63</v>
      </c>
      <c r="D107" s="168">
        <v>30.63</v>
      </c>
      <c r="E107" s="168">
        <v>28</v>
      </c>
      <c r="F107" s="173">
        <f>O93</f>
        <v>3.0666666666666669</v>
      </c>
      <c r="G107" s="162"/>
      <c r="H107" s="146">
        <f>F107*D107</f>
        <v>93.932000000000002</v>
      </c>
      <c r="I107" s="146"/>
      <c r="J107" s="174">
        <v>0.5</v>
      </c>
      <c r="K107" s="144">
        <f>(F107*C107)+(K98*K99*2)*J107</f>
        <v>139.93200000000002</v>
      </c>
      <c r="L107" s="6"/>
      <c r="N107" s="4"/>
      <c r="O107" s="5"/>
      <c r="P107" s="5"/>
      <c r="Q107" s="5"/>
      <c r="R107" s="4"/>
      <c r="S107" s="4"/>
      <c r="V107" s="3"/>
      <c r="AS107" s="65"/>
      <c r="AT107" s="67"/>
      <c r="AU107" s="67"/>
    </row>
    <row r="108" spans="1:47" x14ac:dyDescent="0.2">
      <c r="N108" s="4"/>
      <c r="AS108" s="65"/>
    </row>
    <row r="109" spans="1:47" x14ac:dyDescent="0.2">
      <c r="N109" s="4"/>
      <c r="AS109" s="65"/>
    </row>
    <row r="110" spans="1:47" x14ac:dyDescent="0.2">
      <c r="N110" s="4"/>
      <c r="AS110" s="65"/>
    </row>
    <row r="111" spans="1:47" x14ac:dyDescent="0.2">
      <c r="N111" s="4"/>
      <c r="AS111" s="65"/>
    </row>
    <row r="112" spans="1:47" x14ac:dyDescent="0.2">
      <c r="N112" s="4"/>
      <c r="AS112" s="65"/>
    </row>
    <row r="113" spans="14:45" x14ac:dyDescent="0.2">
      <c r="N113" s="4"/>
      <c r="AS113" s="65"/>
    </row>
    <row r="114" spans="14:45" x14ac:dyDescent="0.2">
      <c r="N114" s="4"/>
      <c r="AS114" s="65"/>
    </row>
    <row r="115" spans="14:45" x14ac:dyDescent="0.2">
      <c r="N115" s="4"/>
      <c r="AS115" s="65"/>
    </row>
    <row r="116" spans="14:45" x14ac:dyDescent="0.2">
      <c r="N116" s="4"/>
      <c r="AS116" s="65"/>
    </row>
    <row r="117" spans="14:45" x14ac:dyDescent="0.2">
      <c r="N117" s="4"/>
      <c r="AS117" s="65"/>
    </row>
    <row r="118" spans="14:45" ht="15" customHeight="1" x14ac:dyDescent="0.2">
      <c r="N118" s="4"/>
    </row>
    <row r="119" spans="14:45" x14ac:dyDescent="0.2">
      <c r="N119" s="4"/>
      <c r="AS119" s="65"/>
    </row>
    <row r="120" spans="14:45" x14ac:dyDescent="0.2">
      <c r="N120" s="4"/>
      <c r="AS120" s="65"/>
    </row>
    <row r="121" spans="14:45" x14ac:dyDescent="0.2">
      <c r="N121" s="4"/>
      <c r="AS121" s="65"/>
    </row>
    <row r="122" spans="14:45" x14ac:dyDescent="0.2">
      <c r="N122" s="4"/>
      <c r="AS122" s="65"/>
    </row>
    <row r="123" spans="14:45" x14ac:dyDescent="0.2">
      <c r="N123" s="4"/>
      <c r="AS123" s="65"/>
    </row>
    <row r="124" spans="14:45" x14ac:dyDescent="0.2">
      <c r="N124" s="4"/>
      <c r="AS124" s="65"/>
    </row>
    <row r="125" spans="14:45" x14ac:dyDescent="0.2">
      <c r="N125" s="4"/>
      <c r="AS125" s="65"/>
    </row>
    <row r="126" spans="14:45" x14ac:dyDescent="0.2">
      <c r="N126" s="4"/>
      <c r="AS126" s="65"/>
    </row>
    <row r="127" spans="14:45" x14ac:dyDescent="0.2">
      <c r="N127" s="4"/>
      <c r="AS127" s="65"/>
    </row>
    <row r="128" spans="14:45" x14ac:dyDescent="0.2">
      <c r="N128" s="4"/>
      <c r="AS128" s="65"/>
    </row>
    <row r="129" spans="14:45" x14ac:dyDescent="0.2">
      <c r="N129" s="4"/>
      <c r="AS129" s="65"/>
    </row>
    <row r="130" spans="14:45" x14ac:dyDescent="0.2">
      <c r="N130" s="4"/>
      <c r="AS130" s="65"/>
    </row>
    <row r="131" spans="14:45" x14ac:dyDescent="0.2">
      <c r="N131" s="4"/>
    </row>
    <row r="132" spans="14:45" x14ac:dyDescent="0.2">
      <c r="N132" s="4"/>
    </row>
    <row r="133" spans="14:45" x14ac:dyDescent="0.2">
      <c r="N133" s="4"/>
    </row>
    <row r="134" spans="14:45" x14ac:dyDescent="0.2">
      <c r="N134" s="4"/>
    </row>
    <row r="135" spans="14:45" x14ac:dyDescent="0.2">
      <c r="N135" s="4"/>
    </row>
    <row r="136" spans="14:45" x14ac:dyDescent="0.2">
      <c r="N136" s="4"/>
    </row>
    <row r="137" spans="14:45" x14ac:dyDescent="0.2">
      <c r="N137" s="4"/>
      <c r="AS137" s="66"/>
    </row>
    <row r="138" spans="14:45" x14ac:dyDescent="0.2">
      <c r="N138" s="4"/>
      <c r="AS138" s="66"/>
    </row>
    <row r="139" spans="14:45" x14ac:dyDescent="0.2">
      <c r="N139" s="4"/>
      <c r="AS139" s="66"/>
    </row>
    <row r="140" spans="14:45" x14ac:dyDescent="0.2">
      <c r="N140" s="4"/>
      <c r="AS140" s="66"/>
    </row>
    <row r="141" spans="14:45" x14ac:dyDescent="0.2">
      <c r="N141" s="4"/>
      <c r="AS141" s="66"/>
    </row>
    <row r="142" spans="14:45" x14ac:dyDescent="0.2">
      <c r="N142" s="4"/>
      <c r="AS142" s="66"/>
    </row>
    <row r="143" spans="14:45" x14ac:dyDescent="0.2">
      <c r="N143" s="4"/>
      <c r="AS143" s="66"/>
    </row>
    <row r="144" spans="14:45" x14ac:dyDescent="0.2">
      <c r="N144" s="4"/>
      <c r="AS144" s="66"/>
    </row>
    <row r="145" spans="14:45" x14ac:dyDescent="0.2">
      <c r="N145" s="4"/>
      <c r="AS145" s="66"/>
    </row>
    <row r="146" spans="14:45" x14ac:dyDescent="0.2">
      <c r="N146" s="4"/>
      <c r="AS146"/>
    </row>
    <row r="147" spans="14:45" x14ac:dyDescent="0.2">
      <c r="N147" s="4"/>
    </row>
    <row r="148" spans="14:45" x14ac:dyDescent="0.2">
      <c r="N148" s="4"/>
    </row>
    <row r="149" spans="14:45" x14ac:dyDescent="0.2">
      <c r="N149" s="4"/>
    </row>
    <row r="150" spans="14:45" x14ac:dyDescent="0.2">
      <c r="N150" s="4"/>
    </row>
    <row r="151" spans="14:45" x14ac:dyDescent="0.2">
      <c r="N151" s="4"/>
    </row>
    <row r="152" spans="14:45" x14ac:dyDescent="0.2">
      <c r="N152" s="4"/>
    </row>
    <row r="153" spans="14:45" x14ac:dyDescent="0.2">
      <c r="N153" s="4"/>
    </row>
    <row r="154" spans="14:45" x14ac:dyDescent="0.2">
      <c r="N154" s="4"/>
    </row>
    <row r="155" spans="14:45" x14ac:dyDescent="0.2">
      <c r="N155" s="4"/>
    </row>
    <row r="156" spans="14:45" x14ac:dyDescent="0.2">
      <c r="N156" s="4"/>
    </row>
    <row r="157" spans="14:45" x14ac:dyDescent="0.2">
      <c r="N157" s="4"/>
    </row>
    <row r="158" spans="14:45" x14ac:dyDescent="0.2">
      <c r="N158" s="4"/>
    </row>
    <row r="159" spans="14:45" x14ac:dyDescent="0.2">
      <c r="N159" s="4"/>
    </row>
    <row r="160" spans="14:45" x14ac:dyDescent="0.2">
      <c r="N160" s="4"/>
    </row>
    <row r="161" spans="14:14" x14ac:dyDescent="0.2">
      <c r="N161" s="4"/>
    </row>
    <row r="162" spans="14:14" x14ac:dyDescent="0.2">
      <c r="N162" s="4"/>
    </row>
    <row r="163" spans="14:14" x14ac:dyDescent="0.2">
      <c r="N163" s="4"/>
    </row>
    <row r="164" spans="14:14" x14ac:dyDescent="0.2">
      <c r="N164" s="4"/>
    </row>
    <row r="165" spans="14:14" x14ac:dyDescent="0.2">
      <c r="N165" s="4"/>
    </row>
    <row r="166" spans="14:14" x14ac:dyDescent="0.2">
      <c r="N166" s="4"/>
    </row>
    <row r="167" spans="14:14" x14ac:dyDescent="0.2">
      <c r="N167" s="4"/>
    </row>
    <row r="168" spans="14:14" x14ac:dyDescent="0.2">
      <c r="N168" s="4"/>
    </row>
    <row r="169" spans="14:14" x14ac:dyDescent="0.2">
      <c r="N169" s="4"/>
    </row>
    <row r="170" spans="14:14" x14ac:dyDescent="0.2">
      <c r="N170" s="4"/>
    </row>
    <row r="171" spans="14:14" x14ac:dyDescent="0.2">
      <c r="N171" s="4"/>
    </row>
    <row r="172" spans="14:14" x14ac:dyDescent="0.2">
      <c r="N172" s="4"/>
    </row>
    <row r="173" spans="14:14" x14ac:dyDescent="0.2">
      <c r="N173" s="4"/>
    </row>
    <row r="174" spans="14:14" x14ac:dyDescent="0.2">
      <c r="N174" s="4"/>
    </row>
    <row r="175" spans="14:14" x14ac:dyDescent="0.2">
      <c r="N175" s="4"/>
    </row>
    <row r="176" spans="14:14" x14ac:dyDescent="0.2">
      <c r="N176" s="4"/>
    </row>
    <row r="177" spans="14:14" x14ac:dyDescent="0.2">
      <c r="N177" s="4"/>
    </row>
    <row r="178" spans="14:14" x14ac:dyDescent="0.2">
      <c r="N178" s="4"/>
    </row>
    <row r="179" spans="14:14" x14ac:dyDescent="0.2">
      <c r="N179" s="4"/>
    </row>
    <row r="180" spans="14:14" x14ac:dyDescent="0.2">
      <c r="N180" s="4"/>
    </row>
    <row r="181" spans="14:14" x14ac:dyDescent="0.2">
      <c r="N181" s="4"/>
    </row>
  </sheetData>
  <sheetProtection formatRows="0" autoFilter="0"/>
  <mergeCells count="151">
    <mergeCell ref="C105:C106"/>
    <mergeCell ref="B78:E78"/>
    <mergeCell ref="B79:E79"/>
    <mergeCell ref="M71:N71"/>
    <mergeCell ref="B65:H65"/>
    <mergeCell ref="B73:E73"/>
    <mergeCell ref="M73:T73"/>
    <mergeCell ref="U73:V73"/>
    <mergeCell ref="B74:E74"/>
    <mergeCell ref="B75:E75"/>
    <mergeCell ref="M75:N75"/>
    <mergeCell ref="B77:E77"/>
    <mergeCell ref="M77:T77"/>
    <mergeCell ref="U77:V77"/>
    <mergeCell ref="B70:E70"/>
    <mergeCell ref="M69:T69"/>
    <mergeCell ref="U69:V69"/>
    <mergeCell ref="U65:V65"/>
    <mergeCell ref="S100:T100"/>
    <mergeCell ref="M99:R101"/>
    <mergeCell ref="S101:T101"/>
    <mergeCell ref="U99:V99"/>
    <mergeCell ref="U100:V100"/>
    <mergeCell ref="U101:V101"/>
    <mergeCell ref="B63:E63"/>
    <mergeCell ref="B52:E52"/>
    <mergeCell ref="B47:E47"/>
    <mergeCell ref="M54:N54"/>
    <mergeCell ref="B56:K56"/>
    <mergeCell ref="M56:T56"/>
    <mergeCell ref="B58:E58"/>
    <mergeCell ref="B59:E59"/>
    <mergeCell ref="M59:N59"/>
    <mergeCell ref="M91:T91"/>
    <mergeCell ref="U91:V91"/>
    <mergeCell ref="U56:V56"/>
    <mergeCell ref="U87:V87"/>
    <mergeCell ref="B87:F87"/>
    <mergeCell ref="B90:F90"/>
    <mergeCell ref="B88:E88"/>
    <mergeCell ref="B23:E23"/>
    <mergeCell ref="B24:E24"/>
    <mergeCell ref="B29:E29"/>
    <mergeCell ref="B30:E30"/>
    <mergeCell ref="B31:E31"/>
    <mergeCell ref="B32:E32"/>
    <mergeCell ref="B33:E33"/>
    <mergeCell ref="B34:E34"/>
    <mergeCell ref="B35:E35"/>
    <mergeCell ref="B36:E36"/>
    <mergeCell ref="B37:E37"/>
    <mergeCell ref="B38:E38"/>
    <mergeCell ref="B39:E39"/>
    <mergeCell ref="B40:E40"/>
    <mergeCell ref="B41:E41"/>
    <mergeCell ref="B44:K44"/>
    <mergeCell ref="M44:T44"/>
    <mergeCell ref="B81:E81"/>
    <mergeCell ref="B82:E82"/>
    <mergeCell ref="B83:E83"/>
    <mergeCell ref="U27:V27"/>
    <mergeCell ref="M42:N42"/>
    <mergeCell ref="B61:K61"/>
    <mergeCell ref="M61:T61"/>
    <mergeCell ref="U61:V61"/>
    <mergeCell ref="B67:E67"/>
    <mergeCell ref="U44:V44"/>
    <mergeCell ref="B48:E48"/>
    <mergeCell ref="B49:E49"/>
    <mergeCell ref="M49:N49"/>
    <mergeCell ref="B51:K51"/>
    <mergeCell ref="M51:T51"/>
    <mergeCell ref="U51:V51"/>
    <mergeCell ref="B45:E45"/>
    <mergeCell ref="B28:E28"/>
    <mergeCell ref="B46:E46"/>
    <mergeCell ref="B66:E66"/>
    <mergeCell ref="M67:N67"/>
    <mergeCell ref="M65:T65"/>
    <mergeCell ref="B62:E62"/>
    <mergeCell ref="B69:E69"/>
    <mergeCell ref="E105:E106"/>
    <mergeCell ref="F105:K105"/>
    <mergeCell ref="M25:N25"/>
    <mergeCell ref="B27:K27"/>
    <mergeCell ref="B20:K20"/>
    <mergeCell ref="M20:T20"/>
    <mergeCell ref="M27:T27"/>
    <mergeCell ref="D105:D106"/>
    <mergeCell ref="E92:G92"/>
    <mergeCell ref="M87:T87"/>
    <mergeCell ref="E91:F91"/>
    <mergeCell ref="M97:V98"/>
    <mergeCell ref="S99:T99"/>
    <mergeCell ref="B103:E103"/>
    <mergeCell ref="B85:E85"/>
    <mergeCell ref="M79:N79"/>
    <mergeCell ref="M63:N63"/>
    <mergeCell ref="B84:E84"/>
    <mergeCell ref="M81:T81"/>
    <mergeCell ref="U81:V81"/>
    <mergeCell ref="M85:N85"/>
    <mergeCell ref="B57:E57"/>
    <mergeCell ref="B53:E53"/>
    <mergeCell ref="B54:E54"/>
    <mergeCell ref="B9:D9"/>
    <mergeCell ref="E9:M9"/>
    <mergeCell ref="J17:J18"/>
    <mergeCell ref="K17:K18"/>
    <mergeCell ref="M17:M18"/>
    <mergeCell ref="R17:R18"/>
    <mergeCell ref="S17:S18"/>
    <mergeCell ref="B25:E25"/>
    <mergeCell ref="B16:V16"/>
    <mergeCell ref="U20:V20"/>
    <mergeCell ref="V17:V18"/>
    <mergeCell ref="U17:U18"/>
    <mergeCell ref="F17:F18"/>
    <mergeCell ref="B17:E18"/>
    <mergeCell ref="B21:E21"/>
    <mergeCell ref="I17:I18"/>
    <mergeCell ref="P17:P18"/>
    <mergeCell ref="Q17:Q18"/>
    <mergeCell ref="N17:N18"/>
    <mergeCell ref="O17:O18"/>
    <mergeCell ref="T17:T18"/>
    <mergeCell ref="H17:H18"/>
    <mergeCell ref="F103:L103"/>
    <mergeCell ref="M103:V103"/>
    <mergeCell ref="B104:L104"/>
    <mergeCell ref="B1:D1"/>
    <mergeCell ref="E1:V1"/>
    <mergeCell ref="B22:E22"/>
    <mergeCell ref="B14:D14"/>
    <mergeCell ref="E14:M14"/>
    <mergeCell ref="B8:D8"/>
    <mergeCell ref="E8:M8"/>
    <mergeCell ref="B71:E71"/>
    <mergeCell ref="G17:G18"/>
    <mergeCell ref="B42:E42"/>
    <mergeCell ref="B3:M3"/>
    <mergeCell ref="B4:D4"/>
    <mergeCell ref="E4:M4"/>
    <mergeCell ref="B11:D11"/>
    <mergeCell ref="E11:M11"/>
    <mergeCell ref="B13:M13"/>
    <mergeCell ref="B6:M6"/>
    <mergeCell ref="B7:D7"/>
    <mergeCell ref="E7:M7"/>
    <mergeCell ref="B10:D10"/>
    <mergeCell ref="E10:M10"/>
  </mergeCells>
  <conditionalFormatting sqref="E1">
    <cfRule type="cellIs" dxfId="37" priority="50" operator="equal">
      <formula>"SHEET NOT COMPLETE"</formula>
    </cfRule>
    <cfRule type="cellIs" dxfId="36" priority="49" operator="equal">
      <formula>"SHEET COMPLETE"</formula>
    </cfRule>
  </conditionalFormatting>
  <conditionalFormatting sqref="F19">
    <cfRule type="cellIs" dxfId="35" priority="47" operator="greaterThan">
      <formula>0</formula>
    </cfRule>
    <cfRule type="cellIs" dxfId="34" priority="48" operator="lessThan">
      <formula>0</formula>
    </cfRule>
  </conditionalFormatting>
  <conditionalFormatting sqref="F25:F26">
    <cfRule type="cellIs" dxfId="33" priority="21" operator="greaterThan">
      <formula>0</formula>
    </cfRule>
    <cfRule type="cellIs" dxfId="32" priority="22" operator="lessThan">
      <formula>0</formula>
    </cfRule>
  </conditionalFormatting>
  <conditionalFormatting sqref="F42:F43">
    <cfRule type="cellIs" dxfId="31" priority="19" operator="greaterThan">
      <formula>0</formula>
    </cfRule>
    <cfRule type="cellIs" dxfId="30" priority="20" operator="lessThan">
      <formula>0</formula>
    </cfRule>
  </conditionalFormatting>
  <conditionalFormatting sqref="F49:F50">
    <cfRule type="cellIs" dxfId="29" priority="17" operator="greaterThan">
      <formula>0</formula>
    </cfRule>
    <cfRule type="cellIs" dxfId="28" priority="18" operator="lessThan">
      <formula>0</formula>
    </cfRule>
  </conditionalFormatting>
  <conditionalFormatting sqref="F54:F55">
    <cfRule type="cellIs" dxfId="27" priority="15" operator="greaterThan">
      <formula>0</formula>
    </cfRule>
    <cfRule type="cellIs" dxfId="26" priority="16" operator="lessThan">
      <formula>0</formula>
    </cfRule>
  </conditionalFormatting>
  <conditionalFormatting sqref="F59:F60">
    <cfRule type="cellIs" dxfId="25" priority="14" operator="lessThan">
      <formula>0</formula>
    </cfRule>
    <cfRule type="cellIs" dxfId="24" priority="13" operator="greaterThan">
      <formula>0</formula>
    </cfRule>
  </conditionalFormatting>
  <conditionalFormatting sqref="F63:F64">
    <cfRule type="cellIs" dxfId="23" priority="11" operator="greaterThan">
      <formula>0</formula>
    </cfRule>
    <cfRule type="cellIs" dxfId="22" priority="12" operator="lessThan">
      <formula>0</formula>
    </cfRule>
  </conditionalFormatting>
  <conditionalFormatting sqref="F67:F68">
    <cfRule type="cellIs" dxfId="21" priority="9" operator="greaterThan">
      <formula>0</formula>
    </cfRule>
    <cfRule type="cellIs" dxfId="20" priority="10" operator="lessThan">
      <formula>0</formula>
    </cfRule>
  </conditionalFormatting>
  <conditionalFormatting sqref="F71:F72">
    <cfRule type="cellIs" dxfId="19" priority="7" operator="greaterThan">
      <formula>0</formula>
    </cfRule>
    <cfRule type="cellIs" dxfId="18" priority="8" operator="lessThan">
      <formula>0</formula>
    </cfRule>
  </conditionalFormatting>
  <conditionalFormatting sqref="F75:F76">
    <cfRule type="cellIs" dxfId="17" priority="5" operator="greaterThan">
      <formula>0</formula>
    </cfRule>
    <cfRule type="cellIs" dxfId="16" priority="6" operator="lessThan">
      <formula>0</formula>
    </cfRule>
  </conditionalFormatting>
  <conditionalFormatting sqref="F79:F80">
    <cfRule type="cellIs" dxfId="15" priority="4" operator="lessThan">
      <formula>0</formula>
    </cfRule>
    <cfRule type="cellIs" dxfId="14" priority="3" operator="greaterThan">
      <formula>0</formula>
    </cfRule>
  </conditionalFormatting>
  <conditionalFormatting sqref="F85:F86">
    <cfRule type="cellIs" dxfId="13" priority="1" operator="greaterThan">
      <formula>0</formula>
    </cfRule>
    <cfRule type="cellIs" dxfId="12" priority="2" operator="lessThan">
      <formula>0</formula>
    </cfRule>
  </conditionalFormatting>
  <conditionalFormatting sqref="F89">
    <cfRule type="cellIs" dxfId="11" priority="24" operator="lessThan">
      <formula>0</formula>
    </cfRule>
    <cfRule type="cellIs" dxfId="10" priority="23" operator="greaterThan">
      <formula>0</formula>
    </cfRule>
  </conditionalFormatting>
  <dataValidations count="1">
    <dataValidation type="list" allowBlank="1" showInputMessage="1" showErrorMessage="1" sqref="F103:L103" xr:uid="{AC9811EF-D2E0-4949-AB02-019483346591}">
      <formula1>"Image 1: Default or Miscellaneous, Image 2: Single Male (Young), Image 3: Single Male (Elderly), Image 4: Single Female (Young), Image 5: Single Female (Elderly), Image 6: Young Couple, Image 7: Elderly Couple, Image 8: Family"</formula1>
    </dataValidation>
  </dataValidations>
  <hyperlinks>
    <hyperlink ref="M103:V103" location="'Estimate Coversheet Images'!A1" display="View Images (this link will take you to the the Estimates Coversheet Images Tab)" xr:uid="{D5C8C024-CD17-4208-B5E5-127C14168799}"/>
  </hyperlinks>
  <printOptions horizontalCentered="1" verticalCentered="1"/>
  <pageMargins left="0.25" right="0.25" top="0.75" bottom="0.75" header="0.3" footer="0.3"/>
  <pageSetup paperSize="9" scale="81" orientation="portrait"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E9F33059-BE30-4718-8650-DD161A312BFB}">
          <x14:formula1>
            <xm:f>'Data Lists'!$A$48:$A$56</xm:f>
          </x14:formula1>
          <xm:sqref>G82:G84 G62 G45:G48 G28:G41 G66 G70 G74 G78 G57:G58 G52:G53 G21:G24 G88</xm:sqref>
        </x14:dataValidation>
        <x14:dataValidation type="list" allowBlank="1" showInputMessage="1" showErrorMessage="1" xr:uid="{9418F5B7-C781-44EC-8588-B4FA35AE9EC7}">
          <x14:formula1>
            <xm:f>'Data Lists'!$A$67:$A$122</xm:f>
          </x14:formula1>
          <xm:sqref>F25 F42 F49 F54 F59 F63 F67 F71 F75 F79 F85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26202-D0F2-4C50-96B4-4A527E9DC59C}">
  <sheetPr codeName="Sheet4">
    <tabColor rgb="FFFFC000"/>
    <pageSetUpPr fitToPage="1"/>
  </sheetPr>
  <dimension ref="B1:I22"/>
  <sheetViews>
    <sheetView topLeftCell="B1" zoomScale="130" zoomScaleNormal="130" workbookViewId="0">
      <selection activeCell="D12" sqref="D12"/>
    </sheetView>
  </sheetViews>
  <sheetFormatPr baseColWidth="10" defaultColWidth="9.1640625" defaultRowHeight="15" x14ac:dyDescent="0.2"/>
  <cols>
    <col min="1" max="1" width="5.33203125" style="178" customWidth="1"/>
    <col min="2" max="2" width="4.5" style="178" customWidth="1"/>
    <col min="3" max="3" width="81.1640625" style="178" customWidth="1"/>
    <col min="4" max="4" width="11.5" style="178" customWidth="1"/>
    <col min="5" max="6" width="16.6640625" style="178" customWidth="1"/>
    <col min="7" max="7" width="11.1640625" style="178" bestFit="1" customWidth="1"/>
    <col min="8" max="9" width="11.6640625" style="178" customWidth="1"/>
    <col min="10" max="16384" width="9.1640625" style="178"/>
  </cols>
  <sheetData>
    <row r="1" spans="2:9" ht="16" thickBot="1" x14ac:dyDescent="0.25">
      <c r="B1" s="500" t="str">
        <f>IF(Costing!E1="SHEET NOT COMPLETE","PLEASE COMPLETE COSTING BEFORE SUPPLYING A PRICE","")</f>
        <v/>
      </c>
      <c r="C1" s="500"/>
      <c r="D1" s="500"/>
      <c r="E1" s="500"/>
      <c r="F1" s="500"/>
    </row>
    <row r="2" spans="2:9" ht="42.75" customHeight="1" thickBot="1" x14ac:dyDescent="0.25">
      <c r="B2" s="501" t="s">
        <v>102</v>
      </c>
      <c r="C2" s="502"/>
      <c r="D2" s="503"/>
      <c r="E2" s="503"/>
      <c r="F2" s="504"/>
    </row>
    <row r="3" spans="2:9" ht="41.25" customHeight="1" x14ac:dyDescent="0.2">
      <c r="B3" s="256" t="s">
        <v>103</v>
      </c>
      <c r="C3" s="179" t="s">
        <v>188</v>
      </c>
      <c r="D3" s="228" t="s">
        <v>160</v>
      </c>
      <c r="E3" s="228" t="s">
        <v>161</v>
      </c>
      <c r="F3" s="230" t="s">
        <v>162</v>
      </c>
    </row>
    <row r="4" spans="2:9" ht="20" customHeight="1" x14ac:dyDescent="0.2">
      <c r="B4" s="257">
        <v>1</v>
      </c>
      <c r="C4" s="309" t="s">
        <v>234</v>
      </c>
      <c r="D4" s="310" t="s">
        <v>63</v>
      </c>
      <c r="E4" s="234">
        <f>IF(D4="Yes","Optional",F4)</f>
        <v>794.82415000000003</v>
      </c>
      <c r="F4" s="235">
        <f>IF(SUMIFS('CF CSV Upload'!P:P,'CF CSV Upload'!A:A,'Customer Summary'!C4,'CF CSV Upload'!Q:Q,"Yes")=0,"n/a",SUMIFS('CF CSV Upload'!P:P,'CF CSV Upload'!A:A,'Customer Summary'!C4,'CF CSV Upload'!Q:Q,"Yes"))</f>
        <v>794.82415000000003</v>
      </c>
      <c r="G4" s="236"/>
      <c r="H4" s="181"/>
      <c r="I4" s="236"/>
    </row>
    <row r="5" spans="2:9" ht="20" customHeight="1" x14ac:dyDescent="0.2">
      <c r="B5" s="257">
        <f>B4+1</f>
        <v>2</v>
      </c>
      <c r="C5" s="309" t="s">
        <v>235</v>
      </c>
      <c r="D5" s="310" t="s">
        <v>63</v>
      </c>
      <c r="E5" s="234" t="str">
        <f>IF(D5="Yes","Optional",F5)</f>
        <v>n/a</v>
      </c>
      <c r="F5" s="235" t="str">
        <f>IF(SUMIFS('CF CSV Upload'!P:P,'CF CSV Upload'!A:A,'Customer Summary'!C5,'CF CSV Upload'!Q:Q,"Yes")=0,"n/a",SUMIFS('CF CSV Upload'!P:P,'CF CSV Upload'!A:A,'Customer Summary'!C5,'CF CSV Upload'!Q:Q,"Yes"))</f>
        <v>n/a</v>
      </c>
      <c r="G5" s="236"/>
      <c r="I5" s="236"/>
    </row>
    <row r="6" spans="2:9" ht="20" customHeight="1" x14ac:dyDescent="0.2">
      <c r="B6" s="257">
        <f t="shared" ref="B6:B15" si="0">B5+1</f>
        <v>3</v>
      </c>
      <c r="C6" s="309" t="s">
        <v>237</v>
      </c>
      <c r="D6" s="310" t="s">
        <v>63</v>
      </c>
      <c r="E6" s="234">
        <f t="shared" ref="E6:E13" si="1">IF(D6="Yes","Optional",F6)</f>
        <v>915.75</v>
      </c>
      <c r="F6" s="235">
        <f>IF(SUMIFS('CF CSV Upload'!P:P,'CF CSV Upload'!A:A,'Customer Summary'!C6,'CF CSV Upload'!Q:Q,"Yes")=0,"n/a",SUMIFS('CF CSV Upload'!P:P,'CF CSV Upload'!A:A,'Customer Summary'!C6,'CF CSV Upload'!Q:Q,"Yes"))</f>
        <v>915.75</v>
      </c>
      <c r="G6" s="236"/>
      <c r="I6" s="236"/>
    </row>
    <row r="7" spans="2:9" ht="20" customHeight="1" x14ac:dyDescent="0.2">
      <c r="B7" s="257">
        <f t="shared" si="0"/>
        <v>4</v>
      </c>
      <c r="C7" s="309" t="s">
        <v>236</v>
      </c>
      <c r="D7" s="310" t="s">
        <v>63</v>
      </c>
      <c r="E7" s="234" t="str">
        <f t="shared" ref="E7" si="2">IF(D7="Yes","Optional",F7)</f>
        <v>n/a</v>
      </c>
      <c r="F7" s="235" t="str">
        <f>IF(SUMIFS('CF CSV Upload'!P:P,'CF CSV Upload'!A:A,'Customer Summary'!C7,'CF CSV Upload'!Q:Q,"Yes")=0,"n/a",SUMIFS('CF CSV Upload'!P:P,'CF CSV Upload'!A:A,'Customer Summary'!C7,'CF CSV Upload'!Q:Q,"Yes"))</f>
        <v>n/a</v>
      </c>
      <c r="G7" s="236"/>
      <c r="I7" s="236"/>
    </row>
    <row r="8" spans="2:9" ht="20" customHeight="1" x14ac:dyDescent="0.2">
      <c r="B8" s="257">
        <f t="shared" si="0"/>
        <v>5</v>
      </c>
      <c r="C8" s="309" t="s">
        <v>238</v>
      </c>
      <c r="D8" s="310" t="s">
        <v>63</v>
      </c>
      <c r="E8" s="234" t="str">
        <f t="shared" si="1"/>
        <v>n/a</v>
      </c>
      <c r="F8" s="235" t="str">
        <f>IF(SUMIFS('CF CSV Upload'!P:P,'CF CSV Upload'!A:A,'Customer Summary'!C8,'CF CSV Upload'!Q:Q,"Yes")=0,"n/a",SUMIFS('CF CSV Upload'!P:P,'CF CSV Upload'!A:A,'Customer Summary'!C8,'CF CSV Upload'!Q:Q,"Yes"))</f>
        <v>n/a</v>
      </c>
      <c r="G8" s="236"/>
      <c r="I8" s="236"/>
    </row>
    <row r="9" spans="2:9" ht="20" customHeight="1" x14ac:dyDescent="0.2">
      <c r="B9" s="257">
        <f t="shared" si="0"/>
        <v>6</v>
      </c>
      <c r="C9" s="309" t="s">
        <v>216</v>
      </c>
      <c r="D9" s="310" t="s">
        <v>45</v>
      </c>
      <c r="E9" s="234" t="str">
        <f t="shared" si="1"/>
        <v>Optional</v>
      </c>
      <c r="F9" s="235" t="str">
        <f>IF(SUMIFS('CF CSV Upload'!P:P,'CF CSV Upload'!A:A,'Customer Summary'!C9,'CF CSV Upload'!Q:Q,"Yes")=0,"n/a",SUMIFS('CF CSV Upload'!P:P,'CF CSV Upload'!A:A,'Customer Summary'!C9,'CF CSV Upload'!Q:Q,"Yes"))</f>
        <v>n/a</v>
      </c>
      <c r="G9" s="236"/>
      <c r="I9" s="236"/>
    </row>
    <row r="10" spans="2:9" ht="20" customHeight="1" x14ac:dyDescent="0.2">
      <c r="B10" s="257">
        <f t="shared" si="0"/>
        <v>7</v>
      </c>
      <c r="C10" s="309" t="s">
        <v>231</v>
      </c>
      <c r="D10" s="310" t="s">
        <v>45</v>
      </c>
      <c r="E10" s="234" t="str">
        <f t="shared" si="1"/>
        <v>Optional</v>
      </c>
      <c r="F10" s="235" t="str">
        <f>IF(SUMIFS('CF CSV Upload'!P:P,'CF CSV Upload'!A:A,'Customer Summary'!C10,'CF CSV Upload'!Q:Q,"Yes")=0,"n/a",SUMIFS('CF CSV Upload'!P:P,'CF CSV Upload'!A:A,'Customer Summary'!C10,'CF CSV Upload'!Q:Q,"Yes"))</f>
        <v>n/a</v>
      </c>
      <c r="G10" s="236"/>
      <c r="I10" s="236"/>
    </row>
    <row r="11" spans="2:9" ht="20" customHeight="1" x14ac:dyDescent="0.2">
      <c r="B11" s="257">
        <f t="shared" si="0"/>
        <v>8</v>
      </c>
      <c r="C11" s="309" t="s">
        <v>232</v>
      </c>
      <c r="D11" s="310" t="s">
        <v>45</v>
      </c>
      <c r="E11" s="234" t="str">
        <f t="shared" si="1"/>
        <v>Optional</v>
      </c>
      <c r="F11" s="235" t="str">
        <f>IF(SUMIFS('CF CSV Upload'!P:P,'CF CSV Upload'!A:A,'Customer Summary'!C11,'CF CSV Upload'!Q:Q,"Yes")=0,"n/a",SUMIFS('CF CSV Upload'!P:P,'CF CSV Upload'!A:A,'Customer Summary'!C11,'CF CSV Upload'!Q:Q,"Yes"))</f>
        <v>n/a</v>
      </c>
      <c r="G11" s="236"/>
      <c r="I11" s="236"/>
    </row>
    <row r="12" spans="2:9" ht="20" customHeight="1" x14ac:dyDescent="0.2">
      <c r="B12" s="257">
        <f t="shared" si="0"/>
        <v>9</v>
      </c>
      <c r="C12" s="309" t="s">
        <v>233</v>
      </c>
      <c r="D12" s="310" t="s">
        <v>63</v>
      </c>
      <c r="E12" s="234">
        <f t="shared" ref="E12" si="3">IF(D12="Yes","Optional",F12)</f>
        <v>95.79000000000002</v>
      </c>
      <c r="F12" s="235">
        <f>IF(SUMIFS('CF CSV Upload'!P:P,'CF CSV Upload'!A:A,'Customer Summary'!C12,'CF CSV Upload'!Q:Q,"Yes")=0,"n/a",SUMIFS('CF CSV Upload'!P:P,'CF CSV Upload'!A:A,'Customer Summary'!C12,'CF CSV Upload'!Q:Q,"Yes"))</f>
        <v>95.79000000000002</v>
      </c>
      <c r="G12" s="236"/>
      <c r="I12" s="236"/>
    </row>
    <row r="13" spans="2:9" ht="20" customHeight="1" x14ac:dyDescent="0.2">
      <c r="B13" s="257">
        <f t="shared" si="0"/>
        <v>10</v>
      </c>
      <c r="C13" s="309" t="s">
        <v>222</v>
      </c>
      <c r="D13" s="310" t="s">
        <v>45</v>
      </c>
      <c r="E13" s="234" t="str">
        <f t="shared" si="1"/>
        <v>Optional</v>
      </c>
      <c r="F13" s="235" t="str">
        <f>IF(SUMIFS('CF CSV Upload'!P:P,'CF CSV Upload'!A:A,'Customer Summary'!C13,'CF CSV Upload'!Q:Q,"Yes")=0,"n/a",SUMIFS('CF CSV Upload'!P:P,'CF CSV Upload'!A:A,'Customer Summary'!C13,'CF CSV Upload'!Q:Q,"Yes"))</f>
        <v>n/a</v>
      </c>
      <c r="G13" s="236"/>
      <c r="I13" s="236"/>
    </row>
    <row r="14" spans="2:9" ht="20" customHeight="1" x14ac:dyDescent="0.2">
      <c r="B14" s="257">
        <f t="shared" si="0"/>
        <v>11</v>
      </c>
      <c r="C14" s="309" t="s">
        <v>187</v>
      </c>
      <c r="D14" s="310" t="s">
        <v>63</v>
      </c>
      <c r="E14" s="234" t="str">
        <f t="shared" ref="E14" si="4">IF(D14="Yes","Optional",F14)</f>
        <v>n/a</v>
      </c>
      <c r="F14" s="235" t="str">
        <f>IF(SUMIFS('CF CSV Upload'!P:P,'CF CSV Upload'!A:A,'Customer Summary'!C14,'CF CSV Upload'!Q:Q,"Yes")=0,"n/a",SUMIFS('CF CSV Upload'!P:P,'CF CSV Upload'!A:A,'Customer Summary'!C14,'CF CSV Upload'!Q:Q,"Yes"))</f>
        <v>n/a</v>
      </c>
      <c r="G14" s="236"/>
      <c r="I14" s="236"/>
    </row>
    <row r="15" spans="2:9" ht="20" customHeight="1" thickBot="1" x14ac:dyDescent="0.25">
      <c r="B15" s="257">
        <f t="shared" si="0"/>
        <v>12</v>
      </c>
      <c r="C15" s="311" t="s">
        <v>381</v>
      </c>
      <c r="D15" s="233" t="s">
        <v>63</v>
      </c>
      <c r="E15" s="234">
        <f>IF(D15="Yes","Optional",F15)</f>
        <v>139.93200000000002</v>
      </c>
      <c r="F15" s="235">
        <f>IF(SUMIFS('CF CSV Upload'!P:P,'CF CSV Upload'!A:A,'Customer Summary'!C15,'CF CSV Upload'!Q:Q,"Yes")=0,"n/a",SUMIFS('CF CSV Upload'!P:P,'CF CSV Upload'!A:A,'Customer Summary'!C15,'CF CSV Upload'!Q:Q,"Yes"))</f>
        <v>139.93200000000002</v>
      </c>
      <c r="G15" s="236"/>
      <c r="I15" s="236"/>
    </row>
    <row r="16" spans="2:9" ht="6" customHeight="1" thickBot="1" x14ac:dyDescent="0.25">
      <c r="B16" s="505" t="s">
        <v>96</v>
      </c>
      <c r="C16" s="260"/>
      <c r="D16" s="261"/>
      <c r="E16" s="262"/>
      <c r="F16" s="262"/>
    </row>
    <row r="17" spans="2:7" ht="20" customHeight="1" x14ac:dyDescent="0.2">
      <c r="B17" s="506"/>
      <c r="C17" s="508" t="s">
        <v>104</v>
      </c>
      <c r="D17" s="509"/>
      <c r="E17" s="263">
        <f>SUM(E4:E15)</f>
        <v>1946.2961499999999</v>
      </c>
      <c r="F17" s="264">
        <f>SUM(F4:F15)</f>
        <v>1946.2961499999999</v>
      </c>
      <c r="G17" s="181"/>
    </row>
    <row r="18" spans="2:7" ht="20" customHeight="1" x14ac:dyDescent="0.2">
      <c r="B18" s="506"/>
      <c r="C18" s="510" t="s">
        <v>105</v>
      </c>
      <c r="D18" s="511"/>
      <c r="E18" s="229">
        <f>E17*0.2</f>
        <v>389.25923</v>
      </c>
      <c r="F18" s="180">
        <f>F17*0.2</f>
        <v>389.25923</v>
      </c>
    </row>
    <row r="19" spans="2:7" ht="20" customHeight="1" x14ac:dyDescent="0.2">
      <c r="B19" s="506"/>
      <c r="C19" s="510" t="s">
        <v>23</v>
      </c>
      <c r="D19" s="511"/>
      <c r="E19" s="229">
        <f>SUM(E17:E18)</f>
        <v>2335.5553799999998</v>
      </c>
      <c r="F19" s="180">
        <f>SUM(F17:F18)</f>
        <v>2335.5553799999998</v>
      </c>
    </row>
    <row r="20" spans="2:7" ht="6" customHeight="1" x14ac:dyDescent="0.2">
      <c r="B20" s="506"/>
      <c r="C20" s="258"/>
      <c r="D20" s="227"/>
      <c r="E20" s="255"/>
      <c r="F20" s="182"/>
    </row>
    <row r="21" spans="2:7" ht="20" customHeight="1" x14ac:dyDescent="0.2">
      <c r="B21" s="506"/>
      <c r="C21" s="498" t="s">
        <v>257</v>
      </c>
      <c r="D21" s="265" t="s">
        <v>299</v>
      </c>
      <c r="E21" s="229">
        <f>E22/6*5</f>
        <v>973.14807499999984</v>
      </c>
      <c r="F21" s="180">
        <f>F22/6*5</f>
        <v>973.14807499999984</v>
      </c>
    </row>
    <row r="22" spans="2:7" ht="20" customHeight="1" thickBot="1" x14ac:dyDescent="0.25">
      <c r="B22" s="507"/>
      <c r="C22" s="499"/>
      <c r="D22" s="266" t="s">
        <v>300</v>
      </c>
      <c r="E22" s="259">
        <f>E19*0.5</f>
        <v>1167.7776899999999</v>
      </c>
      <c r="F22" s="183">
        <f>F19*0.5</f>
        <v>1167.7776899999999</v>
      </c>
    </row>
  </sheetData>
  <sheetProtection formatRows="0" autoFilter="0"/>
  <mergeCells count="7">
    <mergeCell ref="C21:C22"/>
    <mergeCell ref="B1:F1"/>
    <mergeCell ref="B2:F2"/>
    <mergeCell ref="B16:B22"/>
    <mergeCell ref="C17:D17"/>
    <mergeCell ref="C18:D18"/>
    <mergeCell ref="C19:D19"/>
  </mergeCells>
  <phoneticPr fontId="23" type="noConversion"/>
  <conditionalFormatting sqref="B1:F1">
    <cfRule type="cellIs" dxfId="9" priority="5" operator="equal">
      <formula>"PLEASE COMPLETE COSTING BEFORE SUPPLYING A PRICE"</formula>
    </cfRule>
  </conditionalFormatting>
  <conditionalFormatting sqref="D4:D15">
    <cfRule type="cellIs" dxfId="8" priority="4" operator="equal">
      <formula>"Yes"</formula>
    </cfRule>
  </conditionalFormatting>
  <conditionalFormatting sqref="E4:E15">
    <cfRule type="cellIs" dxfId="7" priority="3" operator="equal">
      <formula>"Optional"</formula>
    </cfRule>
  </conditionalFormatting>
  <conditionalFormatting sqref="E4:F15">
    <cfRule type="cellIs" dxfId="6" priority="1" operator="equal">
      <formula>"n/a"</formula>
    </cfRule>
  </conditionalFormatting>
  <dataValidations count="1">
    <dataValidation type="list" allowBlank="1" showInputMessage="1" showErrorMessage="1" sqref="D4:D15" xr:uid="{23C226B7-7219-4322-8728-A3527216A4BC}">
      <formula1>"No, Yes"</formula1>
    </dataValidation>
  </dataValidations>
  <pageMargins left="0.7" right="0.7" top="0.75" bottom="0.75" header="0.3" footer="0.3"/>
  <pageSetup scale="9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A8ADF-23B9-4D50-BB8A-9E53CA45AD66}">
  <sheetPr codeName="Sheet7">
    <tabColor rgb="FF00B0F0"/>
  </sheetPr>
  <dimension ref="A1:I1"/>
  <sheetViews>
    <sheetView workbookViewId="0">
      <selection activeCell="C25" sqref="C25"/>
    </sheetView>
  </sheetViews>
  <sheetFormatPr baseColWidth="10" defaultColWidth="8.83203125" defaultRowHeight="15" x14ac:dyDescent="0.2"/>
  <sheetData>
    <row r="1" spans="1:9" x14ac:dyDescent="0.2">
      <c r="A1" s="305" t="s">
        <v>362</v>
      </c>
      <c r="B1" s="304"/>
      <c r="C1" s="304"/>
      <c r="D1" s="304"/>
      <c r="E1" s="304"/>
      <c r="F1" s="304"/>
      <c r="G1" s="304"/>
      <c r="H1" s="304"/>
      <c r="I1" s="304"/>
    </row>
  </sheetData>
  <sheetProtection formatRows="0" autoFilter="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4FD69-B3F2-44E3-8465-035CDE69A77C}">
  <sheetPr codeName="Sheet9"/>
  <dimension ref="B1:K35"/>
  <sheetViews>
    <sheetView workbookViewId="0">
      <selection activeCell="B25" sqref="B25:J25"/>
    </sheetView>
  </sheetViews>
  <sheetFormatPr baseColWidth="10" defaultColWidth="8.83203125" defaultRowHeight="15" x14ac:dyDescent="0.2"/>
  <cols>
    <col min="1" max="1" width="2.6640625" customWidth="1"/>
    <col min="10" max="10" width="9.1640625" customWidth="1"/>
  </cols>
  <sheetData>
    <row r="1" spans="2:11" ht="20" customHeight="1" x14ac:dyDescent="0.2">
      <c r="B1" s="526" t="s">
        <v>367</v>
      </c>
      <c r="C1" s="526"/>
      <c r="D1" s="526"/>
      <c r="E1" s="526"/>
      <c r="F1" s="526"/>
      <c r="G1" s="526"/>
      <c r="H1" s="526"/>
      <c r="I1" s="526"/>
      <c r="J1" s="526"/>
    </row>
    <row r="2" spans="2:11" ht="5" customHeight="1" x14ac:dyDescent="0.2"/>
    <row r="3" spans="2:11" x14ac:dyDescent="0.2">
      <c r="B3" s="522" t="s">
        <v>368</v>
      </c>
      <c r="C3" s="522"/>
      <c r="D3" s="522"/>
      <c r="E3" s="522"/>
      <c r="F3" s="522"/>
      <c r="G3" s="522"/>
      <c r="H3" s="522"/>
      <c r="I3" s="522"/>
      <c r="J3" s="522"/>
      <c r="K3" s="522"/>
    </row>
    <row r="4" spans="2:11" x14ac:dyDescent="0.2">
      <c r="B4" s="522" t="s">
        <v>365</v>
      </c>
      <c r="C4" s="522"/>
      <c r="D4" s="522"/>
      <c r="E4" s="522"/>
      <c r="F4" s="522"/>
      <c r="G4" s="522"/>
      <c r="H4" s="522"/>
      <c r="I4" s="522"/>
      <c r="J4" s="522"/>
      <c r="K4" s="522"/>
    </row>
    <row r="5" spans="2:11" x14ac:dyDescent="0.2">
      <c r="B5" s="522" t="s">
        <v>369</v>
      </c>
      <c r="C5" s="522"/>
      <c r="D5" s="522"/>
      <c r="E5" s="522"/>
      <c r="F5" s="522"/>
      <c r="G5" s="522"/>
      <c r="H5" s="522"/>
      <c r="I5" s="522"/>
      <c r="J5" s="522"/>
      <c r="K5" s="522"/>
    </row>
    <row r="6" spans="2:11" x14ac:dyDescent="0.2">
      <c r="B6" s="522" t="s">
        <v>370</v>
      </c>
      <c r="C6" s="522"/>
      <c r="D6" s="522"/>
      <c r="E6" s="522"/>
      <c r="F6" s="522"/>
      <c r="G6" s="522"/>
      <c r="H6" s="522"/>
      <c r="I6" s="522"/>
      <c r="J6" s="522"/>
      <c r="K6" s="522"/>
    </row>
    <row r="7" spans="2:11" x14ac:dyDescent="0.2">
      <c r="B7" s="522" t="s">
        <v>371</v>
      </c>
      <c r="C7" s="522"/>
      <c r="D7" s="522"/>
      <c r="E7" s="522"/>
      <c r="F7" s="522"/>
      <c r="G7" s="522"/>
      <c r="H7" s="522"/>
      <c r="I7" s="522"/>
      <c r="J7" s="522"/>
      <c r="K7" s="522"/>
    </row>
    <row r="8" spans="2:11" x14ac:dyDescent="0.2">
      <c r="B8" s="522" t="s">
        <v>372</v>
      </c>
      <c r="C8" s="522"/>
      <c r="D8" s="522"/>
      <c r="E8" s="522"/>
      <c r="F8" s="522"/>
      <c r="G8" s="522"/>
      <c r="H8" s="522"/>
      <c r="I8" s="522"/>
      <c r="J8" s="522"/>
      <c r="K8" s="522"/>
    </row>
    <row r="9" spans="2:11" x14ac:dyDescent="0.2">
      <c r="B9" s="522" t="s">
        <v>373</v>
      </c>
      <c r="C9" s="522"/>
      <c r="D9" s="522"/>
      <c r="E9" s="522"/>
      <c r="F9" s="522"/>
      <c r="G9" s="522"/>
      <c r="H9" s="522"/>
      <c r="I9" s="522"/>
      <c r="J9" s="522"/>
      <c r="K9" s="522"/>
    </row>
    <row r="10" spans="2:11" ht="5" customHeight="1" x14ac:dyDescent="0.2"/>
    <row r="11" spans="2:11" x14ac:dyDescent="0.2">
      <c r="B11" t="s">
        <v>391</v>
      </c>
    </row>
    <row r="12" spans="2:11" ht="5" customHeight="1" x14ac:dyDescent="0.2"/>
    <row r="13" spans="2:11" x14ac:dyDescent="0.2">
      <c r="B13" s="523" t="s">
        <v>374</v>
      </c>
      <c r="C13" s="523"/>
      <c r="D13" s="523"/>
      <c r="E13" s="523"/>
      <c r="F13" s="523"/>
      <c r="G13" s="523"/>
      <c r="H13" s="523"/>
      <c r="I13" s="524" t="s">
        <v>392</v>
      </c>
      <c r="J13" s="525"/>
      <c r="K13" s="249" t="s">
        <v>393</v>
      </c>
    </row>
    <row r="14" spans="2:11" ht="25" customHeight="1" x14ac:dyDescent="0.2">
      <c r="B14" s="521" t="s">
        <v>394</v>
      </c>
      <c r="C14" s="521"/>
      <c r="D14" s="521"/>
      <c r="E14" s="521"/>
      <c r="F14" s="521"/>
      <c r="G14" s="521"/>
      <c r="H14" s="521"/>
      <c r="I14" s="518"/>
      <c r="J14" s="519"/>
      <c r="K14" s="252"/>
    </row>
    <row r="15" spans="2:11" ht="25" customHeight="1" x14ac:dyDescent="0.2">
      <c r="B15" s="521" t="s">
        <v>395</v>
      </c>
      <c r="C15" s="521"/>
      <c r="D15" s="521"/>
      <c r="E15" s="521"/>
      <c r="F15" s="521"/>
      <c r="G15" s="521"/>
      <c r="H15" s="521"/>
      <c r="I15" s="518"/>
      <c r="J15" s="519"/>
      <c r="K15" s="252"/>
    </row>
    <row r="16" spans="2:11" ht="25" customHeight="1" x14ac:dyDescent="0.2">
      <c r="B16" s="521" t="s">
        <v>396</v>
      </c>
      <c r="C16" s="521"/>
      <c r="D16" s="521"/>
      <c r="E16" s="521"/>
      <c r="F16" s="521"/>
      <c r="G16" s="521"/>
      <c r="H16" s="521"/>
      <c r="I16" s="518"/>
      <c r="J16" s="519"/>
      <c r="K16" s="252"/>
    </row>
    <row r="17" spans="2:11" ht="25" customHeight="1" x14ac:dyDescent="0.2">
      <c r="B17" s="521" t="s">
        <v>397</v>
      </c>
      <c r="C17" s="521"/>
      <c r="D17" s="521"/>
      <c r="E17" s="521"/>
      <c r="F17" s="521"/>
      <c r="G17" s="521"/>
      <c r="H17" s="521"/>
      <c r="I17" s="518"/>
      <c r="J17" s="519"/>
      <c r="K17" s="252"/>
    </row>
    <row r="18" spans="2:11" ht="25" customHeight="1" x14ac:dyDescent="0.2">
      <c r="B18" s="521" t="s">
        <v>398</v>
      </c>
      <c r="C18" s="521"/>
      <c r="D18" s="521"/>
      <c r="E18" s="521"/>
      <c r="F18" s="521"/>
      <c r="G18" s="521"/>
      <c r="H18" s="521"/>
      <c r="I18" s="518"/>
      <c r="J18" s="519"/>
      <c r="K18" s="252"/>
    </row>
    <row r="19" spans="2:11" ht="25" customHeight="1" x14ac:dyDescent="0.2">
      <c r="B19" s="521" t="s">
        <v>399</v>
      </c>
      <c r="C19" s="521"/>
      <c r="D19" s="521"/>
      <c r="E19" s="521"/>
      <c r="F19" s="521"/>
      <c r="G19" s="521"/>
      <c r="H19" s="521"/>
      <c r="I19" s="518"/>
      <c r="J19" s="519"/>
    </row>
    <row r="20" spans="2:11" ht="25" customHeight="1" x14ac:dyDescent="0.2">
      <c r="B20" s="517" t="s">
        <v>400</v>
      </c>
      <c r="C20" s="517"/>
      <c r="D20" s="517"/>
      <c r="E20" s="517"/>
      <c r="F20" s="517"/>
      <c r="G20" s="517"/>
      <c r="H20" s="517"/>
      <c r="I20" s="518"/>
      <c r="J20" s="519"/>
    </row>
    <row r="21" spans="2:11" ht="25" customHeight="1" x14ac:dyDescent="0.2">
      <c r="B21" s="517" t="s">
        <v>23</v>
      </c>
      <c r="C21" s="517"/>
      <c r="D21" s="517"/>
      <c r="E21" s="517"/>
      <c r="F21" s="517"/>
      <c r="G21" s="517"/>
      <c r="H21" s="517"/>
      <c r="I21" s="518"/>
      <c r="J21" s="519"/>
    </row>
    <row r="22" spans="2:11" ht="25" customHeight="1" x14ac:dyDescent="0.2">
      <c r="B22" s="517" t="s">
        <v>401</v>
      </c>
      <c r="C22" s="517"/>
      <c r="D22" s="517"/>
      <c r="E22" s="517"/>
      <c r="F22" s="517"/>
      <c r="G22" s="517"/>
      <c r="H22" s="517"/>
      <c r="I22" s="518"/>
      <c r="J22" s="519"/>
    </row>
    <row r="23" spans="2:11" ht="5" customHeight="1" x14ac:dyDescent="0.2"/>
    <row r="24" spans="2:11" ht="36" customHeight="1" x14ac:dyDescent="0.2">
      <c r="B24" s="512" t="s">
        <v>375</v>
      </c>
      <c r="C24" s="512"/>
      <c r="D24" s="512"/>
      <c r="E24" s="512"/>
      <c r="F24" s="512"/>
      <c r="G24" s="512"/>
      <c r="H24" s="512"/>
      <c r="I24" s="512"/>
      <c r="J24" s="512"/>
      <c r="K24" s="512"/>
    </row>
    <row r="25" spans="2:11" x14ac:dyDescent="0.2">
      <c r="B25" s="520" t="s">
        <v>376</v>
      </c>
      <c r="C25" s="520"/>
      <c r="D25" s="520"/>
      <c r="E25" s="520"/>
      <c r="F25" s="520"/>
      <c r="G25" s="520"/>
      <c r="H25" s="520"/>
      <c r="I25" s="520"/>
      <c r="J25" s="520"/>
    </row>
    <row r="26" spans="2:11" ht="5" customHeight="1" x14ac:dyDescent="0.2"/>
    <row r="27" spans="2:11" ht="37.5" customHeight="1" x14ac:dyDescent="0.2">
      <c r="B27" s="512" t="s">
        <v>377</v>
      </c>
      <c r="C27" s="512"/>
      <c r="D27" s="512"/>
      <c r="E27" s="512"/>
      <c r="F27" s="512"/>
      <c r="G27" s="512"/>
      <c r="H27" s="512"/>
      <c r="I27" s="512"/>
      <c r="J27" s="512"/>
      <c r="K27" s="512"/>
    </row>
    <row r="28" spans="2:11" ht="5" customHeight="1" x14ac:dyDescent="0.2"/>
    <row r="29" spans="2:11" ht="26.25" customHeight="1" x14ac:dyDescent="0.2">
      <c r="B29" s="513" t="s">
        <v>378</v>
      </c>
      <c r="C29" s="513"/>
      <c r="D29" s="514"/>
      <c r="E29" s="515"/>
      <c r="F29" s="515"/>
      <c r="G29" s="515"/>
      <c r="H29" s="516"/>
      <c r="I29" s="306" t="s">
        <v>379</v>
      </c>
      <c r="J29" s="513"/>
      <c r="K29" s="513"/>
    </row>
    <row r="30" spans="2:11" ht="36" customHeight="1" x14ac:dyDescent="0.2"/>
    <row r="32" spans="2:11" ht="5" customHeight="1" x14ac:dyDescent="0.2"/>
    <row r="33" ht="37.5" customHeight="1" x14ac:dyDescent="0.2"/>
    <row r="34" ht="5" customHeight="1" x14ac:dyDescent="0.2"/>
    <row r="35" ht="26.25" customHeight="1" x14ac:dyDescent="0.2"/>
  </sheetData>
  <sheetProtection formatRows="0" autoFilter="0"/>
  <mergeCells count="41">
    <mergeCell ref="B5:C5"/>
    <mergeCell ref="D5:K5"/>
    <mergeCell ref="B1:J1"/>
    <mergeCell ref="B3:C3"/>
    <mergeCell ref="D3:K3"/>
    <mergeCell ref="B4:C4"/>
    <mergeCell ref="D4:K4"/>
    <mergeCell ref="B6:C6"/>
    <mergeCell ref="D6:K6"/>
    <mergeCell ref="B7:C7"/>
    <mergeCell ref="D7:K7"/>
    <mergeCell ref="B8:C8"/>
    <mergeCell ref="D8:K8"/>
    <mergeCell ref="B9:C9"/>
    <mergeCell ref="D9:K9"/>
    <mergeCell ref="B14:H14"/>
    <mergeCell ref="I14:J14"/>
    <mergeCell ref="B15:H15"/>
    <mergeCell ref="I15:J15"/>
    <mergeCell ref="B13:H13"/>
    <mergeCell ref="I13:J13"/>
    <mergeCell ref="B16:H16"/>
    <mergeCell ref="I16:J16"/>
    <mergeCell ref="B17:H17"/>
    <mergeCell ref="I17:J17"/>
    <mergeCell ref="B18:H18"/>
    <mergeCell ref="I18:J18"/>
    <mergeCell ref="B19:H19"/>
    <mergeCell ref="I19:J19"/>
    <mergeCell ref="B20:H20"/>
    <mergeCell ref="I20:J20"/>
    <mergeCell ref="B21:H21"/>
    <mergeCell ref="I21:J21"/>
    <mergeCell ref="B27:K27"/>
    <mergeCell ref="B29:C29"/>
    <mergeCell ref="D29:H29"/>
    <mergeCell ref="J29:K29"/>
    <mergeCell ref="B22:H22"/>
    <mergeCell ref="I22:J22"/>
    <mergeCell ref="B24:K24"/>
    <mergeCell ref="B25:J25"/>
  </mergeCells>
  <hyperlinks>
    <hyperlink ref="B25" r:id="rId1" xr:uid="{92DA4B3E-7F65-4C90-81CD-881D27C7B2AF}"/>
  </hyperlinks>
  <pageMargins left="0.23622047244094491" right="0.43307086614173229" top="0.74803149606299213" bottom="0.74803149606299213" header="0.31496062992125984" footer="0.31496062992125984"/>
  <pageSetup orientation="portrait" r:id="rId2"/>
  <headerFooter>
    <oddHeader>&amp;R&amp;G</oddHeader>
  </headerFooter>
  <legacyDrawingHF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4C7AD-A45C-4986-A18E-89F590AE6C15}">
  <sheetPr codeName="Sheet8">
    <pageSetUpPr fitToPage="1"/>
  </sheetPr>
  <dimension ref="B1:H24"/>
  <sheetViews>
    <sheetView workbookViewId="0">
      <selection activeCell="C25" sqref="C25"/>
    </sheetView>
  </sheetViews>
  <sheetFormatPr baseColWidth="10" defaultColWidth="9.1640625" defaultRowHeight="15" x14ac:dyDescent="0.2"/>
  <cols>
    <col min="1" max="1" width="5.33203125" style="50" customWidth="1"/>
    <col min="2" max="2" width="4.5" style="50" customWidth="1"/>
    <col min="3" max="3" width="86.1640625" style="50" bestFit="1" customWidth="1"/>
    <col min="4" max="4" width="21" style="50" customWidth="1"/>
    <col min="5" max="5" width="62" style="50" customWidth="1"/>
    <col min="6" max="6" width="8.83203125" style="50" customWidth="1"/>
    <col min="7" max="7" width="15.33203125" style="50" customWidth="1"/>
    <col min="8" max="16384" width="9.1640625" style="50"/>
  </cols>
  <sheetData>
    <row r="1" spans="2:8" ht="10" customHeight="1" thickBot="1" x14ac:dyDescent="0.25"/>
    <row r="2" spans="2:8" ht="42.75" customHeight="1" thickBot="1" x14ac:dyDescent="0.25">
      <c r="B2" s="501" t="s">
        <v>364</v>
      </c>
      <c r="C2" s="502"/>
      <c r="D2" s="503"/>
      <c r="E2" s="504"/>
    </row>
    <row r="3" spans="2:8" ht="18" x14ac:dyDescent="0.2">
      <c r="B3" s="533" t="s">
        <v>387</v>
      </c>
      <c r="C3" s="534"/>
      <c r="D3" s="534"/>
      <c r="E3" s="535"/>
    </row>
    <row r="4" spans="2:8" x14ac:dyDescent="0.2">
      <c r="B4" s="527" t="s">
        <v>85</v>
      </c>
      <c r="C4" s="528"/>
      <c r="D4" s="528" t="str">
        <f>Costing!E4</f>
        <v>PRONE455DN</v>
      </c>
      <c r="E4" s="529"/>
    </row>
    <row r="5" spans="2:8" x14ac:dyDescent="0.2">
      <c r="B5" s="527" t="str">
        <f>[1]Details!$B$7</f>
        <v>Client Name</v>
      </c>
      <c r="C5" s="528"/>
      <c r="D5" s="528" t="str">
        <f>Costing!E7</f>
        <v>Finest Properties</v>
      </c>
      <c r="E5" s="529"/>
    </row>
    <row r="6" spans="2:8" x14ac:dyDescent="0.2">
      <c r="B6" s="527" t="str">
        <f>[1]Details!$B$8</f>
        <v>First Line of site address</v>
      </c>
      <c r="C6" s="528"/>
      <c r="D6" s="528" t="str">
        <f>Costing!E8</f>
        <v xml:space="preserve">Clive House </v>
      </c>
      <c r="E6" s="529"/>
    </row>
    <row r="7" spans="2:8" x14ac:dyDescent="0.2">
      <c r="B7" s="527" t="str">
        <f>[1]Details!$B$9</f>
        <v>Town / City</v>
      </c>
      <c r="C7" s="528"/>
      <c r="D7" s="528" t="str">
        <f>Costing!E9</f>
        <v>Appletree Lane</v>
      </c>
      <c r="E7" s="529"/>
    </row>
    <row r="8" spans="2:8" x14ac:dyDescent="0.2">
      <c r="B8" s="527" t="str">
        <f>[1]Details!$B$10</f>
        <v>County</v>
      </c>
      <c r="C8" s="528"/>
      <c r="D8" s="528" t="str">
        <f>Costing!E10</f>
        <v>Corbridge</v>
      </c>
      <c r="E8" s="529"/>
    </row>
    <row r="9" spans="2:8" ht="16" thickBot="1" x14ac:dyDescent="0.25">
      <c r="B9" s="530" t="str">
        <f>[1]Details!$B$11</f>
        <v>Site Post Code</v>
      </c>
      <c r="C9" s="531"/>
      <c r="D9" s="531" t="str">
        <f>Costing!E11</f>
        <v>NE45 5DN</v>
      </c>
      <c r="E9" s="532"/>
    </row>
    <row r="10" spans="2:8" ht="41.25" customHeight="1" x14ac:dyDescent="0.2">
      <c r="B10" s="179" t="s">
        <v>103</v>
      </c>
      <c r="C10" s="313" t="s">
        <v>188</v>
      </c>
      <c r="D10" s="228" t="s">
        <v>388</v>
      </c>
      <c r="E10" s="230" t="s">
        <v>389</v>
      </c>
      <c r="G10" s="314" t="s">
        <v>390</v>
      </c>
    </row>
    <row r="11" spans="2:8" ht="20" customHeight="1" x14ac:dyDescent="0.2">
      <c r="B11" s="307">
        <v>1</v>
      </c>
      <c r="C11" s="315" t="str">
        <f>'Customer Summary'!C4</f>
        <v>Condensation control: Supply and install Loft Dryaire system &amp; required accessories</v>
      </c>
      <c r="D11" s="234">
        <f>Costing!V25</f>
        <v>70</v>
      </c>
      <c r="E11" s="316"/>
      <c r="F11" s="317"/>
      <c r="G11" s="318">
        <f>Costing!O25</f>
        <v>2.5</v>
      </c>
      <c r="H11" s="319"/>
    </row>
    <row r="12" spans="2:8" ht="20" customHeight="1" x14ac:dyDescent="0.2">
      <c r="B12" s="307">
        <f t="shared" ref="B12:B21" si="0">B11+1</f>
        <v>2</v>
      </c>
      <c r="C12" s="315" t="str">
        <f>'Customer Summary'!C5</f>
        <v>Condensation control: Supply and install Wall Mounted Dryaire system &amp; required accessories</v>
      </c>
      <c r="D12" s="234">
        <f>Costing!V42</f>
        <v>0</v>
      </c>
      <c r="E12" s="316"/>
      <c r="F12" s="317"/>
      <c r="G12" s="318">
        <f>Costing!O42</f>
        <v>0</v>
      </c>
      <c r="H12" s="319"/>
    </row>
    <row r="13" spans="2:8" ht="20" customHeight="1" x14ac:dyDescent="0.2">
      <c r="B13" s="307">
        <f t="shared" si="0"/>
        <v>3</v>
      </c>
      <c r="C13" s="315" t="str">
        <f>'Customer Summary'!C6</f>
        <v>Condensation control: Supply and install Trickle &amp; Boost Fan</v>
      </c>
      <c r="D13" s="234">
        <f>Costing!V49</f>
        <v>210</v>
      </c>
      <c r="E13" s="316"/>
      <c r="F13" s="317"/>
      <c r="G13" s="318">
        <f>Costing!O49</f>
        <v>7.5</v>
      </c>
      <c r="H13" s="319"/>
    </row>
    <row r="14" spans="2:8" ht="20" customHeight="1" x14ac:dyDescent="0.2">
      <c r="B14" s="307">
        <f t="shared" si="0"/>
        <v>4</v>
      </c>
      <c r="C14" s="315" t="str">
        <f>'Customer Summary'!C7</f>
        <v>Condensation control: Supply and install Dryaire Cpass Insulated Pullcord Passive Vent</v>
      </c>
      <c r="D14" s="234">
        <f>Costing!V54</f>
        <v>0</v>
      </c>
      <c r="E14" s="316"/>
      <c r="F14" s="317"/>
      <c r="G14" s="318">
        <f>Costing!O54</f>
        <v>0</v>
      </c>
      <c r="H14" s="319"/>
    </row>
    <row r="15" spans="2:8" ht="20" customHeight="1" x14ac:dyDescent="0.2">
      <c r="B15" s="307">
        <f t="shared" si="0"/>
        <v>5</v>
      </c>
      <c r="C15" s="315" t="str">
        <f>'Customer Summary'!C8</f>
        <v>Condensation control: Supply and install Dryaire CVent</v>
      </c>
      <c r="D15" s="234">
        <f>Costing!V59</f>
        <v>0</v>
      </c>
      <c r="E15" s="316"/>
      <c r="F15" s="317"/>
      <c r="G15" s="318">
        <f>Costing!O59</f>
        <v>0</v>
      </c>
      <c r="H15" s="319"/>
    </row>
    <row r="16" spans="2:8" ht="20" customHeight="1" x14ac:dyDescent="0.2">
      <c r="B16" s="307">
        <f t="shared" si="0"/>
        <v>6</v>
      </c>
      <c r="C16" s="315" t="str">
        <f>'Customer Summary'!C9</f>
        <v>Joinery: Supply and fit boxwork for ducting</v>
      </c>
      <c r="D16" s="234">
        <f>Costing!V63</f>
        <v>0</v>
      </c>
      <c r="E16" s="316"/>
      <c r="F16" s="317"/>
      <c r="G16" s="318">
        <f>Costing!O63</f>
        <v>0</v>
      </c>
      <c r="H16" s="319"/>
    </row>
    <row r="17" spans="2:8" ht="20" customHeight="1" x14ac:dyDescent="0.2">
      <c r="B17" s="307">
        <f t="shared" si="0"/>
        <v>7</v>
      </c>
      <c r="C17" s="315" t="str">
        <f>'Customer Summary'!C10</f>
        <v>New hatch and ladder: Create larger opening, install new sturdy hatch and ladder to loft entry</v>
      </c>
      <c r="D17" s="234">
        <f>Costing!V67</f>
        <v>0</v>
      </c>
      <c r="E17" s="316"/>
      <c r="F17" s="317"/>
      <c r="G17" s="318">
        <f>Costing!V67</f>
        <v>0</v>
      </c>
      <c r="H17" s="319"/>
    </row>
    <row r="18" spans="2:8" ht="20" customHeight="1" x14ac:dyDescent="0.2">
      <c r="B18" s="307">
        <f t="shared" si="0"/>
        <v>8</v>
      </c>
      <c r="C18" s="315" t="str">
        <f>'Customer Summary'!C11</f>
        <v>Loft opening: Enlarge existing loft opening and install new hatch lid</v>
      </c>
      <c r="D18" s="234">
        <f>Costing!V71</f>
        <v>0</v>
      </c>
      <c r="E18" s="316"/>
      <c r="F18" s="317"/>
      <c r="G18" s="318">
        <f>Costing!V71</f>
        <v>0</v>
      </c>
      <c r="H18" s="319"/>
    </row>
    <row r="19" spans="2:8" ht="20" customHeight="1" x14ac:dyDescent="0.2">
      <c r="B19" s="307">
        <f t="shared" si="0"/>
        <v>9</v>
      </c>
      <c r="C19" s="315" t="str">
        <f>'Customer Summary'!C12</f>
        <v>Remedial treatments: Mould treatment</v>
      </c>
      <c r="D19" s="234">
        <f>Costing!V75</f>
        <v>42</v>
      </c>
      <c r="E19" s="316"/>
      <c r="F19" s="317"/>
      <c r="G19" s="318">
        <f>Costing!V75</f>
        <v>42</v>
      </c>
      <c r="H19" s="319"/>
    </row>
    <row r="20" spans="2:8" ht="20" customHeight="1" x14ac:dyDescent="0.2">
      <c r="B20" s="307">
        <f t="shared" si="0"/>
        <v>10</v>
      </c>
      <c r="C20" s="315" t="str">
        <f>'Customer Summary'!C13</f>
        <v>Asbestos Testing</v>
      </c>
      <c r="D20" s="234">
        <f>Costing!V79</f>
        <v>0</v>
      </c>
      <c r="E20" s="316"/>
      <c r="F20" s="317"/>
      <c r="G20" s="318">
        <f>Costing!V79</f>
        <v>0</v>
      </c>
      <c r="H20" s="319"/>
    </row>
    <row r="21" spans="2:8" ht="20" customHeight="1" thickBot="1" x14ac:dyDescent="0.25">
      <c r="B21" s="320">
        <f t="shared" si="0"/>
        <v>11</v>
      </c>
      <c r="C21" s="315" t="str">
        <f>'Customer Summary'!C14</f>
        <v>Airbricks</v>
      </c>
      <c r="D21" s="234">
        <f>Costing!V85</f>
        <v>0</v>
      </c>
      <c r="E21" s="316"/>
      <c r="F21" s="317"/>
      <c r="G21" s="318">
        <f>Costing!V85</f>
        <v>0</v>
      </c>
      <c r="H21" s="319"/>
    </row>
    <row r="22" spans="2:8" ht="3" customHeight="1" x14ac:dyDescent="0.2">
      <c r="B22" s="321"/>
      <c r="C22" s="322"/>
      <c r="D22" s="323"/>
      <c r="E22" s="323"/>
      <c r="G22" s="324"/>
    </row>
    <row r="23" spans="2:8" ht="20" customHeight="1" thickBot="1" x14ac:dyDescent="0.25">
      <c r="B23" s="325"/>
      <c r="C23" s="308" t="s">
        <v>23</v>
      </c>
      <c r="D23" s="229">
        <f>SUM(D11:D22)</f>
        <v>322</v>
      </c>
      <c r="E23" s="182"/>
      <c r="G23" s="318">
        <f>SUM(G11:G22)</f>
        <v>52</v>
      </c>
    </row>
    <row r="24" spans="2:8" ht="3" customHeight="1" thickBot="1" x14ac:dyDescent="0.25">
      <c r="B24" s="326"/>
      <c r="C24" s="327"/>
      <c r="D24" s="328"/>
      <c r="E24" s="329"/>
      <c r="G24" s="330"/>
    </row>
  </sheetData>
  <sheetProtection formatRows="0" autoFilter="0"/>
  <mergeCells count="14">
    <mergeCell ref="B6:C6"/>
    <mergeCell ref="D6:E6"/>
    <mergeCell ref="B2:E2"/>
    <mergeCell ref="B3:E3"/>
    <mergeCell ref="B4:C4"/>
    <mergeCell ref="D4:E4"/>
    <mergeCell ref="B5:C5"/>
    <mergeCell ref="D5:E5"/>
    <mergeCell ref="B7:C7"/>
    <mergeCell ref="D7:E7"/>
    <mergeCell ref="B8:C8"/>
    <mergeCell ref="D8:E8"/>
    <mergeCell ref="B9:C9"/>
    <mergeCell ref="D9:E9"/>
  </mergeCells>
  <conditionalFormatting sqref="D11:D21">
    <cfRule type="cellIs" dxfId="5" priority="5" operator="equal">
      <formula>"n/a"</formula>
    </cfRule>
    <cfRule type="cellIs" dxfId="4" priority="6" operator="equal">
      <formula>"Optional"</formula>
    </cfRule>
  </conditionalFormatting>
  <conditionalFormatting sqref="G11:G21">
    <cfRule type="cellIs" dxfId="3" priority="3" operator="equal">
      <formula>"n/a"</formula>
    </cfRule>
    <cfRule type="cellIs" dxfId="2" priority="4" operator="equal">
      <formula>"Optional"</formula>
    </cfRule>
  </conditionalFormatting>
  <conditionalFormatting sqref="G23">
    <cfRule type="cellIs" dxfId="1" priority="1" operator="equal">
      <formula>"n/a"</formula>
    </cfRule>
    <cfRule type="cellIs" dxfId="0" priority="2" operator="equal">
      <formula>"Optional"</formula>
    </cfRule>
  </conditionalFormatting>
  <dataValidations count="1">
    <dataValidation type="list" allowBlank="1" showInputMessage="1" showErrorMessage="1" sqref="B42:B43 B32:B35 B38:B39 D3 B49 B52 B55 B58 B46 B10:B13 B16:B29 G5 B61:B63" xr:uid="{332C8809-8F97-45B0-BEAC-6834AA36C6A1}">
      <formula1>"No,Yes"</formula1>
    </dataValidation>
  </dataValidations>
  <pageMargins left="0.7" right="0.7" top="0.75" bottom="0.75" header="0.3" footer="0.3"/>
  <pageSetup paperSize="9" scale="75"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B4B7D-5AB5-4DF4-8195-A9BF0A2E5FD5}">
  <sheetPr codeName="Sheet2"/>
  <dimension ref="A1:Q97"/>
  <sheetViews>
    <sheetView workbookViewId="0">
      <pane xSplit="1" ySplit="1" topLeftCell="B2" activePane="bottomRight" state="frozen"/>
      <selection activeCell="C25" sqref="C25"/>
      <selection pane="topRight" activeCell="C25" sqref="C25"/>
      <selection pane="bottomLeft" activeCell="C25" sqref="C25"/>
      <selection pane="bottomRight" activeCell="C25" sqref="C25"/>
    </sheetView>
  </sheetViews>
  <sheetFormatPr baseColWidth="10" defaultColWidth="8.83203125" defaultRowHeight="15" x14ac:dyDescent="0.2"/>
  <cols>
    <col min="1" max="2" width="74.33203125" customWidth="1"/>
    <col min="3" max="3" width="57.33203125" customWidth="1"/>
    <col min="4" max="5" width="14.6640625" bestFit="1" customWidth="1"/>
    <col min="6" max="6" width="8.6640625" bestFit="1" customWidth="1"/>
    <col min="7" max="7" width="28.1640625" bestFit="1" customWidth="1"/>
    <col min="8" max="8" width="16.6640625" bestFit="1" customWidth="1"/>
    <col min="9" max="9" width="12.5" bestFit="1" customWidth="1"/>
    <col min="10" max="10" width="9.83203125" bestFit="1" customWidth="1"/>
    <col min="11" max="11" width="9.6640625" bestFit="1" customWidth="1"/>
    <col min="12" max="12" width="10.5" bestFit="1" customWidth="1"/>
    <col min="13" max="13" width="17.5" bestFit="1" customWidth="1"/>
    <col min="14" max="14" width="22.5" style="175" bestFit="1" customWidth="1"/>
    <col min="15" max="15" width="38.83203125" style="175" bestFit="1" customWidth="1"/>
    <col min="16" max="17" width="47" bestFit="1" customWidth="1"/>
  </cols>
  <sheetData>
    <row r="1" spans="1:17" x14ac:dyDescent="0.2">
      <c r="A1" s="296" t="s">
        <v>32</v>
      </c>
      <c r="B1" s="296" t="s">
        <v>382</v>
      </c>
      <c r="C1" s="296" t="s">
        <v>33</v>
      </c>
      <c r="D1" s="296" t="s">
        <v>34</v>
      </c>
      <c r="E1" s="296" t="s">
        <v>35</v>
      </c>
      <c r="F1" s="296" t="s">
        <v>36</v>
      </c>
      <c r="G1" s="296" t="s">
        <v>37</v>
      </c>
      <c r="H1" s="296" t="s">
        <v>38</v>
      </c>
      <c r="I1" s="296" t="s">
        <v>39</v>
      </c>
      <c r="J1" s="296" t="s">
        <v>40</v>
      </c>
      <c r="K1" s="296" t="s">
        <v>41</v>
      </c>
      <c r="L1" s="296" t="s">
        <v>42</v>
      </c>
      <c r="M1" s="296" t="s">
        <v>43</v>
      </c>
      <c r="N1" s="297" t="s">
        <v>100</v>
      </c>
      <c r="O1" s="297" t="s">
        <v>101</v>
      </c>
      <c r="P1" s="297" t="s">
        <v>106</v>
      </c>
      <c r="Q1" s="297" t="s">
        <v>109</v>
      </c>
    </row>
    <row r="2" spans="1:17" x14ac:dyDescent="0.2">
      <c r="A2" s="188" t="str">
        <f>'Customer Summary'!C4</f>
        <v>Condensation control: Supply and install Loft Dryaire system &amp; required accessories</v>
      </c>
      <c r="B2" s="188"/>
      <c r="C2" t="str">
        <f>Costing!B21</f>
        <v>VA Pozidry loft unit - heated</v>
      </c>
      <c r="D2" s="176">
        <f>Costing!F21</f>
        <v>1</v>
      </c>
      <c r="E2" s="176">
        <f>Costing!I21</f>
        <v>307.92349999999999</v>
      </c>
      <c r="F2" t="str">
        <f>Costing!G21</f>
        <v>Each</v>
      </c>
      <c r="G2" t="s">
        <v>228</v>
      </c>
      <c r="H2" s="176">
        <f>Costing!J21*100</f>
        <v>40</v>
      </c>
      <c r="I2" t="s">
        <v>44</v>
      </c>
      <c r="J2" t="s">
        <v>54</v>
      </c>
      <c r="K2" t="s">
        <v>45</v>
      </c>
      <c r="L2" t="s">
        <v>63</v>
      </c>
      <c r="M2" t="str">
        <f t="shared" ref="M2:M6" si="0">IF(J2="MTL","Preservation Shop","")</f>
        <v>Preservation Shop</v>
      </c>
      <c r="N2" s="193">
        <f t="shared" ref="N2:N6" si="1">D2*E2</f>
        <v>307.92349999999999</v>
      </c>
      <c r="O2" s="189" t="s">
        <v>108</v>
      </c>
      <c r="P2" s="193">
        <f>N2*(1+(H2/100))</f>
        <v>431.09289999999999</v>
      </c>
      <c r="Q2" s="175" t="s">
        <v>63</v>
      </c>
    </row>
    <row r="3" spans="1:17" x14ac:dyDescent="0.2">
      <c r="A3" s="188" t="str">
        <f>A2</f>
        <v>Condensation control: Supply and install Loft Dryaire system &amp; required accessories</v>
      </c>
      <c r="B3" s="188"/>
      <c r="C3" t="str">
        <f>Costing!B22</f>
        <v>VA Pozidry loft unit - unheated</v>
      </c>
      <c r="D3" s="176">
        <f>Costing!F22</f>
        <v>0</v>
      </c>
      <c r="E3" s="176">
        <f>Costing!I22</f>
        <v>294.46199999999999</v>
      </c>
      <c r="F3" t="str">
        <f>Costing!G22</f>
        <v>Each</v>
      </c>
      <c r="G3" t="s">
        <v>228</v>
      </c>
      <c r="H3" s="176">
        <f>Costing!J22*100</f>
        <v>40</v>
      </c>
      <c r="I3" t="s">
        <v>44</v>
      </c>
      <c r="J3" t="s">
        <v>54</v>
      </c>
      <c r="K3" t="s">
        <v>45</v>
      </c>
      <c r="L3" t="s">
        <v>63</v>
      </c>
      <c r="M3" t="str">
        <f t="shared" si="0"/>
        <v>Preservation Shop</v>
      </c>
      <c r="N3" s="193">
        <f t="shared" si="1"/>
        <v>0</v>
      </c>
      <c r="O3" s="189" t="s">
        <v>108</v>
      </c>
      <c r="P3" s="193">
        <f t="shared" ref="P3:P9" si="2">N3*(1+(H3/100))</f>
        <v>0</v>
      </c>
      <c r="Q3" s="175" t="s">
        <v>63</v>
      </c>
    </row>
    <row r="4" spans="1:17" x14ac:dyDescent="0.2">
      <c r="A4" s="188" t="str">
        <f t="shared" ref="A4:A11" si="3">A3</f>
        <v>Condensation control: Supply and install Loft Dryaire system &amp; required accessories</v>
      </c>
      <c r="B4" s="188"/>
      <c r="C4" t="str">
        <f>Costing!B23</f>
        <v>Electrical Pack - fused spur, cable, JB</v>
      </c>
      <c r="D4" s="176">
        <f>Costing!F23</f>
        <v>0</v>
      </c>
      <c r="E4" s="176">
        <f>Costing!I23</f>
        <v>11.837</v>
      </c>
      <c r="F4" t="str">
        <f>Costing!G23</f>
        <v>Each</v>
      </c>
      <c r="G4" t="s">
        <v>228</v>
      </c>
      <c r="H4" s="176">
        <f>Costing!J23*100</f>
        <v>30</v>
      </c>
      <c r="I4" t="s">
        <v>44</v>
      </c>
      <c r="J4" t="s">
        <v>54</v>
      </c>
      <c r="K4" t="s">
        <v>45</v>
      </c>
      <c r="L4" t="s">
        <v>63</v>
      </c>
      <c r="M4" t="str">
        <f t="shared" si="0"/>
        <v>Preservation Shop</v>
      </c>
      <c r="N4" s="193">
        <f t="shared" si="1"/>
        <v>0</v>
      </c>
      <c r="O4" s="189" t="s">
        <v>108</v>
      </c>
      <c r="P4" s="193">
        <f t="shared" si="2"/>
        <v>0</v>
      </c>
      <c r="Q4" s="175" t="s">
        <v>63</v>
      </c>
    </row>
    <row r="5" spans="1:17" x14ac:dyDescent="0.2">
      <c r="A5" s="188" t="str">
        <f t="shared" si="3"/>
        <v>Condensation control: Supply and install Loft Dryaire system &amp; required accessories</v>
      </c>
      <c r="B5" s="188"/>
      <c r="C5" t="str">
        <f>Costing!B24</f>
        <v>Sarkvents</v>
      </c>
      <c r="D5" s="176">
        <f>Costing!F24</f>
        <v>0</v>
      </c>
      <c r="E5" s="176">
        <f>Costing!I24</f>
        <v>2.85</v>
      </c>
      <c r="F5" t="str">
        <f>Costing!G24</f>
        <v>Each</v>
      </c>
      <c r="G5" t="s">
        <v>228</v>
      </c>
      <c r="H5" s="176">
        <f>Costing!J24*100</f>
        <v>30</v>
      </c>
      <c r="I5" t="s">
        <v>44</v>
      </c>
      <c r="J5" t="s">
        <v>54</v>
      </c>
      <c r="K5" t="s">
        <v>45</v>
      </c>
      <c r="L5" t="s">
        <v>63</v>
      </c>
      <c r="M5" t="str">
        <f t="shared" si="0"/>
        <v>Preservation Shop</v>
      </c>
      <c r="N5" s="193">
        <f t="shared" si="1"/>
        <v>0</v>
      </c>
      <c r="O5" s="189" t="s">
        <v>108</v>
      </c>
      <c r="P5" s="193">
        <f t="shared" si="2"/>
        <v>0</v>
      </c>
      <c r="Q5" s="175" t="s">
        <v>63</v>
      </c>
    </row>
    <row r="6" spans="1:17" x14ac:dyDescent="0.2">
      <c r="A6" s="188" t="str">
        <f t="shared" si="3"/>
        <v>Condensation control: Supply and install Loft Dryaire system &amp; required accessories</v>
      </c>
      <c r="B6" s="188"/>
      <c r="C6" t="str">
        <f>Costing!M21</f>
        <v>VA Pozidry loft unit - heated</v>
      </c>
      <c r="D6" s="176">
        <f>Costing!O21</f>
        <v>2.5</v>
      </c>
      <c r="E6" s="176">
        <f>Costing!Q21</f>
        <v>29.098500000000001</v>
      </c>
      <c r="F6" t="s">
        <v>2</v>
      </c>
      <c r="G6" t="s">
        <v>227</v>
      </c>
      <c r="H6" s="176">
        <f>Costing!R21*100</f>
        <v>400</v>
      </c>
      <c r="I6" t="s">
        <v>44</v>
      </c>
      <c r="J6" t="s">
        <v>52</v>
      </c>
      <c r="K6" t="s">
        <v>45</v>
      </c>
      <c r="L6" t="s">
        <v>63</v>
      </c>
      <c r="M6" t="str">
        <f t="shared" si="0"/>
        <v/>
      </c>
      <c r="N6" s="193">
        <f t="shared" si="1"/>
        <v>72.746250000000003</v>
      </c>
      <c r="O6" s="189" t="s">
        <v>108</v>
      </c>
      <c r="P6" s="193">
        <f t="shared" si="2"/>
        <v>363.73125000000005</v>
      </c>
      <c r="Q6" s="175" t="s">
        <v>63</v>
      </c>
    </row>
    <row r="7" spans="1:17" x14ac:dyDescent="0.2">
      <c r="A7" s="188" t="str">
        <f t="shared" si="3"/>
        <v>Condensation control: Supply and install Loft Dryaire system &amp; required accessories</v>
      </c>
      <c r="B7" s="188"/>
      <c r="C7" t="str">
        <f>Costing!M22</f>
        <v>VA Pozidry loft unit - unheated</v>
      </c>
      <c r="D7" s="176">
        <f>Costing!O22</f>
        <v>0</v>
      </c>
      <c r="E7" s="176">
        <f>Costing!Q22</f>
        <v>29.098500000000001</v>
      </c>
      <c r="F7" t="s">
        <v>2</v>
      </c>
      <c r="G7" t="s">
        <v>227</v>
      </c>
      <c r="H7" s="176">
        <f>Costing!R22*100</f>
        <v>400</v>
      </c>
      <c r="I7" t="s">
        <v>44</v>
      </c>
      <c r="J7" t="s">
        <v>52</v>
      </c>
      <c r="K7" t="s">
        <v>45</v>
      </c>
      <c r="L7" t="s">
        <v>63</v>
      </c>
      <c r="M7" t="str">
        <f t="shared" ref="M7:M9" si="4">IF(J7="MTL","Preservation Shop","")</f>
        <v/>
      </c>
      <c r="N7" s="193">
        <f t="shared" ref="N7:N9" si="5">D7*E7</f>
        <v>0</v>
      </c>
      <c r="O7" s="189" t="s">
        <v>108</v>
      </c>
      <c r="P7" s="193">
        <f t="shared" si="2"/>
        <v>0</v>
      </c>
      <c r="Q7" s="175" t="s">
        <v>63</v>
      </c>
    </row>
    <row r="8" spans="1:17" x14ac:dyDescent="0.2">
      <c r="A8" s="188" t="str">
        <f t="shared" si="3"/>
        <v>Condensation control: Supply and install Loft Dryaire system &amp; required accessories</v>
      </c>
      <c r="B8" s="188"/>
      <c r="C8" t="str">
        <f>Costing!M23</f>
        <v>Electrical Pack - fused spur, cable, JB</v>
      </c>
      <c r="D8" s="176">
        <f>Costing!O23</f>
        <v>0</v>
      </c>
      <c r="E8" s="176">
        <f>Costing!Q23</f>
        <v>29.098500000000001</v>
      </c>
      <c r="F8" t="s">
        <v>2</v>
      </c>
      <c r="G8" t="s">
        <v>227</v>
      </c>
      <c r="H8" s="176">
        <f>Costing!R23*100</f>
        <v>100</v>
      </c>
      <c r="I8" t="s">
        <v>44</v>
      </c>
      <c r="J8" t="s">
        <v>52</v>
      </c>
      <c r="K8" t="s">
        <v>45</v>
      </c>
      <c r="L8" t="s">
        <v>63</v>
      </c>
      <c r="M8" t="str">
        <f t="shared" si="4"/>
        <v/>
      </c>
      <c r="N8" s="193">
        <f t="shared" si="5"/>
        <v>0</v>
      </c>
      <c r="O8" s="189" t="s">
        <v>108</v>
      </c>
      <c r="P8" s="193">
        <f t="shared" si="2"/>
        <v>0</v>
      </c>
      <c r="Q8" s="175" t="s">
        <v>63</v>
      </c>
    </row>
    <row r="9" spans="1:17" x14ac:dyDescent="0.2">
      <c r="A9" s="188" t="str">
        <f t="shared" si="3"/>
        <v>Condensation control: Supply and install Loft Dryaire system &amp; required accessories</v>
      </c>
      <c r="B9" s="188"/>
      <c r="C9" t="str">
        <f>Costing!M24</f>
        <v>Sarkvents</v>
      </c>
      <c r="D9" s="176">
        <f>Costing!O24</f>
        <v>0</v>
      </c>
      <c r="E9" s="176">
        <f>Costing!Q24</f>
        <v>29.098500000000001</v>
      </c>
      <c r="F9" t="s">
        <v>2</v>
      </c>
      <c r="G9" t="s">
        <v>227</v>
      </c>
      <c r="H9" s="176">
        <f>Costing!R24*100</f>
        <v>100</v>
      </c>
      <c r="I9" t="s">
        <v>44</v>
      </c>
      <c r="J9" t="s">
        <v>52</v>
      </c>
      <c r="K9" t="s">
        <v>45</v>
      </c>
      <c r="L9" t="s">
        <v>63</v>
      </c>
      <c r="M9" t="str">
        <f t="shared" si="4"/>
        <v/>
      </c>
      <c r="N9" s="193">
        <f t="shared" si="5"/>
        <v>0</v>
      </c>
      <c r="O9" s="189" t="s">
        <v>108</v>
      </c>
      <c r="P9" s="193">
        <f t="shared" si="2"/>
        <v>0</v>
      </c>
      <c r="Q9" s="175" t="s">
        <v>63</v>
      </c>
    </row>
    <row r="10" spans="1:17" s="190" customFormat="1" x14ac:dyDescent="0.2">
      <c r="A10" s="190" t="str">
        <f t="shared" si="3"/>
        <v>Condensation control: Supply and install Loft Dryaire system &amp; required accessories</v>
      </c>
      <c r="C10" s="190" t="str">
        <f>_xlfn.CONCAT(A10," - Materials")</f>
        <v>Condensation control: Supply and install Loft Dryaire system &amp; required accessories - Materials</v>
      </c>
      <c r="D10" s="191">
        <v>1</v>
      </c>
      <c r="E10" s="191">
        <f>N10</f>
        <v>307.92349999999999</v>
      </c>
      <c r="F10" s="190" t="s">
        <v>107</v>
      </c>
      <c r="G10" s="190" t="s">
        <v>228</v>
      </c>
      <c r="H10" s="191">
        <f>((P10-N10)/N10)*100</f>
        <v>40</v>
      </c>
      <c r="I10" s="190" t="s">
        <v>44</v>
      </c>
      <c r="J10" s="190" t="s">
        <v>54</v>
      </c>
      <c r="K10" s="190" t="s">
        <v>45</v>
      </c>
      <c r="L10" s="190" t="str">
        <f>'Customer Summary'!D4</f>
        <v>No</v>
      </c>
      <c r="M10" s="190" t="str">
        <f t="shared" ref="M10:M11" si="6">IF(J10="MTL","Preservation Shop","")</f>
        <v>Preservation Shop</v>
      </c>
      <c r="N10" s="194">
        <f>SUM(N2:N5)</f>
        <v>307.92349999999999</v>
      </c>
      <c r="O10" s="192" t="str">
        <f t="shared" ref="O10" si="7">IF(N10=0,"DELETE","LEAVE")</f>
        <v>LEAVE</v>
      </c>
      <c r="P10" s="194">
        <f>SUM(P2:P5)</f>
        <v>431.09289999999999</v>
      </c>
      <c r="Q10" s="192" t="s">
        <v>45</v>
      </c>
    </row>
    <row r="11" spans="1:17" s="190" customFormat="1" x14ac:dyDescent="0.2">
      <c r="A11" s="190" t="str">
        <f t="shared" si="3"/>
        <v>Condensation control: Supply and install Loft Dryaire system &amp; required accessories</v>
      </c>
      <c r="C11" s="190" t="str">
        <f>_xlfn.CONCAT(A11," - Labour")</f>
        <v>Condensation control: Supply and install Loft Dryaire system &amp; required accessories - Labour</v>
      </c>
      <c r="D11" s="191">
        <f>SUM(D6:D9)</f>
        <v>2.5</v>
      </c>
      <c r="E11" s="191">
        <f>N11/D11</f>
        <v>29.098500000000001</v>
      </c>
      <c r="F11" s="190" t="s">
        <v>2</v>
      </c>
      <c r="G11" s="190" t="s">
        <v>227</v>
      </c>
      <c r="H11" s="191">
        <f>((P11-N11)/N11)*100</f>
        <v>400</v>
      </c>
      <c r="I11" s="190" t="s">
        <v>44</v>
      </c>
      <c r="J11" s="190" t="s">
        <v>52</v>
      </c>
      <c r="K11" s="190" t="s">
        <v>45</v>
      </c>
      <c r="L11" s="190" t="str">
        <f>L10</f>
        <v>No</v>
      </c>
      <c r="M11" s="190" t="str">
        <f t="shared" si="6"/>
        <v/>
      </c>
      <c r="N11" s="194">
        <f>SUM(N6:N9)</f>
        <v>72.746250000000003</v>
      </c>
      <c r="O11" s="192" t="str">
        <f>IF(N11=0,"DELETE","LEAVE")</f>
        <v>LEAVE</v>
      </c>
      <c r="P11" s="194">
        <f>SUM(P6:P9)</f>
        <v>363.73125000000005</v>
      </c>
      <c r="Q11" s="192" t="s">
        <v>45</v>
      </c>
    </row>
    <row r="12" spans="1:17" x14ac:dyDescent="0.2">
      <c r="A12" s="184"/>
      <c r="B12" s="184"/>
      <c r="C12" s="184"/>
      <c r="D12" s="185"/>
      <c r="E12" s="185"/>
      <c r="F12" s="184"/>
      <c r="G12" s="184"/>
      <c r="H12" s="185"/>
      <c r="I12" s="184"/>
      <c r="J12" s="184"/>
      <c r="K12" s="184"/>
      <c r="L12" s="184"/>
      <c r="M12" s="184"/>
      <c r="N12" s="186"/>
      <c r="O12" s="187" t="s">
        <v>108</v>
      </c>
      <c r="P12" s="186"/>
      <c r="Q12" s="186"/>
    </row>
    <row r="13" spans="1:17" x14ac:dyDescent="0.2">
      <c r="A13" s="188" t="str">
        <f>'Customer Summary'!C5</f>
        <v>Condensation control: Supply and install Wall Mounted Dryaire system &amp; required accessories</v>
      </c>
      <c r="B13" s="188"/>
      <c r="C13" t="str">
        <f>Costing!B28</f>
        <v>VA Pozidry Compact wall mounted unit</v>
      </c>
      <c r="D13" s="176">
        <f>Costing!F28</f>
        <v>0</v>
      </c>
      <c r="E13" s="176">
        <f>Costing!I28</f>
        <v>273.74</v>
      </c>
      <c r="F13" t="str">
        <f>Costing!G28</f>
        <v>Each</v>
      </c>
      <c r="G13" t="s">
        <v>228</v>
      </c>
      <c r="H13" s="176">
        <f>Costing!J28*100</f>
        <v>40</v>
      </c>
      <c r="I13" t="s">
        <v>44</v>
      </c>
      <c r="J13" t="s">
        <v>54</v>
      </c>
      <c r="K13" t="s">
        <v>45</v>
      </c>
      <c r="L13" t="s">
        <v>63</v>
      </c>
      <c r="M13" t="str">
        <f t="shared" ref="M13:M42" si="8">IF(J13="MTL","Preservation Shop","")</f>
        <v>Preservation Shop</v>
      </c>
      <c r="N13" s="193">
        <f t="shared" ref="N13:N40" si="9">D13*E13</f>
        <v>0</v>
      </c>
      <c r="O13" s="189" t="s">
        <v>108</v>
      </c>
      <c r="P13" s="193">
        <f t="shared" ref="P13:P40" si="10">N13*(1+(H13/100))</f>
        <v>0</v>
      </c>
      <c r="Q13" s="175" t="s">
        <v>63</v>
      </c>
    </row>
    <row r="14" spans="1:17" x14ac:dyDescent="0.2">
      <c r="A14" s="188" t="str">
        <f>A13</f>
        <v>Condensation control: Supply and install Wall Mounted Dryaire system &amp; required accessories</v>
      </c>
      <c r="B14" s="188"/>
      <c r="C14" t="str">
        <f>Costing!B29</f>
        <v>Electrical Pack - fused spur, cable, JB</v>
      </c>
      <c r="D14" s="176">
        <f>Costing!F29</f>
        <v>0</v>
      </c>
      <c r="E14" s="176">
        <f>Costing!I29</f>
        <v>12.46</v>
      </c>
      <c r="F14" t="str">
        <f>Costing!G29</f>
        <v>Each</v>
      </c>
      <c r="G14" t="s">
        <v>228</v>
      </c>
      <c r="H14" s="176">
        <f>Costing!J29*100</f>
        <v>30</v>
      </c>
      <c r="I14" t="s">
        <v>44</v>
      </c>
      <c r="J14" t="s">
        <v>54</v>
      </c>
      <c r="K14" t="s">
        <v>45</v>
      </c>
      <c r="L14" t="s">
        <v>63</v>
      </c>
      <c r="M14" t="str">
        <f t="shared" si="8"/>
        <v>Preservation Shop</v>
      </c>
      <c r="N14" s="193">
        <f t="shared" si="9"/>
        <v>0</v>
      </c>
      <c r="O14" s="189" t="s">
        <v>108</v>
      </c>
      <c r="P14" s="193">
        <f t="shared" si="10"/>
        <v>0</v>
      </c>
      <c r="Q14" s="175" t="s">
        <v>63</v>
      </c>
    </row>
    <row r="15" spans="1:17" x14ac:dyDescent="0.2">
      <c r="A15" s="188" t="str">
        <f t="shared" ref="A15:A40" si="11">A14</f>
        <v>Condensation control: Supply and install Wall Mounted Dryaire system &amp; required accessories</v>
      </c>
      <c r="B15" s="188"/>
      <c r="C15" t="str">
        <f>Costing!B30</f>
        <v>Ducting - 1m length</v>
      </c>
      <c r="D15" s="176">
        <f>Costing!F30</f>
        <v>0</v>
      </c>
      <c r="E15" s="176">
        <f>Costing!I30</f>
        <v>3.85</v>
      </c>
      <c r="F15" t="str">
        <f>Costing!G30</f>
        <v>Each</v>
      </c>
      <c r="G15" t="s">
        <v>228</v>
      </c>
      <c r="H15" s="176">
        <f>Costing!J30*100</f>
        <v>30</v>
      </c>
      <c r="I15" t="s">
        <v>44</v>
      </c>
      <c r="J15" t="s">
        <v>54</v>
      </c>
      <c r="K15" t="s">
        <v>45</v>
      </c>
      <c r="L15" t="s">
        <v>63</v>
      </c>
      <c r="M15" t="str">
        <f t="shared" si="8"/>
        <v>Preservation Shop</v>
      </c>
      <c r="N15" s="193">
        <f t="shared" si="9"/>
        <v>0</v>
      </c>
      <c r="O15" s="189" t="s">
        <v>108</v>
      </c>
      <c r="P15" s="193">
        <f t="shared" si="10"/>
        <v>0</v>
      </c>
      <c r="Q15" s="175" t="s">
        <v>63</v>
      </c>
    </row>
    <row r="16" spans="1:17" x14ac:dyDescent="0.2">
      <c r="A16" s="188" t="str">
        <f t="shared" si="11"/>
        <v>Condensation control: Supply and install Wall Mounted Dryaire system &amp; required accessories</v>
      </c>
      <c r="B16" s="188"/>
      <c r="C16" t="str">
        <f>Costing!B31</f>
        <v>Ducting - round elbow</v>
      </c>
      <c r="D16" s="176">
        <f>Costing!F31</f>
        <v>0</v>
      </c>
      <c r="E16" s="176">
        <f>Costing!I31</f>
        <v>2.78</v>
      </c>
      <c r="F16" t="str">
        <f>Costing!G31</f>
        <v>Each</v>
      </c>
      <c r="G16" t="s">
        <v>228</v>
      </c>
      <c r="H16" s="176">
        <f>Costing!J31*100</f>
        <v>30</v>
      </c>
      <c r="I16" t="s">
        <v>44</v>
      </c>
      <c r="J16" t="s">
        <v>54</v>
      </c>
      <c r="K16" t="s">
        <v>45</v>
      </c>
      <c r="L16" t="s">
        <v>63</v>
      </c>
      <c r="M16" t="str">
        <f t="shared" si="8"/>
        <v>Preservation Shop</v>
      </c>
      <c r="N16" s="193">
        <f t="shared" si="9"/>
        <v>0</v>
      </c>
      <c r="O16" s="189" t="s">
        <v>108</v>
      </c>
      <c r="P16" s="193">
        <f t="shared" si="10"/>
        <v>0</v>
      </c>
      <c r="Q16" s="175" t="s">
        <v>63</v>
      </c>
    </row>
    <row r="17" spans="1:17" x14ac:dyDescent="0.2">
      <c r="A17" s="188" t="str">
        <f t="shared" si="11"/>
        <v>Condensation control: Supply and install Wall Mounted Dryaire system &amp; required accessories</v>
      </c>
      <c r="B17" s="188"/>
      <c r="C17" t="str">
        <f>Costing!B32</f>
        <v>Ducting - round - straight conn</v>
      </c>
      <c r="D17" s="176">
        <f>Costing!F32</f>
        <v>0</v>
      </c>
      <c r="E17" s="176">
        <f>Costing!I32</f>
        <v>0.52</v>
      </c>
      <c r="F17" t="str">
        <f>Costing!G32</f>
        <v>Each</v>
      </c>
      <c r="G17" t="s">
        <v>228</v>
      </c>
      <c r="H17" s="176">
        <f>Costing!J32*100</f>
        <v>30</v>
      </c>
      <c r="I17" t="s">
        <v>44</v>
      </c>
      <c r="J17" t="s">
        <v>54</v>
      </c>
      <c r="K17" t="s">
        <v>45</v>
      </c>
      <c r="L17" t="s">
        <v>63</v>
      </c>
      <c r="M17" t="str">
        <f t="shared" ref="M17:M20" si="12">IF(J17="MTL","Preservation Shop","")</f>
        <v>Preservation Shop</v>
      </c>
      <c r="N17" s="193">
        <f t="shared" ref="N17:N20" si="13">D17*E17</f>
        <v>0</v>
      </c>
      <c r="O17" s="189" t="s">
        <v>108</v>
      </c>
      <c r="P17" s="193">
        <f t="shared" si="10"/>
        <v>0</v>
      </c>
      <c r="Q17" s="175" t="s">
        <v>63</v>
      </c>
    </row>
    <row r="18" spans="1:17" x14ac:dyDescent="0.2">
      <c r="A18" s="188" t="str">
        <f t="shared" si="11"/>
        <v>Condensation control: Supply and install Wall Mounted Dryaire system &amp; required accessories</v>
      </c>
      <c r="B18" s="188"/>
      <c r="C18" t="str">
        <f>Costing!B33</f>
        <v>Ducting - round 1m</v>
      </c>
      <c r="D18" s="176">
        <f>Costing!F33</f>
        <v>0</v>
      </c>
      <c r="E18" s="176">
        <f>Costing!I33</f>
        <v>3.85</v>
      </c>
      <c r="F18" t="str">
        <f>Costing!G33</f>
        <v>Each</v>
      </c>
      <c r="G18" t="s">
        <v>228</v>
      </c>
      <c r="H18" s="176">
        <f>Costing!J33*100</f>
        <v>30</v>
      </c>
      <c r="I18" t="s">
        <v>44</v>
      </c>
      <c r="J18" t="s">
        <v>54</v>
      </c>
      <c r="K18" t="s">
        <v>45</v>
      </c>
      <c r="L18" t="s">
        <v>63</v>
      </c>
      <c r="M18" t="str">
        <f t="shared" si="12"/>
        <v>Preservation Shop</v>
      </c>
      <c r="N18" s="193">
        <f t="shared" si="13"/>
        <v>0</v>
      </c>
      <c r="O18" s="189" t="s">
        <v>108</v>
      </c>
      <c r="P18" s="193">
        <f t="shared" si="10"/>
        <v>0</v>
      </c>
      <c r="Q18" s="175" t="s">
        <v>63</v>
      </c>
    </row>
    <row r="19" spans="1:17" x14ac:dyDescent="0.2">
      <c r="A19" s="188" t="str">
        <f t="shared" si="11"/>
        <v>Condensation control: Supply and install Wall Mounted Dryaire system &amp; required accessories</v>
      </c>
      <c r="B19" s="188"/>
      <c r="C19" t="str">
        <f>Costing!B34</f>
        <v>Ducting - flat to round adaptor</v>
      </c>
      <c r="D19" s="176">
        <f>Costing!F34</f>
        <v>0</v>
      </c>
      <c r="E19" s="176">
        <f>Costing!I34</f>
        <v>1.63</v>
      </c>
      <c r="F19" t="str">
        <f>Costing!G34</f>
        <v>Each</v>
      </c>
      <c r="G19" t="s">
        <v>228</v>
      </c>
      <c r="H19" s="176">
        <f>Costing!J34*100</f>
        <v>30</v>
      </c>
      <c r="I19" t="s">
        <v>44</v>
      </c>
      <c r="J19" t="s">
        <v>54</v>
      </c>
      <c r="K19" t="s">
        <v>45</v>
      </c>
      <c r="L19" t="s">
        <v>63</v>
      </c>
      <c r="M19" t="str">
        <f t="shared" si="12"/>
        <v>Preservation Shop</v>
      </c>
      <c r="N19" s="193">
        <f t="shared" si="13"/>
        <v>0</v>
      </c>
      <c r="O19" s="189" t="s">
        <v>108</v>
      </c>
      <c r="P19" s="193">
        <f t="shared" si="10"/>
        <v>0</v>
      </c>
      <c r="Q19" s="175" t="s">
        <v>63</v>
      </c>
    </row>
    <row r="20" spans="1:17" x14ac:dyDescent="0.2">
      <c r="A20" s="188" t="str">
        <f t="shared" si="11"/>
        <v>Condensation control: Supply and install Wall Mounted Dryaire system &amp; required accessories</v>
      </c>
      <c r="B20" s="188"/>
      <c r="C20" t="str">
        <f>Costing!B35</f>
        <v>Ducting - flat straight connector</v>
      </c>
      <c r="D20" s="176">
        <f>Costing!F35</f>
        <v>0</v>
      </c>
      <c r="E20" s="176">
        <f>Costing!I35</f>
        <v>1.1399999999999999</v>
      </c>
      <c r="F20" t="str">
        <f>Costing!G35</f>
        <v>Each</v>
      </c>
      <c r="G20" t="s">
        <v>228</v>
      </c>
      <c r="H20" s="176">
        <f>Costing!J35*100</f>
        <v>30</v>
      </c>
      <c r="I20" t="s">
        <v>44</v>
      </c>
      <c r="J20" t="s">
        <v>54</v>
      </c>
      <c r="K20" t="s">
        <v>45</v>
      </c>
      <c r="L20" t="s">
        <v>63</v>
      </c>
      <c r="M20" t="str">
        <f t="shared" si="12"/>
        <v>Preservation Shop</v>
      </c>
      <c r="N20" s="193">
        <f t="shared" si="13"/>
        <v>0</v>
      </c>
      <c r="O20" s="189" t="s">
        <v>108</v>
      </c>
      <c r="P20" s="193">
        <f t="shared" si="10"/>
        <v>0</v>
      </c>
      <c r="Q20" s="175" t="s">
        <v>63</v>
      </c>
    </row>
    <row r="21" spans="1:17" x14ac:dyDescent="0.2">
      <c r="A21" s="188" t="str">
        <f t="shared" si="11"/>
        <v>Condensation control: Supply and install Wall Mounted Dryaire system &amp; required accessories</v>
      </c>
      <c r="B21" s="188"/>
      <c r="C21" t="str">
        <f>Costing!B36</f>
        <v>Ducting - flat horizontal bend</v>
      </c>
      <c r="D21" s="176">
        <f>Costing!F36</f>
        <v>0</v>
      </c>
      <c r="E21" s="176">
        <f>Costing!I36</f>
        <v>3.01</v>
      </c>
      <c r="F21" t="str">
        <f>Costing!G36</f>
        <v>Each</v>
      </c>
      <c r="G21" t="s">
        <v>228</v>
      </c>
      <c r="H21" s="176">
        <f>Costing!J36*100</f>
        <v>30</v>
      </c>
      <c r="I21" t="s">
        <v>44</v>
      </c>
      <c r="J21" t="s">
        <v>54</v>
      </c>
      <c r="K21" t="s">
        <v>45</v>
      </c>
      <c r="L21" t="s">
        <v>63</v>
      </c>
      <c r="M21" t="str">
        <f t="shared" ref="M21:M26" si="14">IF(J21="MTL","Preservation Shop","")</f>
        <v>Preservation Shop</v>
      </c>
      <c r="N21" s="193">
        <f t="shared" ref="N21:N26" si="15">D21*E21</f>
        <v>0</v>
      </c>
      <c r="O21" s="189" t="s">
        <v>108</v>
      </c>
      <c r="P21" s="193">
        <f t="shared" si="10"/>
        <v>0</v>
      </c>
      <c r="Q21" s="175" t="s">
        <v>63</v>
      </c>
    </row>
    <row r="22" spans="1:17" x14ac:dyDescent="0.2">
      <c r="A22" s="188" t="str">
        <f t="shared" si="11"/>
        <v>Condensation control: Supply and install Wall Mounted Dryaire system &amp; required accessories</v>
      </c>
      <c r="B22" s="188"/>
      <c r="C22" t="str">
        <f>Costing!B37</f>
        <v>Ducting - flat vertical bend</v>
      </c>
      <c r="D22" s="176">
        <f>Costing!F37</f>
        <v>0</v>
      </c>
      <c r="E22" s="176">
        <f>Costing!I37</f>
        <v>3.01</v>
      </c>
      <c r="F22" t="str">
        <f>Costing!G37</f>
        <v>Each</v>
      </c>
      <c r="G22" t="s">
        <v>228</v>
      </c>
      <c r="H22" s="176">
        <f>Costing!J37*100</f>
        <v>30</v>
      </c>
      <c r="I22" t="s">
        <v>44</v>
      </c>
      <c r="J22" t="s">
        <v>54</v>
      </c>
      <c r="K22" t="s">
        <v>45</v>
      </c>
      <c r="L22" t="s">
        <v>63</v>
      </c>
      <c r="M22" t="str">
        <f t="shared" si="14"/>
        <v>Preservation Shop</v>
      </c>
      <c r="N22" s="193">
        <f t="shared" si="15"/>
        <v>0</v>
      </c>
      <c r="O22" s="189" t="s">
        <v>108</v>
      </c>
      <c r="P22" s="193">
        <f t="shared" si="10"/>
        <v>0</v>
      </c>
      <c r="Q22" s="175" t="s">
        <v>63</v>
      </c>
    </row>
    <row r="23" spans="1:17" x14ac:dyDescent="0.2">
      <c r="A23" s="188" t="str">
        <f t="shared" si="11"/>
        <v>Condensation control: Supply and install Wall Mounted Dryaire system &amp; required accessories</v>
      </c>
      <c r="B23" s="188"/>
      <c r="C23" t="str">
        <f>Costing!B38</f>
        <v>Ducting - flat - 1m</v>
      </c>
      <c r="D23" s="176">
        <f>Costing!F38</f>
        <v>0</v>
      </c>
      <c r="E23" s="176">
        <f>Costing!I38</f>
        <v>2.87</v>
      </c>
      <c r="F23" t="str">
        <f>Costing!G38</f>
        <v>Each</v>
      </c>
      <c r="G23" t="s">
        <v>228</v>
      </c>
      <c r="H23" s="176">
        <f>Costing!J38*100</f>
        <v>30</v>
      </c>
      <c r="I23" t="s">
        <v>44</v>
      </c>
      <c r="J23" t="s">
        <v>54</v>
      </c>
      <c r="K23" t="s">
        <v>45</v>
      </c>
      <c r="L23" t="s">
        <v>63</v>
      </c>
      <c r="M23" t="str">
        <f t="shared" ref="M23:M24" si="16">IF(J23="MTL","Preservation Shop","")</f>
        <v>Preservation Shop</v>
      </c>
      <c r="N23" s="193">
        <f t="shared" ref="N23:N24" si="17">D23*E23</f>
        <v>0</v>
      </c>
      <c r="O23" s="189" t="s">
        <v>108</v>
      </c>
      <c r="P23" s="193">
        <f t="shared" si="10"/>
        <v>0</v>
      </c>
      <c r="Q23" s="175" t="s">
        <v>63</v>
      </c>
    </row>
    <row r="24" spans="1:17" x14ac:dyDescent="0.2">
      <c r="A24" s="188" t="str">
        <f t="shared" si="11"/>
        <v>Condensation control: Supply and install Wall Mounted Dryaire system &amp; required accessories</v>
      </c>
      <c r="B24" s="188"/>
      <c r="C24" t="str">
        <f>Costing!B39</f>
        <v>Ducting - insulated flexi (3m Length)</v>
      </c>
      <c r="D24" s="176">
        <f>Costing!F39</f>
        <v>0</v>
      </c>
      <c r="E24" s="176">
        <f>Costing!I39</f>
        <v>2.5</v>
      </c>
      <c r="F24" t="str">
        <f>Costing!G39</f>
        <v>Each</v>
      </c>
      <c r="G24" t="s">
        <v>228</v>
      </c>
      <c r="H24" s="176">
        <f>Costing!J39*100</f>
        <v>30</v>
      </c>
      <c r="I24" t="s">
        <v>44</v>
      </c>
      <c r="J24" t="s">
        <v>54</v>
      </c>
      <c r="K24" t="s">
        <v>45</v>
      </c>
      <c r="L24" t="s">
        <v>63</v>
      </c>
      <c r="M24" t="str">
        <f t="shared" si="16"/>
        <v>Preservation Shop</v>
      </c>
      <c r="N24" s="193">
        <f t="shared" si="17"/>
        <v>0</v>
      </c>
      <c r="O24" s="189" t="s">
        <v>108</v>
      </c>
      <c r="P24" s="193">
        <f t="shared" si="10"/>
        <v>0</v>
      </c>
      <c r="Q24" s="175" t="s">
        <v>63</v>
      </c>
    </row>
    <row r="25" spans="1:17" x14ac:dyDescent="0.2">
      <c r="A25" s="188" t="str">
        <f t="shared" si="11"/>
        <v>Condensation control: Supply and install Wall Mounted Dryaire system &amp; required accessories</v>
      </c>
      <c r="B25" s="188"/>
      <c r="C25" t="str">
        <f>Costing!B40</f>
        <v>Grille</v>
      </c>
      <c r="D25" s="176">
        <f>Costing!F40</f>
        <v>0</v>
      </c>
      <c r="E25" s="176">
        <f>Costing!I40</f>
        <v>2.42</v>
      </c>
      <c r="F25" t="str">
        <f>Costing!G40</f>
        <v>Each</v>
      </c>
      <c r="G25" t="s">
        <v>228</v>
      </c>
      <c r="H25" s="176">
        <f>Costing!J40*100</f>
        <v>30</v>
      </c>
      <c r="I25" t="s">
        <v>44</v>
      </c>
      <c r="J25" t="s">
        <v>54</v>
      </c>
      <c r="K25" t="s">
        <v>45</v>
      </c>
      <c r="L25" t="s">
        <v>63</v>
      </c>
      <c r="M25" t="str">
        <f t="shared" si="14"/>
        <v>Preservation Shop</v>
      </c>
      <c r="N25" s="193">
        <f t="shared" si="15"/>
        <v>0</v>
      </c>
      <c r="O25" s="189" t="s">
        <v>108</v>
      </c>
      <c r="P25" s="193">
        <f t="shared" si="10"/>
        <v>0</v>
      </c>
      <c r="Q25" s="175" t="s">
        <v>63</v>
      </c>
    </row>
    <row r="26" spans="1:17" x14ac:dyDescent="0.2">
      <c r="A26" s="188" t="str">
        <f t="shared" si="11"/>
        <v>Condensation control: Supply and install Wall Mounted Dryaire system &amp; required accessories</v>
      </c>
      <c r="B26" s="188"/>
      <c r="C26" t="str">
        <f>Costing!B41</f>
        <v xml:space="preserve">Diamond core 107mm hole </v>
      </c>
      <c r="D26" s="176">
        <f>Costing!F41</f>
        <v>0</v>
      </c>
      <c r="E26" s="176">
        <f>Costing!I41</f>
        <v>0</v>
      </c>
      <c r="F26" t="str">
        <f>Costing!G41</f>
        <v>Each</v>
      </c>
      <c r="G26" t="s">
        <v>228</v>
      </c>
      <c r="H26" s="176">
        <f>Costing!J41*100</f>
        <v>30</v>
      </c>
      <c r="I26" t="s">
        <v>44</v>
      </c>
      <c r="J26" t="s">
        <v>54</v>
      </c>
      <c r="K26" t="s">
        <v>45</v>
      </c>
      <c r="L26" t="s">
        <v>63</v>
      </c>
      <c r="M26" t="str">
        <f t="shared" si="14"/>
        <v>Preservation Shop</v>
      </c>
      <c r="N26" s="193">
        <f t="shared" si="15"/>
        <v>0</v>
      </c>
      <c r="O26" s="189" t="s">
        <v>108</v>
      </c>
      <c r="P26" s="193">
        <f t="shared" si="10"/>
        <v>0</v>
      </c>
      <c r="Q26" s="175" t="s">
        <v>63</v>
      </c>
    </row>
    <row r="27" spans="1:17" x14ac:dyDescent="0.2">
      <c r="A27" s="188" t="str">
        <f t="shared" si="11"/>
        <v>Condensation control: Supply and install Wall Mounted Dryaire system &amp; required accessories</v>
      </c>
      <c r="B27" s="188"/>
      <c r="C27" t="str">
        <f>Costing!M28</f>
        <v>VA Pozidry Compact wall mounted unit</v>
      </c>
      <c r="D27" s="176">
        <f>Costing!O28</f>
        <v>0</v>
      </c>
      <c r="E27" s="176">
        <f>Costing!Q28</f>
        <v>30.630000000000003</v>
      </c>
      <c r="F27" t="s">
        <v>2</v>
      </c>
      <c r="G27" t="s">
        <v>227</v>
      </c>
      <c r="H27" s="176">
        <f>Costing!R28*100</f>
        <v>300</v>
      </c>
      <c r="I27" t="s">
        <v>44</v>
      </c>
      <c r="J27" t="s">
        <v>52</v>
      </c>
      <c r="K27" t="s">
        <v>45</v>
      </c>
      <c r="L27" t="s">
        <v>63</v>
      </c>
      <c r="M27" t="str">
        <f t="shared" ref="M27:M28" si="18">IF(J27="MTL","Preservation Shop","")</f>
        <v/>
      </c>
      <c r="N27" s="193">
        <f t="shared" ref="N27:N28" si="19">D27*E27</f>
        <v>0</v>
      </c>
      <c r="O27" s="189" t="s">
        <v>108</v>
      </c>
      <c r="P27" s="193">
        <f t="shared" si="10"/>
        <v>0</v>
      </c>
      <c r="Q27" s="175" t="s">
        <v>63</v>
      </c>
    </row>
    <row r="28" spans="1:17" x14ac:dyDescent="0.2">
      <c r="A28" s="188" t="str">
        <f t="shared" si="11"/>
        <v>Condensation control: Supply and install Wall Mounted Dryaire system &amp; required accessories</v>
      </c>
      <c r="B28" s="188"/>
      <c r="C28" t="str">
        <f>Costing!M29</f>
        <v>Electrical Pack - fused spur, cable, JB</v>
      </c>
      <c r="D28" s="176">
        <f>Costing!O29</f>
        <v>0</v>
      </c>
      <c r="E28" s="176">
        <f>Costing!Q29</f>
        <v>30.630000000000003</v>
      </c>
      <c r="F28" t="s">
        <v>2</v>
      </c>
      <c r="G28" t="s">
        <v>227</v>
      </c>
      <c r="H28" s="176">
        <f>Costing!R29*100</f>
        <v>100</v>
      </c>
      <c r="I28" t="s">
        <v>44</v>
      </c>
      <c r="J28" t="s">
        <v>52</v>
      </c>
      <c r="K28" t="s">
        <v>45</v>
      </c>
      <c r="L28" t="s">
        <v>63</v>
      </c>
      <c r="M28" t="str">
        <f t="shared" si="18"/>
        <v/>
      </c>
      <c r="N28" s="193">
        <f t="shared" si="19"/>
        <v>0</v>
      </c>
      <c r="O28" s="189" t="s">
        <v>108</v>
      </c>
      <c r="P28" s="193">
        <f t="shared" si="10"/>
        <v>0</v>
      </c>
      <c r="Q28" s="175" t="s">
        <v>63</v>
      </c>
    </row>
    <row r="29" spans="1:17" x14ac:dyDescent="0.2">
      <c r="A29" s="188" t="str">
        <f t="shared" si="11"/>
        <v>Condensation control: Supply and install Wall Mounted Dryaire system &amp; required accessories</v>
      </c>
      <c r="B29" s="188"/>
      <c r="C29" t="str">
        <f>Costing!M30</f>
        <v>Ducting - 1m length</v>
      </c>
      <c r="D29" s="176">
        <f>Costing!O30</f>
        <v>0</v>
      </c>
      <c r="E29" s="176">
        <f>Costing!Q30</f>
        <v>30.630000000000003</v>
      </c>
      <c r="F29" t="s">
        <v>2</v>
      </c>
      <c r="G29" t="s">
        <v>227</v>
      </c>
      <c r="H29" s="176">
        <f>Costing!R30*100</f>
        <v>100</v>
      </c>
      <c r="I29" t="s">
        <v>44</v>
      </c>
      <c r="J29" t="s">
        <v>52</v>
      </c>
      <c r="K29" t="s">
        <v>45</v>
      </c>
      <c r="L29" t="s">
        <v>63</v>
      </c>
      <c r="M29" t="str">
        <f t="shared" ref="M29:M32" si="20">IF(J29="MTL","Preservation Shop","")</f>
        <v/>
      </c>
      <c r="N29" s="193">
        <f t="shared" ref="N29:N32" si="21">D29*E29</f>
        <v>0</v>
      </c>
      <c r="O29" s="189" t="s">
        <v>108</v>
      </c>
      <c r="P29" s="193">
        <f t="shared" si="10"/>
        <v>0</v>
      </c>
      <c r="Q29" s="175" t="s">
        <v>63</v>
      </c>
    </row>
    <row r="30" spans="1:17" x14ac:dyDescent="0.2">
      <c r="A30" s="188" t="str">
        <f t="shared" si="11"/>
        <v>Condensation control: Supply and install Wall Mounted Dryaire system &amp; required accessories</v>
      </c>
      <c r="B30" s="188"/>
      <c r="C30" t="str">
        <f>Costing!M31</f>
        <v>Ducting - round elbow</v>
      </c>
      <c r="D30" s="176">
        <f>Costing!O31</f>
        <v>0</v>
      </c>
      <c r="E30" s="176">
        <f>Costing!Q31</f>
        <v>30.630000000000003</v>
      </c>
      <c r="F30" t="s">
        <v>2</v>
      </c>
      <c r="G30" t="s">
        <v>227</v>
      </c>
      <c r="H30" s="176">
        <f>Costing!R31*100</f>
        <v>100</v>
      </c>
      <c r="I30" t="s">
        <v>44</v>
      </c>
      <c r="J30" t="s">
        <v>52</v>
      </c>
      <c r="K30" t="s">
        <v>45</v>
      </c>
      <c r="L30" t="s">
        <v>63</v>
      </c>
      <c r="M30" t="str">
        <f t="shared" si="20"/>
        <v/>
      </c>
      <c r="N30" s="193">
        <f t="shared" si="21"/>
        <v>0</v>
      </c>
      <c r="O30" s="189" t="s">
        <v>108</v>
      </c>
      <c r="P30" s="193">
        <f t="shared" si="10"/>
        <v>0</v>
      </c>
      <c r="Q30" s="175" t="s">
        <v>63</v>
      </c>
    </row>
    <row r="31" spans="1:17" x14ac:dyDescent="0.2">
      <c r="A31" s="188" t="str">
        <f t="shared" si="11"/>
        <v>Condensation control: Supply and install Wall Mounted Dryaire system &amp; required accessories</v>
      </c>
      <c r="B31" s="188"/>
      <c r="C31" t="str">
        <f>Costing!M32</f>
        <v>Ducting - round - straight conn</v>
      </c>
      <c r="D31" s="176">
        <f>Costing!O32</f>
        <v>0</v>
      </c>
      <c r="E31" s="176">
        <f>Costing!Q32</f>
        <v>30.630000000000003</v>
      </c>
      <c r="F31" t="s">
        <v>2</v>
      </c>
      <c r="G31" t="s">
        <v>227</v>
      </c>
      <c r="H31" s="176">
        <f>Costing!R32*100</f>
        <v>100</v>
      </c>
      <c r="I31" t="s">
        <v>44</v>
      </c>
      <c r="J31" t="s">
        <v>52</v>
      </c>
      <c r="K31" t="s">
        <v>45</v>
      </c>
      <c r="L31" t="s">
        <v>63</v>
      </c>
      <c r="M31" t="str">
        <f t="shared" si="20"/>
        <v/>
      </c>
      <c r="N31" s="193">
        <f t="shared" si="21"/>
        <v>0</v>
      </c>
      <c r="O31" s="189" t="s">
        <v>108</v>
      </c>
      <c r="P31" s="193">
        <f t="shared" si="10"/>
        <v>0</v>
      </c>
      <c r="Q31" s="175" t="s">
        <v>63</v>
      </c>
    </row>
    <row r="32" spans="1:17" x14ac:dyDescent="0.2">
      <c r="A32" s="188" t="str">
        <f t="shared" si="11"/>
        <v>Condensation control: Supply and install Wall Mounted Dryaire system &amp; required accessories</v>
      </c>
      <c r="B32" s="188"/>
      <c r="C32" t="str">
        <f>Costing!M33</f>
        <v>Ducting - round 1m</v>
      </c>
      <c r="D32" s="176">
        <f>Costing!O33</f>
        <v>0</v>
      </c>
      <c r="E32" s="176">
        <f>Costing!Q33</f>
        <v>30.630000000000003</v>
      </c>
      <c r="F32" t="s">
        <v>2</v>
      </c>
      <c r="G32" t="s">
        <v>227</v>
      </c>
      <c r="H32" s="176">
        <f>Costing!R33*100</f>
        <v>100</v>
      </c>
      <c r="I32" t="s">
        <v>44</v>
      </c>
      <c r="J32" t="s">
        <v>52</v>
      </c>
      <c r="K32" t="s">
        <v>45</v>
      </c>
      <c r="L32" t="s">
        <v>63</v>
      </c>
      <c r="M32" t="str">
        <f t="shared" si="20"/>
        <v/>
      </c>
      <c r="N32" s="193">
        <f t="shared" si="21"/>
        <v>0</v>
      </c>
      <c r="O32" s="189" t="s">
        <v>108</v>
      </c>
      <c r="P32" s="193">
        <f t="shared" si="10"/>
        <v>0</v>
      </c>
      <c r="Q32" s="175" t="s">
        <v>63</v>
      </c>
    </row>
    <row r="33" spans="1:17" x14ac:dyDescent="0.2">
      <c r="A33" s="188" t="str">
        <f t="shared" si="11"/>
        <v>Condensation control: Supply and install Wall Mounted Dryaire system &amp; required accessories</v>
      </c>
      <c r="B33" s="188"/>
      <c r="C33" t="str">
        <f>Costing!M34</f>
        <v>Ducting - flat to round adaptor</v>
      </c>
      <c r="D33" s="176">
        <f>Costing!O34</f>
        <v>0</v>
      </c>
      <c r="E33" s="176">
        <f>Costing!Q34</f>
        <v>30.630000000000003</v>
      </c>
      <c r="F33" t="s">
        <v>2</v>
      </c>
      <c r="G33" t="s">
        <v>227</v>
      </c>
      <c r="H33" s="176">
        <f>Costing!R34*100</f>
        <v>100</v>
      </c>
      <c r="I33" t="s">
        <v>44</v>
      </c>
      <c r="J33" t="s">
        <v>52</v>
      </c>
      <c r="K33" t="s">
        <v>45</v>
      </c>
      <c r="L33" t="s">
        <v>63</v>
      </c>
      <c r="M33" t="str">
        <f t="shared" ref="M33:M36" si="22">IF(J33="MTL","Preservation Shop","")</f>
        <v/>
      </c>
      <c r="N33" s="193">
        <f t="shared" ref="N33:N36" si="23">D33*E33</f>
        <v>0</v>
      </c>
      <c r="O33" s="189" t="s">
        <v>108</v>
      </c>
      <c r="P33" s="193">
        <f t="shared" si="10"/>
        <v>0</v>
      </c>
      <c r="Q33" s="175" t="s">
        <v>63</v>
      </c>
    </row>
    <row r="34" spans="1:17" x14ac:dyDescent="0.2">
      <c r="A34" s="188" t="str">
        <f t="shared" si="11"/>
        <v>Condensation control: Supply and install Wall Mounted Dryaire system &amp; required accessories</v>
      </c>
      <c r="B34" s="188"/>
      <c r="C34" t="str">
        <f>Costing!M35</f>
        <v>Ducting - flat straight connector</v>
      </c>
      <c r="D34" s="176">
        <f>Costing!O35</f>
        <v>0</v>
      </c>
      <c r="E34" s="176">
        <f>Costing!Q35</f>
        <v>30.630000000000003</v>
      </c>
      <c r="F34" t="s">
        <v>2</v>
      </c>
      <c r="G34" t="s">
        <v>227</v>
      </c>
      <c r="H34" s="176">
        <f>Costing!R35*100</f>
        <v>100</v>
      </c>
      <c r="I34" t="s">
        <v>44</v>
      </c>
      <c r="J34" t="s">
        <v>52</v>
      </c>
      <c r="K34" t="s">
        <v>45</v>
      </c>
      <c r="L34" t="s">
        <v>63</v>
      </c>
      <c r="M34" t="str">
        <f t="shared" si="22"/>
        <v/>
      </c>
      <c r="N34" s="193">
        <f t="shared" si="23"/>
        <v>0</v>
      </c>
      <c r="O34" s="189" t="s">
        <v>108</v>
      </c>
      <c r="P34" s="193">
        <f t="shared" si="10"/>
        <v>0</v>
      </c>
      <c r="Q34" s="175" t="s">
        <v>63</v>
      </c>
    </row>
    <row r="35" spans="1:17" x14ac:dyDescent="0.2">
      <c r="A35" s="188" t="str">
        <f t="shared" si="11"/>
        <v>Condensation control: Supply and install Wall Mounted Dryaire system &amp; required accessories</v>
      </c>
      <c r="B35" s="188"/>
      <c r="C35" t="str">
        <f>Costing!M36</f>
        <v>Ducting - flat horizontal bend</v>
      </c>
      <c r="D35" s="176">
        <f>Costing!O36</f>
        <v>0</v>
      </c>
      <c r="E35" s="176">
        <f>Costing!Q36</f>
        <v>30.630000000000003</v>
      </c>
      <c r="F35" t="s">
        <v>2</v>
      </c>
      <c r="G35" t="s">
        <v>227</v>
      </c>
      <c r="H35" s="176">
        <f>Costing!R36*100</f>
        <v>100</v>
      </c>
      <c r="I35" t="s">
        <v>44</v>
      </c>
      <c r="J35" t="s">
        <v>52</v>
      </c>
      <c r="K35" t="s">
        <v>45</v>
      </c>
      <c r="L35" t="s">
        <v>63</v>
      </c>
      <c r="M35" t="str">
        <f t="shared" si="22"/>
        <v/>
      </c>
      <c r="N35" s="193">
        <f t="shared" si="23"/>
        <v>0</v>
      </c>
      <c r="O35" s="189" t="s">
        <v>108</v>
      </c>
      <c r="P35" s="193">
        <f t="shared" si="10"/>
        <v>0</v>
      </c>
      <c r="Q35" s="175" t="s">
        <v>63</v>
      </c>
    </row>
    <row r="36" spans="1:17" x14ac:dyDescent="0.2">
      <c r="A36" s="188" t="str">
        <f t="shared" si="11"/>
        <v>Condensation control: Supply and install Wall Mounted Dryaire system &amp; required accessories</v>
      </c>
      <c r="B36" s="188"/>
      <c r="C36" t="str">
        <f>Costing!M37</f>
        <v>Ducting - flat vertical bend</v>
      </c>
      <c r="D36" s="176">
        <f>Costing!O37</f>
        <v>0</v>
      </c>
      <c r="E36" s="176">
        <f>Costing!Q37</f>
        <v>30.630000000000003</v>
      </c>
      <c r="F36" t="s">
        <v>2</v>
      </c>
      <c r="G36" t="s">
        <v>227</v>
      </c>
      <c r="H36" s="176">
        <f>Costing!R37*100</f>
        <v>100</v>
      </c>
      <c r="I36" t="s">
        <v>44</v>
      </c>
      <c r="J36" t="s">
        <v>52</v>
      </c>
      <c r="K36" t="s">
        <v>45</v>
      </c>
      <c r="L36" t="s">
        <v>63</v>
      </c>
      <c r="M36" t="str">
        <f t="shared" si="22"/>
        <v/>
      </c>
      <c r="N36" s="193">
        <f t="shared" si="23"/>
        <v>0</v>
      </c>
      <c r="O36" s="189" t="s">
        <v>108</v>
      </c>
      <c r="P36" s="193">
        <f t="shared" si="10"/>
        <v>0</v>
      </c>
      <c r="Q36" s="175" t="s">
        <v>63</v>
      </c>
    </row>
    <row r="37" spans="1:17" x14ac:dyDescent="0.2">
      <c r="A37" s="188" t="str">
        <f t="shared" si="11"/>
        <v>Condensation control: Supply and install Wall Mounted Dryaire system &amp; required accessories</v>
      </c>
      <c r="B37" s="188"/>
      <c r="C37" t="str">
        <f>Costing!M38</f>
        <v>Ducting - flat - 1m</v>
      </c>
      <c r="D37" s="176">
        <f>Costing!O38</f>
        <v>0</v>
      </c>
      <c r="E37" s="176">
        <f>Costing!Q38</f>
        <v>30.630000000000003</v>
      </c>
      <c r="F37" t="s">
        <v>2</v>
      </c>
      <c r="G37" t="s">
        <v>227</v>
      </c>
      <c r="H37" s="176">
        <f>Costing!R38*100</f>
        <v>100</v>
      </c>
      <c r="I37" t="s">
        <v>44</v>
      </c>
      <c r="J37" t="s">
        <v>52</v>
      </c>
      <c r="K37" t="s">
        <v>45</v>
      </c>
      <c r="L37" t="s">
        <v>63</v>
      </c>
      <c r="M37" t="str">
        <f t="shared" si="8"/>
        <v/>
      </c>
      <c r="N37" s="193">
        <f t="shared" si="9"/>
        <v>0</v>
      </c>
      <c r="O37" s="189" t="s">
        <v>108</v>
      </c>
      <c r="P37" s="193">
        <f t="shared" si="10"/>
        <v>0</v>
      </c>
      <c r="Q37" s="175" t="s">
        <v>63</v>
      </c>
    </row>
    <row r="38" spans="1:17" x14ac:dyDescent="0.2">
      <c r="A38" s="188" t="str">
        <f t="shared" si="11"/>
        <v>Condensation control: Supply and install Wall Mounted Dryaire system &amp; required accessories</v>
      </c>
      <c r="B38" s="188"/>
      <c r="C38" t="str">
        <f>Costing!M39</f>
        <v>Ducting - insulated flexi (3m Length)</v>
      </c>
      <c r="D38" s="176">
        <f>Costing!O39</f>
        <v>0</v>
      </c>
      <c r="E38" s="176">
        <f>Costing!Q39</f>
        <v>30.630000000000003</v>
      </c>
      <c r="F38" t="s">
        <v>2</v>
      </c>
      <c r="G38" t="s">
        <v>227</v>
      </c>
      <c r="H38" s="176">
        <f>Costing!R39*100</f>
        <v>100</v>
      </c>
      <c r="I38" t="s">
        <v>44</v>
      </c>
      <c r="J38" t="s">
        <v>52</v>
      </c>
      <c r="K38" t="s">
        <v>45</v>
      </c>
      <c r="L38" t="s">
        <v>63</v>
      </c>
      <c r="M38" t="str">
        <f t="shared" si="8"/>
        <v/>
      </c>
      <c r="N38" s="193">
        <f t="shared" si="9"/>
        <v>0</v>
      </c>
      <c r="O38" s="189" t="s">
        <v>108</v>
      </c>
      <c r="P38" s="193">
        <f t="shared" si="10"/>
        <v>0</v>
      </c>
      <c r="Q38" s="175" t="s">
        <v>63</v>
      </c>
    </row>
    <row r="39" spans="1:17" x14ac:dyDescent="0.2">
      <c r="A39" s="188" t="str">
        <f t="shared" si="11"/>
        <v>Condensation control: Supply and install Wall Mounted Dryaire system &amp; required accessories</v>
      </c>
      <c r="B39" s="188"/>
      <c r="C39" t="str">
        <f>Costing!M40</f>
        <v>Grille</v>
      </c>
      <c r="D39" s="176">
        <f>Costing!O40</f>
        <v>0</v>
      </c>
      <c r="E39" s="176">
        <f>Costing!Q40</f>
        <v>30.630000000000003</v>
      </c>
      <c r="F39" t="s">
        <v>2</v>
      </c>
      <c r="G39" t="s">
        <v>227</v>
      </c>
      <c r="H39" s="176">
        <f>Costing!R40*100</f>
        <v>100</v>
      </c>
      <c r="I39" t="s">
        <v>44</v>
      </c>
      <c r="J39" t="s">
        <v>52</v>
      </c>
      <c r="K39" t="s">
        <v>45</v>
      </c>
      <c r="L39" t="s">
        <v>63</v>
      </c>
      <c r="M39" t="str">
        <f t="shared" si="8"/>
        <v/>
      </c>
      <c r="N39" s="193">
        <f t="shared" si="9"/>
        <v>0</v>
      </c>
      <c r="O39" s="189" t="s">
        <v>108</v>
      </c>
      <c r="P39" s="193">
        <f t="shared" si="10"/>
        <v>0</v>
      </c>
      <c r="Q39" s="175" t="s">
        <v>63</v>
      </c>
    </row>
    <row r="40" spans="1:17" x14ac:dyDescent="0.2">
      <c r="A40" s="188" t="str">
        <f t="shared" si="11"/>
        <v>Condensation control: Supply and install Wall Mounted Dryaire system &amp; required accessories</v>
      </c>
      <c r="B40" s="188"/>
      <c r="C40" t="str">
        <f>Costing!M41</f>
        <v xml:space="preserve">Diamond core 107mm hole </v>
      </c>
      <c r="D40" s="176">
        <f>Costing!O41</f>
        <v>0</v>
      </c>
      <c r="E40" s="176">
        <f>Costing!Q41</f>
        <v>30.630000000000003</v>
      </c>
      <c r="F40" t="s">
        <v>2</v>
      </c>
      <c r="G40" t="s">
        <v>227</v>
      </c>
      <c r="H40" s="176">
        <f>Costing!R41*100</f>
        <v>100</v>
      </c>
      <c r="I40" t="s">
        <v>44</v>
      </c>
      <c r="J40" t="s">
        <v>52</v>
      </c>
      <c r="K40" t="s">
        <v>45</v>
      </c>
      <c r="L40" t="s">
        <v>63</v>
      </c>
      <c r="M40" t="str">
        <f t="shared" si="8"/>
        <v/>
      </c>
      <c r="N40" s="193">
        <f t="shared" si="9"/>
        <v>0</v>
      </c>
      <c r="O40" s="189" t="s">
        <v>108</v>
      </c>
      <c r="P40" s="193">
        <f t="shared" si="10"/>
        <v>0</v>
      </c>
      <c r="Q40" s="175" t="s">
        <v>63</v>
      </c>
    </row>
    <row r="41" spans="1:17" s="190" customFormat="1" x14ac:dyDescent="0.2">
      <c r="A41" s="190" t="str">
        <f>A40</f>
        <v>Condensation control: Supply and install Wall Mounted Dryaire system &amp; required accessories</v>
      </c>
      <c r="C41" s="190" t="str">
        <f>_xlfn.CONCAT(A41," - Materials")</f>
        <v>Condensation control: Supply and install Wall Mounted Dryaire system &amp; required accessories - Materials</v>
      </c>
      <c r="D41" s="191">
        <v>1</v>
      </c>
      <c r="E41" s="191">
        <f>N41</f>
        <v>0</v>
      </c>
      <c r="F41" s="190" t="s">
        <v>107</v>
      </c>
      <c r="G41" s="190" t="s">
        <v>228</v>
      </c>
      <c r="H41" s="191" t="e">
        <f>((P41-N41)/N41)*100</f>
        <v>#DIV/0!</v>
      </c>
      <c r="I41" s="190" t="s">
        <v>44</v>
      </c>
      <c r="J41" s="190" t="s">
        <v>54</v>
      </c>
      <c r="K41" s="190" t="s">
        <v>45</v>
      </c>
      <c r="L41" s="190" t="str">
        <f>'Customer Summary'!D5</f>
        <v>No</v>
      </c>
      <c r="M41" s="190" t="str">
        <f t="shared" si="8"/>
        <v>Preservation Shop</v>
      </c>
      <c r="N41" s="194">
        <f>SUM(N13:N26)</f>
        <v>0</v>
      </c>
      <c r="O41" s="192" t="str">
        <f t="shared" ref="O41" si="24">IF(N41=0,"DELETE","LEAVE")</f>
        <v>DELETE</v>
      </c>
      <c r="P41" s="194">
        <f>SUM(P13:P26)</f>
        <v>0</v>
      </c>
      <c r="Q41" s="192" t="s">
        <v>45</v>
      </c>
    </row>
    <row r="42" spans="1:17" s="190" customFormat="1" x14ac:dyDescent="0.2">
      <c r="A42" s="190" t="str">
        <f>A41</f>
        <v>Condensation control: Supply and install Wall Mounted Dryaire system &amp; required accessories</v>
      </c>
      <c r="C42" s="190" t="str">
        <f>_xlfn.CONCAT(A42," - Labour")</f>
        <v>Condensation control: Supply and install Wall Mounted Dryaire system &amp; required accessories - Labour</v>
      </c>
      <c r="D42" s="191">
        <f>SUM(D27:D40)</f>
        <v>0</v>
      </c>
      <c r="E42" s="191" t="e">
        <f>N42/D42</f>
        <v>#DIV/0!</v>
      </c>
      <c r="F42" s="190" t="s">
        <v>2</v>
      </c>
      <c r="G42" s="190" t="s">
        <v>227</v>
      </c>
      <c r="H42" s="191" t="e">
        <f>((P42-N42)/N42)*100</f>
        <v>#DIV/0!</v>
      </c>
      <c r="I42" s="190" t="s">
        <v>44</v>
      </c>
      <c r="J42" s="190" t="s">
        <v>52</v>
      </c>
      <c r="K42" s="190" t="s">
        <v>45</v>
      </c>
      <c r="L42" s="190" t="str">
        <f>L41</f>
        <v>No</v>
      </c>
      <c r="M42" s="190" t="str">
        <f t="shared" si="8"/>
        <v/>
      </c>
      <c r="N42" s="194">
        <f>SUM(N27:N40)</f>
        <v>0</v>
      </c>
      <c r="O42" s="192" t="str">
        <f>IF(N42=0,"DELETE","LEAVE")</f>
        <v>DELETE</v>
      </c>
      <c r="P42" s="194">
        <f>SUM(P27:P40)</f>
        <v>0</v>
      </c>
      <c r="Q42" s="192" t="s">
        <v>45</v>
      </c>
    </row>
    <row r="43" spans="1:17" x14ac:dyDescent="0.2">
      <c r="A43" s="184"/>
      <c r="B43" s="184"/>
      <c r="C43" s="184"/>
      <c r="D43" s="185"/>
      <c r="E43" s="185"/>
      <c r="F43" s="184"/>
      <c r="G43" s="184"/>
      <c r="H43" s="185"/>
      <c r="I43" s="184"/>
      <c r="J43" s="184"/>
      <c r="K43" s="184"/>
      <c r="L43" s="184"/>
      <c r="M43" s="184"/>
      <c r="N43" s="186"/>
      <c r="O43" s="187" t="s">
        <v>108</v>
      </c>
      <c r="P43" s="186"/>
      <c r="Q43" s="186"/>
    </row>
    <row r="44" spans="1:17" x14ac:dyDescent="0.2">
      <c r="A44" s="188" t="str">
        <f>'Customer Summary'!C6</f>
        <v>Condensation control: Supply and install Trickle &amp; Boost Fan</v>
      </c>
      <c r="B44" s="188"/>
      <c r="C44" t="str">
        <f>Costing!B45</f>
        <v>Trickle and boost humidistat fan (greenwood)</v>
      </c>
      <c r="D44" s="176">
        <f>Costing!F45</f>
        <v>5</v>
      </c>
      <c r="E44" s="176">
        <f>Costing!I45</f>
        <v>70.2</v>
      </c>
      <c r="F44" t="str">
        <f>Costing!G45</f>
        <v>Each</v>
      </c>
      <c r="G44" t="s">
        <v>228</v>
      </c>
      <c r="H44" s="176">
        <f>Costing!J45*100</f>
        <v>30</v>
      </c>
      <c r="I44" t="s">
        <v>44</v>
      </c>
      <c r="J44" t="s">
        <v>54</v>
      </c>
      <c r="K44" t="s">
        <v>45</v>
      </c>
      <c r="L44" t="s">
        <v>63</v>
      </c>
      <c r="M44" t="str">
        <f t="shared" ref="M44:M53" si="25">IF(J44="MTL","Preservation Shop","")</f>
        <v>Preservation Shop</v>
      </c>
      <c r="N44" s="193">
        <f t="shared" ref="N44:N51" si="26">D44*E44</f>
        <v>351</v>
      </c>
      <c r="O44" s="189" t="s">
        <v>108</v>
      </c>
      <c r="P44" s="193">
        <f t="shared" ref="P44:P51" si="27">N44*(1+(H44/100))</f>
        <v>456.3</v>
      </c>
      <c r="Q44" s="175" t="s">
        <v>63</v>
      </c>
    </row>
    <row r="45" spans="1:17" x14ac:dyDescent="0.2">
      <c r="A45" s="188" t="str">
        <f>A44</f>
        <v>Condensation control: Supply and install Trickle &amp; Boost Fan</v>
      </c>
      <c r="B45" s="188"/>
      <c r="C45" t="str">
        <f>Costing!B46</f>
        <v>Electrical Pack - fused spur, cable, JB</v>
      </c>
      <c r="D45" s="176">
        <f>Costing!F46</f>
        <v>0</v>
      </c>
      <c r="E45" s="176">
        <f>Costing!I46</f>
        <v>12.46</v>
      </c>
      <c r="F45" t="str">
        <f>Costing!G46</f>
        <v>Each</v>
      </c>
      <c r="G45" t="s">
        <v>228</v>
      </c>
      <c r="H45" s="176">
        <f>Costing!J46*100</f>
        <v>30</v>
      </c>
      <c r="I45" t="s">
        <v>44</v>
      </c>
      <c r="J45" t="s">
        <v>54</v>
      </c>
      <c r="K45" t="s">
        <v>45</v>
      </c>
      <c r="L45" t="s">
        <v>63</v>
      </c>
      <c r="M45" t="str">
        <f t="shared" si="25"/>
        <v>Preservation Shop</v>
      </c>
      <c r="N45" s="193">
        <f t="shared" si="26"/>
        <v>0</v>
      </c>
      <c r="O45" s="189" t="s">
        <v>108</v>
      </c>
      <c r="P45" s="193">
        <f t="shared" si="27"/>
        <v>0</v>
      </c>
      <c r="Q45" s="175" t="s">
        <v>63</v>
      </c>
    </row>
    <row r="46" spans="1:17" x14ac:dyDescent="0.2">
      <c r="A46" s="188" t="str">
        <f t="shared" ref="A46:A51" si="28">A45</f>
        <v>Condensation control: Supply and install Trickle &amp; Boost Fan</v>
      </c>
      <c r="B46" s="188"/>
      <c r="C46" t="str">
        <f>Costing!B47</f>
        <v>Grille</v>
      </c>
      <c r="D46" s="176">
        <f>Costing!F47</f>
        <v>0</v>
      </c>
      <c r="E46" s="176">
        <f>Costing!I47</f>
        <v>2.42</v>
      </c>
      <c r="F46" t="str">
        <f>Costing!G47</f>
        <v>Each</v>
      </c>
      <c r="G46" t="s">
        <v>228</v>
      </c>
      <c r="H46" s="176">
        <f>Costing!J47*100</f>
        <v>30</v>
      </c>
      <c r="I46" t="s">
        <v>44</v>
      </c>
      <c r="J46" t="s">
        <v>54</v>
      </c>
      <c r="K46" t="s">
        <v>45</v>
      </c>
      <c r="L46" t="s">
        <v>63</v>
      </c>
      <c r="M46" t="str">
        <f t="shared" si="25"/>
        <v>Preservation Shop</v>
      </c>
      <c r="N46" s="193">
        <f t="shared" si="26"/>
        <v>0</v>
      </c>
      <c r="O46" s="189" t="s">
        <v>108</v>
      </c>
      <c r="P46" s="193">
        <f t="shared" si="27"/>
        <v>0</v>
      </c>
      <c r="Q46" s="175" t="s">
        <v>63</v>
      </c>
    </row>
    <row r="47" spans="1:17" x14ac:dyDescent="0.2">
      <c r="A47" s="188" t="str">
        <f t="shared" si="28"/>
        <v>Condensation control: Supply and install Trickle &amp; Boost Fan</v>
      </c>
      <c r="B47" s="188"/>
      <c r="C47" t="str">
        <f>Costing!B48</f>
        <v xml:space="preserve">Diamond core 107mm hole </v>
      </c>
      <c r="D47" s="176">
        <f>Costing!F48</f>
        <v>0</v>
      </c>
      <c r="E47" s="176">
        <f>Costing!I48</f>
        <v>0</v>
      </c>
      <c r="F47" t="str">
        <f>Costing!G48</f>
        <v>Each</v>
      </c>
      <c r="G47" t="s">
        <v>228</v>
      </c>
      <c r="H47" s="176">
        <f>Costing!J48*100</f>
        <v>30</v>
      </c>
      <c r="I47" t="s">
        <v>44</v>
      </c>
      <c r="J47" t="s">
        <v>54</v>
      </c>
      <c r="K47" t="s">
        <v>45</v>
      </c>
      <c r="L47" t="s">
        <v>63</v>
      </c>
      <c r="M47" t="str">
        <f t="shared" si="25"/>
        <v>Preservation Shop</v>
      </c>
      <c r="N47" s="193">
        <f t="shared" si="26"/>
        <v>0</v>
      </c>
      <c r="O47" s="189" t="s">
        <v>108</v>
      </c>
      <c r="P47" s="193">
        <f t="shared" si="27"/>
        <v>0</v>
      </c>
      <c r="Q47" s="175" t="s">
        <v>63</v>
      </c>
    </row>
    <row r="48" spans="1:17" x14ac:dyDescent="0.2">
      <c r="A48" s="188" t="str">
        <f t="shared" si="28"/>
        <v>Condensation control: Supply and install Trickle &amp; Boost Fan</v>
      </c>
      <c r="B48" s="188"/>
      <c r="C48" t="str">
        <f>Costing!M45</f>
        <v>Trickle and boost humidistat fan (greenwood)</v>
      </c>
      <c r="D48" s="176">
        <f>Costing!O45</f>
        <v>7.5</v>
      </c>
      <c r="E48" s="176">
        <f>Costing!Q45</f>
        <v>30.630000000000003</v>
      </c>
      <c r="F48" t="s">
        <v>2</v>
      </c>
      <c r="G48" t="s">
        <v>227</v>
      </c>
      <c r="H48" s="176">
        <f>Costing!R45*100</f>
        <v>100</v>
      </c>
      <c r="I48" t="s">
        <v>44</v>
      </c>
      <c r="J48" t="s">
        <v>52</v>
      </c>
      <c r="K48" t="s">
        <v>45</v>
      </c>
      <c r="L48" t="s">
        <v>63</v>
      </c>
      <c r="M48" t="str">
        <f t="shared" si="25"/>
        <v/>
      </c>
      <c r="N48" s="193">
        <f t="shared" si="26"/>
        <v>229.72500000000002</v>
      </c>
      <c r="O48" s="189" t="s">
        <v>108</v>
      </c>
      <c r="P48" s="193">
        <f t="shared" si="27"/>
        <v>459.45000000000005</v>
      </c>
      <c r="Q48" s="175" t="s">
        <v>63</v>
      </c>
    </row>
    <row r="49" spans="1:17" x14ac:dyDescent="0.2">
      <c r="A49" s="188" t="str">
        <f t="shared" si="28"/>
        <v>Condensation control: Supply and install Trickle &amp; Boost Fan</v>
      </c>
      <c r="B49" s="188"/>
      <c r="C49" t="str">
        <f>Costing!M46</f>
        <v>Electrical Pack - fused spur, cable, JB</v>
      </c>
      <c r="D49" s="176">
        <f>Costing!O46</f>
        <v>0</v>
      </c>
      <c r="E49" s="176">
        <f>Costing!Q46</f>
        <v>30.630000000000003</v>
      </c>
      <c r="F49" t="s">
        <v>2</v>
      </c>
      <c r="G49" t="s">
        <v>227</v>
      </c>
      <c r="H49" s="176">
        <f>Costing!R46*100</f>
        <v>100</v>
      </c>
      <c r="I49" t="s">
        <v>44</v>
      </c>
      <c r="J49" t="s">
        <v>52</v>
      </c>
      <c r="K49" t="s">
        <v>45</v>
      </c>
      <c r="L49" t="s">
        <v>63</v>
      </c>
      <c r="M49" t="str">
        <f t="shared" si="25"/>
        <v/>
      </c>
      <c r="N49" s="193">
        <f t="shared" si="26"/>
        <v>0</v>
      </c>
      <c r="O49" s="189" t="s">
        <v>108</v>
      </c>
      <c r="P49" s="193">
        <f t="shared" si="27"/>
        <v>0</v>
      </c>
      <c r="Q49" s="175" t="s">
        <v>63</v>
      </c>
    </row>
    <row r="50" spans="1:17" x14ac:dyDescent="0.2">
      <c r="A50" s="188" t="str">
        <f t="shared" si="28"/>
        <v>Condensation control: Supply and install Trickle &amp; Boost Fan</v>
      </c>
      <c r="B50" s="188"/>
      <c r="C50" t="str">
        <f>Costing!M47</f>
        <v>Grille</v>
      </c>
      <c r="D50" s="176">
        <f>Costing!O47</f>
        <v>0</v>
      </c>
      <c r="E50" s="176">
        <f>Costing!Q47</f>
        <v>30.630000000000003</v>
      </c>
      <c r="F50" t="s">
        <v>2</v>
      </c>
      <c r="G50" t="s">
        <v>227</v>
      </c>
      <c r="H50" s="176">
        <f>Costing!R47*100</f>
        <v>100</v>
      </c>
      <c r="I50" t="s">
        <v>44</v>
      </c>
      <c r="J50" t="s">
        <v>52</v>
      </c>
      <c r="K50" t="s">
        <v>45</v>
      </c>
      <c r="L50" t="s">
        <v>63</v>
      </c>
      <c r="M50" t="str">
        <f t="shared" si="25"/>
        <v/>
      </c>
      <c r="N50" s="193">
        <f t="shared" si="26"/>
        <v>0</v>
      </c>
      <c r="O50" s="189" t="s">
        <v>108</v>
      </c>
      <c r="P50" s="193">
        <f t="shared" si="27"/>
        <v>0</v>
      </c>
      <c r="Q50" s="175" t="s">
        <v>63</v>
      </c>
    </row>
    <row r="51" spans="1:17" x14ac:dyDescent="0.2">
      <c r="A51" s="188" t="str">
        <f t="shared" si="28"/>
        <v>Condensation control: Supply and install Trickle &amp; Boost Fan</v>
      </c>
      <c r="B51" s="188"/>
      <c r="C51" t="str">
        <f>Costing!M48</f>
        <v xml:space="preserve">Diamond core 107mm hole </v>
      </c>
      <c r="D51" s="176">
        <f>Costing!O48</f>
        <v>0</v>
      </c>
      <c r="E51" s="176">
        <f>Costing!Q48</f>
        <v>30.630000000000003</v>
      </c>
      <c r="F51" t="s">
        <v>2</v>
      </c>
      <c r="G51" t="s">
        <v>227</v>
      </c>
      <c r="H51" s="176">
        <f>Costing!R48*100</f>
        <v>100</v>
      </c>
      <c r="I51" t="s">
        <v>44</v>
      </c>
      <c r="J51" t="s">
        <v>52</v>
      </c>
      <c r="K51" t="s">
        <v>45</v>
      </c>
      <c r="L51" t="s">
        <v>63</v>
      </c>
      <c r="M51" t="str">
        <f t="shared" si="25"/>
        <v/>
      </c>
      <c r="N51" s="193">
        <f t="shared" si="26"/>
        <v>0</v>
      </c>
      <c r="O51" s="189" t="s">
        <v>108</v>
      </c>
      <c r="P51" s="193">
        <f t="shared" si="27"/>
        <v>0</v>
      </c>
      <c r="Q51" s="175" t="s">
        <v>63</v>
      </c>
    </row>
    <row r="52" spans="1:17" s="190" customFormat="1" x14ac:dyDescent="0.2">
      <c r="A52" s="190" t="str">
        <f>A51</f>
        <v>Condensation control: Supply and install Trickle &amp; Boost Fan</v>
      </c>
      <c r="C52" s="190" t="str">
        <f>_xlfn.CONCAT(A52," - Materials")</f>
        <v>Condensation control: Supply and install Trickle &amp; Boost Fan - Materials</v>
      </c>
      <c r="D52" s="191">
        <v>1</v>
      </c>
      <c r="E52" s="191">
        <f>N52</f>
        <v>351</v>
      </c>
      <c r="F52" s="190" t="s">
        <v>107</v>
      </c>
      <c r="G52" s="190" t="s">
        <v>228</v>
      </c>
      <c r="H52" s="191">
        <f>((P52-N52)/N52)*100</f>
        <v>30.000000000000004</v>
      </c>
      <c r="I52" s="190" t="s">
        <v>44</v>
      </c>
      <c r="J52" s="190" t="s">
        <v>54</v>
      </c>
      <c r="K52" s="190" t="s">
        <v>45</v>
      </c>
      <c r="L52" s="190" t="str">
        <f>'Customer Summary'!D6</f>
        <v>No</v>
      </c>
      <c r="M52" s="190" t="str">
        <f t="shared" si="25"/>
        <v>Preservation Shop</v>
      </c>
      <c r="N52" s="194">
        <f>SUM(N44:N47)</f>
        <v>351</v>
      </c>
      <c r="O52" s="192" t="str">
        <f t="shared" ref="O52" si="29">IF(N52=0,"DELETE","LEAVE")</f>
        <v>LEAVE</v>
      </c>
      <c r="P52" s="194">
        <f>SUM(P44:P47)</f>
        <v>456.3</v>
      </c>
      <c r="Q52" s="192" t="s">
        <v>45</v>
      </c>
    </row>
    <row r="53" spans="1:17" s="190" customFormat="1" x14ac:dyDescent="0.2">
      <c r="A53" s="190" t="str">
        <f>A52</f>
        <v>Condensation control: Supply and install Trickle &amp; Boost Fan</v>
      </c>
      <c r="C53" s="190" t="str">
        <f>_xlfn.CONCAT(A53," - Labour")</f>
        <v>Condensation control: Supply and install Trickle &amp; Boost Fan - Labour</v>
      </c>
      <c r="D53" s="191">
        <f>SUM(D48:D51)</f>
        <v>7.5</v>
      </c>
      <c r="E53" s="191">
        <f>N53/D53</f>
        <v>30.630000000000003</v>
      </c>
      <c r="F53" s="190" t="s">
        <v>2</v>
      </c>
      <c r="G53" s="190" t="s">
        <v>227</v>
      </c>
      <c r="H53" s="191">
        <f>((P53-N53)/N53)*100</f>
        <v>100</v>
      </c>
      <c r="I53" s="190" t="s">
        <v>44</v>
      </c>
      <c r="J53" s="190" t="s">
        <v>52</v>
      </c>
      <c r="K53" s="190" t="s">
        <v>45</v>
      </c>
      <c r="L53" s="190" t="str">
        <f>L52</f>
        <v>No</v>
      </c>
      <c r="M53" s="190" t="str">
        <f t="shared" si="25"/>
        <v/>
      </c>
      <c r="N53" s="194">
        <f>SUM(N48:N51)</f>
        <v>229.72500000000002</v>
      </c>
      <c r="O53" s="192" t="str">
        <f>IF(N53=0,"DELETE","LEAVE")</f>
        <v>LEAVE</v>
      </c>
      <c r="P53" s="194">
        <f>SUM(P48:P51)</f>
        <v>459.45000000000005</v>
      </c>
      <c r="Q53" s="192" t="s">
        <v>45</v>
      </c>
    </row>
    <row r="54" spans="1:17" x14ac:dyDescent="0.2">
      <c r="A54" s="184"/>
      <c r="B54" s="184"/>
      <c r="C54" s="184"/>
      <c r="D54" s="185"/>
      <c r="E54" s="185"/>
      <c r="F54" s="184"/>
      <c r="G54" s="184"/>
      <c r="H54" s="185"/>
      <c r="I54" s="184"/>
      <c r="J54" s="184"/>
      <c r="K54" s="184"/>
      <c r="L54" s="184"/>
      <c r="M54" s="184"/>
      <c r="N54" s="186"/>
      <c r="O54" s="187" t="s">
        <v>108</v>
      </c>
      <c r="P54" s="186"/>
      <c r="Q54" s="186"/>
    </row>
    <row r="55" spans="1:17" x14ac:dyDescent="0.2">
      <c r="A55" s="188" t="str">
        <f>'Customer Summary'!C7</f>
        <v>Condensation control: Supply and install Dryaire Cpass Insulated Pullcord Passive Vent</v>
      </c>
      <c r="B55" s="188"/>
      <c r="C55" t="str">
        <f>Costing!B52</f>
        <v>Dryaire Cpass (plasmo) insulated pullcord passive vent</v>
      </c>
      <c r="D55" s="176">
        <f>Costing!F52</f>
        <v>0</v>
      </c>
      <c r="E55" s="176">
        <f>Costing!I52</f>
        <v>36.18</v>
      </c>
      <c r="F55" t="str">
        <f>Costing!G52</f>
        <v>Each</v>
      </c>
      <c r="G55" t="s">
        <v>228</v>
      </c>
      <c r="H55" s="176">
        <f>Costing!J52*100</f>
        <v>30</v>
      </c>
      <c r="I55" t="s">
        <v>44</v>
      </c>
      <c r="J55" t="s">
        <v>54</v>
      </c>
      <c r="K55" t="s">
        <v>45</v>
      </c>
      <c r="L55" t="s">
        <v>63</v>
      </c>
      <c r="M55" t="str">
        <f t="shared" ref="M55:M60" si="30">IF(J55="MTL","Preservation Shop","")</f>
        <v>Preservation Shop</v>
      </c>
      <c r="N55" s="193">
        <f t="shared" ref="N55:N58" si="31">D55*E55</f>
        <v>0</v>
      </c>
      <c r="O55" s="189" t="s">
        <v>108</v>
      </c>
      <c r="P55" s="193">
        <f t="shared" ref="P55:P58" si="32">N55*(1+(H55/100))</f>
        <v>0</v>
      </c>
      <c r="Q55" s="175" t="s">
        <v>63</v>
      </c>
    </row>
    <row r="56" spans="1:17" x14ac:dyDescent="0.2">
      <c r="A56" s="188" t="str">
        <f>A55</f>
        <v>Condensation control: Supply and install Dryaire Cpass Insulated Pullcord Passive Vent</v>
      </c>
      <c r="B56" s="188"/>
      <c r="C56" t="str">
        <f>Costing!B53</f>
        <v xml:space="preserve">Diamond core 107mm hole </v>
      </c>
      <c r="D56" s="176">
        <f>Costing!F53</f>
        <v>0</v>
      </c>
      <c r="E56" s="176">
        <f>Costing!I53</f>
        <v>0</v>
      </c>
      <c r="F56" t="str">
        <f>Costing!G53</f>
        <v>Each</v>
      </c>
      <c r="G56" t="s">
        <v>228</v>
      </c>
      <c r="H56" s="176">
        <f>Costing!J53*100</f>
        <v>30</v>
      </c>
      <c r="I56" t="s">
        <v>44</v>
      </c>
      <c r="J56" t="s">
        <v>54</v>
      </c>
      <c r="K56" t="s">
        <v>45</v>
      </c>
      <c r="L56" t="s">
        <v>63</v>
      </c>
      <c r="M56" t="str">
        <f t="shared" si="30"/>
        <v>Preservation Shop</v>
      </c>
      <c r="N56" s="193">
        <f t="shared" si="31"/>
        <v>0</v>
      </c>
      <c r="O56" s="189" t="s">
        <v>108</v>
      </c>
      <c r="P56" s="193">
        <f t="shared" si="32"/>
        <v>0</v>
      </c>
      <c r="Q56" s="175" t="s">
        <v>63</v>
      </c>
    </row>
    <row r="57" spans="1:17" x14ac:dyDescent="0.2">
      <c r="A57" s="188" t="str">
        <f t="shared" ref="A57:A58" si="33">A56</f>
        <v>Condensation control: Supply and install Dryaire Cpass Insulated Pullcord Passive Vent</v>
      </c>
      <c r="B57" s="188"/>
      <c r="C57" t="str">
        <f>Costing!M52</f>
        <v>Dryaire Cpass (plasmo) insulated pullcord passive vent</v>
      </c>
      <c r="D57" s="176">
        <f>Costing!O52</f>
        <v>0</v>
      </c>
      <c r="E57" s="176">
        <f>Costing!Q52</f>
        <v>30.630000000000003</v>
      </c>
      <c r="F57" t="s">
        <v>2</v>
      </c>
      <c r="G57" t="s">
        <v>227</v>
      </c>
      <c r="H57" s="176">
        <f>Costing!R52*100</f>
        <v>100</v>
      </c>
      <c r="I57" t="s">
        <v>44</v>
      </c>
      <c r="J57" t="s">
        <v>52</v>
      </c>
      <c r="K57" t="s">
        <v>45</v>
      </c>
      <c r="L57" t="s">
        <v>63</v>
      </c>
      <c r="M57" t="str">
        <f t="shared" si="30"/>
        <v/>
      </c>
      <c r="N57" s="193">
        <f t="shared" si="31"/>
        <v>0</v>
      </c>
      <c r="O57" s="189" t="s">
        <v>108</v>
      </c>
      <c r="P57" s="193">
        <f t="shared" si="32"/>
        <v>0</v>
      </c>
      <c r="Q57" s="175" t="s">
        <v>63</v>
      </c>
    </row>
    <row r="58" spans="1:17" x14ac:dyDescent="0.2">
      <c r="A58" s="188" t="str">
        <f t="shared" si="33"/>
        <v>Condensation control: Supply and install Dryaire Cpass Insulated Pullcord Passive Vent</v>
      </c>
      <c r="B58" s="188"/>
      <c r="C58" t="str">
        <f>Costing!M53</f>
        <v xml:space="preserve">Diamond core 107mm hole </v>
      </c>
      <c r="D58" s="176">
        <f>Costing!O53</f>
        <v>0</v>
      </c>
      <c r="E58" s="176">
        <f>Costing!Q53</f>
        <v>30.630000000000003</v>
      </c>
      <c r="F58" t="s">
        <v>2</v>
      </c>
      <c r="G58" t="s">
        <v>227</v>
      </c>
      <c r="H58" s="176">
        <f>Costing!R53*100</f>
        <v>100</v>
      </c>
      <c r="I58" t="s">
        <v>44</v>
      </c>
      <c r="J58" t="s">
        <v>52</v>
      </c>
      <c r="K58" t="s">
        <v>45</v>
      </c>
      <c r="L58" t="s">
        <v>63</v>
      </c>
      <c r="M58" t="str">
        <f t="shared" si="30"/>
        <v/>
      </c>
      <c r="N58" s="193">
        <f t="shared" si="31"/>
        <v>0</v>
      </c>
      <c r="O58" s="189" t="s">
        <v>108</v>
      </c>
      <c r="P58" s="193">
        <f t="shared" si="32"/>
        <v>0</v>
      </c>
      <c r="Q58" s="175" t="s">
        <v>63</v>
      </c>
    </row>
    <row r="59" spans="1:17" s="190" customFormat="1" x14ac:dyDescent="0.2">
      <c r="A59" s="190" t="str">
        <f>A58</f>
        <v>Condensation control: Supply and install Dryaire Cpass Insulated Pullcord Passive Vent</v>
      </c>
      <c r="C59" s="190" t="str">
        <f>_xlfn.CONCAT(A59," - Materials")</f>
        <v>Condensation control: Supply and install Dryaire Cpass Insulated Pullcord Passive Vent - Materials</v>
      </c>
      <c r="D59" s="191">
        <v>1</v>
      </c>
      <c r="E59" s="191">
        <f>N59</f>
        <v>0</v>
      </c>
      <c r="F59" s="190" t="s">
        <v>107</v>
      </c>
      <c r="G59" s="190" t="s">
        <v>228</v>
      </c>
      <c r="H59" s="191" t="e">
        <f>((P59-N59)/N59)*100</f>
        <v>#DIV/0!</v>
      </c>
      <c r="I59" s="190" t="s">
        <v>44</v>
      </c>
      <c r="J59" s="190" t="s">
        <v>54</v>
      </c>
      <c r="K59" s="190" t="s">
        <v>45</v>
      </c>
      <c r="L59" s="190" t="str">
        <f>'Customer Summary'!D7</f>
        <v>No</v>
      </c>
      <c r="M59" s="190" t="str">
        <f t="shared" si="30"/>
        <v>Preservation Shop</v>
      </c>
      <c r="N59" s="194">
        <f>SUM(N55:N56)</f>
        <v>0</v>
      </c>
      <c r="O59" s="192" t="str">
        <f t="shared" ref="O59" si="34">IF(N59=0,"DELETE","LEAVE")</f>
        <v>DELETE</v>
      </c>
      <c r="P59" s="194">
        <f>SUM(P55:P56)</f>
        <v>0</v>
      </c>
      <c r="Q59" s="192" t="s">
        <v>45</v>
      </c>
    </row>
    <row r="60" spans="1:17" s="190" customFormat="1" x14ac:dyDescent="0.2">
      <c r="A60" s="190" t="str">
        <f>A59</f>
        <v>Condensation control: Supply and install Dryaire Cpass Insulated Pullcord Passive Vent</v>
      </c>
      <c r="C60" s="190" t="str">
        <f>_xlfn.CONCAT(A60," - Labour")</f>
        <v>Condensation control: Supply and install Dryaire Cpass Insulated Pullcord Passive Vent - Labour</v>
      </c>
      <c r="D60" s="191">
        <f>SUM(D57:D58)</f>
        <v>0</v>
      </c>
      <c r="E60" s="191" t="e">
        <f>N60/D60</f>
        <v>#DIV/0!</v>
      </c>
      <c r="F60" s="190" t="s">
        <v>2</v>
      </c>
      <c r="G60" s="190" t="s">
        <v>227</v>
      </c>
      <c r="H60" s="191" t="e">
        <f>((P60-N60)/N60)*100</f>
        <v>#DIV/0!</v>
      </c>
      <c r="I60" s="190" t="s">
        <v>44</v>
      </c>
      <c r="J60" s="190" t="s">
        <v>52</v>
      </c>
      <c r="K60" s="190" t="s">
        <v>45</v>
      </c>
      <c r="L60" s="190" t="str">
        <f>L59</f>
        <v>No</v>
      </c>
      <c r="M60" s="190" t="str">
        <f t="shared" si="30"/>
        <v/>
      </c>
      <c r="N60" s="194">
        <f>SUM(N57:N58)</f>
        <v>0</v>
      </c>
      <c r="O60" s="192" t="str">
        <f>IF(N60=0,"DELETE","LEAVE")</f>
        <v>DELETE</v>
      </c>
      <c r="P60" s="194">
        <f>SUM(P57:P58)</f>
        <v>0</v>
      </c>
      <c r="Q60" s="192" t="s">
        <v>45</v>
      </c>
    </row>
    <row r="61" spans="1:17" x14ac:dyDescent="0.2">
      <c r="A61" s="184"/>
      <c r="B61" s="184"/>
      <c r="C61" s="184"/>
      <c r="D61" s="185"/>
      <c r="E61" s="185"/>
      <c r="F61" s="184"/>
      <c r="G61" s="184"/>
      <c r="H61" s="185"/>
      <c r="I61" s="184"/>
      <c r="J61" s="184"/>
      <c r="K61" s="184"/>
      <c r="L61" s="184"/>
      <c r="M61" s="184"/>
      <c r="N61" s="186"/>
      <c r="O61" s="187" t="s">
        <v>108</v>
      </c>
      <c r="P61" s="186"/>
      <c r="Q61" s="186"/>
    </row>
    <row r="62" spans="1:17" x14ac:dyDescent="0.2">
      <c r="A62" s="188" t="str">
        <f>'Customer Summary'!C8</f>
        <v>Condensation control: Supply and install Dryaire CVent</v>
      </c>
      <c r="B62" s="188"/>
      <c r="C62" t="str">
        <f>Costing!B57</f>
        <v>Dryaire Cvent</v>
      </c>
      <c r="D62" s="176">
        <f>Costing!F57</f>
        <v>0</v>
      </c>
      <c r="E62" s="176">
        <f>Costing!I57</f>
        <v>12.5</v>
      </c>
      <c r="F62" t="str">
        <f>Costing!G57</f>
        <v>Each</v>
      </c>
      <c r="G62" t="s">
        <v>228</v>
      </c>
      <c r="H62" s="176">
        <f>Costing!J57*100</f>
        <v>30</v>
      </c>
      <c r="I62" t="s">
        <v>44</v>
      </c>
      <c r="J62" t="s">
        <v>54</v>
      </c>
      <c r="K62" t="s">
        <v>45</v>
      </c>
      <c r="L62" t="s">
        <v>63</v>
      </c>
      <c r="M62" t="str">
        <f t="shared" ref="M62:M67" si="35">IF(J62="MTL","Preservation Shop","")</f>
        <v>Preservation Shop</v>
      </c>
      <c r="N62" s="193">
        <f t="shared" ref="N62:N65" si="36">D62*E62</f>
        <v>0</v>
      </c>
      <c r="O62" s="189" t="s">
        <v>108</v>
      </c>
      <c r="P62" s="193">
        <f t="shared" ref="P62:P65" si="37">N62*(1+(H62/100))</f>
        <v>0</v>
      </c>
      <c r="Q62" s="175" t="s">
        <v>63</v>
      </c>
    </row>
    <row r="63" spans="1:17" x14ac:dyDescent="0.2">
      <c r="A63" s="188" t="str">
        <f>A62</f>
        <v>Condensation control: Supply and install Dryaire CVent</v>
      </c>
      <c r="B63" s="188"/>
      <c r="C63" t="str">
        <f>Costing!B58</f>
        <v xml:space="preserve">Diamond core 107mm hole </v>
      </c>
      <c r="D63" s="176">
        <f>Costing!F58</f>
        <v>0</v>
      </c>
      <c r="E63" s="176">
        <f>Costing!I58</f>
        <v>0</v>
      </c>
      <c r="F63" t="str">
        <f>Costing!G58</f>
        <v>Each</v>
      </c>
      <c r="G63" t="s">
        <v>228</v>
      </c>
      <c r="H63" s="176">
        <f>Costing!J58*100</f>
        <v>30</v>
      </c>
      <c r="I63" t="s">
        <v>44</v>
      </c>
      <c r="J63" t="s">
        <v>54</v>
      </c>
      <c r="K63" t="s">
        <v>45</v>
      </c>
      <c r="L63" t="s">
        <v>63</v>
      </c>
      <c r="M63" t="str">
        <f t="shared" si="35"/>
        <v>Preservation Shop</v>
      </c>
      <c r="N63" s="193">
        <f t="shared" si="36"/>
        <v>0</v>
      </c>
      <c r="O63" s="189" t="s">
        <v>108</v>
      </c>
      <c r="P63" s="193">
        <f t="shared" si="37"/>
        <v>0</v>
      </c>
      <c r="Q63" s="175" t="s">
        <v>63</v>
      </c>
    </row>
    <row r="64" spans="1:17" x14ac:dyDescent="0.2">
      <c r="A64" s="188" t="str">
        <f t="shared" ref="A64:A65" si="38">A63</f>
        <v>Condensation control: Supply and install Dryaire CVent</v>
      </c>
      <c r="B64" s="188"/>
      <c r="C64" t="str">
        <f>Costing!M57</f>
        <v>Dryaire Cvent</v>
      </c>
      <c r="D64" s="176">
        <f>Costing!O57</f>
        <v>0</v>
      </c>
      <c r="E64" s="176">
        <f>Costing!Q57</f>
        <v>30.630000000000003</v>
      </c>
      <c r="F64" t="s">
        <v>2</v>
      </c>
      <c r="G64" t="s">
        <v>227</v>
      </c>
      <c r="H64" s="176">
        <f>Costing!R57*100</f>
        <v>100</v>
      </c>
      <c r="I64" t="s">
        <v>44</v>
      </c>
      <c r="J64" t="s">
        <v>52</v>
      </c>
      <c r="K64" t="s">
        <v>45</v>
      </c>
      <c r="L64" t="s">
        <v>63</v>
      </c>
      <c r="M64" t="str">
        <f t="shared" si="35"/>
        <v/>
      </c>
      <c r="N64" s="193">
        <f t="shared" si="36"/>
        <v>0</v>
      </c>
      <c r="O64" s="189" t="s">
        <v>108</v>
      </c>
      <c r="P64" s="193">
        <f t="shared" si="37"/>
        <v>0</v>
      </c>
      <c r="Q64" s="175" t="s">
        <v>63</v>
      </c>
    </row>
    <row r="65" spans="1:17" x14ac:dyDescent="0.2">
      <c r="A65" s="188" t="str">
        <f t="shared" si="38"/>
        <v>Condensation control: Supply and install Dryaire CVent</v>
      </c>
      <c r="B65" s="188"/>
      <c r="C65" t="str">
        <f>Costing!M58</f>
        <v xml:space="preserve">Diamond core 107mm hole </v>
      </c>
      <c r="D65" s="176">
        <f>Costing!O58</f>
        <v>0</v>
      </c>
      <c r="E65" s="176">
        <f>Costing!Q58</f>
        <v>30.630000000000003</v>
      </c>
      <c r="F65" t="s">
        <v>2</v>
      </c>
      <c r="G65" t="s">
        <v>227</v>
      </c>
      <c r="H65" s="176">
        <f>Costing!R58*100</f>
        <v>100</v>
      </c>
      <c r="I65" t="s">
        <v>44</v>
      </c>
      <c r="J65" t="s">
        <v>52</v>
      </c>
      <c r="K65" t="s">
        <v>45</v>
      </c>
      <c r="L65" t="s">
        <v>63</v>
      </c>
      <c r="M65" t="str">
        <f t="shared" si="35"/>
        <v/>
      </c>
      <c r="N65" s="193">
        <f t="shared" si="36"/>
        <v>0</v>
      </c>
      <c r="O65" s="189" t="s">
        <v>108</v>
      </c>
      <c r="P65" s="193">
        <f t="shared" si="37"/>
        <v>0</v>
      </c>
      <c r="Q65" s="175" t="s">
        <v>63</v>
      </c>
    </row>
    <row r="66" spans="1:17" s="190" customFormat="1" x14ac:dyDescent="0.2">
      <c r="A66" s="190" t="str">
        <f>A65</f>
        <v>Condensation control: Supply and install Dryaire CVent</v>
      </c>
      <c r="C66" s="190" t="str">
        <f>_xlfn.CONCAT(A66," - Materials")</f>
        <v>Condensation control: Supply and install Dryaire CVent - Materials</v>
      </c>
      <c r="D66" s="191">
        <v>1</v>
      </c>
      <c r="E66" s="191">
        <f>N66</f>
        <v>0</v>
      </c>
      <c r="F66" s="190" t="s">
        <v>107</v>
      </c>
      <c r="G66" s="190" t="s">
        <v>228</v>
      </c>
      <c r="H66" s="191" t="e">
        <f>((P66-N66)/N66)*100</f>
        <v>#DIV/0!</v>
      </c>
      <c r="I66" s="190" t="s">
        <v>44</v>
      </c>
      <c r="J66" s="190" t="s">
        <v>54</v>
      </c>
      <c r="K66" s="190" t="s">
        <v>45</v>
      </c>
      <c r="L66" s="190" t="str">
        <f>'Customer Summary'!D8</f>
        <v>No</v>
      </c>
      <c r="M66" s="190" t="str">
        <f t="shared" si="35"/>
        <v>Preservation Shop</v>
      </c>
      <c r="N66" s="194">
        <f>SUM(N62:N63)</f>
        <v>0</v>
      </c>
      <c r="O66" s="192" t="str">
        <f t="shared" ref="O66" si="39">IF(N66=0,"DELETE","LEAVE")</f>
        <v>DELETE</v>
      </c>
      <c r="P66" s="194">
        <f>SUM(P62:P63)</f>
        <v>0</v>
      </c>
      <c r="Q66" s="192" t="s">
        <v>45</v>
      </c>
    </row>
    <row r="67" spans="1:17" s="190" customFormat="1" x14ac:dyDescent="0.2">
      <c r="A67" s="190" t="str">
        <f>A66</f>
        <v>Condensation control: Supply and install Dryaire CVent</v>
      </c>
      <c r="C67" s="190" t="str">
        <f>_xlfn.CONCAT(A67," - Labour")</f>
        <v>Condensation control: Supply and install Dryaire CVent - Labour</v>
      </c>
      <c r="D67" s="191">
        <v>1</v>
      </c>
      <c r="E67" s="191">
        <f>N67/D67</f>
        <v>0</v>
      </c>
      <c r="F67" s="190" t="s">
        <v>2</v>
      </c>
      <c r="G67" s="190" t="s">
        <v>227</v>
      </c>
      <c r="H67" s="191" t="e">
        <f>((P67-N67)/N67)*100</f>
        <v>#DIV/0!</v>
      </c>
      <c r="I67" s="190" t="s">
        <v>44</v>
      </c>
      <c r="J67" s="190" t="s">
        <v>52</v>
      </c>
      <c r="K67" s="190" t="s">
        <v>45</v>
      </c>
      <c r="L67" s="190" t="str">
        <f>L66</f>
        <v>No</v>
      </c>
      <c r="M67" s="190" t="str">
        <f t="shared" si="35"/>
        <v/>
      </c>
      <c r="N67" s="194">
        <f>SUM(N64:N65)</f>
        <v>0</v>
      </c>
      <c r="O67" s="192" t="str">
        <f>IF(N67=0,"DELETE","LEAVE")</f>
        <v>DELETE</v>
      </c>
      <c r="P67" s="194">
        <f>SUM(P64:P65)</f>
        <v>0</v>
      </c>
      <c r="Q67" s="192" t="s">
        <v>45</v>
      </c>
    </row>
    <row r="68" spans="1:17" x14ac:dyDescent="0.2">
      <c r="A68" s="184"/>
      <c r="B68" s="184"/>
      <c r="C68" s="184"/>
      <c r="D68" s="185">
        <f>SUM(D64:D65)</f>
        <v>0</v>
      </c>
      <c r="E68" s="185"/>
      <c r="F68" s="184"/>
      <c r="G68" s="184"/>
      <c r="H68" s="185"/>
      <c r="I68" s="184"/>
      <c r="J68" s="184"/>
      <c r="K68" s="184"/>
      <c r="L68" s="184"/>
      <c r="M68" s="184"/>
      <c r="N68" s="186"/>
      <c r="O68" s="187" t="s">
        <v>108</v>
      </c>
      <c r="P68" s="186"/>
      <c r="Q68" s="186"/>
    </row>
    <row r="69" spans="1:17" x14ac:dyDescent="0.2">
      <c r="A69" s="188" t="str">
        <f>'Customer Summary'!C14</f>
        <v>Airbricks</v>
      </c>
      <c r="B69" s="188"/>
      <c r="C69" s="58" t="str">
        <f>Costing!B82</f>
        <v>Clean out airbrick/fit new face</v>
      </c>
      <c r="D69" s="176">
        <f>Costing!F82</f>
        <v>0</v>
      </c>
      <c r="E69" s="176">
        <f>Costing!I82</f>
        <v>16</v>
      </c>
      <c r="F69" t="str">
        <f>Costing!G82</f>
        <v>Each</v>
      </c>
      <c r="G69" t="s">
        <v>228</v>
      </c>
      <c r="H69" s="176">
        <f>Costing!J82*100</f>
        <v>30</v>
      </c>
      <c r="I69" t="s">
        <v>44</v>
      </c>
      <c r="J69" t="s">
        <v>54</v>
      </c>
      <c r="K69" t="s">
        <v>45</v>
      </c>
      <c r="L69" t="s">
        <v>63</v>
      </c>
      <c r="M69" t="str">
        <f t="shared" ref="M69:M74" si="40">IF(J69="MTL","Preservation Shop","")</f>
        <v>Preservation Shop</v>
      </c>
      <c r="N69" s="193">
        <f t="shared" ref="N69:N74" si="41">D69*E69</f>
        <v>0</v>
      </c>
      <c r="O69" s="189" t="s">
        <v>108</v>
      </c>
      <c r="P69" s="193">
        <f t="shared" ref="P69:P74" si="42">N69*(1+(H69/100))</f>
        <v>0</v>
      </c>
      <c r="Q69" s="175" t="s">
        <v>63</v>
      </c>
    </row>
    <row r="70" spans="1:17" x14ac:dyDescent="0.2">
      <c r="A70" s="188" t="str">
        <f>A69</f>
        <v>Airbricks</v>
      </c>
      <c r="B70" s="188"/>
      <c r="C70" s="58" t="str">
        <f>Costing!B83</f>
        <v>Lift/upgrade existing airbrick/fit new face</v>
      </c>
      <c r="D70" s="176">
        <f>Costing!F83</f>
        <v>0</v>
      </c>
      <c r="E70" s="176">
        <f>Costing!I83</f>
        <v>16</v>
      </c>
      <c r="F70" t="str">
        <f>Costing!G83</f>
        <v>Each</v>
      </c>
      <c r="G70" t="s">
        <v>228</v>
      </c>
      <c r="H70" s="176">
        <f>Costing!J83*100</f>
        <v>30</v>
      </c>
      <c r="I70" t="s">
        <v>44</v>
      </c>
      <c r="J70" t="s">
        <v>54</v>
      </c>
      <c r="K70" t="s">
        <v>45</v>
      </c>
      <c r="L70" t="s">
        <v>63</v>
      </c>
      <c r="M70" t="str">
        <f t="shared" si="40"/>
        <v>Preservation Shop</v>
      </c>
      <c r="N70" s="193">
        <f t="shared" si="41"/>
        <v>0</v>
      </c>
      <c r="O70" s="189" t="s">
        <v>108</v>
      </c>
      <c r="P70" s="193">
        <f t="shared" si="42"/>
        <v>0</v>
      </c>
      <c r="Q70" s="175" t="s">
        <v>63</v>
      </c>
    </row>
    <row r="71" spans="1:17" x14ac:dyDescent="0.2">
      <c r="A71" s="188" t="str">
        <f t="shared" ref="A71:A74" si="43">A70</f>
        <v>Airbricks</v>
      </c>
      <c r="B71" s="188"/>
      <c r="C71" s="58" t="str">
        <f>Costing!B84</f>
        <v>Install additional  airbrick</v>
      </c>
      <c r="D71" s="176">
        <f>Costing!F84</f>
        <v>0</v>
      </c>
      <c r="E71" s="176">
        <f>Costing!I84</f>
        <v>16</v>
      </c>
      <c r="F71" t="str">
        <f>Costing!G84</f>
        <v>Each</v>
      </c>
      <c r="G71" t="s">
        <v>228</v>
      </c>
      <c r="H71" s="176">
        <f>Costing!J84*100</f>
        <v>30</v>
      </c>
      <c r="I71" t="s">
        <v>44</v>
      </c>
      <c r="J71" t="s">
        <v>54</v>
      </c>
      <c r="K71" t="s">
        <v>45</v>
      </c>
      <c r="L71" t="s">
        <v>63</v>
      </c>
      <c r="M71" t="str">
        <f t="shared" si="40"/>
        <v>Preservation Shop</v>
      </c>
      <c r="N71" s="193">
        <f t="shared" si="41"/>
        <v>0</v>
      </c>
      <c r="O71" s="189" t="s">
        <v>108</v>
      </c>
      <c r="P71" s="193">
        <f t="shared" si="42"/>
        <v>0</v>
      </c>
      <c r="Q71" s="175" t="s">
        <v>63</v>
      </c>
    </row>
    <row r="72" spans="1:17" x14ac:dyDescent="0.2">
      <c r="A72" s="188" t="str">
        <f t="shared" si="43"/>
        <v>Airbricks</v>
      </c>
      <c r="B72" s="188"/>
      <c r="C72" t="str">
        <f>Costing!M82</f>
        <v>Clean out airbrick/fit new face</v>
      </c>
      <c r="D72" s="176">
        <f>Costing!O82</f>
        <v>0</v>
      </c>
      <c r="E72" s="176">
        <f>Costing!Q82</f>
        <v>30.630000000000003</v>
      </c>
      <c r="F72" t="s">
        <v>2</v>
      </c>
      <c r="G72" t="s">
        <v>227</v>
      </c>
      <c r="H72" s="176">
        <f>Costing!R82*100</f>
        <v>100</v>
      </c>
      <c r="I72" t="s">
        <v>44</v>
      </c>
      <c r="J72" t="s">
        <v>52</v>
      </c>
      <c r="K72" t="s">
        <v>45</v>
      </c>
      <c r="L72" t="s">
        <v>63</v>
      </c>
      <c r="M72" t="str">
        <f t="shared" si="40"/>
        <v/>
      </c>
      <c r="N72" s="193">
        <f t="shared" si="41"/>
        <v>0</v>
      </c>
      <c r="O72" s="189" t="s">
        <v>108</v>
      </c>
      <c r="P72" s="193">
        <f t="shared" si="42"/>
        <v>0</v>
      </c>
      <c r="Q72" s="175" t="s">
        <v>63</v>
      </c>
    </row>
    <row r="73" spans="1:17" x14ac:dyDescent="0.2">
      <c r="A73" s="188" t="str">
        <f t="shared" si="43"/>
        <v>Airbricks</v>
      </c>
      <c r="B73" s="188"/>
      <c r="C73" t="str">
        <f>Costing!M83</f>
        <v>Lift/upgrade existing airbrick/fit new face</v>
      </c>
      <c r="D73" s="176">
        <f>Costing!O83</f>
        <v>0</v>
      </c>
      <c r="E73" s="176">
        <f>Costing!Q83</f>
        <v>30.630000000000003</v>
      </c>
      <c r="F73" t="s">
        <v>2</v>
      </c>
      <c r="G73" t="s">
        <v>227</v>
      </c>
      <c r="H73" s="176">
        <f>Costing!R83*100</f>
        <v>100</v>
      </c>
      <c r="I73" t="s">
        <v>44</v>
      </c>
      <c r="J73" t="s">
        <v>52</v>
      </c>
      <c r="K73" t="s">
        <v>45</v>
      </c>
      <c r="L73" t="s">
        <v>63</v>
      </c>
      <c r="M73" t="str">
        <f t="shared" si="40"/>
        <v/>
      </c>
      <c r="N73" s="193">
        <f t="shared" si="41"/>
        <v>0</v>
      </c>
      <c r="O73" s="189" t="s">
        <v>108</v>
      </c>
      <c r="P73" s="193">
        <f t="shared" si="42"/>
        <v>0</v>
      </c>
      <c r="Q73" s="175" t="s">
        <v>63</v>
      </c>
    </row>
    <row r="74" spans="1:17" x14ac:dyDescent="0.2">
      <c r="A74" s="188" t="str">
        <f t="shared" si="43"/>
        <v>Airbricks</v>
      </c>
      <c r="B74" s="188"/>
      <c r="C74" t="str">
        <f>Costing!M84</f>
        <v>Install additional  airbrick</v>
      </c>
      <c r="D74" s="176">
        <f>Costing!O84</f>
        <v>0</v>
      </c>
      <c r="E74" s="176">
        <f>Costing!Q84</f>
        <v>30.630000000000003</v>
      </c>
      <c r="F74" t="s">
        <v>2</v>
      </c>
      <c r="G74" t="s">
        <v>227</v>
      </c>
      <c r="H74" s="176">
        <f>Costing!R84*100</f>
        <v>100</v>
      </c>
      <c r="I74" t="s">
        <v>44</v>
      </c>
      <c r="J74" t="s">
        <v>52</v>
      </c>
      <c r="K74" t="s">
        <v>45</v>
      </c>
      <c r="L74" t="s">
        <v>63</v>
      </c>
      <c r="M74" t="str">
        <f t="shared" si="40"/>
        <v/>
      </c>
      <c r="N74" s="193">
        <f t="shared" si="41"/>
        <v>0</v>
      </c>
      <c r="O74" s="189" t="s">
        <v>108</v>
      </c>
      <c r="P74" s="193">
        <f t="shared" si="42"/>
        <v>0</v>
      </c>
      <c r="Q74" s="175" t="s">
        <v>63</v>
      </c>
    </row>
    <row r="75" spans="1:17" s="190" customFormat="1" x14ac:dyDescent="0.2">
      <c r="A75" s="190" t="str">
        <f>A74</f>
        <v>Airbricks</v>
      </c>
      <c r="C75" s="190" t="str">
        <f>_xlfn.CONCAT(A75," - Materials")</f>
        <v>Airbricks - Materials</v>
      </c>
      <c r="D75" s="191">
        <v>1</v>
      </c>
      <c r="E75" s="191">
        <f>N75</f>
        <v>0</v>
      </c>
      <c r="F75" s="190" t="s">
        <v>107</v>
      </c>
      <c r="G75" s="190" t="s">
        <v>228</v>
      </c>
      <c r="H75" s="191" t="e">
        <f>((P75-N75)/N75)*100</f>
        <v>#DIV/0!</v>
      </c>
      <c r="I75" s="190" t="s">
        <v>44</v>
      </c>
      <c r="J75" s="190" t="s">
        <v>54</v>
      </c>
      <c r="K75" s="190" t="s">
        <v>45</v>
      </c>
      <c r="L75" s="190" t="str">
        <f>'Customer Summary'!D14</f>
        <v>No</v>
      </c>
      <c r="M75" s="190" t="str">
        <f t="shared" ref="M75:M76" si="44">IF(J75="MTL","Preservation Shop","")</f>
        <v>Preservation Shop</v>
      </c>
      <c r="N75" s="194">
        <f>SUM(N69:N71)</f>
        <v>0</v>
      </c>
      <c r="O75" s="192" t="str">
        <f t="shared" ref="O75" si="45">IF(N75=0,"DELETE","LEAVE")</f>
        <v>DELETE</v>
      </c>
      <c r="P75" s="194">
        <f>SUM(P69:P71)</f>
        <v>0</v>
      </c>
      <c r="Q75" s="192" t="s">
        <v>45</v>
      </c>
    </row>
    <row r="76" spans="1:17" s="190" customFormat="1" x14ac:dyDescent="0.2">
      <c r="A76" s="190" t="str">
        <f>A75</f>
        <v>Airbricks</v>
      </c>
      <c r="C76" s="190" t="str">
        <f>_xlfn.CONCAT(A76," - Labour")</f>
        <v>Airbricks - Labour</v>
      </c>
      <c r="D76" s="191">
        <f>SUM(D72:D74)</f>
        <v>0</v>
      </c>
      <c r="E76" s="191" t="e">
        <f>N76/D76</f>
        <v>#DIV/0!</v>
      </c>
      <c r="F76" s="190" t="s">
        <v>2</v>
      </c>
      <c r="G76" s="190" t="s">
        <v>227</v>
      </c>
      <c r="H76" s="191" t="e">
        <f>((P76-N76)/N76)*100</f>
        <v>#DIV/0!</v>
      </c>
      <c r="I76" s="190" t="s">
        <v>44</v>
      </c>
      <c r="J76" s="190" t="s">
        <v>52</v>
      </c>
      <c r="K76" s="190" t="s">
        <v>45</v>
      </c>
      <c r="L76" s="190" t="str">
        <f>L75</f>
        <v>No</v>
      </c>
      <c r="M76" s="190" t="str">
        <f t="shared" si="44"/>
        <v/>
      </c>
      <c r="N76" s="194">
        <f>SUM(N72:N74)</f>
        <v>0</v>
      </c>
      <c r="O76" s="192" t="str">
        <f>IF(N76=0,"DELETE","LEAVE")</f>
        <v>DELETE</v>
      </c>
      <c r="P76" s="194">
        <f>SUM(P72:P74)</f>
        <v>0</v>
      </c>
      <c r="Q76" s="192" t="s">
        <v>45</v>
      </c>
    </row>
    <row r="77" spans="1:17" x14ac:dyDescent="0.2">
      <c r="A77" s="184"/>
      <c r="B77" s="184"/>
      <c r="C77" s="184"/>
      <c r="D77" s="185"/>
      <c r="E77" s="185"/>
      <c r="F77" s="184"/>
      <c r="G77" s="184"/>
      <c r="H77" s="185"/>
      <c r="I77" s="184"/>
      <c r="J77" s="184"/>
      <c r="K77" s="184"/>
      <c r="L77" s="184"/>
      <c r="M77" s="184"/>
      <c r="N77" s="186"/>
      <c r="O77" s="187" t="s">
        <v>108</v>
      </c>
      <c r="P77" s="186"/>
      <c r="Q77" s="186"/>
    </row>
    <row r="78" spans="1:17" s="190" customFormat="1" x14ac:dyDescent="0.2">
      <c r="A78" s="190" t="str">
        <f>'Customer Summary'!C9</f>
        <v>Joinery: Supply and fit boxwork for ducting</v>
      </c>
      <c r="C78" s="190" t="str">
        <f>_xlfn.CONCAT(A78," - Materials")</f>
        <v>Joinery: Supply and fit boxwork for ducting - Materials</v>
      </c>
      <c r="D78" s="191">
        <f>Costing!F62</f>
        <v>0</v>
      </c>
      <c r="E78" s="191">
        <f>Costing!I62</f>
        <v>0</v>
      </c>
      <c r="F78" s="190" t="str">
        <f>Costing!G66</f>
        <v>Each</v>
      </c>
      <c r="G78" s="190" t="s">
        <v>228</v>
      </c>
      <c r="H78" s="191">
        <f>Costing!J62*100</f>
        <v>30</v>
      </c>
      <c r="I78" s="190" t="s">
        <v>44</v>
      </c>
      <c r="J78" s="190" t="s">
        <v>54</v>
      </c>
      <c r="K78" s="190" t="s">
        <v>45</v>
      </c>
      <c r="L78" s="190" t="str">
        <f>'Customer Summary'!D9</f>
        <v>Yes</v>
      </c>
      <c r="M78" s="190" t="str">
        <f>IF(J78="MTL","Preservation Shop","")</f>
        <v>Preservation Shop</v>
      </c>
      <c r="N78" s="194">
        <f t="shared" ref="N78:N79" si="46">D78*E78</f>
        <v>0</v>
      </c>
      <c r="O78" s="192" t="str">
        <f t="shared" ref="O78" si="47">IF(N78=0,"DELETE","LEAVE")</f>
        <v>DELETE</v>
      </c>
      <c r="P78" s="194">
        <f t="shared" ref="P78:P79" si="48">N78*(1+(H78/100))</f>
        <v>0</v>
      </c>
      <c r="Q78" s="192" t="s">
        <v>45</v>
      </c>
    </row>
    <row r="79" spans="1:17" s="190" customFormat="1" x14ac:dyDescent="0.2">
      <c r="A79" s="190" t="str">
        <f>A78</f>
        <v>Joinery: Supply and fit boxwork for ducting</v>
      </c>
      <c r="C79" s="190" t="str">
        <f>_xlfn.CONCAT(A79," - Labour")</f>
        <v>Joinery: Supply and fit boxwork for ducting - Labour</v>
      </c>
      <c r="D79" s="191">
        <f>Costing!O62</f>
        <v>0</v>
      </c>
      <c r="E79" s="191">
        <f>Costing!Q62</f>
        <v>30.630000000000003</v>
      </c>
      <c r="F79" s="190" t="s">
        <v>2</v>
      </c>
      <c r="G79" s="190" t="s">
        <v>227</v>
      </c>
      <c r="H79" s="191">
        <f>Costing!R62*100</f>
        <v>100</v>
      </c>
      <c r="I79" s="190" t="s">
        <v>44</v>
      </c>
      <c r="J79" s="190" t="s">
        <v>52</v>
      </c>
      <c r="K79" s="190" t="s">
        <v>45</v>
      </c>
      <c r="L79" s="190" t="str">
        <f>L78</f>
        <v>Yes</v>
      </c>
      <c r="M79" s="190" t="str">
        <f>IF(J79="MTL","Preservation Shop","")</f>
        <v/>
      </c>
      <c r="N79" s="194">
        <f t="shared" si="46"/>
        <v>0</v>
      </c>
      <c r="O79" s="192" t="str">
        <f>IF(N79=0,"DELETE","LEAVE")</f>
        <v>DELETE</v>
      </c>
      <c r="P79" s="194">
        <f t="shared" si="48"/>
        <v>0</v>
      </c>
      <c r="Q79" s="192" t="s">
        <v>45</v>
      </c>
    </row>
    <row r="80" spans="1:17" x14ac:dyDescent="0.2">
      <c r="A80" s="184"/>
      <c r="B80" s="184"/>
      <c r="C80" s="184"/>
      <c r="D80" s="185"/>
      <c r="E80" s="185"/>
      <c r="F80" s="184"/>
      <c r="G80" s="184"/>
      <c r="H80" s="185"/>
      <c r="I80" s="184"/>
      <c r="J80" s="184"/>
      <c r="K80" s="184"/>
      <c r="L80" s="184"/>
      <c r="M80" s="184"/>
      <c r="N80" s="186"/>
      <c r="O80" s="187" t="s">
        <v>108</v>
      </c>
      <c r="P80" s="186"/>
      <c r="Q80" s="186"/>
    </row>
    <row r="81" spans="1:17" s="190" customFormat="1" x14ac:dyDescent="0.2">
      <c r="A81" s="190" t="str">
        <f>'Customer Summary'!C10</f>
        <v>New hatch and ladder: Create larger opening, install new sturdy hatch and ladder to loft entry</v>
      </c>
      <c r="C81" s="190" t="str">
        <f>_xlfn.CONCAT(A81," - Materials")</f>
        <v>New hatch and ladder: Create larger opening, install new sturdy hatch and ladder to loft entry - Materials</v>
      </c>
      <c r="D81" s="191">
        <f>Costing!F66</f>
        <v>0</v>
      </c>
      <c r="E81" s="191">
        <f>Costing!I66</f>
        <v>360</v>
      </c>
      <c r="F81" s="190" t="str">
        <f>Costing!G66</f>
        <v>Each</v>
      </c>
      <c r="G81" s="190" t="s">
        <v>228</v>
      </c>
      <c r="H81" s="191">
        <f>Costing!J66*100</f>
        <v>30</v>
      </c>
      <c r="I81" s="190" t="s">
        <v>44</v>
      </c>
      <c r="J81" s="190" t="s">
        <v>54</v>
      </c>
      <c r="K81" s="190" t="s">
        <v>45</v>
      </c>
      <c r="L81" s="190" t="str">
        <f>'Customer Summary'!D10</f>
        <v>Yes</v>
      </c>
      <c r="M81" s="190" t="str">
        <f t="shared" ref="M81:M82" si="49">IF(J81="MTL","Preservation Shop","")</f>
        <v>Preservation Shop</v>
      </c>
      <c r="N81" s="194">
        <f t="shared" ref="N81:N82" si="50">D81*E81</f>
        <v>0</v>
      </c>
      <c r="O81" s="192" t="str">
        <f t="shared" ref="O81" si="51">IF(N81=0,"DELETE","LEAVE")</f>
        <v>DELETE</v>
      </c>
      <c r="P81" s="194">
        <f t="shared" ref="P81:P82" si="52">N81*(1+(H81/100))</f>
        <v>0</v>
      </c>
      <c r="Q81" s="192" t="s">
        <v>45</v>
      </c>
    </row>
    <row r="82" spans="1:17" s="190" customFormat="1" x14ac:dyDescent="0.2">
      <c r="A82" s="190" t="str">
        <f>A81</f>
        <v>New hatch and ladder: Create larger opening, install new sturdy hatch and ladder to loft entry</v>
      </c>
      <c r="C82" s="190" t="str">
        <f>_xlfn.CONCAT(A82," - Labour")</f>
        <v>New hatch and ladder: Create larger opening, install new sturdy hatch and ladder to loft entry - Labour</v>
      </c>
      <c r="D82" s="191">
        <f>Costing!O66</f>
        <v>0</v>
      </c>
      <c r="E82" s="191">
        <f>Costing!Q66</f>
        <v>30.630000000000003</v>
      </c>
      <c r="F82" s="190" t="s">
        <v>2</v>
      </c>
      <c r="G82" s="190" t="s">
        <v>227</v>
      </c>
      <c r="H82" s="191">
        <f>Costing!R66*100</f>
        <v>100</v>
      </c>
      <c r="I82" s="190" t="s">
        <v>44</v>
      </c>
      <c r="J82" s="190" t="s">
        <v>52</v>
      </c>
      <c r="K82" s="190" t="s">
        <v>45</v>
      </c>
      <c r="L82" s="190" t="str">
        <f>L81</f>
        <v>Yes</v>
      </c>
      <c r="M82" s="190" t="str">
        <f t="shared" si="49"/>
        <v/>
      </c>
      <c r="N82" s="194">
        <f t="shared" si="50"/>
        <v>0</v>
      </c>
      <c r="O82" s="192" t="str">
        <f>IF(N82=0,"DELETE","LEAVE")</f>
        <v>DELETE</v>
      </c>
      <c r="P82" s="194">
        <f t="shared" si="52"/>
        <v>0</v>
      </c>
      <c r="Q82" s="192" t="s">
        <v>45</v>
      </c>
    </row>
    <row r="83" spans="1:17" x14ac:dyDescent="0.2">
      <c r="A83" s="184"/>
      <c r="B83" s="184"/>
      <c r="C83" s="184"/>
      <c r="D83" s="185"/>
      <c r="E83" s="185"/>
      <c r="F83" s="184"/>
      <c r="G83" s="184"/>
      <c r="H83" s="185"/>
      <c r="I83" s="184"/>
      <c r="J83" s="184"/>
      <c r="K83" s="184"/>
      <c r="L83" s="184"/>
      <c r="M83" s="184"/>
      <c r="N83" s="186"/>
      <c r="O83" s="187" t="s">
        <v>108</v>
      </c>
      <c r="P83" s="186"/>
      <c r="Q83" s="186"/>
    </row>
    <row r="84" spans="1:17" s="190" customFormat="1" x14ac:dyDescent="0.2">
      <c r="A84" s="190" t="str">
        <f>'Customer Summary'!C11</f>
        <v>Loft opening: Enlarge existing loft opening and install new hatch lid</v>
      </c>
      <c r="C84" s="190" t="str">
        <f>_xlfn.CONCAT(A84," - Materials")</f>
        <v>Loft opening: Enlarge existing loft opening and install new hatch lid - Materials</v>
      </c>
      <c r="D84" s="191">
        <f>Costing!F70</f>
        <v>0</v>
      </c>
      <c r="E84" s="191">
        <f>Costing!I70</f>
        <v>45</v>
      </c>
      <c r="F84" s="190" t="str">
        <f>Costing!G70</f>
        <v>Each</v>
      </c>
      <c r="G84" s="190" t="s">
        <v>228</v>
      </c>
      <c r="H84" s="191">
        <f>Costing!J70*100</f>
        <v>30</v>
      </c>
      <c r="I84" s="190" t="s">
        <v>44</v>
      </c>
      <c r="J84" s="190" t="s">
        <v>54</v>
      </c>
      <c r="K84" s="190" t="s">
        <v>45</v>
      </c>
      <c r="L84" s="190" t="str">
        <f>'Customer Summary'!D11</f>
        <v>Yes</v>
      </c>
      <c r="M84" s="190" t="str">
        <f t="shared" ref="M84:M85" si="53">IF(J84="MTL","Preservation Shop","")</f>
        <v>Preservation Shop</v>
      </c>
      <c r="N84" s="194">
        <f t="shared" ref="N84:N85" si="54">D84*E84</f>
        <v>0</v>
      </c>
      <c r="O84" s="192" t="str">
        <f t="shared" ref="O84" si="55">IF(N84=0,"DELETE","LEAVE")</f>
        <v>DELETE</v>
      </c>
      <c r="P84" s="194">
        <f t="shared" ref="P84:P85" si="56">N84*(1+(H84/100))</f>
        <v>0</v>
      </c>
      <c r="Q84" s="192" t="s">
        <v>45</v>
      </c>
    </row>
    <row r="85" spans="1:17" s="190" customFormat="1" x14ac:dyDescent="0.2">
      <c r="A85" s="190" t="str">
        <f>A84</f>
        <v>Loft opening: Enlarge existing loft opening and install new hatch lid</v>
      </c>
      <c r="C85" s="190" t="str">
        <f>_xlfn.CONCAT(A85," - Labour")</f>
        <v>Loft opening: Enlarge existing loft opening and install new hatch lid - Labour</v>
      </c>
      <c r="D85" s="191">
        <f>Costing!O70</f>
        <v>0</v>
      </c>
      <c r="E85" s="191">
        <f>Costing!Q70</f>
        <v>30.630000000000003</v>
      </c>
      <c r="F85" s="190" t="s">
        <v>2</v>
      </c>
      <c r="G85" s="190" t="s">
        <v>227</v>
      </c>
      <c r="H85" s="191">
        <f>Costing!R70*100</f>
        <v>100</v>
      </c>
      <c r="I85" s="190" t="s">
        <v>44</v>
      </c>
      <c r="J85" s="190" t="s">
        <v>52</v>
      </c>
      <c r="K85" s="190" t="s">
        <v>45</v>
      </c>
      <c r="L85" s="190" t="str">
        <f>L84</f>
        <v>Yes</v>
      </c>
      <c r="M85" s="190" t="str">
        <f t="shared" si="53"/>
        <v/>
      </c>
      <c r="N85" s="194">
        <f t="shared" si="54"/>
        <v>0</v>
      </c>
      <c r="O85" s="192" t="str">
        <f>IF(N85=0,"DELETE","LEAVE")</f>
        <v>DELETE</v>
      </c>
      <c r="P85" s="194">
        <f t="shared" si="56"/>
        <v>0</v>
      </c>
      <c r="Q85" s="192" t="s">
        <v>45</v>
      </c>
    </row>
    <row r="86" spans="1:17" x14ac:dyDescent="0.2">
      <c r="A86" s="184"/>
      <c r="B86" s="184"/>
      <c r="C86" s="184"/>
      <c r="D86" s="185"/>
      <c r="E86" s="185"/>
      <c r="F86" s="184"/>
      <c r="G86" s="184"/>
      <c r="H86" s="185"/>
      <c r="I86" s="184"/>
      <c r="J86" s="184"/>
      <c r="K86" s="184"/>
      <c r="L86" s="184"/>
      <c r="M86" s="184"/>
      <c r="N86" s="186"/>
      <c r="O86" s="187" t="s">
        <v>108</v>
      </c>
      <c r="P86" s="186"/>
      <c r="Q86" s="186"/>
    </row>
    <row r="87" spans="1:17" s="190" customFormat="1" x14ac:dyDescent="0.2">
      <c r="A87" s="190" t="str">
        <f>'Customer Summary'!C12</f>
        <v>Remedial treatments: Mould treatment</v>
      </c>
      <c r="C87" s="190" t="str">
        <f>_xlfn.CONCAT(A87," - Materials")</f>
        <v>Remedial treatments: Mould treatment - Materials</v>
      </c>
      <c r="D87" s="191">
        <f>Costing!F74</f>
        <v>6</v>
      </c>
      <c r="E87" s="191">
        <f>Costing!I74</f>
        <v>0.5</v>
      </c>
      <c r="F87" s="190" t="str">
        <f>Costing!G74</f>
        <v>M2</v>
      </c>
      <c r="G87" s="190" t="s">
        <v>228</v>
      </c>
      <c r="H87" s="191">
        <f>Costing!J74*100</f>
        <v>30</v>
      </c>
      <c r="I87" s="190" t="s">
        <v>44</v>
      </c>
      <c r="J87" s="190" t="s">
        <v>54</v>
      </c>
      <c r="K87" s="190" t="s">
        <v>45</v>
      </c>
      <c r="L87" s="190" t="str">
        <f>'Customer Summary'!D12</f>
        <v>No</v>
      </c>
      <c r="M87" s="190" t="str">
        <f t="shared" ref="M87:M88" si="57">IF(J87="MTL","Preservation Shop","")</f>
        <v>Preservation Shop</v>
      </c>
      <c r="N87" s="194">
        <f t="shared" ref="N87:N88" si="58">D87*E87</f>
        <v>3</v>
      </c>
      <c r="O87" s="192" t="str">
        <f t="shared" ref="O87" si="59">IF(N87=0,"DELETE","LEAVE")</f>
        <v>LEAVE</v>
      </c>
      <c r="P87" s="194">
        <f t="shared" ref="P87:P88" si="60">N87*(1+(H87/100))</f>
        <v>3.9000000000000004</v>
      </c>
      <c r="Q87" s="192" t="s">
        <v>45</v>
      </c>
    </row>
    <row r="88" spans="1:17" s="190" customFormat="1" x14ac:dyDescent="0.2">
      <c r="A88" s="190" t="str">
        <f>A87</f>
        <v>Remedial treatments: Mould treatment</v>
      </c>
      <c r="C88" s="190" t="str">
        <f>_xlfn.CONCAT(A88," - Labour")</f>
        <v>Remedial treatments: Mould treatment - Labour</v>
      </c>
      <c r="D88" s="191">
        <f>Costing!O74</f>
        <v>1.5</v>
      </c>
      <c r="E88" s="191">
        <f>Costing!Q74</f>
        <v>30.630000000000003</v>
      </c>
      <c r="F88" s="190" t="s">
        <v>2</v>
      </c>
      <c r="G88" s="190" t="s">
        <v>227</v>
      </c>
      <c r="H88" s="191">
        <f>Costing!R74*100</f>
        <v>100</v>
      </c>
      <c r="I88" s="190" t="s">
        <v>44</v>
      </c>
      <c r="J88" s="190" t="s">
        <v>52</v>
      </c>
      <c r="K88" s="190" t="s">
        <v>45</v>
      </c>
      <c r="L88" s="190" t="str">
        <f>L87</f>
        <v>No</v>
      </c>
      <c r="M88" s="190" t="str">
        <f t="shared" si="57"/>
        <v/>
      </c>
      <c r="N88" s="194">
        <f t="shared" si="58"/>
        <v>45.945000000000007</v>
      </c>
      <c r="O88" s="192" t="str">
        <f>IF(N88=0,"DELETE","LEAVE")</f>
        <v>LEAVE</v>
      </c>
      <c r="P88" s="194">
        <f t="shared" si="60"/>
        <v>91.890000000000015</v>
      </c>
      <c r="Q88" s="192" t="s">
        <v>45</v>
      </c>
    </row>
    <row r="89" spans="1:17" x14ac:dyDescent="0.2">
      <c r="A89" s="184"/>
      <c r="B89" s="184"/>
      <c r="C89" s="184"/>
      <c r="D89" s="185"/>
      <c r="E89" s="185"/>
      <c r="F89" s="184"/>
      <c r="G89" s="184"/>
      <c r="H89" s="185"/>
      <c r="I89" s="184"/>
      <c r="J89" s="184"/>
      <c r="K89" s="184"/>
      <c r="L89" s="184"/>
      <c r="M89" s="184"/>
      <c r="N89" s="186"/>
      <c r="O89" s="187" t="s">
        <v>108</v>
      </c>
      <c r="P89" s="186"/>
      <c r="Q89" s="186"/>
    </row>
    <row r="90" spans="1:17" s="190" customFormat="1" x14ac:dyDescent="0.2">
      <c r="A90" s="190" t="str">
        <f>'Customer Summary'!C13</f>
        <v>Asbestos Testing</v>
      </c>
      <c r="C90" s="190" t="str">
        <f>_xlfn.CONCAT(A90," - Materials")</f>
        <v>Asbestos Testing - Materials</v>
      </c>
      <c r="D90" s="191">
        <f>Costing!F78</f>
        <v>0</v>
      </c>
      <c r="E90" s="191">
        <f>Costing!I78</f>
        <v>30</v>
      </c>
      <c r="F90" s="190" t="str">
        <f>Costing!G78</f>
        <v>Each</v>
      </c>
      <c r="G90" s="190" t="s">
        <v>228</v>
      </c>
      <c r="H90" s="191">
        <f>Costing!J78*100</f>
        <v>30</v>
      </c>
      <c r="I90" s="190" t="s">
        <v>44</v>
      </c>
      <c r="J90" s="190" t="s">
        <v>54</v>
      </c>
      <c r="K90" s="190" t="s">
        <v>45</v>
      </c>
      <c r="L90" s="190" t="str">
        <f>'Customer Summary'!D13</f>
        <v>Yes</v>
      </c>
      <c r="M90" s="190" t="str">
        <f t="shared" ref="M90:M91" si="61">IF(J90="MTL","Preservation Shop","")</f>
        <v>Preservation Shop</v>
      </c>
      <c r="N90" s="194">
        <f t="shared" ref="N90" si="62">D90*E90</f>
        <v>0</v>
      </c>
      <c r="O90" s="192" t="str">
        <f t="shared" ref="O90" si="63">IF(N90=0,"DELETE","LEAVE")</f>
        <v>DELETE</v>
      </c>
      <c r="P90" s="194">
        <f t="shared" ref="P90:P91" si="64">N90*(1+(H90/100))</f>
        <v>0</v>
      </c>
      <c r="Q90" s="192" t="s">
        <v>45</v>
      </c>
    </row>
    <row r="91" spans="1:17" s="190" customFormat="1" x14ac:dyDescent="0.2">
      <c r="A91" s="190" t="str">
        <f>A90</f>
        <v>Asbestos Testing</v>
      </c>
      <c r="C91" s="190" t="str">
        <f>_xlfn.CONCAT(A91," - Labour")</f>
        <v>Asbestos Testing - Labour</v>
      </c>
      <c r="D91" s="191">
        <f>Costing!O78</f>
        <v>0</v>
      </c>
      <c r="E91" s="191">
        <f>Costing!Q78</f>
        <v>30.630000000000003</v>
      </c>
      <c r="F91" s="190" t="s">
        <v>2</v>
      </c>
      <c r="G91" s="190" t="s">
        <v>227</v>
      </c>
      <c r="H91" s="191">
        <f>Costing!R78*100</f>
        <v>100</v>
      </c>
      <c r="I91" s="190" t="s">
        <v>44</v>
      </c>
      <c r="J91" s="190" t="s">
        <v>52</v>
      </c>
      <c r="K91" s="190" t="s">
        <v>45</v>
      </c>
      <c r="L91" s="190" t="str">
        <f>L90</f>
        <v>Yes</v>
      </c>
      <c r="M91" s="190" t="str">
        <f t="shared" si="61"/>
        <v/>
      </c>
      <c r="N91" s="194">
        <f>D91*E91</f>
        <v>0</v>
      </c>
      <c r="O91" s="192" t="str">
        <f>IF(N91=0,"DELETE","LEAVE")</f>
        <v>DELETE</v>
      </c>
      <c r="P91" s="194">
        <f t="shared" si="64"/>
        <v>0</v>
      </c>
      <c r="Q91" s="192" t="s">
        <v>45</v>
      </c>
    </row>
    <row r="92" spans="1:17" x14ac:dyDescent="0.2">
      <c r="A92" s="184"/>
      <c r="B92" s="184"/>
      <c r="C92" s="184"/>
      <c r="D92" s="185"/>
      <c r="E92" s="185"/>
      <c r="F92" s="184"/>
      <c r="G92" s="184"/>
      <c r="H92" s="185"/>
      <c r="I92" s="184"/>
      <c r="J92" s="184"/>
      <c r="K92" s="184"/>
      <c r="L92" s="184"/>
      <c r="M92" s="184"/>
      <c r="N92" s="186"/>
      <c r="O92" s="187" t="s">
        <v>108</v>
      </c>
      <c r="P92" s="186"/>
      <c r="Q92" s="186"/>
    </row>
    <row r="93" spans="1:17" x14ac:dyDescent="0.2">
      <c r="A93" t="str">
        <f>'Customer Summary'!C15</f>
        <v>Project Specific Overheads</v>
      </c>
      <c r="C93" t="s">
        <v>383</v>
      </c>
      <c r="D93" s="176">
        <f>Costing!F88</f>
        <v>0</v>
      </c>
      <c r="E93" s="176">
        <f>Costing!I88</f>
        <v>270</v>
      </c>
      <c r="F93" t="s">
        <v>69</v>
      </c>
      <c r="G93" t="s">
        <v>74</v>
      </c>
      <c r="H93" s="176">
        <f>Costing!J88*100</f>
        <v>30</v>
      </c>
      <c r="I93" t="s">
        <v>44</v>
      </c>
      <c r="J93" t="s">
        <v>56</v>
      </c>
      <c r="K93" t="s">
        <v>45</v>
      </c>
      <c r="L93" t="s">
        <v>63</v>
      </c>
      <c r="M93" t="str">
        <f t="shared" ref="M93:M97" si="65">IF(J93="MTL","Preservation Shop","")</f>
        <v/>
      </c>
      <c r="N93" s="193">
        <f t="shared" ref="N93:N95" si="66">D93*E93</f>
        <v>0</v>
      </c>
      <c r="O93" s="189" t="s">
        <v>108</v>
      </c>
      <c r="P93" s="193">
        <f t="shared" ref="P93:P95" si="67">N93*(1+(H93/100))</f>
        <v>0</v>
      </c>
      <c r="Q93" s="175" t="s">
        <v>63</v>
      </c>
    </row>
    <row r="94" spans="1:17" x14ac:dyDescent="0.2">
      <c r="A94" t="str">
        <f>A93</f>
        <v>Project Specific Overheads</v>
      </c>
      <c r="C94" t="s">
        <v>384</v>
      </c>
      <c r="D94" s="176">
        <f>Costing!K98*Costing!K99*2</f>
        <v>92</v>
      </c>
      <c r="E94" s="176">
        <f>Costing!J107</f>
        <v>0.5</v>
      </c>
      <c r="F94" t="s">
        <v>75</v>
      </c>
      <c r="G94" t="s">
        <v>73</v>
      </c>
      <c r="H94" s="176">
        <v>0</v>
      </c>
      <c r="I94" t="s">
        <v>44</v>
      </c>
      <c r="J94" t="s">
        <v>56</v>
      </c>
      <c r="K94" t="s">
        <v>45</v>
      </c>
      <c r="L94" t="s">
        <v>63</v>
      </c>
      <c r="M94" t="str">
        <f t="shared" si="65"/>
        <v/>
      </c>
      <c r="N94" s="193">
        <f t="shared" si="66"/>
        <v>46</v>
      </c>
      <c r="O94" s="189" t="s">
        <v>108</v>
      </c>
      <c r="P94" s="193">
        <f t="shared" si="67"/>
        <v>46</v>
      </c>
      <c r="Q94" s="175" t="s">
        <v>63</v>
      </c>
    </row>
    <row r="95" spans="1:17" x14ac:dyDescent="0.2">
      <c r="A95" t="str">
        <f>A94</f>
        <v>Project Specific Overheads</v>
      </c>
      <c r="C95" t="s">
        <v>385</v>
      </c>
      <c r="D95" s="176">
        <f>Costing!O93</f>
        <v>3.0666666666666669</v>
      </c>
      <c r="E95" s="176">
        <f>Costing!C107</f>
        <v>30.63</v>
      </c>
      <c r="F95" t="s">
        <v>2</v>
      </c>
      <c r="G95" t="s">
        <v>73</v>
      </c>
      <c r="H95" s="176">
        <v>0</v>
      </c>
      <c r="I95" t="s">
        <v>44</v>
      </c>
      <c r="J95" t="s">
        <v>52</v>
      </c>
      <c r="K95" t="s">
        <v>45</v>
      </c>
      <c r="L95" t="s">
        <v>63</v>
      </c>
      <c r="M95" t="str">
        <f t="shared" si="65"/>
        <v/>
      </c>
      <c r="N95" s="193">
        <f t="shared" si="66"/>
        <v>93.932000000000002</v>
      </c>
      <c r="O95" s="189" t="s">
        <v>108</v>
      </c>
      <c r="P95" s="193">
        <f t="shared" si="67"/>
        <v>93.932000000000002</v>
      </c>
      <c r="Q95" s="175" t="s">
        <v>63</v>
      </c>
    </row>
    <row r="96" spans="1:17" s="190" customFormat="1" ht="48" x14ac:dyDescent="0.2">
      <c r="A96" s="190" t="str">
        <f>A95</f>
        <v>Project Specific Overheads</v>
      </c>
      <c r="B96" s="312" t="s">
        <v>409</v>
      </c>
      <c r="C96" s="190" t="str">
        <f>_xlfn.CONCAT(A96," - Materials")</f>
        <v>Project Specific Overheads - Materials</v>
      </c>
      <c r="D96" s="191">
        <v>1</v>
      </c>
      <c r="E96" s="191">
        <f>N96</f>
        <v>46</v>
      </c>
      <c r="F96" s="190" t="s">
        <v>107</v>
      </c>
      <c r="G96" s="190" t="s">
        <v>228</v>
      </c>
      <c r="H96" s="191">
        <f>((P96-N96)/N96)*100</f>
        <v>0</v>
      </c>
      <c r="I96" s="190" t="s">
        <v>44</v>
      </c>
      <c r="J96" s="190" t="s">
        <v>54</v>
      </c>
      <c r="K96" s="190" t="s">
        <v>45</v>
      </c>
      <c r="L96" s="190" t="s">
        <v>63</v>
      </c>
      <c r="M96" s="190" t="str">
        <f t="shared" si="65"/>
        <v>Preservation Shop</v>
      </c>
      <c r="N96" s="194">
        <f>SUM(N93:N94)</f>
        <v>46</v>
      </c>
      <c r="O96" s="192" t="str">
        <f>IF(N96=0,"DELETE","LEAVE")</f>
        <v>LEAVE</v>
      </c>
      <c r="P96" s="194">
        <f>SUM(P93:P94)</f>
        <v>46</v>
      </c>
      <c r="Q96" s="192" t="s">
        <v>45</v>
      </c>
    </row>
    <row r="97" spans="1:17" s="190" customFormat="1" ht="48" x14ac:dyDescent="0.2">
      <c r="A97" s="190" t="str">
        <f>A96</f>
        <v>Project Specific Overheads</v>
      </c>
      <c r="B97" s="312" t="s">
        <v>409</v>
      </c>
      <c r="C97" s="190" t="str">
        <f>_xlfn.CONCAT(A97," - Labour")</f>
        <v>Project Specific Overheads - Labour</v>
      </c>
      <c r="D97" s="191">
        <f>D95</f>
        <v>3.0666666666666669</v>
      </c>
      <c r="E97" s="191">
        <f>E95</f>
        <v>30.63</v>
      </c>
      <c r="F97" s="190" t="str">
        <f>F95</f>
        <v>Hours</v>
      </c>
      <c r="G97" s="190" t="s">
        <v>227</v>
      </c>
      <c r="H97" s="191">
        <f>H95</f>
        <v>0</v>
      </c>
      <c r="I97" s="190" t="s">
        <v>44</v>
      </c>
      <c r="J97" s="190" t="str">
        <f>J95</f>
        <v>LBR</v>
      </c>
      <c r="K97" s="190" t="str">
        <f>K95</f>
        <v>Yes</v>
      </c>
      <c r="L97" s="190" t="s">
        <v>63</v>
      </c>
      <c r="M97" s="190" t="str">
        <f t="shared" si="65"/>
        <v/>
      </c>
      <c r="N97" s="194">
        <f>N95</f>
        <v>93.932000000000002</v>
      </c>
      <c r="O97" s="192" t="str">
        <f>IF(N97=0,"DELETE","LEAVE")</f>
        <v>LEAVE</v>
      </c>
      <c r="P97" s="194">
        <f>P95</f>
        <v>93.932000000000002</v>
      </c>
      <c r="Q97" s="192" t="s">
        <v>45</v>
      </c>
    </row>
  </sheetData>
  <sheetProtection formatRows="0" autoFilter="0"/>
  <autoFilter ref="A1:M95" xr:uid="{8F3B4B7D-5AB5-4DF4-8195-A9BF0A2E5FD5}"/>
  <phoneticPr fontId="23" type="noConversion"/>
  <dataValidations count="2">
    <dataValidation type="list" allowBlank="1" showInputMessage="1" showErrorMessage="1" sqref="Q62:Q79 Q2:Q11 Q13:Q42 Q44:Q53 Q55:Q60 Q81:Q82 Q84:Q85 Q87:Q88 Q90:Q91 Q93:Q97" xr:uid="{10C77FD9-9A13-47BB-8BB2-19CA9C935189}">
      <formula1>"No,Yes"</formula1>
    </dataValidation>
    <dataValidation type="list" allowBlank="1" showInputMessage="1" showErrorMessage="1" sqref="L2:L97" xr:uid="{33D80CD8-FD11-41AE-94C1-D290654E356B}">
      <formula1>"Yes,No"</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E49CFB89-1DAF-424D-A637-68355F96CF90}">
          <x14:formula1>
            <xm:f>'Data Lists'!$A$15:$A$31</xm:f>
          </x14:formula1>
          <xm:sqref>A2:B95</xm:sqref>
        </x14:dataValidation>
        <x14:dataValidation type="list" allowBlank="1" showInputMessage="1" showErrorMessage="1" xr:uid="{A1190EED-6DB0-4081-B691-382CF2189CE2}">
          <x14:formula1>
            <xm:f>'Data Lists'!$A$6:$A$10</xm:f>
          </x14:formula1>
          <xm:sqref>J2:J95</xm:sqref>
        </x14:dataValidation>
        <x14:dataValidation type="list" allowBlank="1" showInputMessage="1" showErrorMessage="1" xr:uid="{D7AEBC26-C6F8-467F-A76C-ED9271CCF8C1}">
          <x14:formula1>
            <xm:f>'Data Lists'!$A$36:$A$43</xm:f>
          </x14:formula1>
          <xm:sqref>G2:G97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C54F6-F3F2-4E4B-8C03-811950F717B0}">
  <sheetPr codeName="Sheet3"/>
  <dimension ref="A1:B122"/>
  <sheetViews>
    <sheetView workbookViewId="0">
      <selection activeCell="C25" sqref="C25"/>
    </sheetView>
  </sheetViews>
  <sheetFormatPr baseColWidth="10" defaultColWidth="9.1640625" defaultRowHeight="15" x14ac:dyDescent="0.2"/>
  <cols>
    <col min="1" max="1" width="167.5" style="50" bestFit="1" customWidth="1"/>
    <col min="2" max="2" width="58.1640625" style="50" bestFit="1" customWidth="1"/>
    <col min="3" max="16384" width="9.1640625" style="50"/>
  </cols>
  <sheetData>
    <row r="1" spans="1:2" ht="21" x14ac:dyDescent="0.25">
      <c r="A1" s="57" t="s">
        <v>65</v>
      </c>
    </row>
    <row r="2" spans="1:2" ht="16" thickBot="1" x14ac:dyDescent="0.25"/>
    <row r="3" spans="1:2" x14ac:dyDescent="0.2">
      <c r="A3" s="540" t="s">
        <v>46</v>
      </c>
      <c r="B3" s="541"/>
    </row>
    <row r="4" spans="1:2" ht="19" x14ac:dyDescent="0.25">
      <c r="A4" s="542" t="s">
        <v>47</v>
      </c>
      <c r="B4" s="543"/>
    </row>
    <row r="5" spans="1:2" x14ac:dyDescent="0.2">
      <c r="A5" s="51" t="s">
        <v>48</v>
      </c>
      <c r="B5" s="52" t="s">
        <v>49</v>
      </c>
    </row>
    <row r="6" spans="1:2" x14ac:dyDescent="0.2">
      <c r="A6" s="53" t="s">
        <v>50</v>
      </c>
      <c r="B6" s="54" t="s">
        <v>51</v>
      </c>
    </row>
    <row r="7" spans="1:2" x14ac:dyDescent="0.2">
      <c r="A7" s="53" t="s">
        <v>52</v>
      </c>
      <c r="B7" s="54" t="s">
        <v>53</v>
      </c>
    </row>
    <row r="8" spans="1:2" x14ac:dyDescent="0.2">
      <c r="A8" s="53" t="s">
        <v>54</v>
      </c>
      <c r="B8" s="54" t="s">
        <v>55</v>
      </c>
    </row>
    <row r="9" spans="1:2" x14ac:dyDescent="0.2">
      <c r="A9" s="53" t="s">
        <v>56</v>
      </c>
      <c r="B9" s="54" t="s">
        <v>57</v>
      </c>
    </row>
    <row r="10" spans="1:2" ht="16" thickBot="1" x14ac:dyDescent="0.25">
      <c r="A10" s="55" t="s">
        <v>58</v>
      </c>
      <c r="B10" s="56" t="s">
        <v>59</v>
      </c>
    </row>
    <row r="11" spans="1:2" ht="16" thickBot="1" x14ac:dyDescent="0.25"/>
    <row r="12" spans="1:2" x14ac:dyDescent="0.2">
      <c r="A12" s="540" t="s">
        <v>82</v>
      </c>
      <c r="B12" s="541"/>
    </row>
    <row r="13" spans="1:2" ht="19" x14ac:dyDescent="0.25">
      <c r="A13" s="542" t="s">
        <v>60</v>
      </c>
      <c r="B13" s="543"/>
    </row>
    <row r="14" spans="1:2" x14ac:dyDescent="0.2">
      <c r="A14" s="51" t="s">
        <v>48</v>
      </c>
      <c r="B14" s="52" t="s">
        <v>49</v>
      </c>
    </row>
    <row r="15" spans="1:2" x14ac:dyDescent="0.2">
      <c r="A15" s="53" t="str">
        <f>'Customer Summary'!C4</f>
        <v>Condensation control: Supply and install Loft Dryaire system &amp; required accessories</v>
      </c>
      <c r="B15" s="54" t="s">
        <v>61</v>
      </c>
    </row>
    <row r="16" spans="1:2" x14ac:dyDescent="0.2">
      <c r="A16" s="53" t="str">
        <f>'Customer Summary'!C5</f>
        <v>Condensation control: Supply and install Wall Mounted Dryaire system &amp; required accessories</v>
      </c>
      <c r="B16" s="54" t="s">
        <v>61</v>
      </c>
    </row>
    <row r="17" spans="1:2" x14ac:dyDescent="0.2">
      <c r="A17" s="53" t="str">
        <f>'Customer Summary'!C6</f>
        <v>Condensation control: Supply and install Trickle &amp; Boost Fan</v>
      </c>
      <c r="B17" s="54" t="s">
        <v>61</v>
      </c>
    </row>
    <row r="18" spans="1:2" x14ac:dyDescent="0.2">
      <c r="A18" s="53" t="str">
        <f>'Customer Summary'!C7</f>
        <v>Condensation control: Supply and install Dryaire Cpass Insulated Pullcord Passive Vent</v>
      </c>
      <c r="B18" s="54" t="s">
        <v>61</v>
      </c>
    </row>
    <row r="19" spans="1:2" x14ac:dyDescent="0.2">
      <c r="A19" s="53" t="str">
        <f>'Customer Summary'!C8</f>
        <v>Condensation control: Supply and install Dryaire CVent</v>
      </c>
      <c r="B19" s="54" t="s">
        <v>61</v>
      </c>
    </row>
    <row r="20" spans="1:2" x14ac:dyDescent="0.2">
      <c r="A20" s="53" t="str">
        <f>'Customer Summary'!C14</f>
        <v>Airbricks</v>
      </c>
      <c r="B20" s="54" t="s">
        <v>61</v>
      </c>
    </row>
    <row r="21" spans="1:2" x14ac:dyDescent="0.2">
      <c r="A21" s="53" t="str">
        <f>'Customer Summary'!C9</f>
        <v>Joinery: Supply and fit boxwork for ducting</v>
      </c>
      <c r="B21" s="54" t="s">
        <v>61</v>
      </c>
    </row>
    <row r="22" spans="1:2" x14ac:dyDescent="0.2">
      <c r="A22" s="53" t="str">
        <f>'Customer Summary'!C10</f>
        <v>New hatch and ladder: Create larger opening, install new sturdy hatch and ladder to loft entry</v>
      </c>
      <c r="B22" s="54" t="s">
        <v>61</v>
      </c>
    </row>
    <row r="23" spans="1:2" x14ac:dyDescent="0.2">
      <c r="A23" s="53" t="str">
        <f>'Customer Summary'!C11</f>
        <v>Loft opening: Enlarge existing loft opening and install new hatch lid</v>
      </c>
      <c r="B23" s="54" t="s">
        <v>61</v>
      </c>
    </row>
    <row r="24" spans="1:2" x14ac:dyDescent="0.2">
      <c r="A24" s="53" t="str">
        <f>'Customer Summary'!C12</f>
        <v>Remedial treatments: Mould treatment</v>
      </c>
      <c r="B24" s="54" t="s">
        <v>61</v>
      </c>
    </row>
    <row r="25" spans="1:2" x14ac:dyDescent="0.2">
      <c r="A25" s="53" t="str">
        <f>'Customer Summary'!C13</f>
        <v>Asbestos Testing</v>
      </c>
      <c r="B25" s="54" t="s">
        <v>61</v>
      </c>
    </row>
    <row r="26" spans="1:2" x14ac:dyDescent="0.2">
      <c r="A26" s="53" t="str">
        <f>'Customer Summary'!C15</f>
        <v>Project Specific Overheads</v>
      </c>
      <c r="B26" s="54" t="s">
        <v>61</v>
      </c>
    </row>
    <row r="27" spans="1:2" x14ac:dyDescent="0.2">
      <c r="A27" s="53"/>
      <c r="B27" s="54"/>
    </row>
    <row r="28" spans="1:2" x14ac:dyDescent="0.2">
      <c r="A28" s="53"/>
      <c r="B28" s="54"/>
    </row>
    <row r="29" spans="1:2" x14ac:dyDescent="0.2">
      <c r="A29" s="53"/>
      <c r="B29" s="54"/>
    </row>
    <row r="30" spans="1:2" x14ac:dyDescent="0.2">
      <c r="A30" s="53"/>
      <c r="B30" s="54"/>
    </row>
    <row r="31" spans="1:2" ht="16" thickBot="1" x14ac:dyDescent="0.25">
      <c r="A31" s="55"/>
      <c r="B31" s="56"/>
    </row>
    <row r="32" spans="1:2" ht="16" thickBot="1" x14ac:dyDescent="0.25"/>
    <row r="33" spans="1:2" x14ac:dyDescent="0.2">
      <c r="A33" s="540" t="s">
        <v>83</v>
      </c>
      <c r="B33" s="541"/>
    </row>
    <row r="34" spans="1:2" ht="19" x14ac:dyDescent="0.25">
      <c r="A34" s="542" t="s">
        <v>62</v>
      </c>
      <c r="B34" s="543"/>
    </row>
    <row r="35" spans="1:2" x14ac:dyDescent="0.2">
      <c r="A35" s="51" t="s">
        <v>48</v>
      </c>
      <c r="B35" s="52" t="s">
        <v>49</v>
      </c>
    </row>
    <row r="36" spans="1:2" x14ac:dyDescent="0.2">
      <c r="A36" s="53" t="s">
        <v>226</v>
      </c>
      <c r="B36" s="54" t="s">
        <v>61</v>
      </c>
    </row>
    <row r="37" spans="1:2" x14ac:dyDescent="0.2">
      <c r="A37" s="53" t="s">
        <v>227</v>
      </c>
      <c r="B37" s="54" t="s">
        <v>61</v>
      </c>
    </row>
    <row r="38" spans="1:2" x14ac:dyDescent="0.2">
      <c r="A38" s="53" t="s">
        <v>228</v>
      </c>
      <c r="B38" s="54" t="s">
        <v>61</v>
      </c>
    </row>
    <row r="39" spans="1:2" x14ac:dyDescent="0.2">
      <c r="A39" s="53" t="s">
        <v>229</v>
      </c>
      <c r="B39" s="54" t="s">
        <v>61</v>
      </c>
    </row>
    <row r="40" spans="1:2" x14ac:dyDescent="0.2">
      <c r="A40" s="59" t="s">
        <v>230</v>
      </c>
      <c r="B40" s="54" t="s">
        <v>61</v>
      </c>
    </row>
    <row r="41" spans="1:2" x14ac:dyDescent="0.2">
      <c r="A41" s="59" t="s">
        <v>73</v>
      </c>
      <c r="B41" s="54" t="s">
        <v>61</v>
      </c>
    </row>
    <row r="42" spans="1:2" x14ac:dyDescent="0.2">
      <c r="A42" s="59" t="s">
        <v>74</v>
      </c>
      <c r="B42" s="54" t="s">
        <v>61</v>
      </c>
    </row>
    <row r="43" spans="1:2" ht="16" thickBot="1" x14ac:dyDescent="0.25">
      <c r="A43" s="55"/>
      <c r="B43" s="56"/>
    </row>
    <row r="44" spans="1:2" ht="16" thickBot="1" x14ac:dyDescent="0.25"/>
    <row r="45" spans="1:2" x14ac:dyDescent="0.2">
      <c r="A45" s="540" t="s">
        <v>67</v>
      </c>
      <c r="B45" s="541"/>
    </row>
    <row r="46" spans="1:2" ht="19" x14ac:dyDescent="0.25">
      <c r="A46" s="542" t="s">
        <v>68</v>
      </c>
      <c r="B46" s="543"/>
    </row>
    <row r="47" spans="1:2" x14ac:dyDescent="0.2">
      <c r="A47" s="51" t="s">
        <v>48</v>
      </c>
      <c r="B47" s="52" t="s">
        <v>49</v>
      </c>
    </row>
    <row r="48" spans="1:2" x14ac:dyDescent="0.2">
      <c r="A48" s="53" t="s">
        <v>69</v>
      </c>
      <c r="B48" s="54" t="s">
        <v>61</v>
      </c>
    </row>
    <row r="49" spans="1:2" x14ac:dyDescent="0.2">
      <c r="A49" s="53" t="s">
        <v>66</v>
      </c>
      <c r="B49" s="54" t="s">
        <v>61</v>
      </c>
    </row>
    <row r="50" spans="1:2" x14ac:dyDescent="0.2">
      <c r="A50" s="53" t="s">
        <v>70</v>
      </c>
      <c r="B50" s="54" t="s">
        <v>61</v>
      </c>
    </row>
    <row r="51" spans="1:2" x14ac:dyDescent="0.2">
      <c r="A51" s="53" t="s">
        <v>2</v>
      </c>
      <c r="B51" s="54" t="s">
        <v>61</v>
      </c>
    </row>
    <row r="52" spans="1:2" x14ac:dyDescent="0.2">
      <c r="A52" s="59" t="s">
        <v>71</v>
      </c>
      <c r="B52" s="54" t="s">
        <v>61</v>
      </c>
    </row>
    <row r="53" spans="1:2" x14ac:dyDescent="0.2">
      <c r="A53" s="59" t="s">
        <v>75</v>
      </c>
      <c r="B53" s="54" t="s">
        <v>61</v>
      </c>
    </row>
    <row r="54" spans="1:2" x14ac:dyDescent="0.2">
      <c r="A54" s="59" t="s">
        <v>79</v>
      </c>
      <c r="B54" s="60" t="s">
        <v>61</v>
      </c>
    </row>
    <row r="55" spans="1:2" x14ac:dyDescent="0.2">
      <c r="A55" s="59" t="s">
        <v>80</v>
      </c>
      <c r="B55" s="60" t="s">
        <v>61</v>
      </c>
    </row>
    <row r="56" spans="1:2" ht="16" thickBot="1" x14ac:dyDescent="0.25">
      <c r="A56" s="55"/>
      <c r="B56" s="56"/>
    </row>
    <row r="57" spans="1:2" ht="16" thickBot="1" x14ac:dyDescent="0.25"/>
    <row r="58" spans="1:2" x14ac:dyDescent="0.2">
      <c r="A58" s="538" t="s">
        <v>89</v>
      </c>
      <c r="B58" s="539"/>
    </row>
    <row r="59" spans="1:2" x14ac:dyDescent="0.2">
      <c r="A59" s="53" t="s">
        <v>90</v>
      </c>
      <c r="B59" s="54" t="s">
        <v>282</v>
      </c>
    </row>
    <row r="60" spans="1:2" x14ac:dyDescent="0.2">
      <c r="A60" s="53" t="s">
        <v>91</v>
      </c>
      <c r="B60" s="91" t="s">
        <v>435</v>
      </c>
    </row>
    <row r="61" spans="1:2" ht="16" thickBot="1" x14ac:dyDescent="0.25">
      <c r="A61" s="55" t="s">
        <v>92</v>
      </c>
      <c r="B61" s="56" t="str">
        <f>CONCATENATE(B59,B60)</f>
        <v>CF-Condensation-PIV-25-11-25-14-57-56</v>
      </c>
    </row>
    <row r="62" spans="1:2" ht="16" thickBot="1" x14ac:dyDescent="0.25"/>
    <row r="63" spans="1:2" x14ac:dyDescent="0.2">
      <c r="A63" s="536" t="s">
        <v>185</v>
      </c>
      <c r="B63" s="537"/>
    </row>
    <row r="64" spans="1:2" ht="16" thickBot="1" x14ac:dyDescent="0.25">
      <c r="A64" s="55" t="s">
        <v>167</v>
      </c>
      <c r="B64" s="56" t="str">
        <f>CONCATENATE(Costing!E4,"-CONDENSATION-PIV-REPORT-",B60)</f>
        <v>PRONE455DN-CONDENSATION-PIV-REPORT-25-11-25-14-57-56</v>
      </c>
    </row>
    <row r="65" spans="1:1" ht="16" thickBot="1" x14ac:dyDescent="0.25"/>
    <row r="66" spans="1:1" x14ac:dyDescent="0.2">
      <c r="A66" s="267" t="s">
        <v>301</v>
      </c>
    </row>
    <row r="67" spans="1:1" x14ac:dyDescent="0.2">
      <c r="A67" s="268">
        <v>-5</v>
      </c>
    </row>
    <row r="68" spans="1:1" ht="16" thickBot="1" x14ac:dyDescent="0.25">
      <c r="A68" s="269">
        <f>A67+1</f>
        <v>-4</v>
      </c>
    </row>
    <row r="69" spans="1:1" ht="16" thickBot="1" x14ac:dyDescent="0.25">
      <c r="A69" s="269">
        <f t="shared" ref="A69:A122" si="0">A68+1</f>
        <v>-3</v>
      </c>
    </row>
    <row r="70" spans="1:1" ht="16" thickBot="1" x14ac:dyDescent="0.25">
      <c r="A70" s="269">
        <f t="shared" si="0"/>
        <v>-2</v>
      </c>
    </row>
    <row r="71" spans="1:1" ht="16" thickBot="1" x14ac:dyDescent="0.25">
      <c r="A71" s="269">
        <f t="shared" si="0"/>
        <v>-1</v>
      </c>
    </row>
    <row r="72" spans="1:1" ht="16" thickBot="1" x14ac:dyDescent="0.25">
      <c r="A72" s="269">
        <f t="shared" si="0"/>
        <v>0</v>
      </c>
    </row>
    <row r="73" spans="1:1" ht="16" thickBot="1" x14ac:dyDescent="0.25">
      <c r="A73" s="269">
        <f t="shared" si="0"/>
        <v>1</v>
      </c>
    </row>
    <row r="74" spans="1:1" ht="16" thickBot="1" x14ac:dyDescent="0.25">
      <c r="A74" s="269">
        <f t="shared" si="0"/>
        <v>2</v>
      </c>
    </row>
    <row r="75" spans="1:1" ht="16" thickBot="1" x14ac:dyDescent="0.25">
      <c r="A75" s="269">
        <f t="shared" si="0"/>
        <v>3</v>
      </c>
    </row>
    <row r="76" spans="1:1" ht="16" thickBot="1" x14ac:dyDescent="0.25">
      <c r="A76" s="269">
        <f t="shared" si="0"/>
        <v>4</v>
      </c>
    </row>
    <row r="77" spans="1:1" ht="16" thickBot="1" x14ac:dyDescent="0.25">
      <c r="A77" s="269">
        <f t="shared" si="0"/>
        <v>5</v>
      </c>
    </row>
    <row r="78" spans="1:1" ht="16" thickBot="1" x14ac:dyDescent="0.25">
      <c r="A78" s="269">
        <f t="shared" si="0"/>
        <v>6</v>
      </c>
    </row>
    <row r="79" spans="1:1" ht="16" thickBot="1" x14ac:dyDescent="0.25">
      <c r="A79" s="269">
        <f t="shared" si="0"/>
        <v>7</v>
      </c>
    </row>
    <row r="80" spans="1:1" ht="16" thickBot="1" x14ac:dyDescent="0.25">
      <c r="A80" s="269">
        <f t="shared" si="0"/>
        <v>8</v>
      </c>
    </row>
    <row r="81" spans="1:1" ht="16" thickBot="1" x14ac:dyDescent="0.25">
      <c r="A81" s="269">
        <f t="shared" si="0"/>
        <v>9</v>
      </c>
    </row>
    <row r="82" spans="1:1" ht="16" thickBot="1" x14ac:dyDescent="0.25">
      <c r="A82" s="269">
        <f t="shared" si="0"/>
        <v>10</v>
      </c>
    </row>
    <row r="83" spans="1:1" ht="16" thickBot="1" x14ac:dyDescent="0.25">
      <c r="A83" s="269">
        <f t="shared" si="0"/>
        <v>11</v>
      </c>
    </row>
    <row r="84" spans="1:1" ht="16" thickBot="1" x14ac:dyDescent="0.25">
      <c r="A84" s="269">
        <f t="shared" si="0"/>
        <v>12</v>
      </c>
    </row>
    <row r="85" spans="1:1" ht="16" thickBot="1" x14ac:dyDescent="0.25">
      <c r="A85" s="269">
        <f t="shared" si="0"/>
        <v>13</v>
      </c>
    </row>
    <row r="86" spans="1:1" ht="16" thickBot="1" x14ac:dyDescent="0.25">
      <c r="A86" s="269">
        <f t="shared" si="0"/>
        <v>14</v>
      </c>
    </row>
    <row r="87" spans="1:1" ht="16" thickBot="1" x14ac:dyDescent="0.25">
      <c r="A87" s="269">
        <f t="shared" si="0"/>
        <v>15</v>
      </c>
    </row>
    <row r="88" spans="1:1" ht="16" thickBot="1" x14ac:dyDescent="0.25">
      <c r="A88" s="269">
        <f t="shared" si="0"/>
        <v>16</v>
      </c>
    </row>
    <row r="89" spans="1:1" ht="16" thickBot="1" x14ac:dyDescent="0.25">
      <c r="A89" s="269">
        <f t="shared" si="0"/>
        <v>17</v>
      </c>
    </row>
    <row r="90" spans="1:1" ht="16" thickBot="1" x14ac:dyDescent="0.25">
      <c r="A90" s="269">
        <f t="shared" si="0"/>
        <v>18</v>
      </c>
    </row>
    <row r="91" spans="1:1" ht="16" thickBot="1" x14ac:dyDescent="0.25">
      <c r="A91" s="269">
        <f t="shared" si="0"/>
        <v>19</v>
      </c>
    </row>
    <row r="92" spans="1:1" ht="16" thickBot="1" x14ac:dyDescent="0.25">
      <c r="A92" s="269">
        <f t="shared" si="0"/>
        <v>20</v>
      </c>
    </row>
    <row r="93" spans="1:1" ht="16" thickBot="1" x14ac:dyDescent="0.25">
      <c r="A93" s="269">
        <f t="shared" si="0"/>
        <v>21</v>
      </c>
    </row>
    <row r="94" spans="1:1" ht="16" thickBot="1" x14ac:dyDescent="0.25">
      <c r="A94" s="269">
        <f t="shared" si="0"/>
        <v>22</v>
      </c>
    </row>
    <row r="95" spans="1:1" ht="16" thickBot="1" x14ac:dyDescent="0.25">
      <c r="A95" s="269">
        <f t="shared" si="0"/>
        <v>23</v>
      </c>
    </row>
    <row r="96" spans="1:1" ht="16" thickBot="1" x14ac:dyDescent="0.25">
      <c r="A96" s="269">
        <f t="shared" si="0"/>
        <v>24</v>
      </c>
    </row>
    <row r="97" spans="1:1" ht="16" thickBot="1" x14ac:dyDescent="0.25">
      <c r="A97" s="269">
        <f t="shared" si="0"/>
        <v>25</v>
      </c>
    </row>
    <row r="98" spans="1:1" ht="16" thickBot="1" x14ac:dyDescent="0.25">
      <c r="A98" s="269">
        <f t="shared" si="0"/>
        <v>26</v>
      </c>
    </row>
    <row r="99" spans="1:1" ht="16" thickBot="1" x14ac:dyDescent="0.25">
      <c r="A99" s="269">
        <f t="shared" si="0"/>
        <v>27</v>
      </c>
    </row>
    <row r="100" spans="1:1" ht="16" thickBot="1" x14ac:dyDescent="0.25">
      <c r="A100" s="269">
        <f t="shared" si="0"/>
        <v>28</v>
      </c>
    </row>
    <row r="101" spans="1:1" ht="16" thickBot="1" x14ac:dyDescent="0.25">
      <c r="A101" s="269">
        <f t="shared" si="0"/>
        <v>29</v>
      </c>
    </row>
    <row r="102" spans="1:1" ht="16" thickBot="1" x14ac:dyDescent="0.25">
      <c r="A102" s="269">
        <f t="shared" si="0"/>
        <v>30</v>
      </c>
    </row>
    <row r="103" spans="1:1" ht="16" thickBot="1" x14ac:dyDescent="0.25">
      <c r="A103" s="269">
        <f t="shared" si="0"/>
        <v>31</v>
      </c>
    </row>
    <row r="104" spans="1:1" ht="16" thickBot="1" x14ac:dyDescent="0.25">
      <c r="A104" s="269">
        <f t="shared" si="0"/>
        <v>32</v>
      </c>
    </row>
    <row r="105" spans="1:1" ht="16" thickBot="1" x14ac:dyDescent="0.25">
      <c r="A105" s="269">
        <f t="shared" si="0"/>
        <v>33</v>
      </c>
    </row>
    <row r="106" spans="1:1" ht="16" thickBot="1" x14ac:dyDescent="0.25">
      <c r="A106" s="269">
        <f t="shared" si="0"/>
        <v>34</v>
      </c>
    </row>
    <row r="107" spans="1:1" ht="16" thickBot="1" x14ac:dyDescent="0.25">
      <c r="A107" s="269">
        <f t="shared" si="0"/>
        <v>35</v>
      </c>
    </row>
    <row r="108" spans="1:1" ht="16" thickBot="1" x14ac:dyDescent="0.25">
      <c r="A108" s="269">
        <f t="shared" si="0"/>
        <v>36</v>
      </c>
    </row>
    <row r="109" spans="1:1" ht="16" thickBot="1" x14ac:dyDescent="0.25">
      <c r="A109" s="269">
        <f t="shared" si="0"/>
        <v>37</v>
      </c>
    </row>
    <row r="110" spans="1:1" ht="16" thickBot="1" x14ac:dyDescent="0.25">
      <c r="A110" s="269">
        <f t="shared" si="0"/>
        <v>38</v>
      </c>
    </row>
    <row r="111" spans="1:1" ht="16" thickBot="1" x14ac:dyDescent="0.25">
      <c r="A111" s="269">
        <f t="shared" si="0"/>
        <v>39</v>
      </c>
    </row>
    <row r="112" spans="1:1" ht="16" thickBot="1" x14ac:dyDescent="0.25">
      <c r="A112" s="269">
        <f t="shared" si="0"/>
        <v>40</v>
      </c>
    </row>
    <row r="113" spans="1:1" ht="16" thickBot="1" x14ac:dyDescent="0.25">
      <c r="A113" s="269">
        <f t="shared" si="0"/>
        <v>41</v>
      </c>
    </row>
    <row r="114" spans="1:1" ht="16" thickBot="1" x14ac:dyDescent="0.25">
      <c r="A114" s="269">
        <f t="shared" si="0"/>
        <v>42</v>
      </c>
    </row>
    <row r="115" spans="1:1" ht="16" thickBot="1" x14ac:dyDescent="0.25">
      <c r="A115" s="269">
        <f t="shared" si="0"/>
        <v>43</v>
      </c>
    </row>
    <row r="116" spans="1:1" ht="16" thickBot="1" x14ac:dyDescent="0.25">
      <c r="A116" s="269">
        <f t="shared" si="0"/>
        <v>44</v>
      </c>
    </row>
    <row r="117" spans="1:1" ht="16" thickBot="1" x14ac:dyDescent="0.25">
      <c r="A117" s="269">
        <f t="shared" si="0"/>
        <v>45</v>
      </c>
    </row>
    <row r="118" spans="1:1" ht="16" thickBot="1" x14ac:dyDescent="0.25">
      <c r="A118" s="269">
        <f t="shared" si="0"/>
        <v>46</v>
      </c>
    </row>
    <row r="119" spans="1:1" ht="16" thickBot="1" x14ac:dyDescent="0.25">
      <c r="A119" s="269">
        <f t="shared" si="0"/>
        <v>47</v>
      </c>
    </row>
    <row r="120" spans="1:1" ht="16" thickBot="1" x14ac:dyDescent="0.25">
      <c r="A120" s="269">
        <f t="shared" si="0"/>
        <v>48</v>
      </c>
    </row>
    <row r="121" spans="1:1" ht="16" thickBot="1" x14ac:dyDescent="0.25">
      <c r="A121" s="269">
        <f t="shared" si="0"/>
        <v>49</v>
      </c>
    </row>
    <row r="122" spans="1:1" ht="16" thickBot="1" x14ac:dyDescent="0.25">
      <c r="A122" s="269">
        <f t="shared" si="0"/>
        <v>50</v>
      </c>
    </row>
  </sheetData>
  <sheetProtection formatRows="0" autoFilter="0"/>
  <mergeCells count="10">
    <mergeCell ref="A63:B63"/>
    <mergeCell ref="A58:B58"/>
    <mergeCell ref="A45:B45"/>
    <mergeCell ref="A46:B46"/>
    <mergeCell ref="A3:B3"/>
    <mergeCell ref="A4:B4"/>
    <mergeCell ref="A12:B12"/>
    <mergeCell ref="A13:B13"/>
    <mergeCell ref="A33:B33"/>
    <mergeCell ref="A34:B3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E0D23-5090-47EB-AB2B-8F7BC67D02D7}">
  <sheetPr codeName="Sheet5"/>
  <dimension ref="A1:D24"/>
  <sheetViews>
    <sheetView workbookViewId="0">
      <selection activeCell="D23" sqref="D23"/>
    </sheetView>
  </sheetViews>
  <sheetFormatPr baseColWidth="10" defaultColWidth="8.83203125" defaultRowHeight="15" x14ac:dyDescent="0.2"/>
  <cols>
    <col min="1" max="1" width="18.1640625" customWidth="1"/>
    <col min="2" max="2" width="19.1640625" style="175" customWidth="1"/>
    <col min="3" max="3" width="21.5" style="175" customWidth="1"/>
    <col min="4" max="4" width="166.5" style="175" customWidth="1"/>
  </cols>
  <sheetData>
    <row r="1" spans="1:4" ht="16" x14ac:dyDescent="0.2">
      <c r="A1" s="249" t="s">
        <v>288</v>
      </c>
      <c r="B1" s="249" t="s">
        <v>289</v>
      </c>
      <c r="C1" s="249" t="s">
        <v>290</v>
      </c>
      <c r="D1" s="250" t="s">
        <v>291</v>
      </c>
    </row>
    <row r="2" spans="1:4" ht="16" x14ac:dyDescent="0.2">
      <c r="A2" s="251">
        <v>45393</v>
      </c>
      <c r="B2" s="252">
        <v>17</v>
      </c>
      <c r="C2" s="252">
        <v>18</v>
      </c>
      <c r="D2" s="253" t="s">
        <v>292</v>
      </c>
    </row>
    <row r="3" spans="1:4" ht="16" x14ac:dyDescent="0.2">
      <c r="A3" s="251">
        <v>45393</v>
      </c>
      <c r="B3" s="252">
        <v>17</v>
      </c>
      <c r="C3" s="252">
        <v>18</v>
      </c>
      <c r="D3" s="253" t="s">
        <v>293</v>
      </c>
    </row>
    <row r="4" spans="1:4" x14ac:dyDescent="0.2">
      <c r="A4" s="251">
        <v>45425</v>
      </c>
      <c r="B4" s="252">
        <v>18</v>
      </c>
      <c r="C4" s="252">
        <v>19</v>
      </c>
      <c r="D4" s="254" t="s">
        <v>295</v>
      </c>
    </row>
    <row r="5" spans="1:4" x14ac:dyDescent="0.2">
      <c r="A5" s="251">
        <v>45440</v>
      </c>
      <c r="B5" s="252">
        <v>19</v>
      </c>
      <c r="C5" s="252">
        <v>20</v>
      </c>
      <c r="D5" s="254" t="s">
        <v>297</v>
      </c>
    </row>
    <row r="6" spans="1:4" x14ac:dyDescent="0.2">
      <c r="A6" s="251">
        <v>45440</v>
      </c>
      <c r="B6" s="252">
        <v>19</v>
      </c>
      <c r="C6" s="252">
        <v>20</v>
      </c>
      <c r="D6" s="254" t="s">
        <v>298</v>
      </c>
    </row>
    <row r="7" spans="1:4" x14ac:dyDescent="0.2">
      <c r="A7" s="251">
        <v>45460</v>
      </c>
      <c r="B7" s="252">
        <v>20</v>
      </c>
      <c r="C7" s="252">
        <v>21</v>
      </c>
      <c r="D7" s="254" t="s">
        <v>355</v>
      </c>
    </row>
    <row r="8" spans="1:4" x14ac:dyDescent="0.2">
      <c r="A8" s="251">
        <v>45489</v>
      </c>
      <c r="B8" s="252">
        <v>21</v>
      </c>
      <c r="C8" s="252">
        <v>22</v>
      </c>
      <c r="D8" s="254" t="s">
        <v>353</v>
      </c>
    </row>
    <row r="9" spans="1:4" x14ac:dyDescent="0.2">
      <c r="A9" s="251">
        <v>45491</v>
      </c>
      <c r="B9" s="252">
        <v>22</v>
      </c>
      <c r="C9" s="252">
        <v>23</v>
      </c>
      <c r="D9" s="254" t="s">
        <v>356</v>
      </c>
    </row>
    <row r="10" spans="1:4" x14ac:dyDescent="0.2">
      <c r="A10" s="251">
        <v>45495</v>
      </c>
      <c r="B10" s="252">
        <v>23</v>
      </c>
      <c r="C10" s="252">
        <v>24</v>
      </c>
      <c r="D10" s="254" t="s">
        <v>358</v>
      </c>
    </row>
    <row r="11" spans="1:4" ht="32" x14ac:dyDescent="0.2">
      <c r="A11" s="251">
        <v>45539</v>
      </c>
      <c r="B11" s="252">
        <v>25</v>
      </c>
      <c r="C11" s="252">
        <v>26</v>
      </c>
      <c r="D11" s="253" t="s">
        <v>363</v>
      </c>
    </row>
    <row r="12" spans="1:4" ht="32" x14ac:dyDescent="0.2">
      <c r="A12" s="251">
        <v>45562</v>
      </c>
      <c r="B12" s="252">
        <v>26</v>
      </c>
      <c r="C12" s="252">
        <v>27</v>
      </c>
      <c r="D12" s="253" t="s">
        <v>366</v>
      </c>
    </row>
    <row r="13" spans="1:4" ht="16" x14ac:dyDescent="0.2">
      <c r="A13" s="251">
        <v>45600</v>
      </c>
      <c r="B13" s="252">
        <v>27</v>
      </c>
      <c r="C13" s="252">
        <v>28</v>
      </c>
      <c r="D13" s="253" t="s">
        <v>380</v>
      </c>
    </row>
    <row r="14" spans="1:4" ht="32" x14ac:dyDescent="0.2">
      <c r="A14" s="251">
        <v>45645</v>
      </c>
      <c r="B14" s="252">
        <v>28</v>
      </c>
      <c r="C14" s="252">
        <v>29</v>
      </c>
      <c r="D14" s="253" t="s">
        <v>386</v>
      </c>
    </row>
    <row r="15" spans="1:4" x14ac:dyDescent="0.2">
      <c r="A15" s="251">
        <v>45684</v>
      </c>
      <c r="B15" s="252">
        <v>29</v>
      </c>
      <c r="C15" s="252">
        <v>30</v>
      </c>
      <c r="D15" s="254" t="s">
        <v>403</v>
      </c>
    </row>
    <row r="16" spans="1:4" x14ac:dyDescent="0.2">
      <c r="A16" s="251">
        <v>45691</v>
      </c>
      <c r="B16" s="252">
        <v>30</v>
      </c>
      <c r="C16" s="252">
        <v>31</v>
      </c>
      <c r="D16" s="254" t="s">
        <v>407</v>
      </c>
    </row>
    <row r="17" spans="1:4" x14ac:dyDescent="0.2">
      <c r="A17" s="251">
        <v>45698</v>
      </c>
      <c r="B17" s="252">
        <v>31</v>
      </c>
      <c r="C17" s="252">
        <v>32</v>
      </c>
      <c r="D17" s="254" t="s">
        <v>408</v>
      </c>
    </row>
    <row r="18" spans="1:4" ht="16" x14ac:dyDescent="0.2">
      <c r="A18" s="251">
        <v>45814</v>
      </c>
      <c r="B18" s="252">
        <v>32</v>
      </c>
      <c r="C18" s="252">
        <v>33</v>
      </c>
      <c r="D18" s="334" t="s">
        <v>410</v>
      </c>
    </row>
    <row r="19" spans="1:4" ht="32" x14ac:dyDescent="0.2">
      <c r="A19" s="251">
        <v>45932</v>
      </c>
      <c r="B19" s="252">
        <v>33</v>
      </c>
      <c r="C19" s="252">
        <v>34</v>
      </c>
      <c r="D19" s="253" t="s">
        <v>411</v>
      </c>
    </row>
    <row r="20" spans="1:4" x14ac:dyDescent="0.2">
      <c r="A20" s="251">
        <v>45955</v>
      </c>
      <c r="B20" s="252">
        <v>34</v>
      </c>
      <c r="C20" s="252">
        <v>35</v>
      </c>
      <c r="D20" s="254" t="s">
        <v>412</v>
      </c>
    </row>
    <row r="21" spans="1:4" x14ac:dyDescent="0.2">
      <c r="A21" s="251">
        <v>45968</v>
      </c>
      <c r="B21" s="252">
        <v>35</v>
      </c>
      <c r="C21" s="252">
        <v>36</v>
      </c>
      <c r="D21" s="254" t="s">
        <v>413</v>
      </c>
    </row>
    <row r="22" spans="1:4" x14ac:dyDescent="0.2">
      <c r="A22" s="251">
        <v>45974</v>
      </c>
      <c r="B22" s="252">
        <v>36</v>
      </c>
      <c r="C22" s="252">
        <v>37</v>
      </c>
      <c r="D22" s="254" t="s">
        <v>414</v>
      </c>
    </row>
    <row r="23" spans="1:4" x14ac:dyDescent="0.2">
      <c r="A23" s="251"/>
      <c r="B23" s="252"/>
      <c r="C23" s="252"/>
      <c r="D23" s="254"/>
    </row>
    <row r="24" spans="1:4" x14ac:dyDescent="0.2">
      <c r="A24" s="251"/>
      <c r="B24" s="252"/>
      <c r="C24" s="252"/>
      <c r="D24" s="254"/>
    </row>
  </sheetData>
  <sheetProtection formatRows="0" autoFilter="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d9bdd5b-38e0-4e09-b47e-ef3f4b20bf28" xsi:nil="true"/>
    <lcf76f155ced4ddcb4097134ff3c332f xmlns="e9582abf-a26e-4e53-a6af-46f4bb06cdf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B6DF38673946941B312351CB883F9BC" ma:contentTypeVersion="18" ma:contentTypeDescription="Create a new document." ma:contentTypeScope="" ma:versionID="70ee186486eabcdfb4b82c9df4cb2af8">
  <xsd:schema xmlns:xsd="http://www.w3.org/2001/XMLSchema" xmlns:xs="http://www.w3.org/2001/XMLSchema" xmlns:p="http://schemas.microsoft.com/office/2006/metadata/properties" xmlns:ns2="e9582abf-a26e-4e53-a6af-46f4bb06cdf8" xmlns:ns3="bd9bdd5b-38e0-4e09-b47e-ef3f4b20bf28" targetNamespace="http://schemas.microsoft.com/office/2006/metadata/properties" ma:root="true" ma:fieldsID="e2a6a83bff8e649c705f3cd9fe0a3240" ns2:_="" ns3:_="">
    <xsd:import namespace="e9582abf-a26e-4e53-a6af-46f4bb06cdf8"/>
    <xsd:import namespace="bd9bdd5b-38e0-4e09-b47e-ef3f4b20bf28"/>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LengthInSeconds" minOccurs="0"/>
                <xsd:element ref="ns2:MediaServiceLocation"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582abf-a26e-4e53-a6af-46f4bb06cdf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MediaServiceLocation" ma:index="18" nillable="true" ma:displayName="Location" ma:internalName="MediaServiceLocatio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ad53797e-f00b-41fd-a370-dc3893c9aeb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d9bdd5b-38e0-4e09-b47e-ef3f4b20bf28"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df07dafa-c3d5-4c14-9778-cb27d337d034}" ma:internalName="TaxCatchAll" ma:showField="CatchAllData" ma:web="bd9bdd5b-38e0-4e09-b47e-ef3f4b20bf28">
      <xsd:complexType>
        <xsd:complexContent>
          <xsd:extension base="dms:MultiChoiceLookup">
            <xsd:sequence>
              <xsd:element name="Value" type="dms:Lookup" maxOccurs="unbounded" minOccurs="0" nillable="true"/>
            </xsd:sequence>
          </xsd:extension>
        </xsd:complexContent>
      </xsd:complexType>
    </xsd:element>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1213E12-AFE3-4A1F-A1F9-1ADBED212105}">
  <ds:schemaRefs>
    <ds:schemaRef ds:uri="http://purl.org/dc/elements/1.1/"/>
    <ds:schemaRef ds:uri="http://purl.org/dc/dcmitype/"/>
    <ds:schemaRef ds:uri="http://schemas.microsoft.com/office/infopath/2007/PartnerControls"/>
    <ds:schemaRef ds:uri="e9582abf-a26e-4e53-a6af-46f4bb06cdf8"/>
    <ds:schemaRef ds:uri="http://schemas.openxmlformats.org/package/2006/metadata/core-properties"/>
    <ds:schemaRef ds:uri="http://schemas.microsoft.com/office/2006/metadata/properties"/>
    <ds:schemaRef ds:uri="http://purl.org/dc/terms/"/>
    <ds:schemaRef ds:uri="http://schemas.microsoft.com/office/2006/documentManagement/types"/>
    <ds:schemaRef ds:uri="bd9bdd5b-38e0-4e09-b47e-ef3f4b20bf28"/>
    <ds:schemaRef ds:uri="http://www.w3.org/XML/1998/namespace"/>
  </ds:schemaRefs>
</ds:datastoreItem>
</file>

<file path=customXml/itemProps2.xml><?xml version="1.0" encoding="utf-8"?>
<ds:datastoreItem xmlns:ds="http://schemas.openxmlformats.org/officeDocument/2006/customXml" ds:itemID="{F8EB907A-86D0-40F9-956A-B77DBB254B9F}">
  <ds:schemaRefs>
    <ds:schemaRef ds:uri="http://schemas.microsoft.com/sharepoint/v3/contenttype/forms"/>
  </ds:schemaRefs>
</ds:datastoreItem>
</file>

<file path=customXml/itemProps3.xml><?xml version="1.0" encoding="utf-8"?>
<ds:datastoreItem xmlns:ds="http://schemas.openxmlformats.org/officeDocument/2006/customXml" ds:itemID="{4B15A01A-42FF-4D53-A723-D1048259750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9582abf-a26e-4e53-a6af-46f4bb06cdf8"/>
    <ds:schemaRef ds:uri="bd9bdd5b-38e0-4e09-b47e-ef3f4b20bf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9</vt:i4>
      </vt:variant>
      <vt:variant>
        <vt:lpstr>Named Ranges</vt:lpstr>
      </vt:variant>
      <vt:variant>
        <vt:i4>3</vt:i4>
      </vt:variant>
    </vt:vector>
  </HeadingPairs>
  <TitlesOfParts>
    <vt:vector size="12" baseType="lpstr">
      <vt:lpstr>Report</vt:lpstr>
      <vt:lpstr>Costing</vt:lpstr>
      <vt:lpstr>Customer Summary</vt:lpstr>
      <vt:lpstr>Office Notes</vt:lpstr>
      <vt:lpstr>CAF1 Form</vt:lpstr>
      <vt:lpstr>Sub Contractor Costs</vt:lpstr>
      <vt:lpstr>CF CSV Upload</vt:lpstr>
      <vt:lpstr>Data Lists</vt:lpstr>
      <vt:lpstr>Changes</vt:lpstr>
      <vt:lpstr>'Customer Summary'!Print_Area</vt:lpstr>
      <vt:lpstr>Report!Print_Area</vt:lpstr>
      <vt:lpstr>'Sub Contractor Costs'!Print_Area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Davison</dc:creator>
  <cp:lastModifiedBy>Dominic Clauzel</cp:lastModifiedBy>
  <cp:lastPrinted>2025-11-25T14:57:32Z</cp:lastPrinted>
  <dcterms:created xsi:type="dcterms:W3CDTF">2023-05-12T08:29:56Z</dcterms:created>
  <dcterms:modified xsi:type="dcterms:W3CDTF">2026-02-17T23:34:51Z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0x0101003B6DF38673946941B312351CB883F9BC</vt:lpwstr>
  </property>
  <property fmtid="{D5CDD505-2E9C-101B-9397-08002B2CF9AE}" pid="3" name="MediaServiceImageTags">
    <vt:lpwstr/>
  </property>
</Properties>
</file>